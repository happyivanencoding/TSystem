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groupe-ufg.com\commun\Prive\GestionAM\Ingenierie_Financiere\PROD\_EQUITY\1_FACTEUR_ML\"/>
    </mc:Choice>
  </mc:AlternateContent>
  <xr:revisionPtr revIDLastSave="0" documentId="13_ncr:1_{B5DA508E-3441-4A7E-9091-6CF85DC7A289}" xr6:coauthVersionLast="47" xr6:coauthVersionMax="47" xr10:uidLastSave="{00000000-0000-0000-0000-000000000000}"/>
  <bookViews>
    <workbookView xWindow="28542" yWindow="-16536" windowWidth="28992" windowHeight="15672" xr2:uid="{00000000-000D-0000-FFFF-FFFF00000000}"/>
  </bookViews>
  <sheets>
    <sheet name="Principal" sheetId="1" r:id="rId1"/>
    <sheet name="Strat_ML" sheetId="5" r:id="rId2"/>
    <sheet name="Preprocessing" sheetId="6" r:id="rId3"/>
    <sheet name="Hyper_parameters" sheetId="3" r:id="rId4"/>
    <sheet name="List_parameters" sheetId="2" r:id="rId5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45417.6645717593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/>
  <c r="L2" i="2"/>
  <c r="O2" i="2"/>
  <c r="Q2" i="2"/>
  <c r="J3" i="2"/>
  <c r="L3" i="2"/>
  <c r="O3" i="2"/>
  <c r="Q3" i="2"/>
</calcChain>
</file>

<file path=xl/sharedStrings.xml><?xml version="1.0" encoding="utf-8"?>
<sst xmlns="http://schemas.openxmlformats.org/spreadsheetml/2006/main" count="1135" uniqueCount="202">
  <si>
    <t>screen_path</t>
  </si>
  <si>
    <t>returns_path</t>
  </si>
  <si>
    <t>univ</t>
  </si>
  <si>
    <t>algo</t>
  </si>
  <si>
    <t>XGBoost</t>
  </si>
  <si>
    <t>X</t>
  </si>
  <si>
    <t>Y</t>
  </si>
  <si>
    <t>returns</t>
  </si>
  <si>
    <t>STOXX EUROPE 600</t>
  </si>
  <si>
    <t>returns_neutral</t>
  </si>
  <si>
    <t>ICB19</t>
  </si>
  <si>
    <t>ICB11</t>
  </si>
  <si>
    <t>period_to_predict</t>
  </si>
  <si>
    <t>returns_type</t>
  </si>
  <si>
    <t>contrib</t>
  </si>
  <si>
    <t>no</t>
  </si>
  <si>
    <t>features</t>
  </si>
  <si>
    <t>fill_na</t>
  </si>
  <si>
    <t>mean</t>
  </si>
  <si>
    <t>median</t>
  </si>
  <si>
    <t>sector_neutral_bt</t>
  </si>
  <si>
    <t>ponderation_bt</t>
  </si>
  <si>
    <t>mkt_cap</t>
  </si>
  <si>
    <t>EW</t>
  </si>
  <si>
    <t>Racine cube</t>
  </si>
  <si>
    <t>Racine carrée</t>
  </si>
  <si>
    <t>Log</t>
  </si>
  <si>
    <t>variations_frequency</t>
  </si>
  <si>
    <t>create_feat_chg</t>
  </si>
  <si>
    <t>MSCI ACWI</t>
  </si>
  <si>
    <t>MSCI EM</t>
  </si>
  <si>
    <t>MSCI EUR SMALL</t>
  </si>
  <si>
    <t>NIKKEI</t>
  </si>
  <si>
    <t>SP500</t>
  </si>
  <si>
    <t>MSCI EUR</t>
  </si>
  <si>
    <t>MSCI EMU</t>
  </si>
  <si>
    <t>NASDAQ COMP</t>
  </si>
  <si>
    <t>RUSSELL 2000</t>
  </si>
  <si>
    <t>Dividend Avg Percentile</t>
  </si>
  <si>
    <t>Value Avg Percentile</t>
  </si>
  <si>
    <t>Quality Avg Percentile</t>
  </si>
  <si>
    <t>Mom Avg Percentile</t>
  </si>
  <si>
    <t>LowVol Avg Percentile</t>
  </si>
  <si>
    <t>Growth Avg Percentile</t>
  </si>
  <si>
    <t>TTR_Fwd1M</t>
  </si>
  <si>
    <t>PMOM 12M1M</t>
  </si>
  <si>
    <t>EPS Med NTM 0</t>
  </si>
  <si>
    <t>EPS NTM 3M Growth</t>
  </si>
  <si>
    <t>EPS Revision Ratio</t>
  </si>
  <si>
    <t>PE LTM</t>
  </si>
  <si>
    <t>PE FY1</t>
  </si>
  <si>
    <t>PB LTM</t>
  </si>
  <si>
    <t>Price to Book FY1</t>
  </si>
  <si>
    <t>PTangibleBook LTM</t>
  </si>
  <si>
    <t>PB / PTangibleBook LTM</t>
  </si>
  <si>
    <t>PB / PTangibleBook NTM</t>
  </si>
  <si>
    <t>PFCF LTM</t>
  </si>
  <si>
    <t>Price to FreeCF FY1</t>
  </si>
  <si>
    <t>EV To EBITDA LTM</t>
  </si>
  <si>
    <t>EV To EBITDA FY1</t>
  </si>
  <si>
    <t>EV to Ebit FY1</t>
  </si>
  <si>
    <t>EV to Sales FY1</t>
  </si>
  <si>
    <t>EV to Sales LTM</t>
  </si>
  <si>
    <t>ROE avg FY0</t>
  </si>
  <si>
    <t>NetDebt to EBITDA exFIN</t>
  </si>
  <si>
    <t>Oper Margin</t>
  </si>
  <si>
    <t>Asset TO exFIN</t>
  </si>
  <si>
    <t>TIER1 Ratio FY0</t>
  </si>
  <si>
    <t>ROTE avg FY1</t>
  </si>
  <si>
    <t>DVD Yield FY0</t>
  </si>
  <si>
    <t>DVD Payout FY0</t>
  </si>
  <si>
    <t>DVD Yield FY1</t>
  </si>
  <si>
    <t>DPS 1Y Growth Forecast</t>
  </si>
  <si>
    <t>DPS FY1</t>
  </si>
  <si>
    <t>D_DPS TrendStab</t>
  </si>
  <si>
    <t>Earns Yield FY0</t>
  </si>
  <si>
    <t>Earns Yield FY1</t>
  </si>
  <si>
    <t>Sales Growth FY1</t>
  </si>
  <si>
    <t>Gross Income Growth FY1</t>
  </si>
  <si>
    <t>EPS Growth FY1</t>
  </si>
  <si>
    <t>5Y_Hist EPS TrendStab</t>
  </si>
  <si>
    <t>5Y_Hist GrossInc TrendStab</t>
  </si>
  <si>
    <t>5Y_Hist Sales TrendStab</t>
  </si>
  <si>
    <t>Daily Vol 60J</t>
  </si>
  <si>
    <t>Daily Vol 90J</t>
  </si>
  <si>
    <t>Daily Vol 260J</t>
  </si>
  <si>
    <t>split_date</t>
  </si>
  <si>
    <t>min_avail_features</t>
  </si>
  <si>
    <t>create_feature_change</t>
  </si>
  <si>
    <t>variations_freq</t>
  </si>
  <si>
    <t>subsample</t>
  </si>
  <si>
    <t>reg_lambda</t>
  </si>
  <si>
    <t>reg_alpha</t>
  </si>
  <si>
    <t>n_estimators</t>
  </si>
  <si>
    <t>min_child_weight</t>
  </si>
  <si>
    <t>max_depth</t>
  </si>
  <si>
    <t>learning_rate</t>
  </si>
  <si>
    <t>gamma</t>
  </si>
  <si>
    <t>colsample_bytree</t>
  </si>
  <si>
    <t>objective</t>
  </si>
  <si>
    <t>XGBoostOptimizer</t>
  </si>
  <si>
    <t>0.01;0.03;0.05</t>
  </si>
  <si>
    <t>0;0.1;0.2;0.3;0.4</t>
  </si>
  <si>
    <t>0.5;0.7;0.9</t>
  </si>
  <si>
    <t>500;600;700;800;900;1000</t>
  </si>
  <si>
    <t>1;3;5;7</t>
  </si>
  <si>
    <t>X_constraints</t>
  </si>
  <si>
    <t>sampling_method</t>
  </si>
  <si>
    <t>oversampling</t>
  </si>
  <si>
    <t>undersampling</t>
  </si>
  <si>
    <t>SMOTE</t>
  </si>
  <si>
    <t>ADASYN</t>
  </si>
  <si>
    <t>base</t>
  </si>
  <si>
    <t>df_features_path</t>
  </si>
  <si>
    <t>returns_horizon</t>
  </si>
  <si>
    <t>use_preprocessed_data</t>
  </si>
  <si>
    <t>classes</t>
  </si>
  <si>
    <t>fill_na_X</t>
  </si>
  <si>
    <t>bull;0-0.15</t>
  </si>
  <si>
    <t>bear;0.85-1</t>
  </si>
  <si>
    <t>neutre;0.15-0.85</t>
  </si>
  <si>
    <t>strat ML</t>
  </si>
  <si>
    <t>Preprocessing</t>
  </si>
  <si>
    <t>class_to_backtest</t>
  </si>
  <si>
    <t>bull</t>
  </si>
  <si>
    <t>bear</t>
  </si>
  <si>
    <t>Value Avg Percentile_change_1M</t>
  </si>
  <si>
    <t>Quality Avg Percentile_change_1M</t>
  </si>
  <si>
    <t>Growth Avg Percentile_change_1M</t>
  </si>
  <si>
    <t>Value Avg Percentile_change_3M</t>
  </si>
  <si>
    <t>Quality Avg Percentile_change_3M</t>
  </si>
  <si>
    <t>Growth Avg Percentile_change_3M</t>
  </si>
  <si>
    <t>Value Avg Percentile_change_6M</t>
  </si>
  <si>
    <t>Quality Avg Percentile_change_6M</t>
  </si>
  <si>
    <t>Growth Avg Percentile_change_6M</t>
  </si>
  <si>
    <t>Value Avg Percentile_change_12M</t>
  </si>
  <si>
    <t>Quality Avg Percentile_change_12M</t>
  </si>
  <si>
    <t>Growth Avg Percentile_change_12M</t>
  </si>
  <si>
    <t>XGBoost_3M</t>
  </si>
  <si>
    <t>XGBoost_6M</t>
  </si>
  <si>
    <t>XGBoost_12M</t>
  </si>
  <si>
    <t>XGBoost_1M</t>
  </si>
  <si>
    <t>XGBoostOpt_1M</t>
  </si>
  <si>
    <t>training_neutral</t>
  </si>
  <si>
    <t>training_filter</t>
  </si>
  <si>
    <t>Sector ICB19</t>
  </si>
  <si>
    <t>Sector ICB11</t>
  </si>
  <si>
    <t>Region</t>
  </si>
  <si>
    <t>rolling</t>
  </si>
  <si>
    <t>training_window_yr</t>
  </si>
  <si>
    <t>test_window_mth</t>
  </si>
  <si>
    <t>KNN Imputer</t>
  </si>
  <si>
    <t>obs_weight</t>
  </si>
  <si>
    <t>balanced</t>
  </si>
  <si>
    <t>info_ratio</t>
  </si>
  <si>
    <t>regression</t>
  </si>
  <si>
    <t>classification</t>
  </si>
  <si>
    <t>type_label</t>
  </si>
  <si>
    <t>True</t>
  </si>
  <si>
    <t>XGBoost1</t>
  </si>
  <si>
    <t>reg:squarederror</t>
  </si>
  <si>
    <t>XGBoost2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</si>
  <si>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</si>
  <si>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</si>
  <si>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</si>
  <si>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</si>
  <si>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</si>
  <si>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</si>
  <si>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</si>
  <si>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</si>
  <si>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Sector 9</t>
  </si>
  <si>
    <t>Sector 10</t>
  </si>
  <si>
    <t>Sector 11</t>
  </si>
  <si>
    <t>Sector 12</t>
  </si>
  <si>
    <t>Sector 13</t>
  </si>
  <si>
    <t>Sector 14</t>
  </si>
  <si>
    <t>Sector 15</t>
  </si>
  <si>
    <t>Sector 16</t>
  </si>
  <si>
    <t>Sector 17</t>
  </si>
  <si>
    <t>Sector 18</t>
  </si>
  <si>
    <t>Sector 19</t>
  </si>
  <si>
    <t>XGBoost_8</t>
  </si>
  <si>
    <t>XGBoost_new</t>
  </si>
  <si>
    <t>XGBoost_opt</t>
  </si>
  <si>
    <t>XGBoost_free</t>
  </si>
  <si>
    <t>XGBoost_growth</t>
  </si>
  <si>
    <t>2;3;4;5</t>
  </si>
  <si>
    <t>XGBoost_quality</t>
  </si>
  <si>
    <t>XGBoost_mom</t>
  </si>
  <si>
    <t>XGBoost_lowvol</t>
  </si>
  <si>
    <t>XGBoost_value</t>
  </si>
  <si>
    <t>XGBoost_dividend</t>
  </si>
  <si>
    <t>XGBoost_last</t>
  </si>
  <si>
    <t>preprocessing_prod</t>
  </si>
  <si>
    <t>XGBoost_prod</t>
  </si>
  <si>
    <t>\\groupe-ufg.com\Commun\Prive\GestionAM\Ingenierie_Financiere\PROD\_EQUITY\0_SCREEN_AGG\screen_aggregate.pkl</t>
  </si>
  <si>
    <t>\\groupe-ufg.com\Commun\Prive\GestionAM\Ingenierie_Financiere\PROD\_EQUITY\0_RETURNS\returns.pkl</t>
  </si>
  <si>
    <t>strat_ML</t>
  </si>
  <si>
    <t>item</t>
  </si>
  <si>
    <t>param</t>
  </si>
  <si>
    <t>Strat_Preprocessing</t>
  </si>
  <si>
    <t>\\groupe-ufg.com\Commun\Prive\GestionAM\Ingenierie_Financiere\PROD\_EQUITY\1_FACTEUR_ML\input_files\screen_ML_prod.pkl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</si>
</sst>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0" fontId="3" fillId="0" borderId="0" xfId="2" applyAlignment="1"/>
    <xf numFmtId="0" fontId="2" fillId="2" borderId="0" xfId="0" applyFont="1" applyFill="1" applyAlignment="1">
      <alignment horizontal="left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9" fontId="0" fillId="0" borderId="0" xfId="0" applyNumberFormat="1" applyAlignment="1">
      <alignment horizontal="center"/>
    </xf>
    <xf numFmtId="0" fontId="5" fillId="2" borderId="0" xfId="0" applyFont="1" applyFill="1" applyAlignment="1">
      <alignment horizontal="center"/>
    </xf>
    <xf numFmtId="20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</cellXfs>
  <cellStyles count="3">
    <cellStyle name="Lien hypertexte" xfId="2" builtinId="8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\\groupe-ufg.com\Commun\Prive\GestionAM\Ingenierie_Financiere\PROD\_EQUITY\1_FACTEUR_ML\input_files\screen_ML_prod.pkl" TargetMode="External"/><Relationship Id="rId2" Type="http://schemas.openxmlformats.org/officeDocument/2006/relationships/hyperlink" Target="../0_RETURNS/returns.pkl" TargetMode="External"/><Relationship Id="rId1" Type="http://schemas.openxmlformats.org/officeDocument/2006/relationships/hyperlink" Target="../0_SCREEN_AGG/screen_aggregate.pkl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U25"/>
  <sheetViews>
    <sheetView tabSelected="1" zoomScaleNormal="100" workbookViewId="0">
      <selection activeCell="B4" sqref="B4"/>
    </sheetView>
  </sheetViews>
  <sheetFormatPr baseColWidth="10" defaultColWidth="8.83984375" defaultRowHeight="14.4" x14ac:dyDescent="0.55000000000000004"/>
  <cols>
    <col min="1" max="1" width="20.578125" style="1" customWidth="1"/>
    <col min="2" max="2" width="20.15625" style="1" customWidth="1"/>
    <col min="3" max="3" width="15.41796875" style="1" bestFit="1" customWidth="1"/>
    <col min="4" max="4" width="13" style="1" customWidth="1"/>
    <col min="5" max="5" width="9.578125" style="1" customWidth="1"/>
    <col min="6" max="6" width="16.578125" style="1" bestFit="1" customWidth="1"/>
    <col min="7" max="7" width="9.15625" style="1" customWidth="1"/>
    <col min="8" max="8" width="8.15625" style="1" customWidth="1"/>
    <col min="9" max="9" width="8.578125" style="1" customWidth="1"/>
    <col min="10" max="11" width="10.68359375" style="1" bestFit="1" customWidth="1"/>
    <col min="12" max="12" width="9.83984375" style="1" customWidth="1"/>
    <col min="13" max="13" width="14.68359375" style="1" customWidth="1"/>
    <col min="14" max="14" width="14" style="1" customWidth="1"/>
    <col min="15" max="15" width="10.26171875" style="1" customWidth="1"/>
    <col min="16" max="16" width="10.41796875" style="1" customWidth="1"/>
    <col min="17" max="16384" width="8.83984375" style="1"/>
  </cols>
  <sheetData>
    <row r="1" spans="1:21" x14ac:dyDescent="0.55000000000000004">
      <c r="A1" s="19" t="s">
        <v>198</v>
      </c>
      <c r="B1" s="19" t="s">
        <v>199</v>
      </c>
    </row>
    <row r="2" spans="1:21" x14ac:dyDescent="0.55000000000000004">
      <c r="A2" s="5" t="s">
        <v>0</v>
      </c>
      <c r="B2" s="4" t="s">
        <v>195</v>
      </c>
    </row>
    <row r="3" spans="1:21" x14ac:dyDescent="0.55000000000000004">
      <c r="A3" s="5" t="s">
        <v>1</v>
      </c>
      <c r="B3" s="4" t="s">
        <v>196</v>
      </c>
    </row>
    <row r="4" spans="1:21" ht="14.65" customHeight="1" x14ac:dyDescent="0.55000000000000004">
      <c r="A4" s="5" t="s">
        <v>113</v>
      </c>
      <c r="B4" s="4" t="s">
        <v>201</v>
      </c>
    </row>
    <row r="5" spans="1:21" x14ac:dyDescent="0.55000000000000004">
      <c r="A5" s="5" t="s">
        <v>115</v>
      </c>
      <c r="B5" s="10" t="s">
        <v>158</v>
      </c>
    </row>
    <row r="6" spans="1:21" x14ac:dyDescent="0.55000000000000004">
      <c r="A6" s="5" t="s">
        <v>2</v>
      </c>
      <c r="B6" t="s">
        <v>8</v>
      </c>
    </row>
    <row r="7" spans="1:21" x14ac:dyDescent="0.55000000000000004">
      <c r="A7" s="6" t="s">
        <v>122</v>
      </c>
      <c r="B7" s="10" t="s">
        <v>193</v>
      </c>
    </row>
    <row r="8" spans="1:21" s="3" customFormat="1" x14ac:dyDescent="0.55000000000000004">
      <c r="A8" s="6" t="s">
        <v>121</v>
      </c>
      <c r="B8" s="10" t="s">
        <v>194</v>
      </c>
      <c r="N8" s="1"/>
      <c r="O8" s="1"/>
      <c r="P8" s="1"/>
      <c r="Q8" s="1"/>
      <c r="R8" s="1"/>
      <c r="S8" s="1"/>
      <c r="T8" s="1"/>
      <c r="U8" s="1"/>
    </row>
    <row r="9" spans="1:21" s="7" customFormat="1" x14ac:dyDescent="0.55000000000000004">
      <c r="N9" s="1"/>
      <c r="O9" s="1"/>
      <c r="P9" s="1"/>
      <c r="Q9" s="1"/>
      <c r="R9" s="1"/>
      <c r="S9" s="1"/>
      <c r="T9" s="1"/>
      <c r="U9" s="1"/>
    </row>
    <row r="10" spans="1:21" x14ac:dyDescent="0.55000000000000004">
      <c r="A10" s="7"/>
    </row>
    <row r="11" spans="1:21" x14ac:dyDescent="0.55000000000000004">
      <c r="A11" s="7"/>
    </row>
    <row r="12" spans="1:21" x14ac:dyDescent="0.55000000000000004">
      <c r="A12" s="7"/>
      <c r="G12" s="11"/>
    </row>
    <row r="13" spans="1:21" x14ac:dyDescent="0.55000000000000004">
      <c r="A13" s="7"/>
      <c r="E13" s="13"/>
      <c r="G13" s="11"/>
    </row>
    <row r="17" spans="7:8" x14ac:dyDescent="0.55000000000000004">
      <c r="H17" s="13"/>
    </row>
    <row r="25" spans="7:8" x14ac:dyDescent="0.55000000000000004">
      <c r="G25" s="7"/>
    </row>
  </sheetData>
  <phoneticPr fontId="4" type="noConversion"/>
  <hyperlinks>
    <hyperlink ref="B2" r:id="rId1" xr:uid="{FFEA1A9F-526B-4E91-8532-908882093C8F}"/>
    <hyperlink ref="B3" r:id="rId2" xr:uid="{467EED3A-38A6-411C-B018-CFF010C20100}"/>
    <hyperlink ref="B4" r:id="rId3" xr:uid="{06E2448D-2D3F-4139-B2C1-4FEEF4FA58EC}"/>
  </hyperlinks>
  <pageMargins left="0.7" right="0.7" top="0.75" bottom="0.75" header="0.3" footer="0.3"/>
  <pageSetup paperSize="9" orientation="portrait"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DC55FD-8220-4061-9174-1532289D3809}">
          <x14:formula1>
            <xm:f>List_parameters!$F$2:$F$11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AFB5-5A63-4721-8DA4-D40ED45AAF98}">
  <sheetPr codeName="Feuil2"/>
  <dimension ref="A1:PH38"/>
  <sheetViews>
    <sheetView topLeftCell="OG1" zoomScaleNormal="100" workbookViewId="0">
      <selection activeCell="OL2" sqref="OL2"/>
    </sheetView>
  </sheetViews>
  <sheetFormatPr baseColWidth="10" defaultColWidth="11.41796875" defaultRowHeight="14.4" x14ac:dyDescent="0.55000000000000004"/>
  <cols>
    <col min="1" max="3" width="11.41796875" style="1"/>
    <col min="4" max="4" width="22.578125" style="1" bestFit="1" customWidth="1"/>
    <col min="5" max="5" width="7.41796875" style="1" bestFit="1" customWidth="1"/>
    <col min="6" max="6" width="11.68359375" style="1" bestFit="1" customWidth="1"/>
    <col min="7" max="7" width="9" style="1" customWidth="1"/>
    <col min="8" max="8" width="15.41796875" style="1" bestFit="1" customWidth="1"/>
    <col min="9" max="9" width="8" style="1" customWidth="1"/>
    <col min="10" max="10" width="9" style="1" bestFit="1" customWidth="1"/>
    <col min="11" max="11" width="13.578125" style="1" customWidth="1"/>
    <col min="12" max="12" width="9.41796875" style="1" customWidth="1"/>
    <col min="13" max="14" width="11.41796875" style="1"/>
    <col min="15" max="15" width="9.41796875" style="1" bestFit="1" customWidth="1"/>
    <col min="16" max="17" width="11.41796875" style="1"/>
    <col min="18" max="19" width="10.26171875" style="1" customWidth="1"/>
    <col min="20" max="20" width="11.41796875" style="1"/>
    <col min="21" max="21" width="9.15625" style="1" customWidth="1"/>
    <col min="22" max="22" width="8.68359375" style="1" customWidth="1"/>
    <col min="23" max="23" width="10.68359375" style="1" customWidth="1"/>
    <col min="24" max="24" width="12.15625" style="1" customWidth="1"/>
    <col min="25" max="25" width="12.15625" style="18" customWidth="1"/>
    <col min="26" max="26" width="25.41796875" style="1" customWidth="1"/>
    <col min="27" max="27" width="17.83984375" style="1" bestFit="1" customWidth="1"/>
    <col min="28" max="28" width="17.83984375" style="1" customWidth="1"/>
    <col min="29" max="29" width="33.578125" style="1" bestFit="1" customWidth="1"/>
    <col min="30" max="30" width="7.41796875" style="1" bestFit="1" customWidth="1"/>
    <col min="31" max="32" width="11.41796875" style="1"/>
    <col min="33" max="33" width="15.41796875" style="1" bestFit="1" customWidth="1"/>
    <col min="34" max="34" width="11.41796875" style="1"/>
    <col min="35" max="35" width="9" style="1" bestFit="1" customWidth="1"/>
    <col min="36" max="36" width="13.578125" style="1" customWidth="1"/>
    <col min="37" max="39" width="11.41796875" style="1"/>
    <col min="40" max="40" width="10.15625" style="1" bestFit="1" customWidth="1"/>
    <col min="41" max="46" width="11.41796875" style="1"/>
    <col min="47" max="47" width="8.68359375" style="1" customWidth="1"/>
    <col min="48" max="49" width="11.41796875" style="1"/>
    <col min="50" max="50" width="12.15625" style="18" customWidth="1"/>
    <col min="51" max="55" width="11.41796875" style="1"/>
    <col min="56" max="56" width="11.41796875" style="1" customWidth="1"/>
    <col min="57" max="59" width="11.41796875" style="1"/>
    <col min="60" max="60" width="9" style="1" bestFit="1" customWidth="1"/>
    <col min="61" max="61" width="13.578125" style="1" customWidth="1"/>
    <col min="62" max="64" width="11.41796875" style="1"/>
    <col min="65" max="65" width="10.15625" style="1" bestFit="1" customWidth="1"/>
    <col min="66" max="74" width="11.41796875" style="1"/>
    <col min="75" max="75" width="12.15625" style="18" customWidth="1"/>
    <col min="76" max="84" width="11.41796875" style="1"/>
    <col min="85" max="85" width="9" style="1" bestFit="1" customWidth="1"/>
    <col min="86" max="86" width="13.578125" style="1" customWidth="1"/>
    <col min="87" max="89" width="11.41796875" style="1"/>
    <col min="90" max="90" width="10.15625" style="1" bestFit="1" customWidth="1"/>
    <col min="91" max="99" width="11.41796875" style="1"/>
    <col min="100" max="100" width="12.15625" style="18" customWidth="1"/>
    <col min="101" max="109" width="11.41796875" style="1"/>
    <col min="110" max="110" width="9" style="1" bestFit="1" customWidth="1"/>
    <col min="111" max="111" width="13.578125" style="1" customWidth="1"/>
    <col min="112" max="114" width="11.41796875" style="1"/>
    <col min="115" max="115" width="10.15625" style="1" bestFit="1" customWidth="1"/>
    <col min="116" max="124" width="11.41796875" style="1"/>
    <col min="125" max="125" width="12.15625" style="18" customWidth="1"/>
    <col min="126" max="126" width="11.41796875" style="1"/>
    <col min="127" max="127" width="15.41796875" style="1" bestFit="1" customWidth="1"/>
    <col min="128" max="128" width="9.26171875" style="1" bestFit="1" customWidth="1"/>
    <col min="129" max="129" width="29.83984375" style="1" bestFit="1" customWidth="1"/>
    <col min="130" max="134" width="11.41796875" style="1"/>
    <col min="135" max="135" width="9" style="1" bestFit="1" customWidth="1"/>
    <col min="136" max="136" width="13.578125" style="1" customWidth="1"/>
    <col min="137" max="139" width="11.41796875" style="1"/>
    <col min="140" max="140" width="10.15625" style="1" bestFit="1" customWidth="1"/>
    <col min="141" max="149" width="11.41796875" style="1"/>
    <col min="150" max="150" width="12.15625" style="18" customWidth="1"/>
    <col min="151" max="174" width="11.41796875" style="1"/>
    <col min="175" max="175" width="12.15625" style="18" customWidth="1"/>
    <col min="176" max="199" width="11.41796875" style="1"/>
    <col min="200" max="200" width="12.15625" style="18" customWidth="1"/>
    <col min="201" max="203" width="11.41796875" style="1"/>
    <col min="204" max="204" width="29.83984375" style="1" bestFit="1" customWidth="1"/>
    <col min="205" max="224" width="11.41796875" style="1"/>
    <col min="225" max="225" width="12.15625" style="18" customWidth="1"/>
    <col min="226" max="226" width="11.41796875" style="1"/>
    <col min="227" max="227" width="15.41796875" style="1" bestFit="1" customWidth="1"/>
    <col min="228" max="228" width="11.41796875" style="1"/>
    <col min="229" max="229" width="22.578125" style="1" bestFit="1" customWidth="1"/>
    <col min="230" max="249" width="11.41796875" style="1"/>
    <col min="250" max="250" width="12.15625" style="18" customWidth="1"/>
    <col min="251" max="251" width="11.41796875" style="1"/>
    <col min="252" max="252" width="15.41796875" style="1" bestFit="1" customWidth="1"/>
    <col min="253" max="253" width="11.41796875" style="1"/>
    <col min="254" max="254" width="22.578125" style="1" bestFit="1" customWidth="1"/>
    <col min="255" max="274" width="11.41796875" style="1"/>
    <col min="275" max="275" width="12.15625" style="18" customWidth="1"/>
    <col min="276" max="278" width="11.41796875" style="1"/>
    <col min="279" max="279" width="17.41796875" style="1" bestFit="1" customWidth="1"/>
    <col min="280" max="299" width="11.41796875" style="1"/>
    <col min="300" max="300" width="12.15625" style="18" customWidth="1"/>
    <col min="301" max="303" width="11.41796875" style="1"/>
    <col min="304" max="304" width="15" style="1" bestFit="1" customWidth="1"/>
    <col min="305" max="324" width="11.41796875" style="1"/>
    <col min="325" max="325" width="12.15625" style="18" customWidth="1"/>
    <col min="326" max="326" width="11.41796875" style="1"/>
    <col min="327" max="327" width="15.41796875" style="1" bestFit="1" customWidth="1"/>
    <col min="328" max="328" width="11.41796875" style="1"/>
    <col min="329" max="329" width="20.41796875" style="1" bestFit="1" customWidth="1"/>
    <col min="330" max="349" width="11.41796875" style="1"/>
    <col min="350" max="350" width="12.15625" style="18" customWidth="1"/>
    <col min="351" max="353" width="11.41796875" style="1"/>
    <col min="354" max="354" width="19.83984375" style="1" bestFit="1" customWidth="1"/>
    <col min="355" max="374" width="11.41796875" style="1"/>
    <col min="375" max="375" width="12.15625" style="18" customWidth="1"/>
    <col min="376" max="378" width="11.41796875" style="1"/>
    <col min="379" max="379" width="29.83984375" style="1" bestFit="1" customWidth="1"/>
    <col min="380" max="382" width="11.41796875" style="1"/>
    <col min="383" max="383" width="14" style="1" bestFit="1" customWidth="1"/>
    <col min="384" max="385" width="11.41796875" style="1"/>
    <col min="386" max="386" width="12.15625" style="1" customWidth="1"/>
    <col min="387" max="399" width="11.41796875" style="1"/>
    <col min="400" max="400" width="12.15625" style="18" customWidth="1"/>
    <col min="401" max="401" width="14.578125" style="1" customWidth="1"/>
    <col min="402" max="411" width="11.41796875" style="1"/>
    <col min="412" max="412" width="16" style="1" customWidth="1"/>
    <col min="413" max="416" width="11.41796875" style="1"/>
    <col min="417" max="417" width="15.62890625" style="1" customWidth="1"/>
    <col min="418" max="16384" width="11.41796875" style="1"/>
  </cols>
  <sheetData>
    <row r="1" spans="1:424" ht="28.8" x14ac:dyDescent="0.55000000000000004">
      <c r="A1" s="6" t="s">
        <v>197</v>
      </c>
      <c r="B1" s="6" t="s">
        <v>3</v>
      </c>
      <c r="C1" s="6" t="s">
        <v>157</v>
      </c>
      <c r="D1" s="6" t="s">
        <v>5</v>
      </c>
      <c r="E1" s="6" t="s">
        <v>6</v>
      </c>
      <c r="F1" s="6" t="s">
        <v>106</v>
      </c>
      <c r="G1" s="6" t="s">
        <v>107</v>
      </c>
      <c r="H1" s="6" t="s">
        <v>116</v>
      </c>
      <c r="I1" s="6" t="s">
        <v>9</v>
      </c>
      <c r="J1" s="6" t="s">
        <v>143</v>
      </c>
      <c r="K1" s="6" t="s">
        <v>144</v>
      </c>
      <c r="L1" s="6" t="s">
        <v>12</v>
      </c>
      <c r="M1" s="6" t="s">
        <v>86</v>
      </c>
      <c r="N1" s="6" t="s">
        <v>148</v>
      </c>
      <c r="O1" s="6" t="s">
        <v>149</v>
      </c>
      <c r="P1" s="6" t="s">
        <v>150</v>
      </c>
      <c r="Q1" s="6" t="s">
        <v>87</v>
      </c>
      <c r="R1" s="6" t="s">
        <v>117</v>
      </c>
      <c r="S1" s="6" t="s">
        <v>152</v>
      </c>
      <c r="T1" s="6" t="s">
        <v>88</v>
      </c>
      <c r="U1" s="6" t="s">
        <v>89</v>
      </c>
      <c r="V1" s="6" t="s">
        <v>123</v>
      </c>
      <c r="W1" s="6" t="s">
        <v>20</v>
      </c>
      <c r="X1" s="6" t="s">
        <v>21</v>
      </c>
      <c r="Y1" s="16"/>
      <c r="Z1" s="6" t="s">
        <v>197</v>
      </c>
      <c r="AA1" s="6" t="s">
        <v>3</v>
      </c>
      <c r="AB1" s="6" t="s">
        <v>157</v>
      </c>
      <c r="AC1" s="6" t="s">
        <v>5</v>
      </c>
      <c r="AD1" s="6" t="s">
        <v>6</v>
      </c>
      <c r="AE1" s="6" t="s">
        <v>106</v>
      </c>
      <c r="AF1" s="6" t="s">
        <v>107</v>
      </c>
      <c r="AG1" s="6" t="s">
        <v>116</v>
      </c>
      <c r="AH1" s="6" t="s">
        <v>9</v>
      </c>
      <c r="AI1" s="6" t="s">
        <v>143</v>
      </c>
      <c r="AJ1" s="6" t="s">
        <v>144</v>
      </c>
      <c r="AK1" s="6" t="s">
        <v>12</v>
      </c>
      <c r="AL1" s="6" t="s">
        <v>86</v>
      </c>
      <c r="AM1" s="6" t="s">
        <v>148</v>
      </c>
      <c r="AN1" s="6" t="s">
        <v>149</v>
      </c>
      <c r="AO1" s="6" t="s">
        <v>150</v>
      </c>
      <c r="AP1" s="6" t="s">
        <v>87</v>
      </c>
      <c r="AQ1" s="6" t="s">
        <v>117</v>
      </c>
      <c r="AR1" s="6" t="s">
        <v>152</v>
      </c>
      <c r="AS1" s="6" t="s">
        <v>88</v>
      </c>
      <c r="AT1" s="6" t="s">
        <v>89</v>
      </c>
      <c r="AU1" s="6" t="s">
        <v>123</v>
      </c>
      <c r="AV1" s="6" t="s">
        <v>20</v>
      </c>
      <c r="AW1" s="6" t="s">
        <v>21</v>
      </c>
      <c r="AX1" s="16"/>
      <c r="AY1" s="6" t="s">
        <v>197</v>
      </c>
      <c r="AZ1" s="6" t="s">
        <v>3</v>
      </c>
      <c r="BA1" s="6" t="s">
        <v>157</v>
      </c>
      <c r="BB1" s="6" t="s">
        <v>5</v>
      </c>
      <c r="BC1" s="6" t="s">
        <v>6</v>
      </c>
      <c r="BD1" s="6" t="s">
        <v>106</v>
      </c>
      <c r="BE1" s="6" t="s">
        <v>107</v>
      </c>
      <c r="BF1" s="6" t="s">
        <v>116</v>
      </c>
      <c r="BG1" s="6" t="s">
        <v>9</v>
      </c>
      <c r="BH1" s="6" t="s">
        <v>143</v>
      </c>
      <c r="BI1" s="6" t="s">
        <v>144</v>
      </c>
      <c r="BJ1" s="6" t="s">
        <v>12</v>
      </c>
      <c r="BK1" s="6" t="s">
        <v>86</v>
      </c>
      <c r="BL1" s="6" t="s">
        <v>148</v>
      </c>
      <c r="BM1" s="6" t="s">
        <v>149</v>
      </c>
      <c r="BN1" s="6" t="s">
        <v>150</v>
      </c>
      <c r="BO1" s="6" t="s">
        <v>87</v>
      </c>
      <c r="BP1" s="6" t="s">
        <v>117</v>
      </c>
      <c r="BQ1" s="6" t="s">
        <v>152</v>
      </c>
      <c r="BR1" s="6" t="s">
        <v>88</v>
      </c>
      <c r="BS1" s="6" t="s">
        <v>89</v>
      </c>
      <c r="BT1" s="6" t="s">
        <v>123</v>
      </c>
      <c r="BU1" s="6" t="s">
        <v>20</v>
      </c>
      <c r="BV1" s="6" t="s">
        <v>21</v>
      </c>
      <c r="BW1" s="16"/>
      <c r="BX1" s="6" t="s">
        <v>197</v>
      </c>
      <c r="BY1" s="6" t="s">
        <v>3</v>
      </c>
      <c r="BZ1" s="6" t="s">
        <v>157</v>
      </c>
      <c r="CA1" s="6" t="s">
        <v>5</v>
      </c>
      <c r="CB1" s="6" t="s">
        <v>6</v>
      </c>
      <c r="CC1" s="6" t="s">
        <v>106</v>
      </c>
      <c r="CD1" s="6" t="s">
        <v>107</v>
      </c>
      <c r="CE1" s="6" t="s">
        <v>116</v>
      </c>
      <c r="CF1" s="6" t="s">
        <v>9</v>
      </c>
      <c r="CG1" s="6" t="s">
        <v>143</v>
      </c>
      <c r="CH1" s="6" t="s">
        <v>144</v>
      </c>
      <c r="CI1" s="6" t="s">
        <v>12</v>
      </c>
      <c r="CJ1" s="6" t="s">
        <v>86</v>
      </c>
      <c r="CK1" s="6" t="s">
        <v>148</v>
      </c>
      <c r="CL1" s="6" t="s">
        <v>149</v>
      </c>
      <c r="CM1" s="6" t="s">
        <v>150</v>
      </c>
      <c r="CN1" s="6" t="s">
        <v>87</v>
      </c>
      <c r="CO1" s="6" t="s">
        <v>117</v>
      </c>
      <c r="CP1" s="6" t="s">
        <v>152</v>
      </c>
      <c r="CQ1" s="6" t="s">
        <v>88</v>
      </c>
      <c r="CR1" s="6" t="s">
        <v>89</v>
      </c>
      <c r="CS1" s="6" t="s">
        <v>123</v>
      </c>
      <c r="CT1" s="6" t="s">
        <v>20</v>
      </c>
      <c r="CU1" s="6" t="s">
        <v>21</v>
      </c>
      <c r="CV1" s="16"/>
      <c r="CW1" s="6" t="s">
        <v>197</v>
      </c>
      <c r="CX1" s="6" t="s">
        <v>3</v>
      </c>
      <c r="CY1" s="6" t="s">
        <v>157</v>
      </c>
      <c r="CZ1" s="6" t="s">
        <v>5</v>
      </c>
      <c r="DA1" s="6" t="s">
        <v>6</v>
      </c>
      <c r="DB1" s="6" t="s">
        <v>106</v>
      </c>
      <c r="DC1" s="6" t="s">
        <v>107</v>
      </c>
      <c r="DD1" s="6" t="s">
        <v>116</v>
      </c>
      <c r="DE1" s="6" t="s">
        <v>9</v>
      </c>
      <c r="DF1" s="6" t="s">
        <v>143</v>
      </c>
      <c r="DG1" s="6" t="s">
        <v>144</v>
      </c>
      <c r="DH1" s="6" t="s">
        <v>12</v>
      </c>
      <c r="DI1" s="6" t="s">
        <v>86</v>
      </c>
      <c r="DJ1" s="6" t="s">
        <v>148</v>
      </c>
      <c r="DK1" s="6" t="s">
        <v>149</v>
      </c>
      <c r="DL1" s="6" t="s">
        <v>150</v>
      </c>
      <c r="DM1" s="6" t="s">
        <v>87</v>
      </c>
      <c r="DN1" s="6" t="s">
        <v>117</v>
      </c>
      <c r="DO1" s="6" t="s">
        <v>152</v>
      </c>
      <c r="DP1" s="6" t="s">
        <v>88</v>
      </c>
      <c r="DQ1" s="6" t="s">
        <v>89</v>
      </c>
      <c r="DR1" s="6" t="s">
        <v>123</v>
      </c>
      <c r="DS1" s="6" t="s">
        <v>20</v>
      </c>
      <c r="DT1" s="6" t="s">
        <v>21</v>
      </c>
      <c r="DU1" s="16"/>
      <c r="DV1" s="6" t="s">
        <v>197</v>
      </c>
      <c r="DW1" s="6" t="s">
        <v>3</v>
      </c>
      <c r="DX1" s="6" t="s">
        <v>157</v>
      </c>
      <c r="DY1" s="6" t="s">
        <v>5</v>
      </c>
      <c r="DZ1" s="6" t="s">
        <v>6</v>
      </c>
      <c r="EA1" s="6" t="s">
        <v>106</v>
      </c>
      <c r="EB1" s="6" t="s">
        <v>107</v>
      </c>
      <c r="EC1" s="6" t="s">
        <v>116</v>
      </c>
      <c r="ED1" s="6" t="s">
        <v>9</v>
      </c>
      <c r="EE1" s="6" t="s">
        <v>143</v>
      </c>
      <c r="EF1" s="6" t="s">
        <v>144</v>
      </c>
      <c r="EG1" s="6" t="s">
        <v>12</v>
      </c>
      <c r="EH1" s="6" t="s">
        <v>86</v>
      </c>
      <c r="EI1" s="6" t="s">
        <v>148</v>
      </c>
      <c r="EJ1" s="6" t="s">
        <v>149</v>
      </c>
      <c r="EK1" s="6" t="s">
        <v>150</v>
      </c>
      <c r="EL1" s="6" t="s">
        <v>87</v>
      </c>
      <c r="EM1" s="6" t="s">
        <v>117</v>
      </c>
      <c r="EN1" s="6" t="s">
        <v>152</v>
      </c>
      <c r="EO1" s="6" t="s">
        <v>88</v>
      </c>
      <c r="EP1" s="6" t="s">
        <v>89</v>
      </c>
      <c r="EQ1" s="6" t="s">
        <v>123</v>
      </c>
      <c r="ER1" s="6" t="s">
        <v>20</v>
      </c>
      <c r="ES1" s="6" t="s">
        <v>21</v>
      </c>
      <c r="ET1" s="16"/>
      <c r="EU1" s="6" t="s">
        <v>197</v>
      </c>
      <c r="EV1" s="6" t="s">
        <v>3</v>
      </c>
      <c r="EW1" s="6" t="s">
        <v>157</v>
      </c>
      <c r="EX1" s="6" t="s">
        <v>5</v>
      </c>
      <c r="EY1" s="6" t="s">
        <v>6</v>
      </c>
      <c r="EZ1" s="6" t="s">
        <v>106</v>
      </c>
      <c r="FA1" s="6" t="s">
        <v>107</v>
      </c>
      <c r="FB1" s="6" t="s">
        <v>116</v>
      </c>
      <c r="FC1" s="6" t="s">
        <v>9</v>
      </c>
      <c r="FD1" s="6" t="s">
        <v>143</v>
      </c>
      <c r="FE1" s="6" t="s">
        <v>144</v>
      </c>
      <c r="FF1" s="6" t="s">
        <v>12</v>
      </c>
      <c r="FG1" s="6" t="s">
        <v>86</v>
      </c>
      <c r="FH1" s="6" t="s">
        <v>148</v>
      </c>
      <c r="FI1" s="6" t="s">
        <v>149</v>
      </c>
      <c r="FJ1" s="6" t="s">
        <v>150</v>
      </c>
      <c r="FK1" s="6" t="s">
        <v>87</v>
      </c>
      <c r="FL1" s="6" t="s">
        <v>117</v>
      </c>
      <c r="FM1" s="6" t="s">
        <v>152</v>
      </c>
      <c r="FN1" s="6" t="s">
        <v>88</v>
      </c>
      <c r="FO1" s="6" t="s">
        <v>89</v>
      </c>
      <c r="FP1" s="6" t="s">
        <v>123</v>
      </c>
      <c r="FQ1" s="6" t="s">
        <v>20</v>
      </c>
      <c r="FR1" s="6" t="s">
        <v>21</v>
      </c>
      <c r="FS1" s="16"/>
      <c r="FT1" s="6" t="s">
        <v>197</v>
      </c>
      <c r="FU1" s="6" t="s">
        <v>3</v>
      </c>
      <c r="FV1" s="6" t="s">
        <v>157</v>
      </c>
      <c r="FW1" s="6" t="s">
        <v>5</v>
      </c>
      <c r="FX1" s="6" t="s">
        <v>6</v>
      </c>
      <c r="FY1" s="6" t="s">
        <v>106</v>
      </c>
      <c r="FZ1" s="6" t="s">
        <v>107</v>
      </c>
      <c r="GA1" s="6" t="s">
        <v>116</v>
      </c>
      <c r="GB1" s="6" t="s">
        <v>9</v>
      </c>
      <c r="GC1" s="6" t="s">
        <v>143</v>
      </c>
      <c r="GD1" s="6" t="s">
        <v>144</v>
      </c>
      <c r="GE1" s="6" t="s">
        <v>12</v>
      </c>
      <c r="GF1" s="6" t="s">
        <v>86</v>
      </c>
      <c r="GG1" s="6" t="s">
        <v>148</v>
      </c>
      <c r="GH1" s="6" t="s">
        <v>149</v>
      </c>
      <c r="GI1" s="6" t="s">
        <v>150</v>
      </c>
      <c r="GJ1" s="6" t="s">
        <v>87</v>
      </c>
      <c r="GK1" s="6" t="s">
        <v>117</v>
      </c>
      <c r="GL1" s="6" t="s">
        <v>152</v>
      </c>
      <c r="GM1" s="6" t="s">
        <v>88</v>
      </c>
      <c r="GN1" s="6" t="s">
        <v>89</v>
      </c>
      <c r="GO1" s="6" t="s">
        <v>123</v>
      </c>
      <c r="GP1" s="6" t="s">
        <v>20</v>
      </c>
      <c r="GQ1" s="6" t="s">
        <v>21</v>
      </c>
      <c r="GR1" s="16"/>
      <c r="GS1" s="6" t="s">
        <v>197</v>
      </c>
      <c r="GT1" s="6" t="s">
        <v>3</v>
      </c>
      <c r="GU1" s="6" t="s">
        <v>157</v>
      </c>
      <c r="GV1" s="6" t="s">
        <v>5</v>
      </c>
      <c r="GW1" s="6" t="s">
        <v>6</v>
      </c>
      <c r="GX1" s="6" t="s">
        <v>106</v>
      </c>
      <c r="GY1" s="6" t="s">
        <v>107</v>
      </c>
      <c r="GZ1" s="6" t="s">
        <v>116</v>
      </c>
      <c r="HA1" s="6" t="s">
        <v>9</v>
      </c>
      <c r="HB1" s="6" t="s">
        <v>143</v>
      </c>
      <c r="HC1" s="6" t="s">
        <v>144</v>
      </c>
      <c r="HD1" s="6" t="s">
        <v>12</v>
      </c>
      <c r="HE1" s="6" t="s">
        <v>86</v>
      </c>
      <c r="HF1" s="6" t="s">
        <v>148</v>
      </c>
      <c r="HG1" s="6" t="s">
        <v>149</v>
      </c>
      <c r="HH1" s="6" t="s">
        <v>150</v>
      </c>
      <c r="HI1" s="6" t="s">
        <v>87</v>
      </c>
      <c r="HJ1" s="6" t="s">
        <v>117</v>
      </c>
      <c r="HK1" s="6" t="s">
        <v>152</v>
      </c>
      <c r="HL1" s="6" t="s">
        <v>88</v>
      </c>
      <c r="HM1" s="6" t="s">
        <v>89</v>
      </c>
      <c r="HN1" s="6" t="s">
        <v>123</v>
      </c>
      <c r="HO1" s="6" t="s">
        <v>20</v>
      </c>
      <c r="HP1" s="6" t="s">
        <v>21</v>
      </c>
      <c r="HQ1" s="16"/>
      <c r="HR1" s="6" t="s">
        <v>197</v>
      </c>
      <c r="HS1" s="6" t="s">
        <v>3</v>
      </c>
      <c r="HT1" s="6" t="s">
        <v>157</v>
      </c>
      <c r="HU1" s="6" t="s">
        <v>5</v>
      </c>
      <c r="HV1" s="6" t="s">
        <v>6</v>
      </c>
      <c r="HW1" s="6" t="s">
        <v>106</v>
      </c>
      <c r="HX1" s="6" t="s">
        <v>107</v>
      </c>
      <c r="HY1" s="6" t="s">
        <v>116</v>
      </c>
      <c r="HZ1" s="6" t="s">
        <v>9</v>
      </c>
      <c r="IA1" s="6" t="s">
        <v>143</v>
      </c>
      <c r="IB1" s="6" t="s">
        <v>144</v>
      </c>
      <c r="IC1" s="6" t="s">
        <v>12</v>
      </c>
      <c r="ID1" s="6" t="s">
        <v>86</v>
      </c>
      <c r="IE1" s="6" t="s">
        <v>148</v>
      </c>
      <c r="IF1" s="6" t="s">
        <v>149</v>
      </c>
      <c r="IG1" s="6" t="s">
        <v>150</v>
      </c>
      <c r="IH1" s="6" t="s">
        <v>87</v>
      </c>
      <c r="II1" s="6" t="s">
        <v>117</v>
      </c>
      <c r="IJ1" s="6" t="s">
        <v>152</v>
      </c>
      <c r="IK1" s="6" t="s">
        <v>88</v>
      </c>
      <c r="IL1" s="6" t="s">
        <v>89</v>
      </c>
      <c r="IM1" s="6" t="s">
        <v>123</v>
      </c>
      <c r="IN1" s="6" t="s">
        <v>20</v>
      </c>
      <c r="IO1" s="6" t="s">
        <v>21</v>
      </c>
      <c r="IP1" s="16"/>
      <c r="IQ1" s="6" t="s">
        <v>197</v>
      </c>
      <c r="IR1" s="6" t="s">
        <v>3</v>
      </c>
      <c r="IS1" s="6" t="s">
        <v>157</v>
      </c>
      <c r="IT1" s="6" t="s">
        <v>5</v>
      </c>
      <c r="IU1" s="6" t="s">
        <v>6</v>
      </c>
      <c r="IV1" s="6" t="s">
        <v>106</v>
      </c>
      <c r="IW1" s="6" t="s">
        <v>107</v>
      </c>
      <c r="IX1" s="6" t="s">
        <v>116</v>
      </c>
      <c r="IY1" s="6" t="s">
        <v>9</v>
      </c>
      <c r="IZ1" s="6" t="s">
        <v>143</v>
      </c>
      <c r="JA1" s="6" t="s">
        <v>144</v>
      </c>
      <c r="JB1" s="6" t="s">
        <v>12</v>
      </c>
      <c r="JC1" s="6" t="s">
        <v>86</v>
      </c>
      <c r="JD1" s="6" t="s">
        <v>148</v>
      </c>
      <c r="JE1" s="6" t="s">
        <v>149</v>
      </c>
      <c r="JF1" s="6" t="s">
        <v>150</v>
      </c>
      <c r="JG1" s="6" t="s">
        <v>87</v>
      </c>
      <c r="JH1" s="6" t="s">
        <v>117</v>
      </c>
      <c r="JI1" s="6" t="s">
        <v>152</v>
      </c>
      <c r="JJ1" s="6" t="s">
        <v>88</v>
      </c>
      <c r="JK1" s="6" t="s">
        <v>89</v>
      </c>
      <c r="JL1" s="6" t="s">
        <v>123</v>
      </c>
      <c r="JM1" s="6" t="s">
        <v>20</v>
      </c>
      <c r="JN1" s="6" t="s">
        <v>21</v>
      </c>
      <c r="JO1" s="16"/>
      <c r="JP1" s="6" t="s">
        <v>197</v>
      </c>
      <c r="JQ1" s="6" t="s">
        <v>3</v>
      </c>
      <c r="JR1" s="6" t="s">
        <v>157</v>
      </c>
      <c r="JS1" s="6" t="s">
        <v>5</v>
      </c>
      <c r="JT1" s="6" t="s">
        <v>6</v>
      </c>
      <c r="JU1" s="6" t="s">
        <v>106</v>
      </c>
      <c r="JV1" s="6" t="s">
        <v>107</v>
      </c>
      <c r="JW1" s="6" t="s">
        <v>116</v>
      </c>
      <c r="JX1" s="6" t="s">
        <v>9</v>
      </c>
      <c r="JY1" s="6" t="s">
        <v>143</v>
      </c>
      <c r="JZ1" s="6" t="s">
        <v>144</v>
      </c>
      <c r="KA1" s="6" t="s">
        <v>12</v>
      </c>
      <c r="KB1" s="6" t="s">
        <v>86</v>
      </c>
      <c r="KC1" s="6" t="s">
        <v>148</v>
      </c>
      <c r="KD1" s="6" t="s">
        <v>149</v>
      </c>
      <c r="KE1" s="6" t="s">
        <v>150</v>
      </c>
      <c r="KF1" s="6" t="s">
        <v>87</v>
      </c>
      <c r="KG1" s="6" t="s">
        <v>117</v>
      </c>
      <c r="KH1" s="6" t="s">
        <v>152</v>
      </c>
      <c r="KI1" s="6" t="s">
        <v>88</v>
      </c>
      <c r="KJ1" s="6" t="s">
        <v>89</v>
      </c>
      <c r="KK1" s="6" t="s">
        <v>123</v>
      </c>
      <c r="KL1" s="6" t="s">
        <v>20</v>
      </c>
      <c r="KM1" s="6" t="s">
        <v>21</v>
      </c>
      <c r="KN1" s="16"/>
      <c r="KO1" s="6" t="s">
        <v>197</v>
      </c>
      <c r="KP1" s="6" t="s">
        <v>3</v>
      </c>
      <c r="KQ1" s="6" t="s">
        <v>157</v>
      </c>
      <c r="KR1" s="6" t="s">
        <v>5</v>
      </c>
      <c r="KS1" s="6" t="s">
        <v>6</v>
      </c>
      <c r="KT1" s="6" t="s">
        <v>106</v>
      </c>
      <c r="KU1" s="6" t="s">
        <v>107</v>
      </c>
      <c r="KV1" s="6" t="s">
        <v>116</v>
      </c>
      <c r="KW1" s="6" t="s">
        <v>9</v>
      </c>
      <c r="KX1" s="6" t="s">
        <v>143</v>
      </c>
      <c r="KY1" s="6" t="s">
        <v>144</v>
      </c>
      <c r="KZ1" s="6" t="s">
        <v>12</v>
      </c>
      <c r="LA1" s="6" t="s">
        <v>86</v>
      </c>
      <c r="LB1" s="6" t="s">
        <v>148</v>
      </c>
      <c r="LC1" s="6" t="s">
        <v>149</v>
      </c>
      <c r="LD1" s="6" t="s">
        <v>150</v>
      </c>
      <c r="LE1" s="6" t="s">
        <v>87</v>
      </c>
      <c r="LF1" s="6" t="s">
        <v>117</v>
      </c>
      <c r="LG1" s="6" t="s">
        <v>152</v>
      </c>
      <c r="LH1" s="6" t="s">
        <v>88</v>
      </c>
      <c r="LI1" s="6" t="s">
        <v>89</v>
      </c>
      <c r="LJ1" s="6" t="s">
        <v>123</v>
      </c>
      <c r="LK1" s="6" t="s">
        <v>20</v>
      </c>
      <c r="LL1" s="6" t="s">
        <v>21</v>
      </c>
      <c r="LM1" s="16"/>
      <c r="LN1" s="6" t="s">
        <v>197</v>
      </c>
      <c r="LO1" s="6" t="s">
        <v>3</v>
      </c>
      <c r="LP1" s="6" t="s">
        <v>157</v>
      </c>
      <c r="LQ1" s="6" t="s">
        <v>5</v>
      </c>
      <c r="LR1" s="6" t="s">
        <v>6</v>
      </c>
      <c r="LS1" s="6" t="s">
        <v>106</v>
      </c>
      <c r="LT1" s="6" t="s">
        <v>107</v>
      </c>
      <c r="LU1" s="6" t="s">
        <v>116</v>
      </c>
      <c r="LV1" s="6" t="s">
        <v>9</v>
      </c>
      <c r="LW1" s="6" t="s">
        <v>143</v>
      </c>
      <c r="LX1" s="6" t="s">
        <v>144</v>
      </c>
      <c r="LY1" s="6" t="s">
        <v>12</v>
      </c>
      <c r="LZ1" s="6" t="s">
        <v>86</v>
      </c>
      <c r="MA1" s="6" t="s">
        <v>148</v>
      </c>
      <c r="MB1" s="6" t="s">
        <v>149</v>
      </c>
      <c r="MC1" s="6" t="s">
        <v>150</v>
      </c>
      <c r="MD1" s="6" t="s">
        <v>87</v>
      </c>
      <c r="ME1" s="6" t="s">
        <v>117</v>
      </c>
      <c r="MF1" s="6" t="s">
        <v>152</v>
      </c>
      <c r="MG1" s="6" t="s">
        <v>88</v>
      </c>
      <c r="MH1" s="6" t="s">
        <v>89</v>
      </c>
      <c r="MI1" s="6" t="s">
        <v>123</v>
      </c>
      <c r="MJ1" s="6" t="s">
        <v>20</v>
      </c>
      <c r="MK1" s="6" t="s">
        <v>21</v>
      </c>
      <c r="ML1" s="16"/>
      <c r="MM1" s="6" t="s">
        <v>197</v>
      </c>
      <c r="MN1" s="6" t="s">
        <v>3</v>
      </c>
      <c r="MO1" s="6" t="s">
        <v>157</v>
      </c>
      <c r="MP1" s="6" t="s">
        <v>5</v>
      </c>
      <c r="MQ1" s="6" t="s">
        <v>6</v>
      </c>
      <c r="MR1" s="6" t="s">
        <v>106</v>
      </c>
      <c r="MS1" s="6" t="s">
        <v>107</v>
      </c>
      <c r="MT1" s="6" t="s">
        <v>116</v>
      </c>
      <c r="MU1" s="6" t="s">
        <v>9</v>
      </c>
      <c r="MV1" s="6" t="s">
        <v>143</v>
      </c>
      <c r="MW1" s="6" t="s">
        <v>144</v>
      </c>
      <c r="MX1" s="6" t="s">
        <v>12</v>
      </c>
      <c r="MY1" s="6" t="s">
        <v>86</v>
      </c>
      <c r="MZ1" s="6" t="s">
        <v>148</v>
      </c>
      <c r="NA1" s="6" t="s">
        <v>149</v>
      </c>
      <c r="NB1" s="6" t="s">
        <v>150</v>
      </c>
      <c r="NC1" s="6" t="s">
        <v>87</v>
      </c>
      <c r="ND1" s="6" t="s">
        <v>117</v>
      </c>
      <c r="NE1" s="6" t="s">
        <v>152</v>
      </c>
      <c r="NF1" s="6" t="s">
        <v>88</v>
      </c>
      <c r="NG1" s="6" t="s">
        <v>89</v>
      </c>
      <c r="NH1" s="6" t="s">
        <v>123</v>
      </c>
      <c r="NI1" s="6" t="s">
        <v>20</v>
      </c>
      <c r="NJ1" s="6" t="s">
        <v>21</v>
      </c>
      <c r="NK1" s="16"/>
      <c r="NL1" s="6" t="s">
        <v>197</v>
      </c>
      <c r="NM1" s="6" t="s">
        <v>3</v>
      </c>
      <c r="NN1" s="6" t="s">
        <v>157</v>
      </c>
      <c r="NO1" s="6" t="s">
        <v>5</v>
      </c>
      <c r="NP1" s="6" t="s">
        <v>6</v>
      </c>
      <c r="NQ1" s="6" t="s">
        <v>106</v>
      </c>
      <c r="NR1" s="6" t="s">
        <v>107</v>
      </c>
      <c r="NS1" s="6" t="s">
        <v>116</v>
      </c>
      <c r="NT1" s="6" t="s">
        <v>9</v>
      </c>
      <c r="NU1" s="6" t="s">
        <v>143</v>
      </c>
      <c r="NV1" s="6" t="s">
        <v>144</v>
      </c>
      <c r="NW1" s="6" t="s">
        <v>12</v>
      </c>
      <c r="NX1" s="6" t="s">
        <v>86</v>
      </c>
      <c r="NY1" s="6" t="s">
        <v>148</v>
      </c>
      <c r="NZ1" s="6" t="s">
        <v>149</v>
      </c>
      <c r="OA1" s="6" t="s">
        <v>150</v>
      </c>
      <c r="OB1" s="6" t="s">
        <v>87</v>
      </c>
      <c r="OC1" s="6" t="s">
        <v>117</v>
      </c>
      <c r="OD1" s="6" t="s">
        <v>152</v>
      </c>
      <c r="OE1" s="6" t="s">
        <v>88</v>
      </c>
      <c r="OF1" s="6" t="s">
        <v>89</v>
      </c>
      <c r="OG1" s="6" t="s">
        <v>123</v>
      </c>
      <c r="OH1" s="6" t="s">
        <v>20</v>
      </c>
      <c r="OI1" s="6" t="s">
        <v>21</v>
      </c>
      <c r="OJ1" s="16"/>
      <c r="OK1" s="6" t="s">
        <v>197</v>
      </c>
      <c r="OL1" s="6" t="s">
        <v>3</v>
      </c>
      <c r="OM1" s="6" t="s">
        <v>157</v>
      </c>
      <c r="ON1" s="6" t="s">
        <v>5</v>
      </c>
      <c r="OO1" s="6" t="s">
        <v>6</v>
      </c>
      <c r="OP1" s="6" t="s">
        <v>106</v>
      </c>
      <c r="OQ1" s="6" t="s">
        <v>107</v>
      </c>
      <c r="OR1" s="6" t="s">
        <v>116</v>
      </c>
      <c r="OS1" s="6" t="s">
        <v>9</v>
      </c>
      <c r="OT1" s="6" t="s">
        <v>143</v>
      </c>
      <c r="OU1" s="6" t="s">
        <v>144</v>
      </c>
      <c r="OV1" s="6" t="s">
        <v>12</v>
      </c>
      <c r="OW1" s="6" t="s">
        <v>86</v>
      </c>
      <c r="OX1" s="6" t="s">
        <v>148</v>
      </c>
      <c r="OY1" s="6" t="s">
        <v>149</v>
      </c>
      <c r="OZ1" s="6" t="s">
        <v>150</v>
      </c>
      <c r="PA1" s="6" t="s">
        <v>87</v>
      </c>
      <c r="PB1" s="6" t="s">
        <v>117</v>
      </c>
      <c r="PC1" s="6" t="s">
        <v>152</v>
      </c>
      <c r="PD1" s="6" t="s">
        <v>88</v>
      </c>
      <c r="PE1" s="6" t="s">
        <v>89</v>
      </c>
      <c r="PF1" s="6" t="s">
        <v>123</v>
      </c>
      <c r="PG1" s="6" t="s">
        <v>20</v>
      </c>
      <c r="PH1" s="6" t="s">
        <v>21</v>
      </c>
    </row>
    <row r="2" spans="1:424" ht="14.5" customHeight="1" x14ac:dyDescent="0.55000000000000004">
      <c r="A2" s="1" t="s">
        <v>141</v>
      </c>
      <c r="B2" s="7" t="s">
        <v>4</v>
      </c>
      <c r="C2" s="7" t="s">
        <v>155</v>
      </c>
      <c r="D2" s="1" t="s">
        <v>38</v>
      </c>
      <c r="E2" s="7" t="s">
        <v>154</v>
      </c>
      <c r="F2" s="7">
        <v>1</v>
      </c>
      <c r="G2" s="7" t="s">
        <v>112</v>
      </c>
      <c r="H2" s="9" t="s">
        <v>118</v>
      </c>
      <c r="I2" s="7" t="s">
        <v>10</v>
      </c>
      <c r="J2" s="7" t="b">
        <v>0</v>
      </c>
      <c r="K2" s="7" t="s">
        <v>145</v>
      </c>
      <c r="L2" s="7">
        <v>1</v>
      </c>
      <c r="M2" s="8">
        <v>42736</v>
      </c>
      <c r="N2" s="8" t="b">
        <v>0</v>
      </c>
      <c r="O2" s="7">
        <v>5</v>
      </c>
      <c r="P2" s="7">
        <v>12</v>
      </c>
      <c r="Q2" s="9">
        <v>0.6</v>
      </c>
      <c r="R2" s="7" t="s">
        <v>19</v>
      </c>
      <c r="S2" s="7" t="s">
        <v>153</v>
      </c>
      <c r="T2" s="7" t="b">
        <v>1</v>
      </c>
      <c r="U2" s="7">
        <v>1</v>
      </c>
      <c r="V2" s="7" t="s">
        <v>124</v>
      </c>
      <c r="W2" s="7" t="b">
        <v>1</v>
      </c>
      <c r="X2" s="7" t="s">
        <v>24</v>
      </c>
      <c r="Y2" s="17"/>
      <c r="Z2" s="7" t="s">
        <v>142</v>
      </c>
      <c r="AA2" s="7" t="s">
        <v>100</v>
      </c>
      <c r="AB2" s="7" t="s">
        <v>155</v>
      </c>
      <c r="AC2" s="1" t="s">
        <v>38</v>
      </c>
      <c r="AD2" s="7" t="s">
        <v>154</v>
      </c>
      <c r="AE2" s="7">
        <v>1</v>
      </c>
      <c r="AF2" s="7" t="s">
        <v>112</v>
      </c>
      <c r="AG2" s="9" t="s">
        <v>118</v>
      </c>
      <c r="AH2" s="7" t="s">
        <v>10</v>
      </c>
      <c r="AI2" s="7" t="b">
        <v>1</v>
      </c>
      <c r="AJ2" s="7" t="s">
        <v>145</v>
      </c>
      <c r="AK2" s="7">
        <v>1</v>
      </c>
      <c r="AL2" s="8">
        <v>42736</v>
      </c>
      <c r="AM2" s="8" t="b">
        <v>1</v>
      </c>
      <c r="AN2" s="7">
        <v>5</v>
      </c>
      <c r="AO2" s="7">
        <v>12</v>
      </c>
      <c r="AP2" s="9">
        <v>0.6</v>
      </c>
      <c r="AQ2" s="7" t="s">
        <v>19</v>
      </c>
      <c r="AR2" s="7" t="s">
        <v>14</v>
      </c>
      <c r="AS2" s="7" t="b">
        <v>0</v>
      </c>
      <c r="AT2" s="7">
        <v>1</v>
      </c>
      <c r="AU2" s="7" t="s">
        <v>124</v>
      </c>
      <c r="AV2" s="7" t="b">
        <v>1</v>
      </c>
      <c r="AW2" s="7" t="s">
        <v>23</v>
      </c>
      <c r="AX2" s="17"/>
      <c r="AY2" s="7" t="s">
        <v>138</v>
      </c>
      <c r="AZ2" s="7" t="s">
        <v>4</v>
      </c>
      <c r="BA2" s="7" t="s">
        <v>155</v>
      </c>
      <c r="BB2" s="1" t="s">
        <v>38</v>
      </c>
      <c r="BC2" s="7" t="s">
        <v>154</v>
      </c>
      <c r="BD2" s="7">
        <v>1</v>
      </c>
      <c r="BE2" s="7" t="s">
        <v>112</v>
      </c>
      <c r="BF2" s="9" t="s">
        <v>118</v>
      </c>
      <c r="BG2" s="7" t="s">
        <v>10</v>
      </c>
      <c r="BH2" s="7" t="b">
        <v>0</v>
      </c>
      <c r="BI2" s="7" t="s">
        <v>145</v>
      </c>
      <c r="BJ2" s="7">
        <v>3</v>
      </c>
      <c r="BK2" s="8">
        <v>42736</v>
      </c>
      <c r="BL2" s="8" t="b">
        <v>1</v>
      </c>
      <c r="BM2" s="7">
        <v>5</v>
      </c>
      <c r="BN2" s="7">
        <v>12</v>
      </c>
      <c r="BO2" s="9">
        <v>0.6</v>
      </c>
      <c r="BP2" s="7" t="s">
        <v>19</v>
      </c>
      <c r="BQ2" s="7" t="s">
        <v>153</v>
      </c>
      <c r="BR2" s="7" t="b">
        <v>0</v>
      </c>
      <c r="BS2" s="7">
        <v>1</v>
      </c>
      <c r="BT2" s="7" t="s">
        <v>124</v>
      </c>
      <c r="BU2" s="7" t="b">
        <v>1</v>
      </c>
      <c r="BV2" s="7" t="s">
        <v>24</v>
      </c>
      <c r="BW2" s="17"/>
      <c r="BX2" s="7" t="s">
        <v>139</v>
      </c>
      <c r="BY2" s="7" t="s">
        <v>4</v>
      </c>
      <c r="BZ2" s="7" t="s">
        <v>156</v>
      </c>
      <c r="CA2" s="1" t="s">
        <v>38</v>
      </c>
      <c r="CB2" s="7" t="s">
        <v>7</v>
      </c>
      <c r="CC2" s="7">
        <v>1</v>
      </c>
      <c r="CD2" s="7" t="s">
        <v>112</v>
      </c>
      <c r="CE2" s="9" t="s">
        <v>118</v>
      </c>
      <c r="CF2" s="7" t="s">
        <v>10</v>
      </c>
      <c r="CG2" s="7" t="b">
        <v>1</v>
      </c>
      <c r="CH2" s="7" t="s">
        <v>145</v>
      </c>
      <c r="CI2" s="7">
        <v>6</v>
      </c>
      <c r="CJ2" s="8">
        <v>42736</v>
      </c>
      <c r="CK2" s="8" t="b">
        <v>1</v>
      </c>
      <c r="CL2" s="7">
        <v>5</v>
      </c>
      <c r="CM2" s="7">
        <v>12</v>
      </c>
      <c r="CN2" s="9">
        <v>0.6</v>
      </c>
      <c r="CO2" s="7" t="s">
        <v>19</v>
      </c>
      <c r="CP2" s="7" t="s">
        <v>14</v>
      </c>
      <c r="CQ2" s="7" t="b">
        <v>0</v>
      </c>
      <c r="CR2" s="7">
        <v>1</v>
      </c>
      <c r="CS2" s="7" t="s">
        <v>124</v>
      </c>
      <c r="CT2" s="7" t="b">
        <v>1</v>
      </c>
      <c r="CU2" s="7" t="s">
        <v>23</v>
      </c>
      <c r="CV2" s="17"/>
      <c r="CW2" s="7" t="s">
        <v>140</v>
      </c>
      <c r="CX2" s="7" t="s">
        <v>4</v>
      </c>
      <c r="CY2" s="7" t="s">
        <v>156</v>
      </c>
      <c r="CZ2" s="1" t="s">
        <v>38</v>
      </c>
      <c r="DA2" s="7" t="s">
        <v>7</v>
      </c>
      <c r="DB2" s="7">
        <v>1</v>
      </c>
      <c r="DC2" s="7" t="s">
        <v>112</v>
      </c>
      <c r="DD2" s="9" t="s">
        <v>118</v>
      </c>
      <c r="DE2" s="7" t="s">
        <v>10</v>
      </c>
      <c r="DF2" s="7" t="b">
        <v>1</v>
      </c>
      <c r="DG2" s="7" t="s">
        <v>145</v>
      </c>
      <c r="DH2" s="7">
        <v>12</v>
      </c>
      <c r="DI2" s="8">
        <v>42736</v>
      </c>
      <c r="DJ2" s="8" t="b">
        <v>1</v>
      </c>
      <c r="DK2" s="7">
        <v>5</v>
      </c>
      <c r="DL2" s="7">
        <v>12</v>
      </c>
      <c r="DM2" s="9">
        <v>0.6</v>
      </c>
      <c r="DN2" s="7" t="s">
        <v>19</v>
      </c>
      <c r="DO2" s="7" t="s">
        <v>14</v>
      </c>
      <c r="DP2" s="7" t="b">
        <v>0</v>
      </c>
      <c r="DQ2" s="7">
        <v>1</v>
      </c>
      <c r="DR2" s="7" t="s">
        <v>124</v>
      </c>
      <c r="DS2" s="7" t="b">
        <v>1</v>
      </c>
      <c r="DT2" s="7" t="s">
        <v>23</v>
      </c>
      <c r="DU2" s="17"/>
      <c r="DV2" s="7" t="s">
        <v>183</v>
      </c>
      <c r="DW2" s="7" t="s">
        <v>100</v>
      </c>
      <c r="DX2" s="7" t="s">
        <v>155</v>
      </c>
      <c r="DY2" s="1" t="s">
        <v>38</v>
      </c>
      <c r="DZ2" s="7" t="s">
        <v>154</v>
      </c>
      <c r="EA2" s="7">
        <v>1</v>
      </c>
      <c r="EB2" s="7" t="s">
        <v>112</v>
      </c>
      <c r="EC2" s="9" t="s">
        <v>118</v>
      </c>
      <c r="ED2" s="7" t="s">
        <v>10</v>
      </c>
      <c r="EE2" s="7" t="b">
        <v>0</v>
      </c>
      <c r="EF2" s="7" t="s">
        <v>145</v>
      </c>
      <c r="EG2" s="7">
        <v>3</v>
      </c>
      <c r="EH2" s="8">
        <v>42736</v>
      </c>
      <c r="EI2" s="8" t="b">
        <v>0</v>
      </c>
      <c r="EJ2" s="7">
        <v>5</v>
      </c>
      <c r="EK2" s="7">
        <v>12</v>
      </c>
      <c r="EL2" s="9">
        <v>0.7</v>
      </c>
      <c r="EM2" s="7" t="s">
        <v>19</v>
      </c>
      <c r="EN2" s="7" t="s">
        <v>153</v>
      </c>
      <c r="EO2" s="7" t="b">
        <v>0</v>
      </c>
      <c r="EP2" s="7">
        <v>1</v>
      </c>
      <c r="EQ2" s="7" t="s">
        <v>124</v>
      </c>
      <c r="ER2" s="7" t="b">
        <v>1</v>
      </c>
      <c r="ES2" s="7" t="s">
        <v>24</v>
      </c>
      <c r="ET2" s="17"/>
      <c r="EU2" s="7" t="s">
        <v>181</v>
      </c>
      <c r="EV2" s="7" t="s">
        <v>159</v>
      </c>
      <c r="EW2" s="7" t="s">
        <v>155</v>
      </c>
      <c r="EX2" s="1" t="s">
        <v>38</v>
      </c>
      <c r="EY2" s="7" t="s">
        <v>154</v>
      </c>
      <c r="EZ2" s="7">
        <v>1</v>
      </c>
      <c r="FA2" s="7" t="s">
        <v>112</v>
      </c>
      <c r="FB2" s="9" t="s">
        <v>118</v>
      </c>
      <c r="FC2" s="7" t="s">
        <v>10</v>
      </c>
      <c r="FD2" s="7" t="b">
        <v>0</v>
      </c>
      <c r="FE2" s="7" t="s">
        <v>145</v>
      </c>
      <c r="FF2" s="7">
        <v>3</v>
      </c>
      <c r="FG2" s="8">
        <v>42736</v>
      </c>
      <c r="FH2" s="8" t="b">
        <v>0</v>
      </c>
      <c r="FI2" s="7">
        <v>5</v>
      </c>
      <c r="FJ2" s="7">
        <v>12</v>
      </c>
      <c r="FK2" s="9">
        <v>0.7</v>
      </c>
      <c r="FL2" s="7" t="s">
        <v>19</v>
      </c>
      <c r="FM2" s="7" t="s">
        <v>153</v>
      </c>
      <c r="FN2" s="7" t="b">
        <v>0</v>
      </c>
      <c r="FO2" s="7">
        <v>1</v>
      </c>
      <c r="FP2" s="7" t="s">
        <v>124</v>
      </c>
      <c r="FQ2" s="7" t="b">
        <v>1</v>
      </c>
      <c r="FR2" s="7" t="s">
        <v>24</v>
      </c>
      <c r="FS2" s="17"/>
      <c r="FT2" s="7" t="s">
        <v>182</v>
      </c>
      <c r="FU2" s="7" t="s">
        <v>161</v>
      </c>
      <c r="FV2" s="7" t="s">
        <v>155</v>
      </c>
      <c r="FW2" s="1" t="s">
        <v>38</v>
      </c>
      <c r="FX2" s="7" t="s">
        <v>154</v>
      </c>
      <c r="FY2" s="7">
        <v>1</v>
      </c>
      <c r="FZ2" s="7" t="s">
        <v>112</v>
      </c>
      <c r="GA2" s="9" t="s">
        <v>118</v>
      </c>
      <c r="GB2" s="7" t="s">
        <v>10</v>
      </c>
      <c r="GC2" s="7" t="b">
        <v>0</v>
      </c>
      <c r="GD2" s="7" t="s">
        <v>145</v>
      </c>
      <c r="GE2" s="7">
        <v>3</v>
      </c>
      <c r="GF2" s="8">
        <v>42736</v>
      </c>
      <c r="GG2" s="8" t="b">
        <v>0</v>
      </c>
      <c r="GH2" s="7">
        <v>5</v>
      </c>
      <c r="GI2" s="7">
        <v>12</v>
      </c>
      <c r="GJ2" s="9">
        <v>0.7</v>
      </c>
      <c r="GK2" s="7" t="s">
        <v>19</v>
      </c>
      <c r="GL2" s="7" t="s">
        <v>153</v>
      </c>
      <c r="GM2" s="7" t="b">
        <v>0</v>
      </c>
      <c r="GN2" s="7">
        <v>1</v>
      </c>
      <c r="GO2" s="7" t="s">
        <v>124</v>
      </c>
      <c r="GP2" s="7" t="b">
        <v>1</v>
      </c>
      <c r="GQ2" s="7" t="s">
        <v>24</v>
      </c>
      <c r="GR2" s="17"/>
      <c r="GS2" s="7" t="s">
        <v>184</v>
      </c>
      <c r="GT2" s="7" t="s">
        <v>4</v>
      </c>
      <c r="GU2" s="7" t="s">
        <v>155</v>
      </c>
      <c r="GV2" s="1" t="s">
        <v>38</v>
      </c>
      <c r="GW2" s="7" t="s">
        <v>154</v>
      </c>
      <c r="GX2" s="7">
        <v>1</v>
      </c>
      <c r="GY2" s="7" t="s">
        <v>112</v>
      </c>
      <c r="GZ2" s="9" t="s">
        <v>118</v>
      </c>
      <c r="HA2" s="7" t="s">
        <v>10</v>
      </c>
      <c r="HB2" s="7" t="b">
        <v>0</v>
      </c>
      <c r="HC2" s="7" t="s">
        <v>145</v>
      </c>
      <c r="HD2" s="7">
        <v>3</v>
      </c>
      <c r="HE2" s="8">
        <v>42736</v>
      </c>
      <c r="HF2" s="8" t="b">
        <v>1</v>
      </c>
      <c r="HG2" s="7">
        <v>5</v>
      </c>
      <c r="HH2" s="7">
        <v>12</v>
      </c>
      <c r="HI2" s="9">
        <v>0.5</v>
      </c>
      <c r="HJ2" s="7" t="s">
        <v>19</v>
      </c>
      <c r="HK2" s="7" t="s">
        <v>153</v>
      </c>
      <c r="HL2" s="7" t="b">
        <v>0</v>
      </c>
      <c r="HM2" s="7">
        <v>1</v>
      </c>
      <c r="HN2" s="7" t="s">
        <v>124</v>
      </c>
      <c r="HO2" s="7" t="b">
        <v>1</v>
      </c>
      <c r="HP2" s="7" t="s">
        <v>24</v>
      </c>
      <c r="HQ2" s="17"/>
      <c r="HR2" s="7" t="s">
        <v>185</v>
      </c>
      <c r="HS2" s="7" t="s">
        <v>4</v>
      </c>
      <c r="HT2" s="7" t="s">
        <v>155</v>
      </c>
      <c r="HU2" s="1" t="s">
        <v>77</v>
      </c>
      <c r="HV2" s="7" t="s">
        <v>154</v>
      </c>
      <c r="HW2" s="7">
        <v>1</v>
      </c>
      <c r="HX2" s="7" t="s">
        <v>112</v>
      </c>
      <c r="HY2" s="9" t="s">
        <v>118</v>
      </c>
      <c r="HZ2" s="7" t="s">
        <v>10</v>
      </c>
      <c r="IA2" s="7" t="b">
        <v>0</v>
      </c>
      <c r="IB2" s="7" t="s">
        <v>145</v>
      </c>
      <c r="IC2" s="7">
        <v>3</v>
      </c>
      <c r="ID2" s="8">
        <v>42736</v>
      </c>
      <c r="IE2" s="8" t="b">
        <v>0</v>
      </c>
      <c r="IF2" s="7">
        <v>5</v>
      </c>
      <c r="IG2" s="7">
        <v>12</v>
      </c>
      <c r="IH2" s="9">
        <v>0.4</v>
      </c>
      <c r="II2" s="7" t="s">
        <v>19</v>
      </c>
      <c r="IJ2" s="7" t="s">
        <v>153</v>
      </c>
      <c r="IK2" s="7" t="b">
        <v>0</v>
      </c>
      <c r="IL2" s="7">
        <v>1</v>
      </c>
      <c r="IM2" s="7" t="s">
        <v>124</v>
      </c>
      <c r="IN2" s="7" t="b">
        <v>1</v>
      </c>
      <c r="IO2" s="7" t="s">
        <v>24</v>
      </c>
      <c r="IP2" s="17"/>
      <c r="IQ2" s="7" t="s">
        <v>187</v>
      </c>
      <c r="IR2" s="7" t="s">
        <v>100</v>
      </c>
      <c r="IS2" s="7" t="s">
        <v>155</v>
      </c>
      <c r="IT2" s="1" t="s">
        <v>63</v>
      </c>
      <c r="IU2" s="7" t="s">
        <v>154</v>
      </c>
      <c r="IV2" s="7">
        <v>1</v>
      </c>
      <c r="IW2" s="7" t="s">
        <v>112</v>
      </c>
      <c r="IX2" s="9" t="s">
        <v>118</v>
      </c>
      <c r="IY2" s="7" t="s">
        <v>10</v>
      </c>
      <c r="IZ2" s="7" t="b">
        <v>0</v>
      </c>
      <c r="JA2" s="7" t="s">
        <v>145</v>
      </c>
      <c r="JB2" s="7">
        <v>3</v>
      </c>
      <c r="JC2" s="8">
        <v>42736</v>
      </c>
      <c r="JD2" s="8" t="b">
        <v>0</v>
      </c>
      <c r="JE2" s="7">
        <v>5</v>
      </c>
      <c r="JF2" s="7">
        <v>12</v>
      </c>
      <c r="JG2" s="9">
        <v>0.5</v>
      </c>
      <c r="JH2" s="7" t="s">
        <v>19</v>
      </c>
      <c r="JI2" s="7" t="s">
        <v>153</v>
      </c>
      <c r="JJ2" s="7" t="b">
        <v>0</v>
      </c>
      <c r="JK2" s="7">
        <v>1</v>
      </c>
      <c r="JL2" s="7" t="s">
        <v>124</v>
      </c>
      <c r="JM2" s="7" t="b">
        <v>1</v>
      </c>
      <c r="JN2" s="7" t="s">
        <v>24</v>
      </c>
      <c r="JO2" s="17"/>
      <c r="JP2" s="7" t="s">
        <v>188</v>
      </c>
      <c r="JQ2" s="7" t="s">
        <v>100</v>
      </c>
      <c r="JR2" s="7" t="s">
        <v>155</v>
      </c>
      <c r="JS2" s="1" t="s">
        <v>45</v>
      </c>
      <c r="JT2" s="7" t="s">
        <v>154</v>
      </c>
      <c r="JU2" s="7">
        <v>1</v>
      </c>
      <c r="JV2" s="7" t="s">
        <v>112</v>
      </c>
      <c r="JW2" s="9" t="s">
        <v>118</v>
      </c>
      <c r="JX2" s="7" t="s">
        <v>10</v>
      </c>
      <c r="JY2" s="7" t="b">
        <v>0</v>
      </c>
      <c r="JZ2" s="7" t="s">
        <v>145</v>
      </c>
      <c r="KA2" s="7">
        <v>3</v>
      </c>
      <c r="KB2" s="8">
        <v>42736</v>
      </c>
      <c r="KC2" s="8" t="b">
        <v>0</v>
      </c>
      <c r="KD2" s="7">
        <v>5</v>
      </c>
      <c r="KE2" s="7">
        <v>12</v>
      </c>
      <c r="KF2" s="9">
        <v>0.5</v>
      </c>
      <c r="KG2" s="7" t="s">
        <v>19</v>
      </c>
      <c r="KH2" s="7" t="s">
        <v>153</v>
      </c>
      <c r="KI2" s="7" t="b">
        <v>0</v>
      </c>
      <c r="KJ2" s="7">
        <v>1</v>
      </c>
      <c r="KK2" s="7" t="s">
        <v>124</v>
      </c>
      <c r="KL2" s="7" t="b">
        <v>1</v>
      </c>
      <c r="KM2" s="7" t="s">
        <v>24</v>
      </c>
      <c r="KN2" s="17"/>
      <c r="KO2" s="7" t="s">
        <v>189</v>
      </c>
      <c r="KP2" s="7" t="s">
        <v>100</v>
      </c>
      <c r="KQ2" s="7" t="s">
        <v>155</v>
      </c>
      <c r="KR2" s="1" t="s">
        <v>83</v>
      </c>
      <c r="KS2" s="7" t="s">
        <v>154</v>
      </c>
      <c r="KT2" s="7">
        <v>-1</v>
      </c>
      <c r="KU2" s="7" t="s">
        <v>112</v>
      </c>
      <c r="KV2" s="9" t="s">
        <v>118</v>
      </c>
      <c r="KW2" s="7" t="s">
        <v>10</v>
      </c>
      <c r="KX2" s="7" t="b">
        <v>0</v>
      </c>
      <c r="KY2" s="7" t="s">
        <v>145</v>
      </c>
      <c r="KZ2" s="7">
        <v>3</v>
      </c>
      <c r="LA2" s="8">
        <v>42736</v>
      </c>
      <c r="LB2" s="8" t="b">
        <v>0</v>
      </c>
      <c r="LC2" s="7">
        <v>5</v>
      </c>
      <c r="LD2" s="7">
        <v>12</v>
      </c>
      <c r="LE2" s="9">
        <v>0.5</v>
      </c>
      <c r="LF2" s="7" t="s">
        <v>19</v>
      </c>
      <c r="LG2" s="7" t="s">
        <v>153</v>
      </c>
      <c r="LH2" s="7" t="b">
        <v>0</v>
      </c>
      <c r="LI2" s="7">
        <v>1</v>
      </c>
      <c r="LJ2" s="7" t="s">
        <v>124</v>
      </c>
      <c r="LK2" s="7" t="b">
        <v>1</v>
      </c>
      <c r="LL2" s="7" t="s">
        <v>24</v>
      </c>
      <c r="LM2" s="17"/>
      <c r="LN2" s="7" t="s">
        <v>190</v>
      </c>
      <c r="LO2" s="7" t="s">
        <v>100</v>
      </c>
      <c r="LP2" s="7" t="s">
        <v>155</v>
      </c>
      <c r="LQ2" s="1" t="s">
        <v>49</v>
      </c>
      <c r="LR2" s="7" t="s">
        <v>154</v>
      </c>
      <c r="LS2" s="7">
        <v>-1</v>
      </c>
      <c r="LT2" s="7" t="s">
        <v>112</v>
      </c>
      <c r="LU2" s="9" t="s">
        <v>118</v>
      </c>
      <c r="LV2" s="7" t="s">
        <v>10</v>
      </c>
      <c r="LW2" s="7" t="b">
        <v>0</v>
      </c>
      <c r="LX2" s="7" t="s">
        <v>145</v>
      </c>
      <c r="LY2" s="7">
        <v>3</v>
      </c>
      <c r="LZ2" s="8">
        <v>42736</v>
      </c>
      <c r="MA2" s="8" t="b">
        <v>0</v>
      </c>
      <c r="MB2" s="7">
        <v>5</v>
      </c>
      <c r="MC2" s="7">
        <v>12</v>
      </c>
      <c r="MD2" s="9">
        <v>0.5</v>
      </c>
      <c r="ME2" s="7" t="s">
        <v>19</v>
      </c>
      <c r="MF2" s="7" t="s">
        <v>153</v>
      </c>
      <c r="MG2" s="7" t="b">
        <v>0</v>
      </c>
      <c r="MH2" s="7">
        <v>1</v>
      </c>
      <c r="MI2" s="7" t="s">
        <v>124</v>
      </c>
      <c r="MJ2" s="7" t="b">
        <v>1</v>
      </c>
      <c r="MK2" s="7" t="s">
        <v>24</v>
      </c>
      <c r="ML2" s="17"/>
      <c r="MM2" s="7" t="s">
        <v>191</v>
      </c>
      <c r="MN2" s="7" t="s">
        <v>100</v>
      </c>
      <c r="MO2" s="7" t="s">
        <v>155</v>
      </c>
      <c r="MP2" s="1" t="s">
        <v>69</v>
      </c>
      <c r="MQ2" s="7" t="s">
        <v>154</v>
      </c>
      <c r="MR2" s="7">
        <v>1</v>
      </c>
      <c r="MS2" s="7" t="s">
        <v>112</v>
      </c>
      <c r="MT2" s="9" t="s">
        <v>118</v>
      </c>
      <c r="MU2" s="7" t="s">
        <v>10</v>
      </c>
      <c r="MV2" s="7" t="b">
        <v>0</v>
      </c>
      <c r="MW2" s="7" t="s">
        <v>145</v>
      </c>
      <c r="MX2" s="7">
        <v>3</v>
      </c>
      <c r="MY2" s="8">
        <v>42736</v>
      </c>
      <c r="MZ2" s="8" t="b">
        <v>0</v>
      </c>
      <c r="NA2" s="7">
        <v>5</v>
      </c>
      <c r="NB2" s="7">
        <v>12</v>
      </c>
      <c r="NC2" s="9">
        <v>0.5</v>
      </c>
      <c r="ND2" s="7" t="s">
        <v>19</v>
      </c>
      <c r="NE2" s="7" t="s">
        <v>153</v>
      </c>
      <c r="NF2" s="7" t="b">
        <v>0</v>
      </c>
      <c r="NG2" s="7">
        <v>1</v>
      </c>
      <c r="NH2" s="7" t="s">
        <v>124</v>
      </c>
      <c r="NI2" s="7" t="b">
        <v>1</v>
      </c>
      <c r="NJ2" s="7" t="s">
        <v>24</v>
      </c>
      <c r="NK2" s="17"/>
      <c r="NL2" s="7" t="s">
        <v>192</v>
      </c>
      <c r="NM2" s="7" t="s">
        <v>4</v>
      </c>
      <c r="NN2" s="7" t="s">
        <v>155</v>
      </c>
      <c r="NO2" s="1" t="s">
        <v>38</v>
      </c>
      <c r="NP2" s="7" t="s">
        <v>154</v>
      </c>
      <c r="NQ2" s="7">
        <v>1</v>
      </c>
      <c r="NR2" s="7" t="s">
        <v>112</v>
      </c>
      <c r="NS2" s="9" t="s">
        <v>118</v>
      </c>
      <c r="NT2" s="7" t="s">
        <v>10</v>
      </c>
      <c r="NU2" s="7" t="b">
        <v>0</v>
      </c>
      <c r="NV2" s="7" t="s">
        <v>145</v>
      </c>
      <c r="NW2" s="7">
        <v>3</v>
      </c>
      <c r="NX2" s="8">
        <v>42736</v>
      </c>
      <c r="NY2" s="8" t="b">
        <v>1</v>
      </c>
      <c r="NZ2" s="7">
        <v>5</v>
      </c>
      <c r="OA2" s="7">
        <v>12</v>
      </c>
      <c r="OB2" s="9">
        <v>0.5</v>
      </c>
      <c r="OC2" s="7" t="s">
        <v>19</v>
      </c>
      <c r="OD2" s="7" t="s">
        <v>153</v>
      </c>
      <c r="OE2" s="7" t="b">
        <v>0</v>
      </c>
      <c r="OF2" s="7">
        <v>1</v>
      </c>
      <c r="OG2" s="7" t="s">
        <v>124</v>
      </c>
      <c r="OH2" s="7" t="b">
        <v>1</v>
      </c>
      <c r="OI2" s="7" t="s">
        <v>24</v>
      </c>
      <c r="OJ2" s="17"/>
      <c r="OK2" s="7" t="s">
        <v>194</v>
      </c>
      <c r="OL2" s="7" t="s">
        <v>4</v>
      </c>
      <c r="OM2" s="7" t="s">
        <v>155</v>
      </c>
      <c r="ON2" s="1" t="s">
        <v>38</v>
      </c>
      <c r="OO2" s="7" t="s">
        <v>154</v>
      </c>
      <c r="OP2" s="7">
        <v>1</v>
      </c>
      <c r="OQ2" s="7" t="s">
        <v>112</v>
      </c>
      <c r="OR2" s="9" t="s">
        <v>118</v>
      </c>
      <c r="OS2" s="7" t="s">
        <v>10</v>
      </c>
      <c r="OT2" s="7" t="b">
        <v>0</v>
      </c>
      <c r="OU2" s="7" t="s">
        <v>145</v>
      </c>
      <c r="OV2" s="7">
        <v>3</v>
      </c>
      <c r="OW2" s="8">
        <v>42736</v>
      </c>
      <c r="OX2" s="8" t="b">
        <v>1</v>
      </c>
      <c r="OY2" s="7">
        <v>5</v>
      </c>
      <c r="OZ2" s="7">
        <v>12</v>
      </c>
      <c r="PA2" s="9">
        <v>0.5</v>
      </c>
      <c r="PB2" s="7" t="s">
        <v>19</v>
      </c>
      <c r="PC2" s="7" t="s">
        <v>153</v>
      </c>
      <c r="PD2" s="7" t="b">
        <v>0</v>
      </c>
      <c r="PE2" s="7">
        <v>1</v>
      </c>
      <c r="PF2" s="7" t="s">
        <v>124</v>
      </c>
      <c r="PG2" s="7" t="b">
        <v>1</v>
      </c>
      <c r="PH2" s="7" t="s">
        <v>24</v>
      </c>
    </row>
    <row r="3" spans="1:424" x14ac:dyDescent="0.55000000000000004">
      <c r="D3" s="1" t="s">
        <v>39</v>
      </c>
      <c r="F3" s="1">
        <v>1</v>
      </c>
      <c r="H3" s="1" t="s">
        <v>119</v>
      </c>
      <c r="U3" s="1">
        <v>3</v>
      </c>
      <c r="V3" s="1" t="s">
        <v>125</v>
      </c>
      <c r="AC3" s="1" t="s">
        <v>39</v>
      </c>
      <c r="AE3" s="1">
        <v>1</v>
      </c>
      <c r="AG3" s="1" t="s">
        <v>119</v>
      </c>
      <c r="AT3" s="1">
        <v>3</v>
      </c>
      <c r="AU3" s="1" t="s">
        <v>125</v>
      </c>
      <c r="BB3" s="1" t="s">
        <v>39</v>
      </c>
      <c r="BD3" s="7">
        <v>1</v>
      </c>
      <c r="BF3" s="1" t="s">
        <v>119</v>
      </c>
      <c r="BS3" s="1">
        <v>3</v>
      </c>
      <c r="BT3" s="1" t="s">
        <v>125</v>
      </c>
      <c r="CA3" s="1" t="s">
        <v>39</v>
      </c>
      <c r="CC3" s="1">
        <v>1</v>
      </c>
      <c r="CE3" s="1" t="s">
        <v>119</v>
      </c>
      <c r="CR3" s="1">
        <v>3</v>
      </c>
      <c r="CS3" s="1" t="s">
        <v>125</v>
      </c>
      <c r="CZ3" s="1" t="s">
        <v>39</v>
      </c>
      <c r="DB3" s="1">
        <v>1</v>
      </c>
      <c r="DD3" s="1" t="s">
        <v>119</v>
      </c>
      <c r="DQ3" s="1">
        <v>3</v>
      </c>
      <c r="DR3" s="1" t="s">
        <v>125</v>
      </c>
      <c r="DY3" s="1" t="s">
        <v>39</v>
      </c>
      <c r="EA3" s="1">
        <v>1</v>
      </c>
      <c r="EC3" s="1" t="s">
        <v>119</v>
      </c>
      <c r="EP3" s="1">
        <v>3</v>
      </c>
      <c r="EQ3" s="1" t="s">
        <v>125</v>
      </c>
      <c r="EX3" s="1" t="s">
        <v>39</v>
      </c>
      <c r="EZ3" s="1">
        <v>1</v>
      </c>
      <c r="FB3" s="1" t="s">
        <v>119</v>
      </c>
      <c r="FO3" s="1">
        <v>3</v>
      </c>
      <c r="FP3" s="1" t="s">
        <v>125</v>
      </c>
      <c r="FW3" s="1" t="s">
        <v>39</v>
      </c>
      <c r="FY3" s="1">
        <v>1</v>
      </c>
      <c r="GA3" s="1" t="s">
        <v>119</v>
      </c>
      <c r="GN3" s="1">
        <v>3</v>
      </c>
      <c r="GO3" s="1" t="s">
        <v>125</v>
      </c>
      <c r="GV3" s="1" t="s">
        <v>39</v>
      </c>
      <c r="GX3" s="1">
        <v>1</v>
      </c>
      <c r="GZ3" s="1" t="s">
        <v>119</v>
      </c>
      <c r="HD3" s="7">
        <v>12</v>
      </c>
      <c r="HM3" s="1">
        <v>3</v>
      </c>
      <c r="HN3" s="1" t="s">
        <v>125</v>
      </c>
      <c r="HU3" s="1" t="s">
        <v>78</v>
      </c>
      <c r="HW3" s="1">
        <v>1</v>
      </c>
      <c r="HY3" s="1" t="s">
        <v>119</v>
      </c>
      <c r="IL3" s="1">
        <v>3</v>
      </c>
      <c r="IM3" s="1" t="s">
        <v>125</v>
      </c>
      <c r="IT3" s="1" t="s">
        <v>64</v>
      </c>
      <c r="IV3" s="1">
        <v>-1</v>
      </c>
      <c r="IX3" s="1" t="s">
        <v>119</v>
      </c>
      <c r="JK3" s="1">
        <v>3</v>
      </c>
      <c r="JL3" s="1" t="s">
        <v>125</v>
      </c>
      <c r="JS3" s="1" t="s">
        <v>46</v>
      </c>
      <c r="JU3" s="1">
        <v>1</v>
      </c>
      <c r="JW3" s="1" t="s">
        <v>119</v>
      </c>
      <c r="KJ3" s="1">
        <v>3</v>
      </c>
      <c r="KK3" s="1" t="s">
        <v>125</v>
      </c>
      <c r="KR3" s="1" t="s">
        <v>84</v>
      </c>
      <c r="KT3" s="1">
        <v>-1</v>
      </c>
      <c r="KV3" s="1" t="s">
        <v>119</v>
      </c>
      <c r="LI3" s="1">
        <v>3</v>
      </c>
      <c r="LJ3" s="1" t="s">
        <v>125</v>
      </c>
      <c r="LQ3" s="1" t="s">
        <v>50</v>
      </c>
      <c r="LS3" s="1">
        <v>-1</v>
      </c>
      <c r="LU3" s="1" t="s">
        <v>119</v>
      </c>
      <c r="MH3" s="1">
        <v>3</v>
      </c>
      <c r="MI3" s="1" t="s">
        <v>125</v>
      </c>
      <c r="MP3" s="1" t="s">
        <v>70</v>
      </c>
      <c r="MR3" s="1">
        <v>0</v>
      </c>
      <c r="MT3" s="1" t="s">
        <v>119</v>
      </c>
      <c r="NG3" s="1">
        <v>3</v>
      </c>
      <c r="NH3" s="1" t="s">
        <v>125</v>
      </c>
      <c r="NO3" s="1" t="s">
        <v>39</v>
      </c>
      <c r="NQ3" s="1">
        <v>1</v>
      </c>
      <c r="NS3" s="1" t="s">
        <v>119</v>
      </c>
      <c r="NW3" s="7">
        <v>12</v>
      </c>
      <c r="OF3" s="1">
        <v>3</v>
      </c>
      <c r="OG3" s="1" t="s">
        <v>125</v>
      </c>
      <c r="ON3" s="1" t="s">
        <v>39</v>
      </c>
      <c r="OP3" s="1">
        <v>1</v>
      </c>
      <c r="OR3" s="1" t="s">
        <v>119</v>
      </c>
      <c r="OV3" s="7">
        <v>12</v>
      </c>
      <c r="PE3" s="1">
        <v>3</v>
      </c>
      <c r="PF3" s="1" t="s">
        <v>125</v>
      </c>
    </row>
    <row r="4" spans="1:424" x14ac:dyDescent="0.55000000000000004">
      <c r="D4" s="1" t="s">
        <v>40</v>
      </c>
      <c r="F4" s="1">
        <v>1</v>
      </c>
      <c r="H4" s="1" t="s">
        <v>120</v>
      </c>
      <c r="U4" s="1">
        <v>6</v>
      </c>
      <c r="AC4" s="1" t="s">
        <v>40</v>
      </c>
      <c r="AE4" s="1">
        <v>1</v>
      </c>
      <c r="AG4" s="1" t="s">
        <v>120</v>
      </c>
      <c r="AT4" s="1">
        <v>6</v>
      </c>
      <c r="BB4" s="1" t="s">
        <v>40</v>
      </c>
      <c r="BD4" s="7">
        <v>1</v>
      </c>
      <c r="BF4" s="1" t="s">
        <v>120</v>
      </c>
      <c r="BS4" s="1">
        <v>6</v>
      </c>
      <c r="CA4" s="1" t="s">
        <v>40</v>
      </c>
      <c r="CC4" s="1">
        <v>1</v>
      </c>
      <c r="CE4" s="1" t="s">
        <v>120</v>
      </c>
      <c r="CR4" s="1">
        <v>6</v>
      </c>
      <c r="CZ4" s="1" t="s">
        <v>40</v>
      </c>
      <c r="DB4" s="1">
        <v>1</v>
      </c>
      <c r="DD4" s="1" t="s">
        <v>120</v>
      </c>
      <c r="DQ4" s="1">
        <v>6</v>
      </c>
      <c r="DY4" s="1" t="s">
        <v>40</v>
      </c>
      <c r="EA4" s="1">
        <v>1</v>
      </c>
      <c r="EC4" s="1" t="s">
        <v>120</v>
      </c>
      <c r="EP4" s="1">
        <v>6</v>
      </c>
      <c r="EX4" s="1" t="s">
        <v>40</v>
      </c>
      <c r="EZ4" s="1">
        <v>1</v>
      </c>
      <c r="FB4" s="1" t="s">
        <v>120</v>
      </c>
      <c r="FO4" s="1">
        <v>6</v>
      </c>
      <c r="FW4" s="1" t="s">
        <v>40</v>
      </c>
      <c r="FY4" s="1">
        <v>1</v>
      </c>
      <c r="GA4" s="1" t="s">
        <v>120</v>
      </c>
      <c r="GN4" s="1">
        <v>6</v>
      </c>
      <c r="GV4" s="1" t="s">
        <v>40</v>
      </c>
      <c r="GX4" s="1">
        <v>1</v>
      </c>
      <c r="GZ4" s="1" t="s">
        <v>120</v>
      </c>
      <c r="HM4" s="1">
        <v>6</v>
      </c>
      <c r="HU4" s="1" t="s">
        <v>79</v>
      </c>
      <c r="HW4" s="1">
        <v>1</v>
      </c>
      <c r="HY4" s="1" t="s">
        <v>120</v>
      </c>
      <c r="IL4" s="1">
        <v>6</v>
      </c>
      <c r="IT4" s="1" t="s">
        <v>65</v>
      </c>
      <c r="IV4" s="1">
        <v>1</v>
      </c>
      <c r="IX4" s="1" t="s">
        <v>120</v>
      </c>
      <c r="JK4" s="1">
        <v>6</v>
      </c>
      <c r="JS4" s="1" t="s">
        <v>47</v>
      </c>
      <c r="JU4" s="1">
        <v>1</v>
      </c>
      <c r="JW4" s="1" t="s">
        <v>120</v>
      </c>
      <c r="KJ4" s="1">
        <v>6</v>
      </c>
      <c r="KR4" s="1" t="s">
        <v>85</v>
      </c>
      <c r="KT4" s="1">
        <v>-1</v>
      </c>
      <c r="KV4" s="1" t="s">
        <v>120</v>
      </c>
      <c r="LI4" s="1">
        <v>6</v>
      </c>
      <c r="LQ4" s="1" t="s">
        <v>51</v>
      </c>
      <c r="LS4" s="1">
        <v>-1</v>
      </c>
      <c r="LU4" s="1" t="s">
        <v>120</v>
      </c>
      <c r="MH4" s="1">
        <v>6</v>
      </c>
      <c r="MP4" s="1" t="s">
        <v>71</v>
      </c>
      <c r="MR4" s="1">
        <v>1</v>
      </c>
      <c r="MT4" s="1" t="s">
        <v>120</v>
      </c>
      <c r="NG4" s="1">
        <v>6</v>
      </c>
      <c r="NO4" s="1" t="s">
        <v>40</v>
      </c>
      <c r="NQ4" s="1">
        <v>1</v>
      </c>
      <c r="NS4" s="1" t="s">
        <v>120</v>
      </c>
      <c r="OF4" s="1">
        <v>6</v>
      </c>
      <c r="ON4" s="1" t="s">
        <v>40</v>
      </c>
      <c r="OP4" s="1">
        <v>1</v>
      </c>
      <c r="OR4" s="1" t="s">
        <v>120</v>
      </c>
      <c r="PE4" s="1">
        <v>6</v>
      </c>
    </row>
    <row r="5" spans="1:424" x14ac:dyDescent="0.55000000000000004">
      <c r="D5" s="1" t="s">
        <v>41</v>
      </c>
      <c r="F5" s="1">
        <v>1</v>
      </c>
      <c r="U5" s="1">
        <v>12</v>
      </c>
      <c r="AC5" s="1" t="s">
        <v>41</v>
      </c>
      <c r="AE5" s="1">
        <v>1</v>
      </c>
      <c r="AT5" s="1">
        <v>12</v>
      </c>
      <c r="BB5" s="1" t="s">
        <v>41</v>
      </c>
      <c r="BD5" s="7">
        <v>1</v>
      </c>
      <c r="BS5" s="1">
        <v>12</v>
      </c>
      <c r="CA5" s="1" t="s">
        <v>41</v>
      </c>
      <c r="CC5" s="1">
        <v>1</v>
      </c>
      <c r="CR5" s="1">
        <v>12</v>
      </c>
      <c r="CZ5" s="1" t="s">
        <v>41</v>
      </c>
      <c r="DB5" s="1">
        <v>1</v>
      </c>
      <c r="DQ5" s="1">
        <v>12</v>
      </c>
      <c r="DY5" s="1" t="s">
        <v>41</v>
      </c>
      <c r="EA5" s="1">
        <v>1</v>
      </c>
      <c r="EP5" s="1">
        <v>12</v>
      </c>
      <c r="EX5" s="1" t="s">
        <v>41</v>
      </c>
      <c r="EZ5" s="1">
        <v>1</v>
      </c>
      <c r="FO5" s="1">
        <v>12</v>
      </c>
      <c r="FW5" s="1" t="s">
        <v>41</v>
      </c>
      <c r="FY5" s="1">
        <v>1</v>
      </c>
      <c r="GN5" s="1">
        <v>12</v>
      </c>
      <c r="GV5" s="1" t="s">
        <v>41</v>
      </c>
      <c r="GX5" s="1">
        <v>1</v>
      </c>
      <c r="HM5" s="1">
        <v>12</v>
      </c>
      <c r="HU5" s="1" t="s">
        <v>80</v>
      </c>
      <c r="HW5" s="1">
        <v>1</v>
      </c>
      <c r="IL5" s="1">
        <v>12</v>
      </c>
      <c r="IT5" s="1" t="s">
        <v>66</v>
      </c>
      <c r="IV5" s="1">
        <v>1</v>
      </c>
      <c r="JK5" s="1">
        <v>12</v>
      </c>
      <c r="JS5" s="1" t="s">
        <v>48</v>
      </c>
      <c r="JU5" s="1">
        <v>1</v>
      </c>
      <c r="KJ5" s="1">
        <v>12</v>
      </c>
      <c r="LI5" s="1">
        <v>12</v>
      </c>
      <c r="LQ5" s="1" t="s">
        <v>52</v>
      </c>
      <c r="LS5" s="1">
        <v>-1</v>
      </c>
      <c r="MP5" s="1" t="s">
        <v>72</v>
      </c>
      <c r="MR5" s="1">
        <v>1</v>
      </c>
      <c r="NO5" s="1" t="s">
        <v>41</v>
      </c>
      <c r="NQ5" s="1">
        <v>1</v>
      </c>
      <c r="OF5" s="1">
        <v>12</v>
      </c>
      <c r="ON5" s="1" t="s">
        <v>41</v>
      </c>
      <c r="OP5" s="1">
        <v>1</v>
      </c>
      <c r="PE5" s="1">
        <v>12</v>
      </c>
    </row>
    <row r="6" spans="1:424" x14ac:dyDescent="0.55000000000000004">
      <c r="D6" s="1" t="s">
        <v>42</v>
      </c>
      <c r="F6" s="1">
        <v>1</v>
      </c>
      <c r="AC6" s="1" t="s">
        <v>42</v>
      </c>
      <c r="AE6" s="1">
        <v>1</v>
      </c>
      <c r="BB6" s="1" t="s">
        <v>42</v>
      </c>
      <c r="BD6" s="7">
        <v>1</v>
      </c>
      <c r="CA6" s="1" t="s">
        <v>42</v>
      </c>
      <c r="CC6" s="1">
        <v>1</v>
      </c>
      <c r="CZ6" s="1" t="s">
        <v>42</v>
      </c>
      <c r="DB6" s="1">
        <v>1</v>
      </c>
      <c r="DY6" s="1" t="s">
        <v>42</v>
      </c>
      <c r="EA6" s="1">
        <v>1</v>
      </c>
      <c r="EX6" s="1" t="s">
        <v>42</v>
      </c>
      <c r="EZ6" s="1">
        <v>1</v>
      </c>
      <c r="FW6" s="1" t="s">
        <v>42</v>
      </c>
      <c r="FY6" s="1">
        <v>1</v>
      </c>
      <c r="GV6" s="1" t="s">
        <v>42</v>
      </c>
      <c r="GX6" s="1">
        <v>1</v>
      </c>
      <c r="HU6" s="1" t="s">
        <v>81</v>
      </c>
      <c r="HW6" s="1">
        <v>1</v>
      </c>
      <c r="IT6" s="1" t="s">
        <v>67</v>
      </c>
      <c r="IV6" s="1">
        <v>-1</v>
      </c>
      <c r="LQ6" s="1" t="s">
        <v>53</v>
      </c>
      <c r="LS6" s="1">
        <v>-1</v>
      </c>
      <c r="MP6" s="1" t="s">
        <v>73</v>
      </c>
      <c r="MR6" s="1">
        <v>1</v>
      </c>
      <c r="NO6" s="1" t="s">
        <v>42</v>
      </c>
      <c r="NQ6" s="1">
        <v>1</v>
      </c>
      <c r="ON6" s="1" t="s">
        <v>42</v>
      </c>
      <c r="OP6" s="1">
        <v>1</v>
      </c>
    </row>
    <row r="7" spans="1:424" x14ac:dyDescent="0.55000000000000004">
      <c r="D7" s="1" t="s">
        <v>43</v>
      </c>
      <c r="F7" s="1">
        <v>1</v>
      </c>
      <c r="AC7" s="1" t="s">
        <v>43</v>
      </c>
      <c r="AE7" s="1">
        <v>1</v>
      </c>
      <c r="BB7" s="1" t="s">
        <v>43</v>
      </c>
      <c r="BD7" s="7">
        <v>1</v>
      </c>
      <c r="CA7" s="1" t="s">
        <v>43</v>
      </c>
      <c r="CC7" s="1">
        <v>1</v>
      </c>
      <c r="CZ7" s="1" t="s">
        <v>43</v>
      </c>
      <c r="DB7" s="1">
        <v>1</v>
      </c>
      <c r="DY7" s="1" t="s">
        <v>43</v>
      </c>
      <c r="EA7" s="1">
        <v>1</v>
      </c>
      <c r="EX7" s="1" t="s">
        <v>43</v>
      </c>
      <c r="EZ7" s="1">
        <v>1</v>
      </c>
      <c r="FW7" s="1" t="s">
        <v>43</v>
      </c>
      <c r="FY7" s="1">
        <v>1</v>
      </c>
      <c r="GV7" s="1" t="s">
        <v>43</v>
      </c>
      <c r="GX7" s="1">
        <v>1</v>
      </c>
      <c r="HU7" s="1" t="s">
        <v>82</v>
      </c>
      <c r="HW7" s="1">
        <v>1</v>
      </c>
      <c r="IT7" s="1" t="s">
        <v>68</v>
      </c>
      <c r="IV7" s="1">
        <v>1</v>
      </c>
      <c r="LQ7" s="1" t="s">
        <v>54</v>
      </c>
      <c r="LS7" s="1">
        <v>-1</v>
      </c>
      <c r="MP7" s="1" t="s">
        <v>74</v>
      </c>
      <c r="MR7" s="1">
        <v>1</v>
      </c>
      <c r="NO7" s="1" t="s">
        <v>43</v>
      </c>
      <c r="NQ7" s="1">
        <v>1</v>
      </c>
      <c r="ON7" s="1" t="s">
        <v>43</v>
      </c>
      <c r="OP7" s="1">
        <v>1</v>
      </c>
    </row>
    <row r="8" spans="1:424" x14ac:dyDescent="0.55000000000000004">
      <c r="D8" s="1" t="s">
        <v>126</v>
      </c>
      <c r="F8" s="1">
        <v>1</v>
      </c>
      <c r="AC8" s="1" t="s">
        <v>126</v>
      </c>
      <c r="AE8" s="1">
        <v>1</v>
      </c>
      <c r="BB8" s="1" t="s">
        <v>126</v>
      </c>
      <c r="BD8" s="7">
        <v>1</v>
      </c>
      <c r="DY8" s="1" t="s">
        <v>126</v>
      </c>
      <c r="EA8" s="1">
        <v>1</v>
      </c>
      <c r="EX8" s="1" t="s">
        <v>126</v>
      </c>
      <c r="EZ8" s="1">
        <v>1</v>
      </c>
      <c r="FW8" s="1" t="s">
        <v>126</v>
      </c>
      <c r="FY8" s="1">
        <v>1</v>
      </c>
      <c r="GV8" s="1" t="s">
        <v>126</v>
      </c>
      <c r="GX8" s="1">
        <v>1</v>
      </c>
      <c r="LQ8" s="1" t="s">
        <v>55</v>
      </c>
      <c r="LS8" s="1">
        <v>-1</v>
      </c>
      <c r="MP8" s="1" t="s">
        <v>75</v>
      </c>
      <c r="MR8" s="1">
        <v>1</v>
      </c>
      <c r="NO8" s="1" t="s">
        <v>126</v>
      </c>
      <c r="NQ8" s="1">
        <v>1</v>
      </c>
      <c r="ON8" s="1" t="s">
        <v>126</v>
      </c>
      <c r="OP8" s="1">
        <v>1</v>
      </c>
    </row>
    <row r="9" spans="1:424" x14ac:dyDescent="0.55000000000000004">
      <c r="D9" s="1" t="s">
        <v>127</v>
      </c>
      <c r="F9" s="1">
        <v>1</v>
      </c>
      <c r="AC9" s="1" t="s">
        <v>127</v>
      </c>
      <c r="AE9" s="1">
        <v>1</v>
      </c>
      <c r="BB9" s="1" t="s">
        <v>127</v>
      </c>
      <c r="BD9" s="7">
        <v>1</v>
      </c>
      <c r="DY9" s="1" t="s">
        <v>127</v>
      </c>
      <c r="EA9" s="1">
        <v>1</v>
      </c>
      <c r="EX9" s="1" t="s">
        <v>127</v>
      </c>
      <c r="EZ9" s="1">
        <v>1</v>
      </c>
      <c r="FW9" s="1" t="s">
        <v>127</v>
      </c>
      <c r="FY9" s="1">
        <v>1</v>
      </c>
      <c r="GV9" s="1" t="s">
        <v>127</v>
      </c>
      <c r="GX9" s="1">
        <v>1</v>
      </c>
      <c r="LQ9" s="1" t="s">
        <v>56</v>
      </c>
      <c r="LS9" s="1">
        <v>-1</v>
      </c>
      <c r="MP9" s="1" t="s">
        <v>76</v>
      </c>
      <c r="MR9" s="1">
        <v>1</v>
      </c>
      <c r="NO9" s="1" t="s">
        <v>127</v>
      </c>
      <c r="NQ9" s="1">
        <v>1</v>
      </c>
      <c r="ON9" s="1" t="s">
        <v>127</v>
      </c>
      <c r="OP9" s="1">
        <v>1</v>
      </c>
    </row>
    <row r="10" spans="1:424" x14ac:dyDescent="0.55000000000000004">
      <c r="D10" s="1" t="s">
        <v>128</v>
      </c>
      <c r="F10" s="1">
        <v>1</v>
      </c>
      <c r="AC10" s="1" t="s">
        <v>128</v>
      </c>
      <c r="AE10" s="1">
        <v>1</v>
      </c>
      <c r="BB10" s="1" t="s">
        <v>128</v>
      </c>
      <c r="BD10" s="7">
        <v>1</v>
      </c>
      <c r="DY10" s="1" t="s">
        <v>128</v>
      </c>
      <c r="EA10" s="1">
        <v>1</v>
      </c>
      <c r="EX10" s="1" t="s">
        <v>128</v>
      </c>
      <c r="EZ10" s="1">
        <v>1</v>
      </c>
      <c r="FW10" s="1" t="s">
        <v>128</v>
      </c>
      <c r="FY10" s="1">
        <v>1</v>
      </c>
      <c r="GV10" s="1" t="s">
        <v>128</v>
      </c>
      <c r="GX10" s="1">
        <v>1</v>
      </c>
      <c r="LQ10" s="1" t="s">
        <v>57</v>
      </c>
      <c r="LS10" s="1">
        <v>-1</v>
      </c>
      <c r="NO10" s="1" t="s">
        <v>128</v>
      </c>
      <c r="NQ10" s="1">
        <v>1</v>
      </c>
      <c r="ON10" s="1" t="s">
        <v>128</v>
      </c>
      <c r="OP10" s="1">
        <v>1</v>
      </c>
    </row>
    <row r="11" spans="1:424" x14ac:dyDescent="0.55000000000000004">
      <c r="D11" s="1" t="s">
        <v>129</v>
      </c>
      <c r="F11" s="1">
        <v>1</v>
      </c>
      <c r="AC11" s="1" t="s">
        <v>129</v>
      </c>
      <c r="AE11" s="1">
        <v>1</v>
      </c>
      <c r="BB11" s="1" t="s">
        <v>129</v>
      </c>
      <c r="BD11" s="7">
        <v>1</v>
      </c>
      <c r="DY11" s="1" t="s">
        <v>129</v>
      </c>
      <c r="EA11" s="1">
        <v>1</v>
      </c>
      <c r="EX11" s="1" t="s">
        <v>129</v>
      </c>
      <c r="EZ11" s="1">
        <v>1</v>
      </c>
      <c r="FW11" s="1" t="s">
        <v>129</v>
      </c>
      <c r="FY11" s="1">
        <v>1</v>
      </c>
      <c r="GV11" s="1" t="s">
        <v>129</v>
      </c>
      <c r="GX11" s="1">
        <v>1</v>
      </c>
      <c r="LQ11" s="1" t="s">
        <v>58</v>
      </c>
      <c r="LS11" s="1">
        <v>-1</v>
      </c>
      <c r="NO11" s="1" t="s">
        <v>129</v>
      </c>
      <c r="NQ11" s="1">
        <v>1</v>
      </c>
      <c r="ON11" s="1" t="s">
        <v>129</v>
      </c>
      <c r="OP11" s="1">
        <v>1</v>
      </c>
    </row>
    <row r="12" spans="1:424" x14ac:dyDescent="0.55000000000000004">
      <c r="D12" s="1" t="s">
        <v>130</v>
      </c>
      <c r="F12" s="1">
        <v>1</v>
      </c>
      <c r="AC12" s="1" t="s">
        <v>130</v>
      </c>
      <c r="AE12" s="1">
        <v>1</v>
      </c>
      <c r="BB12" s="1" t="s">
        <v>130</v>
      </c>
      <c r="BD12" s="7">
        <v>1</v>
      </c>
      <c r="DY12" s="1" t="s">
        <v>130</v>
      </c>
      <c r="EA12" s="1">
        <v>1</v>
      </c>
      <c r="EX12" s="1" t="s">
        <v>130</v>
      </c>
      <c r="EZ12" s="1">
        <v>1</v>
      </c>
      <c r="FW12" s="1" t="s">
        <v>130</v>
      </c>
      <c r="FY12" s="1">
        <v>1</v>
      </c>
      <c r="GV12" s="1" t="s">
        <v>130</v>
      </c>
      <c r="GX12" s="1">
        <v>1</v>
      </c>
      <c r="LQ12" s="1" t="s">
        <v>59</v>
      </c>
      <c r="LS12" s="1">
        <v>-1</v>
      </c>
      <c r="NO12" s="1" t="s">
        <v>130</v>
      </c>
      <c r="NQ12" s="1">
        <v>1</v>
      </c>
      <c r="ON12" s="1" t="s">
        <v>130</v>
      </c>
      <c r="OP12" s="1">
        <v>1</v>
      </c>
      <c r="OQ12" s="20"/>
      <c r="OR12" s="20"/>
      <c r="OT12" s="20"/>
      <c r="OU12" s="20"/>
      <c r="OW12" s="20"/>
      <c r="PD12" s="20"/>
      <c r="PF12" s="20"/>
      <c r="PG12" s="20"/>
      <c r="PH12" s="20"/>
    </row>
    <row r="13" spans="1:424" x14ac:dyDescent="0.55000000000000004">
      <c r="D13" s="1" t="s">
        <v>131</v>
      </c>
      <c r="F13" s="1">
        <v>1</v>
      </c>
      <c r="AC13" s="1" t="s">
        <v>131</v>
      </c>
      <c r="AE13" s="1">
        <v>1</v>
      </c>
      <c r="BB13" s="1" t="s">
        <v>131</v>
      </c>
      <c r="BD13" s="7">
        <v>1</v>
      </c>
      <c r="DY13" s="1" t="s">
        <v>131</v>
      </c>
      <c r="EA13" s="1">
        <v>1</v>
      </c>
      <c r="EX13" s="1" t="s">
        <v>131</v>
      </c>
      <c r="EZ13" s="1">
        <v>1</v>
      </c>
      <c r="FW13" s="1" t="s">
        <v>131</v>
      </c>
      <c r="FY13" s="1">
        <v>1</v>
      </c>
      <c r="GV13" s="1" t="s">
        <v>131</v>
      </c>
      <c r="GX13" s="1">
        <v>1</v>
      </c>
      <c r="LQ13" s="1" t="s">
        <v>60</v>
      </c>
      <c r="LS13" s="1">
        <v>-1</v>
      </c>
      <c r="NO13" s="1" t="s">
        <v>131</v>
      </c>
      <c r="NQ13" s="1">
        <v>1</v>
      </c>
      <c r="ON13" s="1" t="s">
        <v>131</v>
      </c>
      <c r="OP13" s="1">
        <v>1</v>
      </c>
    </row>
    <row r="14" spans="1:424" x14ac:dyDescent="0.55000000000000004">
      <c r="D14" s="1" t="s">
        <v>132</v>
      </c>
      <c r="F14" s="1">
        <v>1</v>
      </c>
      <c r="AC14" s="1" t="s">
        <v>132</v>
      </c>
      <c r="AE14" s="1">
        <v>1</v>
      </c>
      <c r="BB14" s="1" t="s">
        <v>132</v>
      </c>
      <c r="BD14" s="7">
        <v>1</v>
      </c>
      <c r="DY14" s="1" t="s">
        <v>132</v>
      </c>
      <c r="EA14" s="1">
        <v>1</v>
      </c>
      <c r="EX14" s="1" t="s">
        <v>132</v>
      </c>
      <c r="EZ14" s="1">
        <v>1</v>
      </c>
      <c r="FW14" s="1" t="s">
        <v>132</v>
      </c>
      <c r="FY14" s="1">
        <v>1</v>
      </c>
      <c r="GV14" s="1" t="s">
        <v>132</v>
      </c>
      <c r="GX14" s="1">
        <v>1</v>
      </c>
      <c r="LQ14" s="1" t="s">
        <v>61</v>
      </c>
      <c r="LS14" s="1">
        <v>-1</v>
      </c>
      <c r="NO14" s="1" t="s">
        <v>132</v>
      </c>
      <c r="NQ14" s="1">
        <v>1</v>
      </c>
      <c r="ON14" s="1" t="s">
        <v>132</v>
      </c>
      <c r="OP14" s="1">
        <v>1</v>
      </c>
    </row>
    <row r="15" spans="1:424" x14ac:dyDescent="0.55000000000000004">
      <c r="D15" s="1" t="s">
        <v>133</v>
      </c>
      <c r="F15" s="1">
        <v>1</v>
      </c>
      <c r="AC15" s="1" t="s">
        <v>133</v>
      </c>
      <c r="AE15" s="1">
        <v>1</v>
      </c>
      <c r="BB15" s="1" t="s">
        <v>133</v>
      </c>
      <c r="BD15" s="7">
        <v>1</v>
      </c>
      <c r="DY15" s="1" t="s">
        <v>133</v>
      </c>
      <c r="EA15" s="1">
        <v>1</v>
      </c>
      <c r="EX15" s="1" t="s">
        <v>133</v>
      </c>
      <c r="EZ15" s="1">
        <v>1</v>
      </c>
      <c r="FW15" s="1" t="s">
        <v>133</v>
      </c>
      <c r="FY15" s="1">
        <v>1</v>
      </c>
      <c r="GV15" s="1" t="s">
        <v>133</v>
      </c>
      <c r="GX15" s="1">
        <v>1</v>
      </c>
      <c r="LQ15" s="1" t="s">
        <v>62</v>
      </c>
      <c r="LS15" s="1">
        <v>-1</v>
      </c>
      <c r="NO15" s="1" t="s">
        <v>133</v>
      </c>
      <c r="NQ15" s="1">
        <v>1</v>
      </c>
      <c r="ON15" s="1" t="s">
        <v>133</v>
      </c>
      <c r="OP15" s="1">
        <v>1</v>
      </c>
    </row>
    <row r="16" spans="1:424" x14ac:dyDescent="0.55000000000000004">
      <c r="D16" s="1" t="s">
        <v>134</v>
      </c>
      <c r="F16" s="1">
        <v>1</v>
      </c>
      <c r="AC16" s="1" t="s">
        <v>134</v>
      </c>
      <c r="AE16" s="1">
        <v>1</v>
      </c>
      <c r="BB16" s="1" t="s">
        <v>134</v>
      </c>
      <c r="BD16" s="7">
        <v>1</v>
      </c>
      <c r="DY16" s="1" t="s">
        <v>134</v>
      </c>
      <c r="EA16" s="1">
        <v>1</v>
      </c>
      <c r="EX16" s="1" t="s">
        <v>134</v>
      </c>
      <c r="EZ16" s="1">
        <v>1</v>
      </c>
      <c r="FW16" s="1" t="s">
        <v>134</v>
      </c>
      <c r="FY16" s="1">
        <v>1</v>
      </c>
      <c r="GV16" s="1" t="s">
        <v>134</v>
      </c>
      <c r="GX16" s="1">
        <v>1</v>
      </c>
      <c r="NO16" s="1" t="s">
        <v>134</v>
      </c>
      <c r="NQ16" s="1">
        <v>1</v>
      </c>
      <c r="ON16" s="1" t="s">
        <v>134</v>
      </c>
      <c r="OP16" s="1">
        <v>1</v>
      </c>
    </row>
    <row r="17" spans="4:406" x14ac:dyDescent="0.55000000000000004">
      <c r="D17" s="1" t="s">
        <v>135</v>
      </c>
      <c r="F17" s="1">
        <v>1</v>
      </c>
      <c r="AC17" s="1" t="s">
        <v>135</v>
      </c>
      <c r="AE17" s="1">
        <v>1</v>
      </c>
      <c r="BB17" s="1" t="s">
        <v>135</v>
      </c>
      <c r="BD17" s="7">
        <v>1</v>
      </c>
      <c r="DY17" s="1" t="s">
        <v>135</v>
      </c>
      <c r="EA17" s="1">
        <v>1</v>
      </c>
      <c r="EX17" s="1" t="s">
        <v>135</v>
      </c>
      <c r="EZ17" s="1">
        <v>1</v>
      </c>
      <c r="FW17" s="1" t="s">
        <v>135</v>
      </c>
      <c r="FY17" s="1">
        <v>1</v>
      </c>
      <c r="GV17" s="1" t="s">
        <v>135</v>
      </c>
      <c r="GX17" s="1">
        <v>1</v>
      </c>
      <c r="NO17" s="1" t="s">
        <v>135</v>
      </c>
      <c r="NQ17" s="1">
        <v>1</v>
      </c>
      <c r="ON17" s="1" t="s">
        <v>135</v>
      </c>
      <c r="OP17" s="1">
        <v>1</v>
      </c>
    </row>
    <row r="18" spans="4:406" x14ac:dyDescent="0.55000000000000004">
      <c r="D18" s="1" t="s">
        <v>136</v>
      </c>
      <c r="F18" s="1">
        <v>1</v>
      </c>
      <c r="AC18" s="1" t="s">
        <v>136</v>
      </c>
      <c r="AE18" s="1">
        <v>1</v>
      </c>
      <c r="BB18" s="1" t="s">
        <v>136</v>
      </c>
      <c r="BD18" s="7">
        <v>1</v>
      </c>
      <c r="DY18" s="1" t="s">
        <v>136</v>
      </c>
      <c r="EA18" s="1">
        <v>1</v>
      </c>
      <c r="EX18" s="1" t="s">
        <v>136</v>
      </c>
      <c r="EZ18" s="1">
        <v>1</v>
      </c>
      <c r="FW18" s="1" t="s">
        <v>136</v>
      </c>
      <c r="FY18" s="1">
        <v>1</v>
      </c>
      <c r="GV18" s="1" t="s">
        <v>136</v>
      </c>
      <c r="GX18" s="1">
        <v>1</v>
      </c>
      <c r="NO18" s="1" t="s">
        <v>136</v>
      </c>
      <c r="NQ18" s="1">
        <v>1</v>
      </c>
      <c r="ON18" s="1" t="s">
        <v>136</v>
      </c>
      <c r="OP18" s="1">
        <v>1</v>
      </c>
    </row>
    <row r="19" spans="4:406" x14ac:dyDescent="0.55000000000000004">
      <c r="D19" s="1" t="s">
        <v>137</v>
      </c>
      <c r="F19" s="1">
        <v>1</v>
      </c>
      <c r="AC19" s="1" t="s">
        <v>137</v>
      </c>
      <c r="AE19" s="1">
        <v>1</v>
      </c>
      <c r="BB19" s="1" t="s">
        <v>137</v>
      </c>
      <c r="BD19" s="7">
        <v>1</v>
      </c>
      <c r="DY19" s="1" t="s">
        <v>137</v>
      </c>
      <c r="EA19" s="1">
        <v>1</v>
      </c>
      <c r="EX19" s="1" t="s">
        <v>137</v>
      </c>
      <c r="EZ19" s="1">
        <v>1</v>
      </c>
      <c r="FW19" s="1" t="s">
        <v>137</v>
      </c>
      <c r="FY19" s="1">
        <v>1</v>
      </c>
      <c r="GV19" s="1" t="s">
        <v>137</v>
      </c>
      <c r="GX19" s="1">
        <v>1</v>
      </c>
      <c r="NO19" s="1" t="s">
        <v>137</v>
      </c>
      <c r="NQ19" s="1">
        <v>1</v>
      </c>
      <c r="ON19" s="1" t="s">
        <v>137</v>
      </c>
      <c r="OP19" s="1">
        <v>1</v>
      </c>
    </row>
    <row r="20" spans="4:406" x14ac:dyDescent="0.55000000000000004">
      <c r="BD20" s="7"/>
      <c r="DY20" s="1" t="s">
        <v>162</v>
      </c>
      <c r="EA20" s="1">
        <v>0</v>
      </c>
      <c r="EX20" s="1" t="s">
        <v>162</v>
      </c>
      <c r="EZ20" s="1">
        <v>0</v>
      </c>
      <c r="FW20" s="1" t="s">
        <v>162</v>
      </c>
      <c r="FY20" s="1">
        <v>0</v>
      </c>
      <c r="NO20" s="1" t="s">
        <v>162</v>
      </c>
      <c r="NQ20" s="1">
        <v>0</v>
      </c>
      <c r="ON20" s="1" t="s">
        <v>162</v>
      </c>
      <c r="OP20" s="1">
        <v>0</v>
      </c>
    </row>
    <row r="21" spans="4:406" x14ac:dyDescent="0.55000000000000004">
      <c r="DY21" s="1" t="s">
        <v>163</v>
      </c>
      <c r="EA21" s="1">
        <v>0</v>
      </c>
      <c r="EX21" s="1" t="s">
        <v>163</v>
      </c>
      <c r="EZ21" s="1">
        <v>0</v>
      </c>
      <c r="FW21" s="1" t="s">
        <v>163</v>
      </c>
      <c r="FY21" s="1">
        <v>0</v>
      </c>
      <c r="NO21" s="1" t="s">
        <v>163</v>
      </c>
      <c r="NQ21" s="1">
        <v>0</v>
      </c>
      <c r="ON21" s="1" t="s">
        <v>163</v>
      </c>
      <c r="OP21" s="1">
        <v>0</v>
      </c>
    </row>
    <row r="22" spans="4:406" x14ac:dyDescent="0.55000000000000004">
      <c r="DY22" s="1" t="s">
        <v>164</v>
      </c>
      <c r="EA22" s="1">
        <v>0</v>
      </c>
      <c r="EX22" s="1" t="s">
        <v>164</v>
      </c>
      <c r="EZ22" s="1">
        <v>0</v>
      </c>
      <c r="FW22" s="1" t="s">
        <v>164</v>
      </c>
      <c r="FY22" s="1">
        <v>0</v>
      </c>
      <c r="NO22" s="1" t="s">
        <v>164</v>
      </c>
      <c r="NQ22" s="1">
        <v>0</v>
      </c>
      <c r="ON22" s="1" t="s">
        <v>164</v>
      </c>
      <c r="OP22" s="1">
        <v>0</v>
      </c>
    </row>
    <row r="23" spans="4:406" x14ac:dyDescent="0.55000000000000004">
      <c r="DY23" s="1" t="s">
        <v>165</v>
      </c>
      <c r="EA23" s="1">
        <v>0</v>
      </c>
      <c r="EX23" s="1" t="s">
        <v>165</v>
      </c>
      <c r="EZ23" s="1">
        <v>0</v>
      </c>
      <c r="FW23" s="1" t="s">
        <v>165</v>
      </c>
      <c r="FY23" s="1">
        <v>0</v>
      </c>
      <c r="NO23" s="1" t="s">
        <v>165</v>
      </c>
      <c r="NQ23" s="1">
        <v>0</v>
      </c>
      <c r="ON23" s="1" t="s">
        <v>165</v>
      </c>
      <c r="OP23" s="1">
        <v>0</v>
      </c>
    </row>
    <row r="24" spans="4:406" x14ac:dyDescent="0.55000000000000004">
      <c r="DY24" s="1" t="s">
        <v>166</v>
      </c>
      <c r="EA24" s="1">
        <v>0</v>
      </c>
      <c r="EX24" s="1" t="s">
        <v>166</v>
      </c>
      <c r="EZ24" s="1">
        <v>0</v>
      </c>
      <c r="FW24" s="1" t="s">
        <v>166</v>
      </c>
      <c r="FY24" s="1">
        <v>0</v>
      </c>
      <c r="NO24" s="1" t="s">
        <v>166</v>
      </c>
      <c r="NQ24" s="1">
        <v>0</v>
      </c>
      <c r="ON24" s="1" t="s">
        <v>166</v>
      </c>
      <c r="OP24" s="1">
        <v>0</v>
      </c>
    </row>
    <row r="25" spans="4:406" x14ac:dyDescent="0.55000000000000004">
      <c r="DY25" s="1" t="s">
        <v>167</v>
      </c>
      <c r="EA25" s="1">
        <v>0</v>
      </c>
      <c r="EX25" s="1" t="s">
        <v>167</v>
      </c>
      <c r="EZ25" s="1">
        <v>0</v>
      </c>
      <c r="FW25" s="1" t="s">
        <v>167</v>
      </c>
      <c r="FY25" s="1">
        <v>0</v>
      </c>
      <c r="NO25" s="1" t="s">
        <v>167</v>
      </c>
      <c r="NQ25" s="1">
        <v>0</v>
      </c>
      <c r="ON25" s="1" t="s">
        <v>167</v>
      </c>
      <c r="OP25" s="1">
        <v>0</v>
      </c>
    </row>
    <row r="26" spans="4:406" x14ac:dyDescent="0.55000000000000004">
      <c r="DY26" s="1" t="s">
        <v>168</v>
      </c>
      <c r="EA26" s="1">
        <v>0</v>
      </c>
      <c r="EX26" s="1" t="s">
        <v>168</v>
      </c>
      <c r="EZ26" s="1">
        <v>0</v>
      </c>
      <c r="FW26" s="1" t="s">
        <v>168</v>
      </c>
      <c r="FY26" s="1">
        <v>0</v>
      </c>
      <c r="NO26" s="1" t="s">
        <v>168</v>
      </c>
      <c r="NQ26" s="1">
        <v>0</v>
      </c>
      <c r="ON26" s="1" t="s">
        <v>168</v>
      </c>
      <c r="OP26" s="1">
        <v>0</v>
      </c>
    </row>
    <row r="27" spans="4:406" x14ac:dyDescent="0.55000000000000004">
      <c r="DY27" s="1" t="s">
        <v>169</v>
      </c>
      <c r="EA27" s="1">
        <v>0</v>
      </c>
      <c r="EX27" s="1" t="s">
        <v>169</v>
      </c>
      <c r="EZ27" s="1">
        <v>0</v>
      </c>
      <c r="FW27" s="1" t="s">
        <v>169</v>
      </c>
      <c r="FY27" s="1">
        <v>0</v>
      </c>
      <c r="NO27" s="1" t="s">
        <v>169</v>
      </c>
      <c r="NQ27" s="1">
        <v>0</v>
      </c>
      <c r="ON27" s="1" t="s">
        <v>169</v>
      </c>
      <c r="OP27" s="1">
        <v>0</v>
      </c>
    </row>
    <row r="28" spans="4:406" x14ac:dyDescent="0.55000000000000004">
      <c r="DY28" s="1" t="s">
        <v>170</v>
      </c>
      <c r="EA28" s="1">
        <v>0</v>
      </c>
      <c r="EX28" s="1" t="s">
        <v>170</v>
      </c>
      <c r="EZ28" s="1">
        <v>0</v>
      </c>
      <c r="FW28" s="1" t="s">
        <v>170</v>
      </c>
      <c r="FY28" s="1">
        <v>0</v>
      </c>
      <c r="NO28" s="1" t="s">
        <v>170</v>
      </c>
      <c r="NQ28" s="1">
        <v>0</v>
      </c>
      <c r="ON28" s="1" t="s">
        <v>170</v>
      </c>
      <c r="OP28" s="1">
        <v>0</v>
      </c>
    </row>
    <row r="29" spans="4:406" x14ac:dyDescent="0.55000000000000004">
      <c r="DY29" s="1" t="s">
        <v>171</v>
      </c>
      <c r="EA29" s="1">
        <v>0</v>
      </c>
      <c r="EX29" s="1" t="s">
        <v>171</v>
      </c>
      <c r="EZ29" s="1">
        <v>0</v>
      </c>
      <c r="FW29" s="1" t="s">
        <v>171</v>
      </c>
      <c r="FY29" s="1">
        <v>0</v>
      </c>
      <c r="NO29" s="1" t="s">
        <v>171</v>
      </c>
      <c r="NQ29" s="1">
        <v>0</v>
      </c>
      <c r="ON29" s="1" t="s">
        <v>171</v>
      </c>
      <c r="OP29" s="1">
        <v>0</v>
      </c>
    </row>
    <row r="30" spans="4:406" x14ac:dyDescent="0.55000000000000004">
      <c r="DY30" s="1" t="s">
        <v>172</v>
      </c>
      <c r="EA30" s="1">
        <v>0</v>
      </c>
      <c r="EX30" s="1" t="s">
        <v>172</v>
      </c>
      <c r="EZ30" s="1">
        <v>0</v>
      </c>
      <c r="FW30" s="1" t="s">
        <v>172</v>
      </c>
      <c r="FY30" s="1">
        <v>0</v>
      </c>
      <c r="NI30" s="14"/>
      <c r="NO30" s="1" t="s">
        <v>172</v>
      </c>
      <c r="NQ30" s="1">
        <v>0</v>
      </c>
      <c r="ON30" s="1" t="s">
        <v>172</v>
      </c>
      <c r="OP30" s="1">
        <v>0</v>
      </c>
    </row>
    <row r="31" spans="4:406" x14ac:dyDescent="0.55000000000000004">
      <c r="DY31" s="1" t="s">
        <v>173</v>
      </c>
      <c r="EA31" s="1">
        <v>0</v>
      </c>
      <c r="EX31" s="1" t="s">
        <v>173</v>
      </c>
      <c r="EZ31" s="1">
        <v>0</v>
      </c>
      <c r="FW31" s="1" t="s">
        <v>173</v>
      </c>
      <c r="FY31" s="1">
        <v>0</v>
      </c>
      <c r="NO31" s="1" t="s">
        <v>173</v>
      </c>
      <c r="NQ31" s="1">
        <v>0</v>
      </c>
      <c r="ON31" s="1" t="s">
        <v>173</v>
      </c>
      <c r="OP31" s="1">
        <v>0</v>
      </c>
    </row>
    <row r="32" spans="4:406" x14ac:dyDescent="0.55000000000000004">
      <c r="DY32" s="1" t="s">
        <v>174</v>
      </c>
      <c r="EA32" s="1">
        <v>0</v>
      </c>
      <c r="EX32" s="1" t="s">
        <v>174</v>
      </c>
      <c r="EZ32" s="1">
        <v>0</v>
      </c>
      <c r="FW32" s="1" t="s">
        <v>174</v>
      </c>
      <c r="FY32" s="1">
        <v>0</v>
      </c>
      <c r="NO32" s="1" t="s">
        <v>174</v>
      </c>
      <c r="NQ32" s="1">
        <v>0</v>
      </c>
      <c r="ON32" s="1" t="s">
        <v>174</v>
      </c>
      <c r="OP32" s="1">
        <v>0</v>
      </c>
    </row>
    <row r="33" spans="129:406" x14ac:dyDescent="0.55000000000000004">
      <c r="DY33" s="1" t="s">
        <v>175</v>
      </c>
      <c r="EA33" s="1">
        <v>0</v>
      </c>
      <c r="EX33" s="1" t="s">
        <v>175</v>
      </c>
      <c r="EZ33" s="1">
        <v>0</v>
      </c>
      <c r="FW33" s="1" t="s">
        <v>175</v>
      </c>
      <c r="FY33" s="1">
        <v>0</v>
      </c>
      <c r="NO33" s="1" t="s">
        <v>175</v>
      </c>
      <c r="NQ33" s="1">
        <v>0</v>
      </c>
      <c r="ON33" s="1" t="s">
        <v>175</v>
      </c>
      <c r="OP33" s="1">
        <v>0</v>
      </c>
    </row>
    <row r="34" spans="129:406" x14ac:dyDescent="0.55000000000000004">
      <c r="DY34" s="1" t="s">
        <v>176</v>
      </c>
      <c r="EA34" s="1">
        <v>0</v>
      </c>
      <c r="EX34" s="1" t="s">
        <v>176</v>
      </c>
      <c r="EZ34" s="1">
        <v>0</v>
      </c>
      <c r="FW34" s="1" t="s">
        <v>176</v>
      </c>
      <c r="FY34" s="1">
        <v>0</v>
      </c>
      <c r="NO34" s="1" t="s">
        <v>176</v>
      </c>
      <c r="NQ34" s="1">
        <v>0</v>
      </c>
      <c r="ON34" s="1" t="s">
        <v>176</v>
      </c>
      <c r="OP34" s="1">
        <v>0</v>
      </c>
    </row>
    <row r="35" spans="129:406" x14ac:dyDescent="0.55000000000000004">
      <c r="DY35" s="1" t="s">
        <v>177</v>
      </c>
      <c r="EA35" s="1">
        <v>0</v>
      </c>
      <c r="EX35" s="1" t="s">
        <v>177</v>
      </c>
      <c r="EZ35" s="1">
        <v>0</v>
      </c>
      <c r="FW35" s="1" t="s">
        <v>177</v>
      </c>
      <c r="FY35" s="1">
        <v>0</v>
      </c>
      <c r="NO35" s="1" t="s">
        <v>177</v>
      </c>
      <c r="NQ35" s="1">
        <v>0</v>
      </c>
      <c r="ON35" s="1" t="s">
        <v>177</v>
      </c>
      <c r="OP35" s="1">
        <v>0</v>
      </c>
    </row>
    <row r="36" spans="129:406" x14ac:dyDescent="0.55000000000000004">
      <c r="DY36" s="1" t="s">
        <v>178</v>
      </c>
      <c r="EA36" s="1">
        <v>0</v>
      </c>
      <c r="EX36" s="1" t="s">
        <v>178</v>
      </c>
      <c r="EZ36" s="1">
        <v>0</v>
      </c>
      <c r="FW36" s="1" t="s">
        <v>178</v>
      </c>
      <c r="FY36" s="1">
        <v>0</v>
      </c>
      <c r="NO36" s="1" t="s">
        <v>178</v>
      </c>
      <c r="NQ36" s="1">
        <v>0</v>
      </c>
      <c r="ON36" s="1" t="s">
        <v>178</v>
      </c>
      <c r="OP36" s="1">
        <v>0</v>
      </c>
    </row>
    <row r="37" spans="129:406" x14ac:dyDescent="0.55000000000000004">
      <c r="DY37" s="1" t="s">
        <v>179</v>
      </c>
      <c r="EA37" s="1">
        <v>0</v>
      </c>
      <c r="EX37" s="1" t="s">
        <v>179</v>
      </c>
      <c r="EZ37" s="1">
        <v>0</v>
      </c>
      <c r="FW37" s="1" t="s">
        <v>179</v>
      </c>
      <c r="FY37" s="1">
        <v>0</v>
      </c>
      <c r="NO37" s="1" t="s">
        <v>179</v>
      </c>
      <c r="NQ37" s="1">
        <v>0</v>
      </c>
      <c r="ON37" s="1" t="s">
        <v>179</v>
      </c>
      <c r="OP37" s="1">
        <v>0</v>
      </c>
    </row>
    <row r="38" spans="129:406" x14ac:dyDescent="0.55000000000000004">
      <c r="DY38" s="1" t="s">
        <v>180</v>
      </c>
      <c r="EA38" s="1">
        <v>0</v>
      </c>
      <c r="EX38" s="1" t="s">
        <v>180</v>
      </c>
      <c r="EZ38" s="1">
        <v>0</v>
      </c>
      <c r="FW38" s="1" t="s">
        <v>180</v>
      </c>
      <c r="FY38" s="1">
        <v>0</v>
      </c>
      <c r="NO38" s="1" t="s">
        <v>180</v>
      </c>
      <c r="NQ38" s="1">
        <v>0</v>
      </c>
      <c r="ON38" s="1" t="s">
        <v>180</v>
      </c>
      <c r="OP38" s="1">
        <v>0</v>
      </c>
    </row>
  </sheetData>
  <phoneticPr fontId="4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1EA2BA98-D1A8-4013-8143-4BA223608AE1}">
          <x14:formula1>
            <xm:f>List_parameters!$D$2:$D$7</xm:f>
          </x14:formula1>
          <xm:sqref>L2 EG2 DH2 CI2 BJ2 AK2 FF2 GE2 HD2:HD3 IC2 JB2 KA2 KZ2 LY2 MX2 NW2:NW3 OV2:OV3</xm:sqref>
        </x14:dataValidation>
        <x14:dataValidation type="list" allowBlank="1" showInputMessage="1" showErrorMessage="1" xr:uid="{AE9BE0CA-D609-486C-A796-D1684FF5B8CC}">
          <x14:formula1>
            <xm:f>List_parameters!$C$2:$C$4</xm:f>
          </x14:formula1>
          <xm:sqref>DE2 ED2 CF2 BG2 AH2 I2 FC2 GB2 HA2 HZ2 IY2 JX2 KW2 LV2 MU2 NT2 OS2</xm:sqref>
        </x14:dataValidation>
        <x14:dataValidation type="list" allowBlank="1" showInputMessage="1" showErrorMessage="1" xr:uid="{D60D1BBC-390C-4061-AA73-696156FECBE3}">
          <x14:formula1>
            <xm:f>List_parameters!$N$2:$N$6</xm:f>
          </x14:formula1>
          <xm:sqref>G2 AF2 BE2 CD2 DC2 EB2 FA2 FZ2 GY2 HX2 IW2 JV2 KU2 LT2 MS2 NR2 OQ2</xm:sqref>
        </x14:dataValidation>
        <x14:dataValidation type="list" allowBlank="1" showInputMessage="1" showErrorMessage="1" xr:uid="{5DEA43AB-190B-4EFB-9D11-E0BCC7418D62}">
          <x14:formula1>
            <xm:f>List_parameters!$K$2:$K$6</xm:f>
          </x14:formula1>
          <xm:sqref>X2:Z2 AW2:AY2 BV2:BX2 CU2:CW2 DT2:DV2 ES2:EU2 FR2:FT2 GQ2:GS2 HP2:HR2 IO2:IQ2 JN2:JP2 KM2:KO2 LL2:LN2 MK2:MM2 NJ2:NL2 OI2:OK2 PH2</xm:sqref>
        </x14:dataValidation>
        <x14:dataValidation type="list" allowBlank="1" showInputMessage="1" showErrorMessage="1" xr:uid="{6A20E955-DA3F-408B-994F-84ED3CD2E523}">
          <x14:formula1>
            <xm:f>List_parameters!$J$2:$J$3</xm:f>
          </x14:formula1>
          <xm:sqref>W2 AV2 BU2 CT2 DS2 ER2 FQ2 GP2 HO2 IN2 JM2 KL2 LK2 MJ2 NI2 OH2 PG2</xm:sqref>
        </x14:dataValidation>
        <x14:dataValidation type="list" allowBlank="1" showInputMessage="1" showErrorMessage="1" xr:uid="{7BC212DE-879B-4DF7-9337-A3B9C9E0AAC0}">
          <x14:formula1>
            <xm:f>List_parameters!$L$2:$L$3</xm:f>
          </x14:formula1>
          <xm:sqref>T2 AS2 BR2 CQ2 DP2 EO2 FN2 GM2 HL2 IK2 JJ2 KI2 LH2 MG2 NF2 OE2 PD2</xm:sqref>
        </x14:dataValidation>
        <x14:dataValidation type="list" allowBlank="1" showInputMessage="1" showErrorMessage="1" xr:uid="{0D015722-55B8-4C24-9738-775321E64A0C}">
          <x14:formula1>
            <xm:f>List_parameters!$H$2:$H$4</xm:f>
          </x14:formula1>
          <xm:sqref>DN2 EM2 BP2 AQ2 CO2 R2 FL2 GK2 HJ2 II2 JH2 KG2 LF2 ME2 ND2 OC2 PB2</xm:sqref>
        </x14:dataValidation>
        <x14:dataValidation type="list" allowBlank="1" showInputMessage="1" showErrorMessage="1" xr:uid="{E4859E8D-0289-4A8A-AC22-AA7340290A42}">
          <x14:formula1>
            <xm:f>List_parameters!$A$2:$A$3</xm:f>
          </x14:formula1>
          <xm:sqref>BY2 CX2 B2 AA2 AZ2 DW2 GT2 HS2 IR2 JQ2 KP2 LO2 MN2</xm:sqref>
        </x14:dataValidation>
        <x14:dataValidation type="list" allowBlank="1" showInputMessage="1" showErrorMessage="1" xr:uid="{8874AEE9-7710-4013-83D6-C5AF4B09CE70}">
          <x14:formula1>
            <xm:f>List_parameters!$O$2:$O$3</xm:f>
          </x14:formula1>
          <xm:sqref>J2 AI2 BH2 CG2 DF2 EE2 FD2 GC2 HB2 IA2 IZ2 JY2 KX2 LW2 MV2 NU2 OT2</xm:sqref>
        </x14:dataValidation>
        <x14:dataValidation type="list" allowBlank="1" showInputMessage="1" showErrorMessage="1" xr:uid="{F0269182-03E2-4490-B873-145A07C4C9AA}">
          <x14:formula1>
            <xm:f>List_parameters!$P$2:$P$4</xm:f>
          </x14:formula1>
          <xm:sqref>K2 AJ2 BI2 CH2 DG2 EF2 FE2 GD2 HC2 IB2 JA2 JZ2 KY2 LX2 MW2 NV2 OU2</xm:sqref>
        </x14:dataValidation>
        <x14:dataValidation type="list" allowBlank="1" showInputMessage="1" showErrorMessage="1" xr:uid="{BBD5909A-CA75-4704-A9D1-066C9937A2DC}">
          <x14:formula1>
            <xm:f>List_parameters!$Q$2:$Q$3</xm:f>
          </x14:formula1>
          <xm:sqref>N2 AM2 BL2 CK2 DJ2 EI2 FH2 GG2 HF2 IE2 JD2 KC2 LB2 MA2 MZ2 NY2 OX2</xm:sqref>
        </x14:dataValidation>
        <x14:dataValidation type="list" allowBlank="1" showInputMessage="1" showErrorMessage="1" xr:uid="{BC24DA4D-1974-4502-9F9F-48BC6AD546BA}">
          <x14:formula1>
            <xm:f>List_parameters!$I$2:$I$4</xm:f>
          </x14:formula1>
          <xm:sqref>S2 AR2 BQ2 CP2 DO2 EN2 FM2 GL2 HK2 IJ2 JI2 KH2 LG2 MF2 NE2 OD2 PC2</xm:sqref>
        </x14:dataValidation>
        <x14:dataValidation type="list" allowBlank="1" showInputMessage="1" showErrorMessage="1" xr:uid="{84B98BD7-7B50-4CCD-834F-EF49B59281F6}">
          <x14:formula1>
            <xm:f>List_parameters!$E$2:$E$4</xm:f>
          </x14:formula1>
          <xm:sqref>DZ2 E2 AD2 BC2 CB2 DA2 EY2 FX2 GW2 HV2 IU2 JT2 KS2 LR2 MQ2 NP2 OO2</xm:sqref>
        </x14:dataValidation>
        <x14:dataValidation type="list" allowBlank="1" showInputMessage="1" showErrorMessage="1" xr:uid="{EB3F92F5-D0A6-4357-BACD-ED7224B14A89}">
          <x14:formula1>
            <xm:f>List_parameters!$B$2:$B$3</xm:f>
          </x14:formula1>
          <xm:sqref>C2 AB2 BA2 BZ2 CY2 DX2 EW2 FV2 GU2 HT2 IS2 JR2 KQ2 LP2 MO2 NN2 OM2</xm:sqref>
        </x14:dataValidation>
        <x14:dataValidation type="list" allowBlank="1" showInputMessage="1" showErrorMessage="1" xr:uid="{5686D41A-0531-4E6D-8C75-E6B7982F2019}">
          <x14:formula1>
            <xm:f>List_parameters!$A$2:$A$5</xm:f>
          </x14:formula1>
          <xm:sqref>EV2 FU2 NM2 OL2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229C-075A-45F3-AF3E-88ABFF34D9FD}">
  <sheetPr codeName="Feuil3"/>
  <dimension ref="A1:F7"/>
  <sheetViews>
    <sheetView workbookViewId="0">
      <selection activeCell="E2" sqref="E2:E5"/>
    </sheetView>
  </sheetViews>
  <sheetFormatPr baseColWidth="10" defaultColWidth="11.41796875" defaultRowHeight="14.4" x14ac:dyDescent="0.55000000000000004"/>
  <cols>
    <col min="1" max="1" width="23.734375" style="1" customWidth="1"/>
    <col min="2" max="3" width="22.578125" style="1" bestFit="1" customWidth="1"/>
    <col min="4" max="4" width="9.15625" style="1" customWidth="1"/>
    <col min="5" max="5" width="17.5234375" style="1" customWidth="1"/>
    <col min="6" max="6" width="22.47265625" style="1" customWidth="1"/>
    <col min="7" max="7" width="10.68359375" style="1" customWidth="1"/>
    <col min="8" max="16384" width="11.41796875" style="1"/>
  </cols>
  <sheetData>
    <row r="1" spans="1:6" ht="28.8" x14ac:dyDescent="0.55000000000000004">
      <c r="A1" s="6" t="s">
        <v>200</v>
      </c>
      <c r="B1" s="6" t="s">
        <v>5</v>
      </c>
      <c r="C1" s="6" t="s">
        <v>6</v>
      </c>
      <c r="D1" s="6" t="s">
        <v>9</v>
      </c>
      <c r="E1" s="6" t="s">
        <v>114</v>
      </c>
      <c r="F1" s="6" t="s">
        <v>89</v>
      </c>
    </row>
    <row r="2" spans="1:6" x14ac:dyDescent="0.55000000000000004">
      <c r="A2" s="1" t="s">
        <v>193</v>
      </c>
      <c r="B2" s="1" t="s">
        <v>38</v>
      </c>
      <c r="C2" s="7" t="s">
        <v>7</v>
      </c>
      <c r="D2" s="7" t="s">
        <v>10</v>
      </c>
      <c r="E2" s="7">
        <v>1</v>
      </c>
      <c r="F2" s="7">
        <v>1</v>
      </c>
    </row>
    <row r="3" spans="1:6" x14ac:dyDescent="0.55000000000000004">
      <c r="B3" s="1" t="s">
        <v>39</v>
      </c>
      <c r="E3" s="1">
        <v>3</v>
      </c>
      <c r="F3" s="1">
        <v>3</v>
      </c>
    </row>
    <row r="4" spans="1:6" x14ac:dyDescent="0.55000000000000004">
      <c r="B4" s="1" t="s">
        <v>40</v>
      </c>
      <c r="E4" s="1">
        <v>6</v>
      </c>
      <c r="F4" s="1">
        <v>6</v>
      </c>
    </row>
    <row r="5" spans="1:6" x14ac:dyDescent="0.55000000000000004">
      <c r="B5" s="1" t="s">
        <v>41</v>
      </c>
      <c r="E5" s="1">
        <v>12</v>
      </c>
      <c r="F5" s="1">
        <v>12</v>
      </c>
    </row>
    <row r="6" spans="1:6" x14ac:dyDescent="0.55000000000000004">
      <c r="B6" s="1" t="s">
        <v>42</v>
      </c>
    </row>
    <row r="7" spans="1:6" x14ac:dyDescent="0.55000000000000004">
      <c r="B7" s="1" t="s">
        <v>43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E544A8-C7AE-4997-8A18-E4FB9ED0ABD7}">
          <x14:formula1>
            <xm:f>List_parameters!$C$2:$C$4</xm:f>
          </x14:formula1>
          <xm:sqref>D2</xm:sqref>
        </x14:dataValidation>
        <x14:dataValidation type="list" allowBlank="1" showInputMessage="1" showErrorMessage="1" xr:uid="{5D9C76BF-93B0-4DEB-9F0B-6F40006299F3}">
          <x14:formula1>
            <xm:f>List_parameters!$E$2:$E$3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C48A1-CDEA-4988-BC17-DAD57944AEB2}">
  <sheetPr codeName="Feuil4"/>
  <dimension ref="A1:E11"/>
  <sheetViews>
    <sheetView workbookViewId="0">
      <selection activeCell="B2" sqref="B2:B11"/>
    </sheetView>
  </sheetViews>
  <sheetFormatPr baseColWidth="10" defaultColWidth="11" defaultRowHeight="14.4" x14ac:dyDescent="0.55000000000000004"/>
  <cols>
    <col min="1" max="1" width="18.68359375" style="1" bestFit="1" customWidth="1"/>
    <col min="2" max="2" width="17.68359375" style="1" customWidth="1"/>
    <col min="3" max="3" width="23.15625" style="1" bestFit="1" customWidth="1"/>
    <col min="4" max="5" width="17.83984375" style="1" customWidth="1"/>
    <col min="6" max="16384" width="11" style="1"/>
  </cols>
  <sheetData>
    <row r="1" spans="1:5" x14ac:dyDescent="0.55000000000000004">
      <c r="B1" s="12" t="s">
        <v>4</v>
      </c>
      <c r="C1" s="12" t="s">
        <v>100</v>
      </c>
      <c r="D1" s="12" t="s">
        <v>159</v>
      </c>
      <c r="E1" s="12" t="s">
        <v>161</v>
      </c>
    </row>
    <row r="2" spans="1:5" x14ac:dyDescent="0.55000000000000004">
      <c r="A2" s="12" t="s">
        <v>90</v>
      </c>
      <c r="B2" s="15">
        <v>0.9</v>
      </c>
      <c r="C2" s="1" t="s">
        <v>103</v>
      </c>
      <c r="D2" s="1">
        <v>0.9</v>
      </c>
      <c r="E2" s="1">
        <v>0.5</v>
      </c>
    </row>
    <row r="3" spans="1:5" x14ac:dyDescent="0.55000000000000004">
      <c r="A3" s="12" t="s">
        <v>91</v>
      </c>
      <c r="B3" s="15">
        <v>0</v>
      </c>
      <c r="C3" s="1">
        <v>0</v>
      </c>
      <c r="D3" s="1">
        <v>0</v>
      </c>
      <c r="E3" s="1">
        <v>1</v>
      </c>
    </row>
    <row r="4" spans="1:5" x14ac:dyDescent="0.55000000000000004">
      <c r="A4" s="12" t="s">
        <v>92</v>
      </c>
      <c r="B4" s="15">
        <v>1</v>
      </c>
      <c r="C4" s="1">
        <v>1</v>
      </c>
      <c r="D4" s="1">
        <v>1</v>
      </c>
      <c r="E4" s="1">
        <v>3</v>
      </c>
    </row>
    <row r="5" spans="1:5" x14ac:dyDescent="0.55000000000000004">
      <c r="A5" s="12" t="s">
        <v>93</v>
      </c>
      <c r="B5" s="15">
        <v>500</v>
      </c>
      <c r="C5" s="1" t="s">
        <v>104</v>
      </c>
      <c r="D5" s="1">
        <v>500</v>
      </c>
      <c r="E5" s="1">
        <v>500</v>
      </c>
    </row>
    <row r="6" spans="1:5" x14ac:dyDescent="0.55000000000000004">
      <c r="A6" s="12" t="s">
        <v>94</v>
      </c>
      <c r="B6" s="15">
        <v>5</v>
      </c>
      <c r="C6" s="1" t="s">
        <v>105</v>
      </c>
      <c r="D6" s="1">
        <v>5</v>
      </c>
      <c r="E6" s="1">
        <v>1</v>
      </c>
    </row>
    <row r="7" spans="1:5" x14ac:dyDescent="0.55000000000000004">
      <c r="A7" s="12" t="s">
        <v>95</v>
      </c>
      <c r="B7" s="15">
        <v>5</v>
      </c>
      <c r="C7" s="1" t="s">
        <v>186</v>
      </c>
      <c r="D7" s="1">
        <v>8</v>
      </c>
      <c r="E7" s="1">
        <v>6</v>
      </c>
    </row>
    <row r="8" spans="1:5" x14ac:dyDescent="0.55000000000000004">
      <c r="A8" s="12" t="s">
        <v>96</v>
      </c>
      <c r="B8" s="15">
        <v>0.01</v>
      </c>
      <c r="C8" s="1" t="s">
        <v>101</v>
      </c>
      <c r="D8" s="1">
        <v>0.01</v>
      </c>
      <c r="E8" s="1">
        <v>0.01</v>
      </c>
    </row>
    <row r="9" spans="1:5" x14ac:dyDescent="0.55000000000000004">
      <c r="A9" s="12" t="s">
        <v>97</v>
      </c>
      <c r="B9" s="15">
        <v>0</v>
      </c>
      <c r="C9" s="1" t="s">
        <v>102</v>
      </c>
      <c r="D9" s="1">
        <v>0</v>
      </c>
      <c r="E9" s="1">
        <v>0.1</v>
      </c>
    </row>
    <row r="10" spans="1:5" x14ac:dyDescent="0.55000000000000004">
      <c r="A10" s="12" t="s">
        <v>98</v>
      </c>
      <c r="B10" s="15">
        <v>0.5</v>
      </c>
      <c r="C10" s="1" t="s">
        <v>103</v>
      </c>
      <c r="D10" s="1">
        <v>0.5</v>
      </c>
      <c r="E10" s="1">
        <v>0.7</v>
      </c>
    </row>
    <row r="11" spans="1:5" x14ac:dyDescent="0.55000000000000004">
      <c r="A11" s="12" t="s">
        <v>99</v>
      </c>
      <c r="B11" s="15" t="s">
        <v>160</v>
      </c>
      <c r="C11" s="1" t="s">
        <v>160</v>
      </c>
      <c r="D11" s="1" t="s">
        <v>160</v>
      </c>
      <c r="E11" s="1" t="s">
        <v>160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70FFB-FB38-4B5E-A39E-1A8ED8155792}">
  <sheetPr codeName="Feuil5"/>
  <dimension ref="A1:Q49"/>
  <sheetViews>
    <sheetView workbookViewId="0">
      <selection activeCell="B15" sqref="B15"/>
    </sheetView>
  </sheetViews>
  <sheetFormatPr baseColWidth="10" defaultColWidth="11" defaultRowHeight="14.4" x14ac:dyDescent="0.55000000000000004"/>
  <cols>
    <col min="1" max="1" width="17.83984375" style="1" bestFit="1" customWidth="1"/>
    <col min="2" max="2" width="17.83984375" style="1" customWidth="1"/>
    <col min="3" max="3" width="14.83984375" style="1" bestFit="1" customWidth="1"/>
    <col min="4" max="4" width="17.15625" style="1" bestFit="1" customWidth="1"/>
    <col min="5" max="5" width="14.68359375" style="1" bestFit="1" customWidth="1"/>
    <col min="6" max="6" width="16.26171875" style="1" bestFit="1" customWidth="1"/>
    <col min="7" max="7" width="27.15625" style="1" bestFit="1" customWidth="1"/>
    <col min="8" max="8" width="11" style="1"/>
    <col min="9" max="9" width="14.68359375" style="1" customWidth="1"/>
    <col min="10" max="10" width="16.83984375" style="1" bestFit="1" customWidth="1"/>
    <col min="11" max="11" width="14.83984375" style="1" bestFit="1" customWidth="1"/>
    <col min="12" max="12" width="15.15625" style="1" bestFit="1" customWidth="1"/>
    <col min="13" max="13" width="19.83984375" style="1" bestFit="1" customWidth="1"/>
    <col min="14" max="14" width="17.15625" style="1" bestFit="1" customWidth="1"/>
    <col min="15" max="15" width="13.83984375" style="1" bestFit="1" customWidth="1"/>
    <col min="16" max="16" width="13.26171875" style="1" bestFit="1" customWidth="1"/>
    <col min="17" max="16384" width="11" style="1"/>
  </cols>
  <sheetData>
    <row r="1" spans="1:17" x14ac:dyDescent="0.55000000000000004">
      <c r="A1" s="2" t="s">
        <v>3</v>
      </c>
      <c r="B1" s="2" t="s">
        <v>157</v>
      </c>
      <c r="C1" s="2" t="s">
        <v>9</v>
      </c>
      <c r="D1" s="2" t="s">
        <v>12</v>
      </c>
      <c r="E1" s="2" t="s">
        <v>13</v>
      </c>
      <c r="F1" s="2" t="s">
        <v>2</v>
      </c>
      <c r="G1" s="2" t="s">
        <v>16</v>
      </c>
      <c r="H1" s="2" t="s">
        <v>17</v>
      </c>
      <c r="I1" s="2" t="s">
        <v>152</v>
      </c>
      <c r="J1" s="2" t="s">
        <v>20</v>
      </c>
      <c r="K1" s="2" t="s">
        <v>21</v>
      </c>
      <c r="L1" s="2" t="s">
        <v>28</v>
      </c>
      <c r="M1" s="2" t="s">
        <v>27</v>
      </c>
      <c r="N1" s="2" t="s">
        <v>107</v>
      </c>
      <c r="O1" s="6" t="s">
        <v>143</v>
      </c>
      <c r="P1" s="6" t="s">
        <v>144</v>
      </c>
      <c r="Q1" s="6" t="s">
        <v>148</v>
      </c>
    </row>
    <row r="2" spans="1:17" x14ac:dyDescent="0.55000000000000004">
      <c r="A2" s="1" t="s">
        <v>4</v>
      </c>
      <c r="B2" s="1" t="s">
        <v>155</v>
      </c>
      <c r="C2" s="1" t="s">
        <v>11</v>
      </c>
      <c r="D2" s="1">
        <v>1</v>
      </c>
      <c r="E2" s="1" t="s">
        <v>7</v>
      </c>
      <c r="F2" s="1" t="s">
        <v>29</v>
      </c>
      <c r="G2" s="1" t="s">
        <v>38</v>
      </c>
      <c r="H2" s="1" t="s">
        <v>18</v>
      </c>
      <c r="I2" s="1" t="s">
        <v>153</v>
      </c>
      <c r="J2" s="1" t="b">
        <f>TRUE</f>
        <v>1</v>
      </c>
      <c r="K2" s="1" t="s">
        <v>22</v>
      </c>
      <c r="L2" s="1" t="b">
        <f>TRUE</f>
        <v>1</v>
      </c>
      <c r="M2" s="1">
        <v>1</v>
      </c>
      <c r="N2" s="1" t="s">
        <v>108</v>
      </c>
      <c r="O2" s="1" t="b">
        <f>TRUE</f>
        <v>1</v>
      </c>
      <c r="P2" s="1" t="s">
        <v>145</v>
      </c>
      <c r="Q2" s="1" t="b">
        <f>TRUE</f>
        <v>1</v>
      </c>
    </row>
    <row r="3" spans="1:17" x14ac:dyDescent="0.55000000000000004">
      <c r="A3" s="1" t="s">
        <v>100</v>
      </c>
      <c r="B3" s="1" t="s">
        <v>156</v>
      </c>
      <c r="C3" s="1" t="s">
        <v>10</v>
      </c>
      <c r="D3" s="1">
        <v>3</v>
      </c>
      <c r="E3" s="1" t="s">
        <v>154</v>
      </c>
      <c r="F3" s="1" t="s">
        <v>30</v>
      </c>
      <c r="G3" s="1" t="s">
        <v>39</v>
      </c>
      <c r="H3" s="1" t="s">
        <v>19</v>
      </c>
      <c r="I3" s="1" t="s">
        <v>23</v>
      </c>
      <c r="J3" s="1" t="b">
        <f>FALSE</f>
        <v>0</v>
      </c>
      <c r="K3" s="1" t="s">
        <v>23</v>
      </c>
      <c r="L3" s="1" t="b">
        <f>FALSE</f>
        <v>0</v>
      </c>
      <c r="M3" s="1">
        <v>3</v>
      </c>
      <c r="N3" s="1" t="s">
        <v>109</v>
      </c>
      <c r="O3" s="1" t="b">
        <f>FALSE</f>
        <v>0</v>
      </c>
      <c r="P3" s="1" t="s">
        <v>146</v>
      </c>
      <c r="Q3" s="1" t="b">
        <f>FALSE</f>
        <v>0</v>
      </c>
    </row>
    <row r="4" spans="1:17" x14ac:dyDescent="0.55000000000000004">
      <c r="A4" s="1" t="s">
        <v>159</v>
      </c>
      <c r="C4" s="1" t="s">
        <v>15</v>
      </c>
      <c r="D4" s="1">
        <v>6</v>
      </c>
      <c r="E4" s="1" t="s">
        <v>14</v>
      </c>
      <c r="F4" s="1" t="s">
        <v>31</v>
      </c>
      <c r="G4" s="1" t="s">
        <v>40</v>
      </c>
      <c r="H4" s="1" t="s">
        <v>151</v>
      </c>
      <c r="I4" s="1" t="s">
        <v>14</v>
      </c>
      <c r="K4" s="1" t="s">
        <v>24</v>
      </c>
      <c r="M4" s="1">
        <v>6</v>
      </c>
      <c r="N4" s="1" t="s">
        <v>110</v>
      </c>
      <c r="P4" s="1" t="s">
        <v>147</v>
      </c>
    </row>
    <row r="5" spans="1:17" x14ac:dyDescent="0.55000000000000004">
      <c r="A5" s="1" t="s">
        <v>161</v>
      </c>
      <c r="D5" s="1">
        <v>12</v>
      </c>
      <c r="F5" s="1" t="s">
        <v>32</v>
      </c>
      <c r="G5" s="1" t="s">
        <v>41</v>
      </c>
      <c r="K5" s="1" t="s">
        <v>25</v>
      </c>
      <c r="M5" s="1">
        <v>12</v>
      </c>
      <c r="N5" s="1" t="s">
        <v>111</v>
      </c>
    </row>
    <row r="6" spans="1:17" x14ac:dyDescent="0.55000000000000004">
      <c r="D6" s="1">
        <v>18</v>
      </c>
      <c r="F6" s="1" t="s">
        <v>33</v>
      </c>
      <c r="G6" s="1" t="s">
        <v>42</v>
      </c>
      <c r="K6" s="1" t="s">
        <v>26</v>
      </c>
      <c r="M6" s="1">
        <v>18</v>
      </c>
      <c r="N6" s="1" t="s">
        <v>112</v>
      </c>
    </row>
    <row r="7" spans="1:17" x14ac:dyDescent="0.55000000000000004">
      <c r="D7" s="1">
        <v>24</v>
      </c>
      <c r="F7" s="1" t="s">
        <v>8</v>
      </c>
      <c r="G7" s="1" t="s">
        <v>43</v>
      </c>
      <c r="M7" s="1">
        <v>24</v>
      </c>
    </row>
    <row r="8" spans="1:17" x14ac:dyDescent="0.55000000000000004">
      <c r="F8" s="1" t="s">
        <v>34</v>
      </c>
      <c r="G8" s="1" t="s">
        <v>44</v>
      </c>
    </row>
    <row r="9" spans="1:17" x14ac:dyDescent="0.55000000000000004">
      <c r="F9" s="1" t="s">
        <v>35</v>
      </c>
      <c r="G9" s="1" t="s">
        <v>45</v>
      </c>
    </row>
    <row r="10" spans="1:17" x14ac:dyDescent="0.55000000000000004">
      <c r="F10" s="1" t="s">
        <v>36</v>
      </c>
      <c r="G10" s="1" t="s">
        <v>46</v>
      </c>
    </row>
    <row r="11" spans="1:17" x14ac:dyDescent="0.55000000000000004">
      <c r="F11" s="1" t="s">
        <v>37</v>
      </c>
      <c r="G11" s="1" t="s">
        <v>47</v>
      </c>
    </row>
    <row r="12" spans="1:17" x14ac:dyDescent="0.55000000000000004">
      <c r="G12" s="1" t="s">
        <v>48</v>
      </c>
    </row>
    <row r="13" spans="1:17" x14ac:dyDescent="0.55000000000000004">
      <c r="G13" s="1" t="s">
        <v>49</v>
      </c>
    </row>
    <row r="14" spans="1:17" x14ac:dyDescent="0.55000000000000004">
      <c r="G14" s="1" t="s">
        <v>50</v>
      </c>
    </row>
    <row r="15" spans="1:17" x14ac:dyDescent="0.55000000000000004">
      <c r="G15" s="1" t="s">
        <v>51</v>
      </c>
    </row>
    <row r="16" spans="1:17" x14ac:dyDescent="0.55000000000000004">
      <c r="G16" s="1" t="s">
        <v>52</v>
      </c>
    </row>
    <row r="17" spans="7:7" x14ac:dyDescent="0.55000000000000004">
      <c r="G17" s="1" t="s">
        <v>53</v>
      </c>
    </row>
    <row r="18" spans="7:7" x14ac:dyDescent="0.55000000000000004">
      <c r="G18" s="1" t="s">
        <v>54</v>
      </c>
    </row>
    <row r="19" spans="7:7" x14ac:dyDescent="0.55000000000000004">
      <c r="G19" s="1" t="s">
        <v>55</v>
      </c>
    </row>
    <row r="20" spans="7:7" x14ac:dyDescent="0.55000000000000004">
      <c r="G20" s="1" t="s">
        <v>56</v>
      </c>
    </row>
    <row r="21" spans="7:7" x14ac:dyDescent="0.55000000000000004">
      <c r="G21" s="1" t="s">
        <v>57</v>
      </c>
    </row>
    <row r="22" spans="7:7" x14ac:dyDescent="0.55000000000000004">
      <c r="G22" s="1" t="s">
        <v>58</v>
      </c>
    </row>
    <row r="23" spans="7:7" x14ac:dyDescent="0.55000000000000004">
      <c r="G23" s="1" t="s">
        <v>59</v>
      </c>
    </row>
    <row r="24" spans="7:7" x14ac:dyDescent="0.55000000000000004">
      <c r="G24" s="1" t="s">
        <v>60</v>
      </c>
    </row>
    <row r="25" spans="7:7" x14ac:dyDescent="0.55000000000000004">
      <c r="G25" s="1" t="s">
        <v>61</v>
      </c>
    </row>
    <row r="26" spans="7:7" x14ac:dyDescent="0.55000000000000004">
      <c r="G26" s="1" t="s">
        <v>62</v>
      </c>
    </row>
    <row r="27" spans="7:7" x14ac:dyDescent="0.55000000000000004">
      <c r="G27" s="1" t="s">
        <v>63</v>
      </c>
    </row>
    <row r="28" spans="7:7" x14ac:dyDescent="0.55000000000000004">
      <c r="G28" s="1" t="s">
        <v>64</v>
      </c>
    </row>
    <row r="29" spans="7:7" x14ac:dyDescent="0.55000000000000004">
      <c r="G29" s="1" t="s">
        <v>65</v>
      </c>
    </row>
    <row r="30" spans="7:7" x14ac:dyDescent="0.55000000000000004">
      <c r="G30" s="1" t="s">
        <v>66</v>
      </c>
    </row>
    <row r="31" spans="7:7" x14ac:dyDescent="0.55000000000000004">
      <c r="G31" s="1" t="s">
        <v>67</v>
      </c>
    </row>
    <row r="32" spans="7:7" x14ac:dyDescent="0.55000000000000004">
      <c r="G32" s="1" t="s">
        <v>68</v>
      </c>
    </row>
    <row r="33" spans="7:7" x14ac:dyDescent="0.55000000000000004">
      <c r="G33" s="1" t="s">
        <v>69</v>
      </c>
    </row>
    <row r="34" spans="7:7" x14ac:dyDescent="0.55000000000000004">
      <c r="G34" s="1" t="s">
        <v>70</v>
      </c>
    </row>
    <row r="35" spans="7:7" x14ac:dyDescent="0.55000000000000004">
      <c r="G35" s="1" t="s">
        <v>71</v>
      </c>
    </row>
    <row r="36" spans="7:7" x14ac:dyDescent="0.55000000000000004">
      <c r="G36" s="1" t="s">
        <v>72</v>
      </c>
    </row>
    <row r="37" spans="7:7" x14ac:dyDescent="0.55000000000000004">
      <c r="G37" s="1" t="s">
        <v>73</v>
      </c>
    </row>
    <row r="38" spans="7:7" x14ac:dyDescent="0.55000000000000004">
      <c r="G38" s="1" t="s">
        <v>74</v>
      </c>
    </row>
    <row r="39" spans="7:7" x14ac:dyDescent="0.55000000000000004">
      <c r="G39" s="1" t="s">
        <v>75</v>
      </c>
    </row>
    <row r="40" spans="7:7" x14ac:dyDescent="0.55000000000000004">
      <c r="G40" s="1" t="s">
        <v>76</v>
      </c>
    </row>
    <row r="41" spans="7:7" x14ac:dyDescent="0.55000000000000004">
      <c r="G41" s="1" t="s">
        <v>77</v>
      </c>
    </row>
    <row r="42" spans="7:7" x14ac:dyDescent="0.55000000000000004">
      <c r="G42" s="1" t="s">
        <v>78</v>
      </c>
    </row>
    <row r="43" spans="7:7" x14ac:dyDescent="0.55000000000000004">
      <c r="G43" s="1" t="s">
        <v>79</v>
      </c>
    </row>
    <row r="44" spans="7:7" x14ac:dyDescent="0.55000000000000004">
      <c r="G44" s="1" t="s">
        <v>80</v>
      </c>
    </row>
    <row r="45" spans="7:7" x14ac:dyDescent="0.55000000000000004">
      <c r="G45" s="1" t="s">
        <v>81</v>
      </c>
    </row>
    <row r="46" spans="7:7" x14ac:dyDescent="0.55000000000000004">
      <c r="G46" s="1" t="s">
        <v>82</v>
      </c>
    </row>
    <row r="47" spans="7:7" x14ac:dyDescent="0.55000000000000004">
      <c r="G47" s="1" t="s">
        <v>83</v>
      </c>
    </row>
    <row r="48" spans="7:7" x14ac:dyDescent="0.55000000000000004">
      <c r="G48" s="1" t="s">
        <v>84</v>
      </c>
    </row>
    <row r="49" spans="7:7" x14ac:dyDescent="0.55000000000000004">
      <c r="G49" s="1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Principal</vt:lpstr>
      <vt:lpstr>Strat_ML</vt:lpstr>
      <vt:lpstr>Preprocessing</vt:lpstr>
      <vt:lpstr>Hyper_parameters</vt:lpstr>
      <vt:lpstr>List_parameters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HULLARD Alexandre</dc:creator>
  <cp:lastModifiedBy>LI Jingxuan</cp:lastModifiedBy>
  <dcterms:created xsi:type="dcterms:W3CDTF">2015-06-05T18:19:34Z</dcterms:created>
  <dcterms:modified xsi:type="dcterms:W3CDTF">2025-02-10T15:10:37Z</dcterms:modified>
</cp:coreProperties>
</file>