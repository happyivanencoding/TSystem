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GoogleDrive\TP\factsetProd第一版\"/>
    </mc:Choice>
  </mc:AlternateContent>
  <xr:revisionPtr revIDLastSave="0" documentId="13_ncr:1_{3FE2674F-3E28-4774-A1AD-D82A557228DC}" xr6:coauthVersionLast="47" xr6:coauthVersionMax="47" xr10:uidLastSave="{00000000-0000-0000-0000-000000000000}"/>
  <bookViews>
    <workbookView xWindow="-110" yWindow="-110" windowWidth="25820" windowHeight="15500" xr2:uid="{DCBD0322-973B-459C-8D7D-7CD8155B4FF8}"/>
  </bookViews>
  <sheets>
    <sheet name="Europe" sheetId="1" r:id="rId1"/>
    <sheet name="US" sheetId="2" r:id="rId2"/>
    <sheet name="Feuil1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83" i="1" l="1"/>
  <c r="J264" i="1"/>
  <c r="J306" i="1"/>
  <c r="J303" i="1"/>
  <c r="J268" i="1"/>
  <c r="J295" i="1"/>
  <c r="J273" i="1"/>
  <c r="J286" i="1"/>
  <c r="J304" i="1"/>
  <c r="J275" i="1"/>
  <c r="J291" i="1"/>
  <c r="J271" i="1"/>
  <c r="J289" i="1"/>
  <c r="J279" i="1"/>
  <c r="J262" i="1"/>
  <c r="J301" i="1"/>
  <c r="J267" i="1"/>
  <c r="J290" i="1"/>
  <c r="J288" i="1"/>
  <c r="J281" i="1"/>
  <c r="J276" i="1"/>
  <c r="J293" i="1"/>
  <c r="J263" i="1"/>
  <c r="J261" i="1"/>
  <c r="J266" i="1"/>
  <c r="J302" i="1"/>
  <c r="J284" i="1"/>
  <c r="J270" i="1"/>
  <c r="J260" i="1"/>
  <c r="J265" i="1"/>
  <c r="J297" i="1"/>
  <c r="J272" i="1"/>
  <c r="J277" i="1"/>
  <c r="J287" i="1"/>
  <c r="J274" i="1"/>
  <c r="J280" i="1"/>
  <c r="J294" i="1"/>
  <c r="J299" i="1"/>
  <c r="J298" i="1"/>
  <c r="J282" i="1"/>
  <c r="J296" i="1"/>
  <c r="J305" i="1"/>
  <c r="J269" i="1"/>
  <c r="J292" i="1"/>
  <c r="J285" i="1"/>
  <c r="J278" i="1"/>
  <c r="J300" i="1"/>
  <c r="K259" i="1"/>
  <c r="J259" i="1"/>
  <c r="E305" i="1"/>
  <c r="E283" i="1"/>
  <c r="E293" i="1"/>
  <c r="E284" i="1"/>
  <c r="E302" i="1"/>
  <c r="E289" i="1"/>
  <c r="E286" i="1"/>
  <c r="E298" i="1"/>
  <c r="E279" i="1"/>
  <c r="E278" i="1"/>
  <c r="E297" i="1"/>
  <c r="E296" i="1"/>
  <c r="E303" i="1"/>
  <c r="E282" i="1"/>
  <c r="E295" i="1"/>
  <c r="E291" i="1"/>
  <c r="E281" i="1"/>
  <c r="E290" i="1"/>
  <c r="E287" i="1"/>
  <c r="E288" i="1"/>
  <c r="E301" i="1"/>
  <c r="E285" i="1"/>
  <c r="E292" i="1"/>
  <c r="E300" i="1"/>
  <c r="E294" i="1"/>
  <c r="E304" i="1"/>
  <c r="E306" i="1"/>
  <c r="E299" i="1"/>
  <c r="E280" i="1"/>
  <c r="E273" i="1"/>
  <c r="E276" i="1"/>
  <c r="E269" i="1"/>
  <c r="E266" i="1"/>
  <c r="E267" i="1"/>
  <c r="E275" i="1"/>
  <c r="E261" i="1"/>
  <c r="E268" i="1"/>
  <c r="E277" i="1"/>
  <c r="E270" i="1"/>
  <c r="E262" i="1"/>
  <c r="E272" i="1"/>
  <c r="E260" i="1"/>
  <c r="E265" i="1"/>
  <c r="E263" i="1"/>
  <c r="E274" i="1"/>
  <c r="E271" i="1"/>
  <c r="E264" i="1"/>
  <c r="K439" i="2"/>
  <c r="K433" i="2"/>
  <c r="K430" i="2"/>
  <c r="K428" i="2"/>
  <c r="K425" i="2"/>
  <c r="K431" i="2"/>
  <c r="K429" i="2"/>
  <c r="B430" i="2"/>
  <c r="K434" i="2"/>
  <c r="K432" i="2"/>
  <c r="B438" i="2"/>
  <c r="K426" i="2"/>
  <c r="E430" i="2"/>
  <c r="E438" i="2"/>
  <c r="B427" i="2"/>
  <c r="B435" i="2"/>
  <c r="E434" i="2"/>
  <c r="B437" i="2"/>
  <c r="E429" i="2"/>
  <c r="E435" i="2"/>
  <c r="B429" i="2"/>
  <c r="B433" i="2"/>
  <c r="K438" i="2"/>
  <c r="K436" i="2"/>
  <c r="K435" i="2"/>
  <c r="K437" i="2"/>
  <c r="K427" i="2"/>
  <c r="B434" i="2"/>
  <c r="E428" i="2"/>
  <c r="B426" i="2"/>
  <c r="B425" i="2"/>
  <c r="B439" i="2"/>
  <c r="E437" i="2"/>
  <c r="E439" i="2"/>
  <c r="B428" i="2"/>
  <c r="B432" i="2"/>
  <c r="E426" i="2"/>
  <c r="B431" i="2"/>
  <c r="B436" i="2"/>
  <c r="E433" i="2"/>
  <c r="E436" i="2"/>
  <c r="E427" i="2"/>
  <c r="E425" i="2"/>
  <c r="E431" i="2"/>
  <c r="E432" i="2"/>
  <c r="H438" i="2"/>
  <c r="H436" i="2"/>
  <c r="H426" i="2"/>
  <c r="H429" i="2"/>
  <c r="H430" i="2"/>
  <c r="H425" i="2"/>
  <c r="H428" i="2"/>
  <c r="H431" i="2"/>
  <c r="H439" i="2"/>
  <c r="H434" i="2"/>
  <c r="H437" i="2"/>
  <c r="H432" i="2"/>
  <c r="H433" i="2"/>
  <c r="H427" i="2"/>
  <c r="H435" i="2"/>
  <c r="L294" i="1"/>
  <c r="G293" i="1"/>
  <c r="L298" i="1"/>
  <c r="B298" i="1"/>
  <c r="G298" i="1"/>
  <c r="G295" i="1"/>
  <c r="G294" i="1"/>
  <c r="B303" i="1"/>
  <c r="B306" i="1"/>
  <c r="B302" i="1"/>
  <c r="L299" i="1"/>
  <c r="B299" i="1"/>
  <c r="G297" i="1"/>
  <c r="B292" i="1"/>
  <c r="L292" i="1"/>
  <c r="B304" i="1"/>
  <c r="L304" i="1"/>
  <c r="B305" i="1"/>
  <c r="L305" i="1"/>
  <c r="B295" i="1"/>
  <c r="L295" i="1"/>
  <c r="L301" i="1"/>
  <c r="B301" i="1"/>
  <c r="L297" i="1"/>
  <c r="B293" i="1"/>
  <c r="L293" i="1"/>
  <c r="G300" i="1"/>
  <c r="L296" i="1"/>
  <c r="B296" i="1"/>
  <c r="G306" i="1"/>
  <c r="L300" i="1"/>
  <c r="G296" i="1"/>
  <c r="G303" i="1"/>
  <c r="G292" i="1"/>
  <c r="L306" i="1"/>
  <c r="L302" i="1"/>
  <c r="B297" i="1"/>
  <c r="B294" i="1"/>
  <c r="L303" i="1"/>
  <c r="G301" i="1"/>
  <c r="B300" i="1"/>
  <c r="G302" i="1"/>
  <c r="G305" i="1"/>
  <c r="G299" i="1"/>
  <c r="G304" i="1"/>
  <c r="AB422" i="2" a="1"/>
  <c r="K260" i="1" l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F278" i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260" i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I425" i="2"/>
  <c r="L425" i="2"/>
  <c r="F425" i="2"/>
  <c r="C425" i="2"/>
  <c r="C292" i="1"/>
  <c r="M292" i="1"/>
  <c r="H292" i="1"/>
  <c r="AB422" i="2"/>
  <c r="V289" i="1" a="1"/>
  <c r="J425" i="2" l="1"/>
  <c r="I426" i="2"/>
  <c r="G425" i="2"/>
  <c r="F426" i="2"/>
  <c r="D425" i="2"/>
  <c r="C426" i="2"/>
  <c r="L426" i="2"/>
  <c r="M425" i="2"/>
  <c r="I292" i="1"/>
  <c r="H293" i="1"/>
  <c r="M293" i="1"/>
  <c r="N292" i="1"/>
  <c r="D292" i="1"/>
  <c r="C293" i="1"/>
  <c r="V289" i="1"/>
  <c r="L291" i="1"/>
  <c r="B291" i="1"/>
  <c r="E424" i="2"/>
  <c r="V291" i="1" a="1"/>
  <c r="D426" i="2" l="1"/>
  <c r="C427" i="2"/>
  <c r="G426" i="2"/>
  <c r="F427" i="2"/>
  <c r="J426" i="2"/>
  <c r="I427" i="2"/>
  <c r="L427" i="2"/>
  <c r="M426" i="2"/>
  <c r="D293" i="1"/>
  <c r="C294" i="1"/>
  <c r="N293" i="1"/>
  <c r="M294" i="1"/>
  <c r="I293" i="1"/>
  <c r="H294" i="1"/>
  <c r="V291" i="1"/>
  <c r="M427" i="2" l="1"/>
  <c r="L428" i="2"/>
  <c r="J427" i="2"/>
  <c r="I428" i="2"/>
  <c r="F428" i="2"/>
  <c r="G427" i="2"/>
  <c r="C428" i="2"/>
  <c r="D427" i="2"/>
  <c r="H295" i="1"/>
  <c r="I294" i="1"/>
  <c r="N294" i="1"/>
  <c r="M295" i="1"/>
  <c r="C295" i="1"/>
  <c r="D294" i="1"/>
  <c r="V284" i="1" a="1"/>
  <c r="D428" i="2" l="1"/>
  <c r="C429" i="2"/>
  <c r="G428" i="2"/>
  <c r="F429" i="2"/>
  <c r="J428" i="2"/>
  <c r="I429" i="2"/>
  <c r="L429" i="2"/>
  <c r="M428" i="2"/>
  <c r="C296" i="1"/>
  <c r="D295" i="1"/>
  <c r="M296" i="1"/>
  <c r="N295" i="1"/>
  <c r="H296" i="1"/>
  <c r="I295" i="1"/>
  <c r="V284" i="1"/>
  <c r="AB417" i="2" a="1"/>
  <c r="I430" i="2" l="1"/>
  <c r="J429" i="2"/>
  <c r="L430" i="2"/>
  <c r="M429" i="2"/>
  <c r="D429" i="2"/>
  <c r="C430" i="2"/>
  <c r="F430" i="2"/>
  <c r="G429" i="2"/>
  <c r="N296" i="1"/>
  <c r="M297" i="1"/>
  <c r="I296" i="1"/>
  <c r="H297" i="1"/>
  <c r="D296" i="1"/>
  <c r="C297" i="1"/>
  <c r="AB417" i="2"/>
  <c r="AB423" i="2" a="1"/>
  <c r="G430" i="2" l="1"/>
  <c r="F431" i="2"/>
  <c r="C431" i="2"/>
  <c r="D430" i="2"/>
  <c r="M430" i="2"/>
  <c r="L431" i="2"/>
  <c r="J430" i="2"/>
  <c r="I431" i="2"/>
  <c r="N297" i="1"/>
  <c r="M298" i="1"/>
  <c r="D297" i="1"/>
  <c r="C298" i="1"/>
  <c r="I297" i="1"/>
  <c r="H298" i="1"/>
  <c r="AB423" i="2"/>
  <c r="V290" i="1" a="1"/>
  <c r="D431" i="2" l="1"/>
  <c r="C432" i="2"/>
  <c r="I432" i="2"/>
  <c r="J431" i="2"/>
  <c r="M431" i="2"/>
  <c r="L432" i="2"/>
  <c r="G431" i="2"/>
  <c r="F432" i="2"/>
  <c r="H299" i="1"/>
  <c r="I298" i="1"/>
  <c r="M299" i="1"/>
  <c r="N298" i="1"/>
  <c r="D298" i="1"/>
  <c r="C299" i="1"/>
  <c r="V290" i="1"/>
  <c r="AB419" i="2" a="1"/>
  <c r="L433" i="2" l="1"/>
  <c r="M432" i="2"/>
  <c r="I433" i="2"/>
  <c r="J432" i="2"/>
  <c r="F433" i="2"/>
  <c r="G432" i="2"/>
  <c r="C433" i="2"/>
  <c r="D432" i="2"/>
  <c r="D299" i="1"/>
  <c r="C300" i="1"/>
  <c r="N299" i="1"/>
  <c r="M300" i="1"/>
  <c r="I299" i="1"/>
  <c r="H300" i="1"/>
  <c r="AB419" i="2"/>
  <c r="V286" i="1" a="1"/>
  <c r="D433" i="2" l="1"/>
  <c r="C434" i="2"/>
  <c r="F434" i="2"/>
  <c r="G433" i="2"/>
  <c r="I434" i="2"/>
  <c r="J433" i="2"/>
  <c r="M433" i="2"/>
  <c r="L434" i="2"/>
  <c r="H301" i="1"/>
  <c r="I300" i="1"/>
  <c r="N300" i="1"/>
  <c r="M301" i="1"/>
  <c r="D300" i="1"/>
  <c r="C301" i="1"/>
  <c r="V286" i="1"/>
  <c r="AB418" i="2" a="1"/>
  <c r="L435" i="2" l="1"/>
  <c r="M434" i="2"/>
  <c r="G434" i="2"/>
  <c r="F435" i="2"/>
  <c r="J434" i="2"/>
  <c r="I435" i="2"/>
  <c r="D434" i="2"/>
  <c r="C435" i="2"/>
  <c r="C302" i="1"/>
  <c r="D301" i="1"/>
  <c r="M302" i="1"/>
  <c r="N301" i="1"/>
  <c r="I301" i="1"/>
  <c r="H302" i="1"/>
  <c r="AB418" i="2"/>
  <c r="V285" i="1" a="1"/>
  <c r="C436" i="2" l="1"/>
  <c r="D435" i="2"/>
  <c r="J435" i="2"/>
  <c r="I436" i="2"/>
  <c r="F436" i="2"/>
  <c r="G435" i="2"/>
  <c r="M435" i="2"/>
  <c r="L436" i="2"/>
  <c r="H303" i="1"/>
  <c r="I302" i="1"/>
  <c r="M303" i="1"/>
  <c r="N302" i="1"/>
  <c r="C303" i="1"/>
  <c r="D302" i="1"/>
  <c r="V285" i="1"/>
  <c r="AB411" i="2" a="1"/>
  <c r="M436" i="2" l="1"/>
  <c r="L437" i="2"/>
  <c r="I437" i="2"/>
  <c r="J436" i="2"/>
  <c r="G436" i="2"/>
  <c r="F437" i="2"/>
  <c r="C437" i="2"/>
  <c r="D436" i="2"/>
  <c r="C304" i="1"/>
  <c r="D303" i="1"/>
  <c r="N303" i="1"/>
  <c r="M304" i="1"/>
  <c r="I303" i="1"/>
  <c r="H304" i="1"/>
  <c r="AB411" i="2"/>
  <c r="K424" i="2"/>
  <c r="B252" i="1"/>
  <c r="B424" i="2"/>
  <c r="H424" i="2"/>
  <c r="G291" i="1"/>
  <c r="E259" i="1"/>
  <c r="F438" i="2" l="1"/>
  <c r="G437" i="2"/>
  <c r="I438" i="2"/>
  <c r="J437" i="2"/>
  <c r="D437" i="2"/>
  <c r="C438" i="2"/>
  <c r="L438" i="2"/>
  <c r="L439" i="2" s="1"/>
  <c r="M437" i="2"/>
  <c r="N304" i="1"/>
  <c r="M305" i="1"/>
  <c r="I304" i="1"/>
  <c r="H305" i="1"/>
  <c r="D304" i="1"/>
  <c r="C305" i="1"/>
  <c r="AA291" i="1"/>
  <c r="C439" i="2" l="1"/>
  <c r="D438" i="2"/>
  <c r="M438" i="2"/>
  <c r="J438" i="2"/>
  <c r="I439" i="2"/>
  <c r="G438" i="2"/>
  <c r="F439" i="2"/>
  <c r="D305" i="1"/>
  <c r="C306" i="1"/>
  <c r="H306" i="1"/>
  <c r="I305" i="1"/>
  <c r="M306" i="1"/>
  <c r="N305" i="1"/>
  <c r="V424" i="2"/>
  <c r="AA424" i="2"/>
  <c r="AD424" i="2"/>
  <c r="AB424" i="2" a="1"/>
  <c r="M439" i="2" l="1"/>
  <c r="G439" i="2"/>
  <c r="J439" i="2"/>
  <c r="D439" i="2"/>
  <c r="AB424" i="2"/>
  <c r="I306" i="1"/>
  <c r="N306" i="1"/>
  <c r="D306" i="1"/>
  <c r="AL291" i="1"/>
  <c r="H291" i="1" l="1"/>
  <c r="I291" i="1" s="1"/>
  <c r="M291" i="1"/>
  <c r="N291" i="1" s="1"/>
  <c r="C291" i="1"/>
  <c r="D291" i="1" s="1"/>
  <c r="P289" i="1"/>
  <c r="AO423" i="2"/>
  <c r="V423" i="2"/>
  <c r="AA423" i="2"/>
  <c r="AD423" i="2"/>
  <c r="P291" i="1" l="1"/>
  <c r="I424" i="2"/>
  <c r="J424" i="2" s="1"/>
  <c r="C424" i="2"/>
  <c r="D424" i="2" s="1"/>
  <c r="L424" i="2"/>
  <c r="M424" i="2" s="1"/>
  <c r="AA290" i="1"/>
  <c r="AL290" i="1" l="1"/>
  <c r="P290" i="1" l="1"/>
  <c r="Q291" i="1" s="1"/>
  <c r="AA422" i="2"/>
  <c r="R291" i="1" l="1"/>
  <c r="W291" i="1"/>
  <c r="X291" i="1"/>
  <c r="Y291" i="1"/>
  <c r="Z291" i="1"/>
  <c r="V422" i="2"/>
  <c r="AD422" i="2"/>
  <c r="AO422" i="2"/>
  <c r="O422" i="2" l="1"/>
  <c r="Q422" i="2" l="1"/>
  <c r="P422" i="2"/>
  <c r="AP422" i="2" l="1"/>
  <c r="AQ422" i="2"/>
  <c r="R422" i="2"/>
  <c r="S422" i="2" s="1"/>
  <c r="AA289" i="1" l="1"/>
  <c r="AL289" i="1" l="1"/>
  <c r="P10" i="2"/>
  <c r="T6" i="1"/>
  <c r="Q289" i="1" l="1"/>
  <c r="Q290" i="1"/>
  <c r="R290" i="1"/>
  <c r="S290" i="1" s="1"/>
  <c r="T290" i="1" s="1"/>
  <c r="Z289" i="1"/>
  <c r="R289" i="1"/>
  <c r="S289" i="1" s="1"/>
  <c r="O420" i="2"/>
  <c r="P420" i="2" s="1"/>
  <c r="S291" i="1" l="1"/>
  <c r="T291" i="1" s="1"/>
  <c r="AC290" i="1" s="1"/>
  <c r="X289" i="1"/>
  <c r="Y289" i="1"/>
  <c r="W289" i="1"/>
  <c r="W290" i="1"/>
  <c r="Y290" i="1"/>
  <c r="X290" i="1"/>
  <c r="Z290" i="1"/>
  <c r="P287" i="1"/>
  <c r="Q287" i="1" s="1"/>
  <c r="W281" i="1"/>
  <c r="AE290" i="1" l="1"/>
  <c r="AD290" i="1"/>
  <c r="AF290" i="1"/>
  <c r="AE291" i="1"/>
  <c r="AD291" i="1"/>
  <c r="AC291" i="1"/>
  <c r="AF291" i="1"/>
  <c r="AO419" i="2"/>
  <c r="AD419" i="2"/>
  <c r="V419" i="2" l="1"/>
  <c r="O419" i="2"/>
  <c r="AO418" i="2"/>
  <c r="AD418" i="2"/>
  <c r="O423" i="2" l="1"/>
  <c r="V418" i="2"/>
  <c r="O418" i="2"/>
  <c r="AO417" i="2"/>
  <c r="AD417" i="2"/>
  <c r="O424" i="2" l="1"/>
  <c r="F424" i="2"/>
  <c r="G424" i="2" s="1"/>
  <c r="P423" i="2"/>
  <c r="Q423" i="2"/>
  <c r="P419" i="2"/>
  <c r="AA417" i="2"/>
  <c r="AA418" i="2" s="1"/>
  <c r="AA419" i="2" s="1"/>
  <c r="V417" i="2"/>
  <c r="AO416" i="2"/>
  <c r="AD416" i="2"/>
  <c r="AA416" i="2"/>
  <c r="V416" i="2"/>
  <c r="AO415" i="2"/>
  <c r="AD415" i="2"/>
  <c r="AA415" i="2"/>
  <c r="V415" i="2"/>
  <c r="AO414" i="2"/>
  <c r="AD414" i="2"/>
  <c r="V414" i="2"/>
  <c r="AO413" i="2"/>
  <c r="AD413" i="2"/>
  <c r="V413" i="2"/>
  <c r="AO412" i="2"/>
  <c r="AD412" i="2"/>
  <c r="V412" i="2"/>
  <c r="AO411" i="2"/>
  <c r="AD411" i="2"/>
  <c r="P424" i="2" l="1"/>
  <c r="W423" i="2" s="1"/>
  <c r="Q424" i="2"/>
  <c r="R424" i="2" s="1"/>
  <c r="R423" i="2"/>
  <c r="S423" i="2" s="1"/>
  <c r="AF422" i="2" s="1"/>
  <c r="AQ423" i="2"/>
  <c r="AP423" i="2"/>
  <c r="AH422" i="2"/>
  <c r="AE422" i="2"/>
  <c r="AG422" i="2"/>
  <c r="W422" i="2"/>
  <c r="X422" i="2"/>
  <c r="Y422" i="2"/>
  <c r="Z422" i="2"/>
  <c r="AP419" i="2"/>
  <c r="X419" i="2"/>
  <c r="W419" i="2"/>
  <c r="Y419" i="2"/>
  <c r="Z419" i="2"/>
  <c r="V411" i="2"/>
  <c r="AO410" i="2"/>
  <c r="AD410" i="2"/>
  <c r="V410" i="2"/>
  <c r="AO409" i="2"/>
  <c r="AD409" i="2"/>
  <c r="V409" i="2"/>
  <c r="AO408" i="2"/>
  <c r="AD408" i="2"/>
  <c r="V408" i="2"/>
  <c r="AO407" i="2"/>
  <c r="AD407" i="2"/>
  <c r="V407" i="2"/>
  <c r="AO406" i="2"/>
  <c r="AD406" i="2"/>
  <c r="V406" i="2"/>
  <c r="AO405" i="2"/>
  <c r="AD405" i="2"/>
  <c r="V405" i="2"/>
  <c r="AO404" i="2"/>
  <c r="AD404" i="2"/>
  <c r="V404" i="2"/>
  <c r="AO403" i="2"/>
  <c r="AD403" i="2"/>
  <c r="V403" i="2"/>
  <c r="AO402" i="2"/>
  <c r="AD402" i="2"/>
  <c r="V402" i="2"/>
  <c r="AO401" i="2"/>
  <c r="AD401" i="2"/>
  <c r="V401" i="2"/>
  <c r="AO400" i="2"/>
  <c r="AD400" i="2"/>
  <c r="V400" i="2"/>
  <c r="AO399" i="2"/>
  <c r="AD399" i="2"/>
  <c r="V399" i="2"/>
  <c r="AO398" i="2"/>
  <c r="AD398" i="2"/>
  <c r="V398" i="2"/>
  <c r="AO397" i="2"/>
  <c r="AD397" i="2"/>
  <c r="V397" i="2"/>
  <c r="AO396" i="2"/>
  <c r="AD396" i="2"/>
  <c r="V396" i="2"/>
  <c r="AO395" i="2"/>
  <c r="AD395" i="2"/>
  <c r="V395" i="2"/>
  <c r="AO394" i="2"/>
  <c r="AD394" i="2"/>
  <c r="V394" i="2"/>
  <c r="AO393" i="2"/>
  <c r="AD393" i="2"/>
  <c r="V393" i="2"/>
  <c r="AO392" i="2"/>
  <c r="AD392" i="2"/>
  <c r="V392" i="2"/>
  <c r="AO391" i="2"/>
  <c r="AD391" i="2"/>
  <c r="V391" i="2"/>
  <c r="AO390" i="2"/>
  <c r="AD390" i="2"/>
  <c r="V390" i="2"/>
  <c r="AO389" i="2"/>
  <c r="AD389" i="2"/>
  <c r="V389" i="2"/>
  <c r="AO388" i="2"/>
  <c r="AD388" i="2"/>
  <c r="V388" i="2"/>
  <c r="AO387" i="2"/>
  <c r="AD387" i="2"/>
  <c r="V387" i="2"/>
  <c r="AO386" i="2"/>
  <c r="AD386" i="2"/>
  <c r="V386" i="2"/>
  <c r="AO385" i="2"/>
  <c r="AD385" i="2"/>
  <c r="V385" i="2"/>
  <c r="AO384" i="2"/>
  <c r="AD384" i="2"/>
  <c r="V384" i="2"/>
  <c r="AO383" i="2"/>
  <c r="AD383" i="2"/>
  <c r="V383" i="2"/>
  <c r="AO382" i="2"/>
  <c r="AD382" i="2"/>
  <c r="V382" i="2"/>
  <c r="AO381" i="2"/>
  <c r="AD381" i="2"/>
  <c r="V381" i="2"/>
  <c r="AO380" i="2"/>
  <c r="AD380" i="2"/>
  <c r="V380" i="2"/>
  <c r="AO379" i="2"/>
  <c r="AD379" i="2"/>
  <c r="V379" i="2"/>
  <c r="AO378" i="2"/>
  <c r="AD378" i="2"/>
  <c r="V378" i="2"/>
  <c r="AO377" i="2"/>
  <c r="AD377" i="2"/>
  <c r="V377" i="2"/>
  <c r="AO376" i="2"/>
  <c r="AD376" i="2"/>
  <c r="V376" i="2"/>
  <c r="AO375" i="2"/>
  <c r="AD375" i="2"/>
  <c r="V375" i="2"/>
  <c r="AO374" i="2"/>
  <c r="AD374" i="2"/>
  <c r="V374" i="2"/>
  <c r="AO373" i="2"/>
  <c r="AD373" i="2"/>
  <c r="V373" i="2"/>
  <c r="AO372" i="2"/>
  <c r="AD372" i="2"/>
  <c r="V372" i="2"/>
  <c r="AO371" i="2"/>
  <c r="AD371" i="2"/>
  <c r="V371" i="2"/>
  <c r="AO370" i="2"/>
  <c r="AD370" i="2"/>
  <c r="V370" i="2"/>
  <c r="AO369" i="2"/>
  <c r="AD369" i="2"/>
  <c r="V369" i="2"/>
  <c r="AO368" i="2"/>
  <c r="AD368" i="2"/>
  <c r="V368" i="2"/>
  <c r="AO367" i="2"/>
  <c r="AD367" i="2"/>
  <c r="V367" i="2"/>
  <c r="AO366" i="2"/>
  <c r="AD366" i="2"/>
  <c r="V366" i="2"/>
  <c r="AO365" i="2"/>
  <c r="AD365" i="2"/>
  <c r="V365" i="2"/>
  <c r="AO364" i="2"/>
  <c r="AD364" i="2"/>
  <c r="V364" i="2"/>
  <c r="AO363" i="2"/>
  <c r="AD363" i="2"/>
  <c r="V363" i="2"/>
  <c r="AO362" i="2"/>
  <c r="AD362" i="2"/>
  <c r="V362" i="2"/>
  <c r="AO361" i="2"/>
  <c r="AD361" i="2"/>
  <c r="V361" i="2"/>
  <c r="AO360" i="2"/>
  <c r="AD360" i="2"/>
  <c r="V360" i="2"/>
  <c r="AO359" i="2"/>
  <c r="AD359" i="2"/>
  <c r="V359" i="2"/>
  <c r="AO358" i="2"/>
  <c r="AD358" i="2"/>
  <c r="V358" i="2"/>
  <c r="AO357" i="2"/>
  <c r="AD357" i="2"/>
  <c r="V357" i="2"/>
  <c r="AO356" i="2"/>
  <c r="AD356" i="2"/>
  <c r="V356" i="2"/>
  <c r="AO355" i="2"/>
  <c r="AD355" i="2"/>
  <c r="V355" i="2"/>
  <c r="AO354" i="2"/>
  <c r="AD354" i="2"/>
  <c r="V354" i="2"/>
  <c r="AO353" i="2"/>
  <c r="AD353" i="2"/>
  <c r="V353" i="2"/>
  <c r="AO352" i="2"/>
  <c r="AD352" i="2"/>
  <c r="V352" i="2"/>
  <c r="AO351" i="2"/>
  <c r="AD351" i="2"/>
  <c r="V351" i="2"/>
  <c r="AO350" i="2"/>
  <c r="AD350" i="2"/>
  <c r="V350" i="2"/>
  <c r="AO349" i="2"/>
  <c r="AD349" i="2"/>
  <c r="V349" i="2"/>
  <c r="AO348" i="2"/>
  <c r="AD348" i="2"/>
  <c r="V348" i="2"/>
  <c r="AO347" i="2"/>
  <c r="AD347" i="2"/>
  <c r="V347" i="2"/>
  <c r="AO346" i="2"/>
  <c r="AD346" i="2"/>
  <c r="V346" i="2"/>
  <c r="AO345" i="2"/>
  <c r="AD345" i="2"/>
  <c r="V345" i="2"/>
  <c r="AO344" i="2"/>
  <c r="AD344" i="2"/>
  <c r="V344" i="2"/>
  <c r="AO343" i="2"/>
  <c r="AD343" i="2"/>
  <c r="V343" i="2"/>
  <c r="AO342" i="2"/>
  <c r="AD342" i="2"/>
  <c r="V342" i="2"/>
  <c r="AO341" i="2"/>
  <c r="AD341" i="2"/>
  <c r="V341" i="2"/>
  <c r="AO340" i="2"/>
  <c r="AD340" i="2"/>
  <c r="V340" i="2"/>
  <c r="AO339" i="2"/>
  <c r="AD339" i="2"/>
  <c r="V339" i="2"/>
  <c r="AO338" i="2"/>
  <c r="AD338" i="2"/>
  <c r="V338" i="2"/>
  <c r="AO337" i="2"/>
  <c r="AD337" i="2"/>
  <c r="V337" i="2"/>
  <c r="AO336" i="2"/>
  <c r="AD336" i="2"/>
  <c r="V336" i="2"/>
  <c r="AO335" i="2"/>
  <c r="AD335" i="2"/>
  <c r="V335" i="2"/>
  <c r="AO334" i="2"/>
  <c r="AD334" i="2"/>
  <c r="V334" i="2"/>
  <c r="AO333" i="2"/>
  <c r="AD333" i="2"/>
  <c r="V333" i="2"/>
  <c r="AO332" i="2"/>
  <c r="AD332" i="2"/>
  <c r="V332" i="2"/>
  <c r="AO331" i="2"/>
  <c r="AD331" i="2"/>
  <c r="V331" i="2"/>
  <c r="AO330" i="2"/>
  <c r="AD330" i="2"/>
  <c r="V330" i="2"/>
  <c r="AO329" i="2"/>
  <c r="AD329" i="2"/>
  <c r="V329" i="2"/>
  <c r="AO328" i="2"/>
  <c r="AD328" i="2"/>
  <c r="V328" i="2"/>
  <c r="AO327" i="2"/>
  <c r="AD327" i="2"/>
  <c r="V327" i="2"/>
  <c r="AO326" i="2"/>
  <c r="AD326" i="2"/>
  <c r="V326" i="2"/>
  <c r="AO325" i="2"/>
  <c r="AD325" i="2"/>
  <c r="V325" i="2"/>
  <c r="AO324" i="2"/>
  <c r="AD324" i="2"/>
  <c r="V324" i="2"/>
  <c r="AO323" i="2"/>
  <c r="AD323" i="2"/>
  <c r="V323" i="2"/>
  <c r="AO322" i="2"/>
  <c r="AD322" i="2"/>
  <c r="V322" i="2"/>
  <c r="AO321" i="2"/>
  <c r="AD321" i="2"/>
  <c r="V321" i="2"/>
  <c r="AO320" i="2"/>
  <c r="AD320" i="2"/>
  <c r="V320" i="2"/>
  <c r="AO319" i="2"/>
  <c r="AD319" i="2"/>
  <c r="V319" i="2"/>
  <c r="AO318" i="2"/>
  <c r="AD318" i="2"/>
  <c r="V318" i="2"/>
  <c r="AO317" i="2"/>
  <c r="AD317" i="2"/>
  <c r="V317" i="2"/>
  <c r="AO316" i="2"/>
  <c r="AD316" i="2"/>
  <c r="V316" i="2"/>
  <c r="AO315" i="2"/>
  <c r="AD315" i="2"/>
  <c r="V315" i="2"/>
  <c r="AO314" i="2"/>
  <c r="AD314" i="2"/>
  <c r="V314" i="2"/>
  <c r="AO313" i="2"/>
  <c r="AD313" i="2"/>
  <c r="V313" i="2"/>
  <c r="AO312" i="2"/>
  <c r="AD312" i="2"/>
  <c r="V312" i="2"/>
  <c r="AO311" i="2"/>
  <c r="AD311" i="2"/>
  <c r="V311" i="2"/>
  <c r="AO310" i="2"/>
  <c r="AD310" i="2"/>
  <c r="V310" i="2"/>
  <c r="AO309" i="2"/>
  <c r="AD309" i="2"/>
  <c r="V309" i="2"/>
  <c r="AO308" i="2"/>
  <c r="AD308" i="2"/>
  <c r="V308" i="2"/>
  <c r="AO307" i="2"/>
  <c r="AD307" i="2"/>
  <c r="V307" i="2"/>
  <c r="AO306" i="2"/>
  <c r="AD306" i="2"/>
  <c r="V306" i="2"/>
  <c r="AO305" i="2"/>
  <c r="AD305" i="2"/>
  <c r="V305" i="2"/>
  <c r="AO304" i="2"/>
  <c r="AD304" i="2"/>
  <c r="V304" i="2"/>
  <c r="AO303" i="2"/>
  <c r="AD303" i="2"/>
  <c r="V303" i="2"/>
  <c r="AO302" i="2"/>
  <c r="AD302" i="2"/>
  <c r="V302" i="2"/>
  <c r="AO301" i="2"/>
  <c r="AD301" i="2"/>
  <c r="V301" i="2"/>
  <c r="AO300" i="2"/>
  <c r="AD300" i="2"/>
  <c r="V300" i="2"/>
  <c r="AO299" i="2"/>
  <c r="AD299" i="2"/>
  <c r="V299" i="2"/>
  <c r="AO298" i="2"/>
  <c r="AD298" i="2"/>
  <c r="V298" i="2"/>
  <c r="AO297" i="2"/>
  <c r="AD297" i="2"/>
  <c r="V297" i="2"/>
  <c r="AO296" i="2"/>
  <c r="AD296" i="2"/>
  <c r="V296" i="2"/>
  <c r="AO295" i="2"/>
  <c r="AD295" i="2"/>
  <c r="V295" i="2"/>
  <c r="AO294" i="2"/>
  <c r="AD294" i="2"/>
  <c r="V294" i="2"/>
  <c r="AO293" i="2"/>
  <c r="AD293" i="2"/>
  <c r="V293" i="2"/>
  <c r="AO292" i="2"/>
  <c r="AD292" i="2"/>
  <c r="V292" i="2"/>
  <c r="AO291" i="2"/>
  <c r="AD291" i="2"/>
  <c r="V291" i="2"/>
  <c r="AO290" i="2"/>
  <c r="AD290" i="2"/>
  <c r="V290" i="2"/>
  <c r="AO289" i="2"/>
  <c r="AD289" i="2"/>
  <c r="V289" i="2"/>
  <c r="AO288" i="2"/>
  <c r="AD288" i="2"/>
  <c r="V288" i="2"/>
  <c r="AO287" i="2"/>
  <c r="AD287" i="2"/>
  <c r="V287" i="2"/>
  <c r="AO286" i="2"/>
  <c r="AD286" i="2"/>
  <c r="V286" i="2"/>
  <c r="AO285" i="2"/>
  <c r="AD285" i="2"/>
  <c r="V285" i="2"/>
  <c r="AO284" i="2"/>
  <c r="AD284" i="2"/>
  <c r="V284" i="2"/>
  <c r="AO283" i="2"/>
  <c r="AD283" i="2"/>
  <c r="V283" i="2"/>
  <c r="BN282" i="2"/>
  <c r="BL282" i="2"/>
  <c r="AO282" i="2"/>
  <c r="AD282" i="2"/>
  <c r="V282" i="2"/>
  <c r="BN281" i="2"/>
  <c r="BL281" i="2"/>
  <c r="AO281" i="2"/>
  <c r="AD281" i="2"/>
  <c r="V281" i="2"/>
  <c r="BN280" i="2"/>
  <c r="BL280" i="2"/>
  <c r="AO280" i="2"/>
  <c r="AD280" i="2"/>
  <c r="V280" i="2"/>
  <c r="BN279" i="2"/>
  <c r="BL279" i="2"/>
  <c r="AO279" i="2"/>
  <c r="AD279" i="2"/>
  <c r="V279" i="2"/>
  <c r="BN278" i="2"/>
  <c r="BL278" i="2"/>
  <c r="AO278" i="2"/>
  <c r="AD278" i="2"/>
  <c r="V278" i="2"/>
  <c r="BN277" i="2"/>
  <c r="BL277" i="2"/>
  <c r="AO277" i="2"/>
  <c r="AD277" i="2"/>
  <c r="V277" i="2"/>
  <c r="BN276" i="2"/>
  <c r="BL276" i="2"/>
  <c r="AO276" i="2"/>
  <c r="AD276" i="2"/>
  <c r="V276" i="2"/>
  <c r="BN275" i="2"/>
  <c r="BL275" i="2"/>
  <c r="AO275" i="2"/>
  <c r="AD275" i="2"/>
  <c r="V275" i="2"/>
  <c r="BN274" i="2"/>
  <c r="BL274" i="2"/>
  <c r="AO274" i="2"/>
  <c r="AD274" i="2"/>
  <c r="V274" i="2"/>
  <c r="BN273" i="2"/>
  <c r="BL273" i="2"/>
  <c r="AO273" i="2"/>
  <c r="AD273" i="2"/>
  <c r="V273" i="2"/>
  <c r="BN272" i="2"/>
  <c r="BL272" i="2"/>
  <c r="AO272" i="2"/>
  <c r="AD272" i="2"/>
  <c r="V272" i="2"/>
  <c r="BN271" i="2"/>
  <c r="BL271" i="2"/>
  <c r="AO271" i="2"/>
  <c r="AD271" i="2"/>
  <c r="V271" i="2"/>
  <c r="BN270" i="2"/>
  <c r="BL270" i="2"/>
  <c r="AO270" i="2"/>
  <c r="AD270" i="2"/>
  <c r="V270" i="2"/>
  <c r="BN269" i="2"/>
  <c r="BL269" i="2"/>
  <c r="AO269" i="2"/>
  <c r="AD269" i="2"/>
  <c r="V269" i="2"/>
  <c r="BN268" i="2"/>
  <c r="BL268" i="2"/>
  <c r="AO268" i="2"/>
  <c r="AD268" i="2"/>
  <c r="V268" i="2"/>
  <c r="BN267" i="2"/>
  <c r="BL267" i="2"/>
  <c r="AO267" i="2"/>
  <c r="AD267" i="2"/>
  <c r="V267" i="2"/>
  <c r="BN266" i="2"/>
  <c r="BL266" i="2"/>
  <c r="AO266" i="2"/>
  <c r="AD266" i="2"/>
  <c r="V266" i="2"/>
  <c r="BN265" i="2"/>
  <c r="BL265" i="2"/>
  <c r="AO265" i="2"/>
  <c r="AD265" i="2"/>
  <c r="V265" i="2"/>
  <c r="BN264" i="2"/>
  <c r="BL264" i="2"/>
  <c r="AO264" i="2"/>
  <c r="AD264" i="2"/>
  <c r="V264" i="2"/>
  <c r="BN263" i="2"/>
  <c r="BL263" i="2"/>
  <c r="AO263" i="2"/>
  <c r="AD263" i="2"/>
  <c r="V263" i="2"/>
  <c r="BN262" i="2"/>
  <c r="BL262" i="2"/>
  <c r="AO262" i="2"/>
  <c r="AD262" i="2"/>
  <c r="V262" i="2"/>
  <c r="BN261" i="2"/>
  <c r="BL261" i="2"/>
  <c r="AO261" i="2"/>
  <c r="AD261" i="2"/>
  <c r="V261" i="2"/>
  <c r="BN260" i="2"/>
  <c r="BL260" i="2"/>
  <c r="AO260" i="2"/>
  <c r="AD260" i="2"/>
  <c r="V260" i="2"/>
  <c r="BN259" i="2"/>
  <c r="BL259" i="2"/>
  <c r="AO259" i="2"/>
  <c r="AD259" i="2"/>
  <c r="V259" i="2"/>
  <c r="BN258" i="2"/>
  <c r="BL258" i="2"/>
  <c r="AO258" i="2"/>
  <c r="AD258" i="2"/>
  <c r="V258" i="2"/>
  <c r="BN257" i="2"/>
  <c r="BL257" i="2"/>
  <c r="AO257" i="2"/>
  <c r="AD257" i="2"/>
  <c r="V257" i="2"/>
  <c r="BN256" i="2"/>
  <c r="BL256" i="2"/>
  <c r="AO256" i="2"/>
  <c r="AD256" i="2"/>
  <c r="V256" i="2"/>
  <c r="BN255" i="2"/>
  <c r="BL255" i="2"/>
  <c r="AO255" i="2"/>
  <c r="AD255" i="2"/>
  <c r="V255" i="2"/>
  <c r="BN254" i="2"/>
  <c r="BL254" i="2"/>
  <c r="AO254" i="2"/>
  <c r="AD254" i="2"/>
  <c r="V254" i="2"/>
  <c r="BN253" i="2"/>
  <c r="BL253" i="2"/>
  <c r="AO253" i="2"/>
  <c r="AD253" i="2"/>
  <c r="V253" i="2"/>
  <c r="BN252" i="2"/>
  <c r="BL252" i="2"/>
  <c r="AO252" i="2"/>
  <c r="AD252" i="2"/>
  <c r="V252" i="2"/>
  <c r="BN251" i="2"/>
  <c r="BL251" i="2"/>
  <c r="AO251" i="2"/>
  <c r="AD251" i="2"/>
  <c r="V251" i="2"/>
  <c r="BN250" i="2"/>
  <c r="BL250" i="2"/>
  <c r="AO250" i="2"/>
  <c r="AD250" i="2"/>
  <c r="V250" i="2"/>
  <c r="BN249" i="2"/>
  <c r="BL249" i="2"/>
  <c r="AO249" i="2"/>
  <c r="AD249" i="2"/>
  <c r="V249" i="2"/>
  <c r="BN248" i="2"/>
  <c r="BL248" i="2"/>
  <c r="AO248" i="2"/>
  <c r="AD248" i="2"/>
  <c r="V248" i="2"/>
  <c r="BN247" i="2"/>
  <c r="BL247" i="2"/>
  <c r="AO247" i="2"/>
  <c r="AD247" i="2"/>
  <c r="V247" i="2"/>
  <c r="BN246" i="2"/>
  <c r="BL246" i="2"/>
  <c r="AO246" i="2"/>
  <c r="AD246" i="2"/>
  <c r="V246" i="2"/>
  <c r="BN245" i="2"/>
  <c r="BL245" i="2"/>
  <c r="AO245" i="2"/>
  <c r="AD245" i="2"/>
  <c r="V245" i="2"/>
  <c r="BN244" i="2"/>
  <c r="BL244" i="2"/>
  <c r="AO244" i="2"/>
  <c r="AD244" i="2"/>
  <c r="V244" i="2"/>
  <c r="BN243" i="2"/>
  <c r="BL243" i="2"/>
  <c r="AO243" i="2"/>
  <c r="AD243" i="2"/>
  <c r="V243" i="2"/>
  <c r="BN242" i="2"/>
  <c r="BL242" i="2"/>
  <c r="AO242" i="2"/>
  <c r="AD242" i="2"/>
  <c r="V242" i="2"/>
  <c r="BN241" i="2"/>
  <c r="BL241" i="2"/>
  <c r="AO241" i="2"/>
  <c r="AD241" i="2"/>
  <c r="V241" i="2"/>
  <c r="BN240" i="2"/>
  <c r="BL240" i="2"/>
  <c r="AO240" i="2"/>
  <c r="AD240" i="2"/>
  <c r="V240" i="2"/>
  <c r="BN239" i="2"/>
  <c r="BL239" i="2"/>
  <c r="AO239" i="2"/>
  <c r="AD239" i="2"/>
  <c r="V239" i="2"/>
  <c r="BN238" i="2"/>
  <c r="BL238" i="2"/>
  <c r="AO238" i="2"/>
  <c r="AD238" i="2"/>
  <c r="V238" i="2"/>
  <c r="BN237" i="2"/>
  <c r="BL237" i="2"/>
  <c r="AO237" i="2"/>
  <c r="AD237" i="2"/>
  <c r="V237" i="2"/>
  <c r="BN236" i="2"/>
  <c r="BL236" i="2"/>
  <c r="AO236" i="2"/>
  <c r="AD236" i="2"/>
  <c r="V236" i="2"/>
  <c r="BN235" i="2"/>
  <c r="BL235" i="2"/>
  <c r="AO235" i="2"/>
  <c r="AD235" i="2"/>
  <c r="V235" i="2"/>
  <c r="BN234" i="2"/>
  <c r="BL234" i="2"/>
  <c r="AO234" i="2"/>
  <c r="AD234" i="2"/>
  <c r="V234" i="2"/>
  <c r="BN233" i="2"/>
  <c r="BL233" i="2"/>
  <c r="AO233" i="2"/>
  <c r="AD233" i="2"/>
  <c r="V233" i="2"/>
  <c r="BN232" i="2"/>
  <c r="BL232" i="2"/>
  <c r="AO232" i="2"/>
  <c r="AD232" i="2"/>
  <c r="V232" i="2"/>
  <c r="BN231" i="2"/>
  <c r="BL231" i="2"/>
  <c r="AO231" i="2"/>
  <c r="AD231" i="2"/>
  <c r="V231" i="2"/>
  <c r="BN230" i="2"/>
  <c r="BL230" i="2"/>
  <c r="AO230" i="2"/>
  <c r="AD230" i="2"/>
  <c r="V230" i="2"/>
  <c r="BN229" i="2"/>
  <c r="BL229" i="2"/>
  <c r="AO229" i="2"/>
  <c r="AD229" i="2"/>
  <c r="V229" i="2"/>
  <c r="BN228" i="2"/>
  <c r="BL228" i="2"/>
  <c r="AO228" i="2"/>
  <c r="AD228" i="2"/>
  <c r="V228" i="2"/>
  <c r="BN227" i="2"/>
  <c r="BL227" i="2"/>
  <c r="AO227" i="2"/>
  <c r="AD227" i="2"/>
  <c r="V227" i="2"/>
  <c r="BN226" i="2"/>
  <c r="BL226" i="2"/>
  <c r="AO226" i="2"/>
  <c r="AD226" i="2"/>
  <c r="V226" i="2"/>
  <c r="BN225" i="2"/>
  <c r="BL225" i="2"/>
  <c r="AO225" i="2"/>
  <c r="AD225" i="2"/>
  <c r="V225" i="2"/>
  <c r="BN224" i="2"/>
  <c r="BL224" i="2"/>
  <c r="AO224" i="2"/>
  <c r="AD224" i="2"/>
  <c r="V224" i="2"/>
  <c r="BN223" i="2"/>
  <c r="BL223" i="2"/>
  <c r="AO223" i="2"/>
  <c r="AD223" i="2"/>
  <c r="V223" i="2"/>
  <c r="BN222" i="2"/>
  <c r="BL222" i="2"/>
  <c r="AO222" i="2"/>
  <c r="AD222" i="2"/>
  <c r="V222" i="2"/>
  <c r="BN221" i="2"/>
  <c r="BL221" i="2"/>
  <c r="AO221" i="2"/>
  <c r="AD221" i="2"/>
  <c r="V221" i="2"/>
  <c r="BN220" i="2"/>
  <c r="BL220" i="2"/>
  <c r="AO220" i="2"/>
  <c r="AD220" i="2"/>
  <c r="V220" i="2"/>
  <c r="BN219" i="2"/>
  <c r="BL219" i="2"/>
  <c r="AO219" i="2"/>
  <c r="AD219" i="2"/>
  <c r="V219" i="2"/>
  <c r="BN218" i="2"/>
  <c r="BL218" i="2"/>
  <c r="AO218" i="2"/>
  <c r="AD218" i="2"/>
  <c r="V218" i="2"/>
  <c r="BN217" i="2"/>
  <c r="BL217" i="2"/>
  <c r="AO217" i="2"/>
  <c r="AD217" i="2"/>
  <c r="V217" i="2"/>
  <c r="BN216" i="2"/>
  <c r="BL216" i="2"/>
  <c r="AO216" i="2"/>
  <c r="AD216" i="2"/>
  <c r="V216" i="2"/>
  <c r="BN215" i="2"/>
  <c r="BL215" i="2"/>
  <c r="AO215" i="2"/>
  <c r="AD215" i="2"/>
  <c r="V215" i="2"/>
  <c r="BN214" i="2"/>
  <c r="BL214" i="2"/>
  <c r="AO214" i="2"/>
  <c r="AD214" i="2"/>
  <c r="V214" i="2"/>
  <c r="BN213" i="2"/>
  <c r="BL213" i="2"/>
  <c r="AO213" i="2"/>
  <c r="AD213" i="2"/>
  <c r="V213" i="2"/>
  <c r="BN212" i="2"/>
  <c r="BL212" i="2"/>
  <c r="AO212" i="2"/>
  <c r="AD212" i="2"/>
  <c r="V212" i="2"/>
  <c r="BN211" i="2"/>
  <c r="BL211" i="2"/>
  <c r="AO211" i="2"/>
  <c r="AD211" i="2"/>
  <c r="V211" i="2"/>
  <c r="BN210" i="2"/>
  <c r="BL210" i="2"/>
  <c r="AO210" i="2"/>
  <c r="AD210" i="2"/>
  <c r="V210" i="2"/>
  <c r="BN209" i="2"/>
  <c r="BL209" i="2"/>
  <c r="AO209" i="2"/>
  <c r="AD209" i="2"/>
  <c r="V209" i="2"/>
  <c r="BN208" i="2"/>
  <c r="BL208" i="2"/>
  <c r="AO208" i="2"/>
  <c r="AD208" i="2"/>
  <c r="V208" i="2"/>
  <c r="BN207" i="2"/>
  <c r="BL207" i="2"/>
  <c r="AO207" i="2"/>
  <c r="AD207" i="2"/>
  <c r="V207" i="2"/>
  <c r="BN206" i="2"/>
  <c r="BL206" i="2"/>
  <c r="AO206" i="2"/>
  <c r="AD206" i="2"/>
  <c r="V206" i="2"/>
  <c r="BN205" i="2"/>
  <c r="BL205" i="2"/>
  <c r="AO205" i="2"/>
  <c r="AD205" i="2"/>
  <c r="V205" i="2"/>
  <c r="BN204" i="2"/>
  <c r="BL204" i="2"/>
  <c r="AO204" i="2"/>
  <c r="AD204" i="2"/>
  <c r="V204" i="2"/>
  <c r="BN203" i="2"/>
  <c r="BL203" i="2"/>
  <c r="AO203" i="2"/>
  <c r="AD203" i="2"/>
  <c r="V203" i="2"/>
  <c r="BN202" i="2"/>
  <c r="BL202" i="2"/>
  <c r="AO202" i="2"/>
  <c r="AD202" i="2"/>
  <c r="V202" i="2"/>
  <c r="BN201" i="2"/>
  <c r="BL201" i="2"/>
  <c r="AO201" i="2"/>
  <c r="AD201" i="2"/>
  <c r="V201" i="2"/>
  <c r="BN200" i="2"/>
  <c r="BL200" i="2"/>
  <c r="AO200" i="2"/>
  <c r="AD200" i="2"/>
  <c r="V200" i="2"/>
  <c r="BN199" i="2"/>
  <c r="BL199" i="2"/>
  <c r="AO199" i="2"/>
  <c r="AD199" i="2"/>
  <c r="V199" i="2"/>
  <c r="BN198" i="2"/>
  <c r="BL198" i="2"/>
  <c r="AO198" i="2"/>
  <c r="AD198" i="2"/>
  <c r="V198" i="2"/>
  <c r="BN197" i="2"/>
  <c r="BL197" i="2"/>
  <c r="AO197" i="2"/>
  <c r="AD197" i="2"/>
  <c r="V197" i="2"/>
  <c r="BN196" i="2"/>
  <c r="BL196" i="2"/>
  <c r="AO196" i="2"/>
  <c r="AD196" i="2"/>
  <c r="V196" i="2"/>
  <c r="BN195" i="2"/>
  <c r="BL195" i="2"/>
  <c r="AO195" i="2"/>
  <c r="AD195" i="2"/>
  <c r="V195" i="2"/>
  <c r="BN194" i="2"/>
  <c r="BL194" i="2"/>
  <c r="AO194" i="2"/>
  <c r="AD194" i="2"/>
  <c r="V194" i="2"/>
  <c r="BN193" i="2"/>
  <c r="BL193" i="2"/>
  <c r="AO193" i="2"/>
  <c r="AD193" i="2"/>
  <c r="V193" i="2"/>
  <c r="BN192" i="2"/>
  <c r="BL192" i="2"/>
  <c r="AO192" i="2"/>
  <c r="AD192" i="2"/>
  <c r="V192" i="2"/>
  <c r="BN191" i="2"/>
  <c r="BL191" i="2"/>
  <c r="AO191" i="2"/>
  <c r="AD191" i="2"/>
  <c r="V191" i="2"/>
  <c r="BN190" i="2"/>
  <c r="BL190" i="2"/>
  <c r="AO190" i="2"/>
  <c r="AD190" i="2"/>
  <c r="V190" i="2"/>
  <c r="BN189" i="2"/>
  <c r="BL189" i="2"/>
  <c r="AO189" i="2"/>
  <c r="AD189" i="2"/>
  <c r="V189" i="2"/>
  <c r="BN188" i="2"/>
  <c r="BL188" i="2"/>
  <c r="AO188" i="2"/>
  <c r="AD188" i="2"/>
  <c r="V188" i="2"/>
  <c r="BN187" i="2"/>
  <c r="BL187" i="2"/>
  <c r="AO187" i="2"/>
  <c r="AD187" i="2"/>
  <c r="V187" i="2"/>
  <c r="BN186" i="2"/>
  <c r="BL186" i="2"/>
  <c r="AO186" i="2"/>
  <c r="AD186" i="2"/>
  <c r="V186" i="2"/>
  <c r="BN185" i="2"/>
  <c r="BL185" i="2"/>
  <c r="AO185" i="2"/>
  <c r="AD185" i="2"/>
  <c r="V185" i="2"/>
  <c r="BN184" i="2"/>
  <c r="BL184" i="2"/>
  <c r="AO184" i="2"/>
  <c r="AD184" i="2"/>
  <c r="V184" i="2"/>
  <c r="BN183" i="2"/>
  <c r="BL183" i="2"/>
  <c r="AO183" i="2"/>
  <c r="AD183" i="2"/>
  <c r="V183" i="2"/>
  <c r="BN182" i="2"/>
  <c r="BL182" i="2"/>
  <c r="AO182" i="2"/>
  <c r="AD182" i="2"/>
  <c r="V182" i="2"/>
  <c r="BN181" i="2"/>
  <c r="BL181" i="2"/>
  <c r="AO181" i="2"/>
  <c r="AD181" i="2"/>
  <c r="V181" i="2"/>
  <c r="BN180" i="2"/>
  <c r="BL180" i="2"/>
  <c r="AO180" i="2"/>
  <c r="AD180" i="2"/>
  <c r="V180" i="2"/>
  <c r="BN179" i="2"/>
  <c r="BL179" i="2"/>
  <c r="AO179" i="2"/>
  <c r="AD179" i="2"/>
  <c r="V179" i="2"/>
  <c r="BN178" i="2"/>
  <c r="BL178" i="2"/>
  <c r="AO178" i="2"/>
  <c r="AD178" i="2"/>
  <c r="V178" i="2"/>
  <c r="BN177" i="2"/>
  <c r="BL177" i="2"/>
  <c r="AO177" i="2"/>
  <c r="AD177" i="2"/>
  <c r="V177" i="2"/>
  <c r="BN176" i="2"/>
  <c r="BL176" i="2"/>
  <c r="AO176" i="2"/>
  <c r="AD176" i="2"/>
  <c r="V176" i="2"/>
  <c r="BN175" i="2"/>
  <c r="BL175" i="2"/>
  <c r="AO175" i="2"/>
  <c r="AD175" i="2"/>
  <c r="V175" i="2"/>
  <c r="BN174" i="2"/>
  <c r="BL174" i="2"/>
  <c r="AO174" i="2"/>
  <c r="AD174" i="2"/>
  <c r="V174" i="2"/>
  <c r="BN173" i="2"/>
  <c r="BL173" i="2"/>
  <c r="AO173" i="2"/>
  <c r="AD173" i="2"/>
  <c r="V173" i="2"/>
  <c r="BN172" i="2"/>
  <c r="BL172" i="2"/>
  <c r="AO172" i="2"/>
  <c r="AD172" i="2"/>
  <c r="V172" i="2"/>
  <c r="BN171" i="2"/>
  <c r="BL171" i="2"/>
  <c r="AO171" i="2"/>
  <c r="AD171" i="2"/>
  <c r="V171" i="2"/>
  <c r="BN170" i="2"/>
  <c r="BL170" i="2"/>
  <c r="AO170" i="2"/>
  <c r="AD170" i="2"/>
  <c r="V170" i="2"/>
  <c r="BN169" i="2"/>
  <c r="BL169" i="2"/>
  <c r="AO169" i="2"/>
  <c r="AD169" i="2"/>
  <c r="V169" i="2"/>
  <c r="BN168" i="2"/>
  <c r="BL168" i="2"/>
  <c r="AO168" i="2"/>
  <c r="AD168" i="2"/>
  <c r="V168" i="2"/>
  <c r="BN167" i="2"/>
  <c r="BL167" i="2"/>
  <c r="AO167" i="2"/>
  <c r="AD167" i="2"/>
  <c r="V167" i="2"/>
  <c r="BN166" i="2"/>
  <c r="BL166" i="2"/>
  <c r="AO166" i="2"/>
  <c r="AD166" i="2"/>
  <c r="V166" i="2"/>
  <c r="BN165" i="2"/>
  <c r="BL165" i="2"/>
  <c r="AO165" i="2"/>
  <c r="AD165" i="2"/>
  <c r="V165" i="2"/>
  <c r="BN164" i="2"/>
  <c r="BL164" i="2"/>
  <c r="AO164" i="2"/>
  <c r="AD164" i="2"/>
  <c r="V164" i="2"/>
  <c r="BN163" i="2"/>
  <c r="BL163" i="2"/>
  <c r="AO163" i="2"/>
  <c r="AD163" i="2"/>
  <c r="V163" i="2"/>
  <c r="BN162" i="2"/>
  <c r="BL162" i="2"/>
  <c r="AO162" i="2"/>
  <c r="AD162" i="2"/>
  <c r="V162" i="2"/>
  <c r="BN161" i="2"/>
  <c r="BL161" i="2"/>
  <c r="AO161" i="2"/>
  <c r="AD161" i="2"/>
  <c r="V161" i="2"/>
  <c r="BN160" i="2"/>
  <c r="BL160" i="2"/>
  <c r="AO160" i="2"/>
  <c r="AD160" i="2"/>
  <c r="V160" i="2"/>
  <c r="BN159" i="2"/>
  <c r="BL159" i="2"/>
  <c r="AO159" i="2"/>
  <c r="AD159" i="2"/>
  <c r="V159" i="2"/>
  <c r="BN158" i="2"/>
  <c r="BL158" i="2"/>
  <c r="AO158" i="2"/>
  <c r="AD158" i="2"/>
  <c r="V158" i="2"/>
  <c r="BN157" i="2"/>
  <c r="BL157" i="2"/>
  <c r="AO157" i="2"/>
  <c r="AD157" i="2"/>
  <c r="V157" i="2"/>
  <c r="BN156" i="2"/>
  <c r="BL156" i="2"/>
  <c r="AO156" i="2"/>
  <c r="AD156" i="2"/>
  <c r="V156" i="2"/>
  <c r="BN155" i="2"/>
  <c r="BL155" i="2"/>
  <c r="AO155" i="2"/>
  <c r="AD155" i="2"/>
  <c r="V155" i="2"/>
  <c r="BN154" i="2"/>
  <c r="BL154" i="2"/>
  <c r="AO154" i="2"/>
  <c r="AD154" i="2"/>
  <c r="V154" i="2"/>
  <c r="BN153" i="2"/>
  <c r="BL153" i="2"/>
  <c r="AO153" i="2"/>
  <c r="AD153" i="2"/>
  <c r="V153" i="2"/>
  <c r="BN152" i="2"/>
  <c r="BL152" i="2"/>
  <c r="AO152" i="2"/>
  <c r="AD152" i="2"/>
  <c r="V152" i="2"/>
  <c r="BN151" i="2"/>
  <c r="BL151" i="2"/>
  <c r="AO151" i="2"/>
  <c r="AD151" i="2"/>
  <c r="V151" i="2"/>
  <c r="BN150" i="2"/>
  <c r="BL150" i="2"/>
  <c r="AO150" i="2"/>
  <c r="AD150" i="2"/>
  <c r="V150" i="2"/>
  <c r="BN149" i="2"/>
  <c r="BL149" i="2"/>
  <c r="AO149" i="2"/>
  <c r="AD149" i="2"/>
  <c r="V149" i="2"/>
  <c r="BN148" i="2"/>
  <c r="BL148" i="2"/>
  <c r="AO148" i="2"/>
  <c r="AD148" i="2"/>
  <c r="V148" i="2"/>
  <c r="BN147" i="2"/>
  <c r="BL147" i="2"/>
  <c r="AO147" i="2"/>
  <c r="AD147" i="2"/>
  <c r="V147" i="2"/>
  <c r="BN146" i="2"/>
  <c r="BL146" i="2"/>
  <c r="AO146" i="2"/>
  <c r="AD146" i="2"/>
  <c r="V146" i="2"/>
  <c r="BN145" i="2"/>
  <c r="BL145" i="2"/>
  <c r="AO145" i="2"/>
  <c r="AD145" i="2"/>
  <c r="V145" i="2"/>
  <c r="BN144" i="2"/>
  <c r="BL144" i="2"/>
  <c r="AO144" i="2"/>
  <c r="AD144" i="2"/>
  <c r="V144" i="2"/>
  <c r="BN143" i="2"/>
  <c r="BL143" i="2"/>
  <c r="AO143" i="2"/>
  <c r="AD143" i="2"/>
  <c r="V143" i="2"/>
  <c r="BN142" i="2"/>
  <c r="BL142" i="2"/>
  <c r="AO142" i="2"/>
  <c r="AD142" i="2"/>
  <c r="V142" i="2"/>
  <c r="BN141" i="2"/>
  <c r="BL141" i="2"/>
  <c r="AO141" i="2"/>
  <c r="AD141" i="2"/>
  <c r="V141" i="2"/>
  <c r="BN140" i="2"/>
  <c r="BL140" i="2"/>
  <c r="AO140" i="2"/>
  <c r="AD140" i="2"/>
  <c r="V140" i="2"/>
  <c r="BN139" i="2"/>
  <c r="BL139" i="2"/>
  <c r="AO139" i="2"/>
  <c r="AD139" i="2"/>
  <c r="V139" i="2"/>
  <c r="BN138" i="2"/>
  <c r="BL138" i="2"/>
  <c r="AO138" i="2"/>
  <c r="AD138" i="2"/>
  <c r="V138" i="2"/>
  <c r="BN137" i="2"/>
  <c r="BL137" i="2"/>
  <c r="AO137" i="2"/>
  <c r="AD137" i="2"/>
  <c r="V137" i="2"/>
  <c r="BN136" i="2"/>
  <c r="BL136" i="2"/>
  <c r="AO136" i="2"/>
  <c r="AD136" i="2"/>
  <c r="V136" i="2"/>
  <c r="BN135" i="2"/>
  <c r="BL135" i="2"/>
  <c r="AO135" i="2"/>
  <c r="AD135" i="2"/>
  <c r="V135" i="2"/>
  <c r="BN134" i="2"/>
  <c r="BL134" i="2"/>
  <c r="AO134" i="2"/>
  <c r="AD134" i="2"/>
  <c r="V134" i="2"/>
  <c r="BN133" i="2"/>
  <c r="BL133" i="2"/>
  <c r="AO133" i="2"/>
  <c r="AD133" i="2"/>
  <c r="V133" i="2"/>
  <c r="BN132" i="2"/>
  <c r="BL132" i="2"/>
  <c r="AO132" i="2"/>
  <c r="AD132" i="2"/>
  <c r="V132" i="2"/>
  <c r="BN131" i="2"/>
  <c r="BL131" i="2"/>
  <c r="AO131" i="2"/>
  <c r="AD131" i="2"/>
  <c r="V131" i="2"/>
  <c r="BN130" i="2"/>
  <c r="BL130" i="2"/>
  <c r="AO130" i="2"/>
  <c r="AD130" i="2"/>
  <c r="V130" i="2"/>
  <c r="BN129" i="2"/>
  <c r="BL129" i="2"/>
  <c r="AO129" i="2"/>
  <c r="AD129" i="2"/>
  <c r="V129" i="2"/>
  <c r="BN128" i="2"/>
  <c r="BL128" i="2"/>
  <c r="AO128" i="2"/>
  <c r="AD128" i="2"/>
  <c r="V128" i="2"/>
  <c r="BN127" i="2"/>
  <c r="BL127" i="2"/>
  <c r="AO127" i="2"/>
  <c r="AD127" i="2"/>
  <c r="V127" i="2"/>
  <c r="BN126" i="2"/>
  <c r="BL126" i="2"/>
  <c r="AO126" i="2"/>
  <c r="AD126" i="2"/>
  <c r="V126" i="2"/>
  <c r="BN125" i="2"/>
  <c r="BL125" i="2"/>
  <c r="AO125" i="2"/>
  <c r="AD125" i="2"/>
  <c r="V125" i="2"/>
  <c r="BN124" i="2"/>
  <c r="BL124" i="2"/>
  <c r="AO124" i="2"/>
  <c r="AD124" i="2"/>
  <c r="V124" i="2"/>
  <c r="BN123" i="2"/>
  <c r="BL123" i="2"/>
  <c r="AO123" i="2"/>
  <c r="AD123" i="2"/>
  <c r="V123" i="2"/>
  <c r="BN122" i="2"/>
  <c r="BL122" i="2"/>
  <c r="AO122" i="2"/>
  <c r="AD122" i="2"/>
  <c r="V122" i="2"/>
  <c r="BN121" i="2"/>
  <c r="BL121" i="2"/>
  <c r="AO121" i="2"/>
  <c r="AD121" i="2"/>
  <c r="V121" i="2"/>
  <c r="BN120" i="2"/>
  <c r="BL120" i="2"/>
  <c r="AO120" i="2"/>
  <c r="AD120" i="2"/>
  <c r="V120" i="2"/>
  <c r="BN119" i="2"/>
  <c r="BL119" i="2"/>
  <c r="AO119" i="2"/>
  <c r="AD119" i="2"/>
  <c r="V119" i="2"/>
  <c r="BN118" i="2"/>
  <c r="BL118" i="2"/>
  <c r="AO118" i="2"/>
  <c r="AD118" i="2"/>
  <c r="V118" i="2"/>
  <c r="BN117" i="2"/>
  <c r="BL117" i="2"/>
  <c r="AO117" i="2"/>
  <c r="AD117" i="2"/>
  <c r="V117" i="2"/>
  <c r="BN116" i="2"/>
  <c r="BL116" i="2"/>
  <c r="AO116" i="2"/>
  <c r="AD116" i="2"/>
  <c r="V116" i="2"/>
  <c r="BN115" i="2"/>
  <c r="BL115" i="2"/>
  <c r="AO115" i="2"/>
  <c r="AD115" i="2"/>
  <c r="V115" i="2"/>
  <c r="BN114" i="2"/>
  <c r="BL114" i="2"/>
  <c r="AO114" i="2"/>
  <c r="AD114" i="2"/>
  <c r="V114" i="2"/>
  <c r="BN113" i="2"/>
  <c r="BL113" i="2"/>
  <c r="AO113" i="2"/>
  <c r="AD113" i="2"/>
  <c r="V113" i="2"/>
  <c r="BN112" i="2"/>
  <c r="BL112" i="2"/>
  <c r="AO112" i="2"/>
  <c r="AD112" i="2"/>
  <c r="V112" i="2"/>
  <c r="BN111" i="2"/>
  <c r="BL111" i="2"/>
  <c r="AO111" i="2"/>
  <c r="AD111" i="2"/>
  <c r="V111" i="2"/>
  <c r="BN110" i="2"/>
  <c r="BL110" i="2"/>
  <c r="AO110" i="2"/>
  <c r="AD110" i="2"/>
  <c r="V110" i="2"/>
  <c r="BN109" i="2"/>
  <c r="BL109" i="2"/>
  <c r="AO109" i="2"/>
  <c r="AD109" i="2"/>
  <c r="V109" i="2"/>
  <c r="BN108" i="2"/>
  <c r="BL108" i="2"/>
  <c r="AO108" i="2"/>
  <c r="AD108" i="2"/>
  <c r="V108" i="2"/>
  <c r="BN107" i="2"/>
  <c r="BL107" i="2"/>
  <c r="AO107" i="2"/>
  <c r="AD107" i="2"/>
  <c r="V107" i="2"/>
  <c r="BN106" i="2"/>
  <c r="BL106" i="2"/>
  <c r="AO106" i="2"/>
  <c r="AD106" i="2"/>
  <c r="V106" i="2"/>
  <c r="BN105" i="2"/>
  <c r="BL105" i="2"/>
  <c r="AO105" i="2"/>
  <c r="AD105" i="2"/>
  <c r="V105" i="2"/>
  <c r="BN104" i="2"/>
  <c r="BL104" i="2"/>
  <c r="AO104" i="2"/>
  <c r="AD104" i="2"/>
  <c r="V104" i="2"/>
  <c r="BN103" i="2"/>
  <c r="BL103" i="2"/>
  <c r="AO103" i="2"/>
  <c r="AD103" i="2"/>
  <c r="V103" i="2"/>
  <c r="BN102" i="2"/>
  <c r="BL102" i="2"/>
  <c r="AO102" i="2"/>
  <c r="AD102" i="2"/>
  <c r="V102" i="2"/>
  <c r="BN101" i="2"/>
  <c r="BL101" i="2"/>
  <c r="AO101" i="2"/>
  <c r="AD101" i="2"/>
  <c r="V101" i="2"/>
  <c r="BN100" i="2"/>
  <c r="BL100" i="2"/>
  <c r="AO100" i="2"/>
  <c r="AD100" i="2"/>
  <c r="V100" i="2"/>
  <c r="BN99" i="2"/>
  <c r="BL99" i="2"/>
  <c r="AO99" i="2"/>
  <c r="AD99" i="2"/>
  <c r="V99" i="2"/>
  <c r="BN98" i="2"/>
  <c r="BL98" i="2"/>
  <c r="AO98" i="2"/>
  <c r="AD98" i="2"/>
  <c r="V98" i="2"/>
  <c r="BN97" i="2"/>
  <c r="BL97" i="2"/>
  <c r="AO97" i="2"/>
  <c r="AD97" i="2"/>
  <c r="V97" i="2"/>
  <c r="BN96" i="2"/>
  <c r="BL96" i="2"/>
  <c r="AO96" i="2"/>
  <c r="AD96" i="2"/>
  <c r="V96" i="2"/>
  <c r="BN95" i="2"/>
  <c r="BL95" i="2"/>
  <c r="AO95" i="2"/>
  <c r="AD95" i="2"/>
  <c r="V95" i="2"/>
  <c r="BN94" i="2"/>
  <c r="BL94" i="2"/>
  <c r="AO94" i="2"/>
  <c r="AD94" i="2"/>
  <c r="V94" i="2"/>
  <c r="BN93" i="2"/>
  <c r="BL93" i="2"/>
  <c r="AO93" i="2"/>
  <c r="AD93" i="2"/>
  <c r="V93" i="2"/>
  <c r="BN92" i="2"/>
  <c r="BL92" i="2"/>
  <c r="AO92" i="2"/>
  <c r="AD92" i="2"/>
  <c r="V92" i="2"/>
  <c r="BN91" i="2"/>
  <c r="BL91" i="2"/>
  <c r="AO91" i="2"/>
  <c r="AD91" i="2"/>
  <c r="V91" i="2"/>
  <c r="BN90" i="2"/>
  <c r="BL90" i="2"/>
  <c r="AO90" i="2"/>
  <c r="AD90" i="2"/>
  <c r="V90" i="2"/>
  <c r="BN89" i="2"/>
  <c r="BL89" i="2"/>
  <c r="AO89" i="2"/>
  <c r="AD89" i="2"/>
  <c r="V89" i="2"/>
  <c r="BN88" i="2"/>
  <c r="BL88" i="2"/>
  <c r="AO88" i="2"/>
  <c r="AD88" i="2"/>
  <c r="V88" i="2"/>
  <c r="BN87" i="2"/>
  <c r="BL87" i="2"/>
  <c r="AO87" i="2"/>
  <c r="AD87" i="2"/>
  <c r="V87" i="2"/>
  <c r="BN86" i="2"/>
  <c r="BL86" i="2"/>
  <c r="AO86" i="2"/>
  <c r="AD86" i="2"/>
  <c r="V86" i="2"/>
  <c r="BN85" i="2"/>
  <c r="BL85" i="2"/>
  <c r="AO85" i="2"/>
  <c r="AD85" i="2"/>
  <c r="V85" i="2"/>
  <c r="BN84" i="2"/>
  <c r="BL84" i="2"/>
  <c r="AO84" i="2"/>
  <c r="AD84" i="2"/>
  <c r="V84" i="2"/>
  <c r="BN83" i="2"/>
  <c r="BL83" i="2"/>
  <c r="AO83" i="2"/>
  <c r="AD83" i="2"/>
  <c r="V83" i="2"/>
  <c r="BN82" i="2"/>
  <c r="BL82" i="2"/>
  <c r="AO82" i="2"/>
  <c r="AD82" i="2"/>
  <c r="V82" i="2"/>
  <c r="BN81" i="2"/>
  <c r="BL81" i="2"/>
  <c r="AO81" i="2"/>
  <c r="AD81" i="2"/>
  <c r="V81" i="2"/>
  <c r="BN80" i="2"/>
  <c r="BL80" i="2"/>
  <c r="AO80" i="2"/>
  <c r="AD80" i="2"/>
  <c r="V80" i="2"/>
  <c r="BN79" i="2"/>
  <c r="BL79" i="2"/>
  <c r="AO79" i="2"/>
  <c r="AD79" i="2"/>
  <c r="V79" i="2"/>
  <c r="BN78" i="2"/>
  <c r="BL78" i="2"/>
  <c r="AO78" i="2"/>
  <c r="AD78" i="2"/>
  <c r="V78" i="2"/>
  <c r="BN77" i="2"/>
  <c r="BL77" i="2"/>
  <c r="AO77" i="2"/>
  <c r="AD77" i="2"/>
  <c r="V77" i="2"/>
  <c r="BN76" i="2"/>
  <c r="BL76" i="2"/>
  <c r="AO76" i="2"/>
  <c r="AD76" i="2"/>
  <c r="V76" i="2"/>
  <c r="BN75" i="2"/>
  <c r="BL75" i="2"/>
  <c r="AO75" i="2"/>
  <c r="AD75" i="2"/>
  <c r="V75" i="2"/>
  <c r="BN74" i="2"/>
  <c r="BL74" i="2"/>
  <c r="AO74" i="2"/>
  <c r="AD74" i="2"/>
  <c r="V74" i="2"/>
  <c r="BN73" i="2"/>
  <c r="BL73" i="2"/>
  <c r="AO73" i="2"/>
  <c r="AD73" i="2"/>
  <c r="V73" i="2"/>
  <c r="BN72" i="2"/>
  <c r="BL72" i="2"/>
  <c r="AO72" i="2"/>
  <c r="AD72" i="2"/>
  <c r="V72" i="2"/>
  <c r="BN71" i="2"/>
  <c r="BL71" i="2"/>
  <c r="AO71" i="2"/>
  <c r="AD71" i="2"/>
  <c r="V71" i="2"/>
  <c r="BN70" i="2"/>
  <c r="BL70" i="2"/>
  <c r="AO70" i="2"/>
  <c r="AD70" i="2"/>
  <c r="V70" i="2"/>
  <c r="BN69" i="2"/>
  <c r="BL69" i="2"/>
  <c r="AO69" i="2"/>
  <c r="AD69" i="2"/>
  <c r="V69" i="2"/>
  <c r="BN68" i="2"/>
  <c r="BL68" i="2"/>
  <c r="AO68" i="2"/>
  <c r="AD68" i="2"/>
  <c r="V68" i="2"/>
  <c r="BN67" i="2"/>
  <c r="BL67" i="2"/>
  <c r="AO67" i="2"/>
  <c r="AD67" i="2"/>
  <c r="V67" i="2"/>
  <c r="BN66" i="2"/>
  <c r="BL66" i="2"/>
  <c r="AO66" i="2"/>
  <c r="AD66" i="2"/>
  <c r="V66" i="2"/>
  <c r="BN65" i="2"/>
  <c r="BL65" i="2"/>
  <c r="AO65" i="2"/>
  <c r="AD65" i="2"/>
  <c r="V65" i="2"/>
  <c r="BN64" i="2"/>
  <c r="BL64" i="2"/>
  <c r="AO64" i="2"/>
  <c r="AD64" i="2"/>
  <c r="V64" i="2"/>
  <c r="BN63" i="2"/>
  <c r="BL63" i="2"/>
  <c r="AO63" i="2"/>
  <c r="AD63" i="2"/>
  <c r="V63" i="2"/>
  <c r="BN62" i="2"/>
  <c r="BL62" i="2"/>
  <c r="AO62" i="2"/>
  <c r="AD62" i="2"/>
  <c r="V62" i="2"/>
  <c r="BN61" i="2"/>
  <c r="BL61" i="2"/>
  <c r="AO61" i="2"/>
  <c r="AD61" i="2"/>
  <c r="V61" i="2"/>
  <c r="BN60" i="2"/>
  <c r="BL60" i="2"/>
  <c r="AO60" i="2"/>
  <c r="AD60" i="2"/>
  <c r="V60" i="2"/>
  <c r="BN59" i="2"/>
  <c r="BL59" i="2"/>
  <c r="AO59" i="2"/>
  <c r="AD59" i="2"/>
  <c r="V59" i="2"/>
  <c r="BN58" i="2"/>
  <c r="BL58" i="2"/>
  <c r="AO58" i="2"/>
  <c r="AD58" i="2"/>
  <c r="V58" i="2"/>
  <c r="BN57" i="2"/>
  <c r="BL57" i="2"/>
  <c r="AO57" i="2"/>
  <c r="AD57" i="2"/>
  <c r="V57" i="2"/>
  <c r="BN56" i="2"/>
  <c r="BL56" i="2"/>
  <c r="AO56" i="2"/>
  <c r="AD56" i="2"/>
  <c r="V56" i="2"/>
  <c r="BN55" i="2"/>
  <c r="BL55" i="2"/>
  <c r="AO55" i="2"/>
  <c r="AD55" i="2"/>
  <c r="V55" i="2"/>
  <c r="BN54" i="2"/>
  <c r="BL54" i="2"/>
  <c r="AO54" i="2"/>
  <c r="AD54" i="2"/>
  <c r="V54" i="2"/>
  <c r="BN53" i="2"/>
  <c r="BL53" i="2"/>
  <c r="AO53" i="2"/>
  <c r="AD53" i="2"/>
  <c r="V53" i="2"/>
  <c r="BN52" i="2"/>
  <c r="BL52" i="2"/>
  <c r="AO52" i="2"/>
  <c r="AD52" i="2"/>
  <c r="V52" i="2"/>
  <c r="BN51" i="2"/>
  <c r="BL51" i="2"/>
  <c r="AO51" i="2"/>
  <c r="AD51" i="2"/>
  <c r="V51" i="2"/>
  <c r="BN50" i="2"/>
  <c r="BL50" i="2"/>
  <c r="AO50" i="2"/>
  <c r="AD50" i="2"/>
  <c r="V50" i="2"/>
  <c r="BN49" i="2"/>
  <c r="BL49" i="2"/>
  <c r="AO49" i="2"/>
  <c r="AD49" i="2"/>
  <c r="V49" i="2"/>
  <c r="BN48" i="2"/>
  <c r="BL48" i="2"/>
  <c r="AO48" i="2"/>
  <c r="AD48" i="2"/>
  <c r="V48" i="2"/>
  <c r="BN47" i="2"/>
  <c r="BL47" i="2"/>
  <c r="AO47" i="2"/>
  <c r="AD47" i="2"/>
  <c r="V47" i="2"/>
  <c r="BN46" i="2"/>
  <c r="BL46" i="2"/>
  <c r="AO46" i="2"/>
  <c r="AD46" i="2"/>
  <c r="V46" i="2"/>
  <c r="BN45" i="2"/>
  <c r="BL45" i="2"/>
  <c r="AO45" i="2"/>
  <c r="AD45" i="2"/>
  <c r="V45" i="2"/>
  <c r="BN44" i="2"/>
  <c r="BL44" i="2"/>
  <c r="AO44" i="2"/>
  <c r="AD44" i="2"/>
  <c r="V44" i="2"/>
  <c r="BN43" i="2"/>
  <c r="BL43" i="2"/>
  <c r="AO43" i="2"/>
  <c r="AD43" i="2"/>
  <c r="V43" i="2"/>
  <c r="BN42" i="2"/>
  <c r="BL42" i="2"/>
  <c r="AO42" i="2"/>
  <c r="AD42" i="2"/>
  <c r="V42" i="2"/>
  <c r="BN41" i="2"/>
  <c r="BL41" i="2"/>
  <c r="AO41" i="2"/>
  <c r="AD41" i="2"/>
  <c r="V41" i="2"/>
  <c r="BN40" i="2"/>
  <c r="BL40" i="2"/>
  <c r="AO40" i="2"/>
  <c r="AD40" i="2"/>
  <c r="V40" i="2"/>
  <c r="BN39" i="2"/>
  <c r="BL39" i="2"/>
  <c r="AO39" i="2"/>
  <c r="AD39" i="2"/>
  <c r="V39" i="2"/>
  <c r="BN38" i="2"/>
  <c r="BL38" i="2"/>
  <c r="AO38" i="2"/>
  <c r="AD38" i="2"/>
  <c r="V38" i="2"/>
  <c r="BN37" i="2"/>
  <c r="BL37" i="2"/>
  <c r="AO37" i="2"/>
  <c r="AD37" i="2"/>
  <c r="V37" i="2"/>
  <c r="BN36" i="2"/>
  <c r="BL36" i="2"/>
  <c r="AO36" i="2"/>
  <c r="AD36" i="2"/>
  <c r="V36" i="2"/>
  <c r="BN35" i="2"/>
  <c r="BL35" i="2"/>
  <c r="AO35" i="2"/>
  <c r="AD35" i="2"/>
  <c r="V35" i="2"/>
  <c r="BN34" i="2"/>
  <c r="BL34" i="2"/>
  <c r="AO34" i="2"/>
  <c r="AD34" i="2"/>
  <c r="V34" i="2"/>
  <c r="BN33" i="2"/>
  <c r="BL33" i="2"/>
  <c r="AO33" i="2"/>
  <c r="AD33" i="2"/>
  <c r="V33" i="2"/>
  <c r="BN32" i="2"/>
  <c r="BL32" i="2"/>
  <c r="AO32" i="2"/>
  <c r="AD32" i="2"/>
  <c r="V32" i="2"/>
  <c r="BN31" i="2"/>
  <c r="BL31" i="2"/>
  <c r="AO31" i="2"/>
  <c r="AD31" i="2"/>
  <c r="V31" i="2"/>
  <c r="BN30" i="2"/>
  <c r="BL30" i="2"/>
  <c r="AO30" i="2"/>
  <c r="AD30" i="2"/>
  <c r="V30" i="2"/>
  <c r="BN29" i="2"/>
  <c r="BL29" i="2"/>
  <c r="AO29" i="2"/>
  <c r="AD29" i="2"/>
  <c r="V29" i="2"/>
  <c r="BN28" i="2"/>
  <c r="BL28" i="2"/>
  <c r="AO28" i="2"/>
  <c r="AD28" i="2"/>
  <c r="V28" i="2"/>
  <c r="BN27" i="2"/>
  <c r="BL27" i="2"/>
  <c r="AO27" i="2"/>
  <c r="AD27" i="2"/>
  <c r="V27" i="2"/>
  <c r="BN26" i="2"/>
  <c r="BL26" i="2"/>
  <c r="AO26" i="2"/>
  <c r="AD26" i="2"/>
  <c r="V26" i="2"/>
  <c r="BN25" i="2"/>
  <c r="BL25" i="2"/>
  <c r="AO25" i="2"/>
  <c r="AD25" i="2"/>
  <c r="V25" i="2"/>
  <c r="BN24" i="2"/>
  <c r="BL24" i="2"/>
  <c r="AO24" i="2"/>
  <c r="AD24" i="2"/>
  <c r="V24" i="2"/>
  <c r="BN23" i="2"/>
  <c r="BL23" i="2"/>
  <c r="AO23" i="2"/>
  <c r="AD23" i="2"/>
  <c r="V23" i="2"/>
  <c r="BN22" i="2"/>
  <c r="BL22" i="2"/>
  <c r="AO22" i="2"/>
  <c r="AD22" i="2"/>
  <c r="V22" i="2"/>
  <c r="BN21" i="2"/>
  <c r="BL21" i="2"/>
  <c r="AO21" i="2"/>
  <c r="AD21" i="2"/>
  <c r="V21" i="2"/>
  <c r="BN20" i="2"/>
  <c r="BL20" i="2"/>
  <c r="AO20" i="2"/>
  <c r="AD20" i="2"/>
  <c r="V20" i="2"/>
  <c r="BN19" i="2"/>
  <c r="BL19" i="2"/>
  <c r="AO19" i="2"/>
  <c r="AD19" i="2"/>
  <c r="V19" i="2"/>
  <c r="BN18" i="2"/>
  <c r="BL18" i="2"/>
  <c r="AO18" i="2"/>
  <c r="AD18" i="2"/>
  <c r="V18" i="2"/>
  <c r="BN17" i="2"/>
  <c r="BL17" i="2"/>
  <c r="AO17" i="2"/>
  <c r="AD17" i="2"/>
  <c r="V17" i="2"/>
  <c r="BN16" i="2"/>
  <c r="BL16" i="2"/>
  <c r="AO16" i="2"/>
  <c r="AD16" i="2"/>
  <c r="V16" i="2"/>
  <c r="BN15" i="2"/>
  <c r="BL15" i="2"/>
  <c r="AO15" i="2"/>
  <c r="AD15" i="2"/>
  <c r="V15" i="2"/>
  <c r="BN14" i="2"/>
  <c r="BL14" i="2"/>
  <c r="AO14" i="2"/>
  <c r="AD14" i="2"/>
  <c r="V14" i="2"/>
  <c r="BN13" i="2"/>
  <c r="BL13" i="2"/>
  <c r="AO13" i="2"/>
  <c r="AD13" i="2"/>
  <c r="V13" i="2"/>
  <c r="BN12" i="2"/>
  <c r="BL12" i="2"/>
  <c r="AO12" i="2"/>
  <c r="AD12" i="2"/>
  <c r="V12" i="2"/>
  <c r="BN11" i="2"/>
  <c r="BL11" i="2"/>
  <c r="AO11" i="2"/>
  <c r="AD11" i="2"/>
  <c r="V11" i="2"/>
  <c r="BN10" i="2"/>
  <c r="BL10" i="2"/>
  <c r="AO10" i="2"/>
  <c r="AD10" i="2"/>
  <c r="V10" i="2"/>
  <c r="BN9" i="2"/>
  <c r="BL9" i="2"/>
  <c r="AO9" i="2"/>
  <c r="AD9" i="2"/>
  <c r="V9" i="2"/>
  <c r="BN8" i="2"/>
  <c r="BL8" i="2"/>
  <c r="AO8" i="2"/>
  <c r="AD8" i="2"/>
  <c r="V8" i="2"/>
  <c r="BN7" i="2"/>
  <c r="BL7" i="2"/>
  <c r="AO7" i="2"/>
  <c r="AD7" i="2"/>
  <c r="V7" i="2"/>
  <c r="BN6" i="2"/>
  <c r="BM6" i="2"/>
  <c r="BL6" i="2"/>
  <c r="AD6" i="2"/>
  <c r="V6" i="2"/>
  <c r="BN5" i="2"/>
  <c r="BM5" i="2"/>
  <c r="BL5" i="2"/>
  <c r="AD5" i="2"/>
  <c r="V5" i="2"/>
  <c r="J5" i="2"/>
  <c r="I5" i="2"/>
  <c r="I6" i="2" s="1"/>
  <c r="F5" i="2"/>
  <c r="F6" i="2" s="1"/>
  <c r="C5" i="2"/>
  <c r="C6" i="2" s="1"/>
  <c r="BN4" i="2"/>
  <c r="BM4" i="2"/>
  <c r="BL4" i="2"/>
  <c r="L4" i="2"/>
  <c r="L5" i="2" s="1"/>
  <c r="I4" i="2"/>
  <c r="J4" i="2" s="1"/>
  <c r="G4" i="2"/>
  <c r="F4" i="2"/>
  <c r="C4" i="2"/>
  <c r="D4" i="2" s="1"/>
  <c r="Y1" i="2"/>
  <c r="AF3" i="2" s="1"/>
  <c r="Z423" i="2" l="1"/>
  <c r="X423" i="2"/>
  <c r="Y423" i="2"/>
  <c r="S424" i="2"/>
  <c r="AE423" i="2" s="1"/>
  <c r="W424" i="2"/>
  <c r="Z424" i="2"/>
  <c r="X424" i="2"/>
  <c r="Y424" i="2"/>
  <c r="AF1" i="2"/>
  <c r="AA3" i="2"/>
  <c r="AA1" i="2" s="1"/>
  <c r="AB3" i="2"/>
  <c r="AB1" i="2" s="1"/>
  <c r="AC3" i="2"/>
  <c r="AC1" i="2" s="1"/>
  <c r="AD3" i="2"/>
  <c r="AD1" i="2" s="1"/>
  <c r="Z3" i="2"/>
  <c r="Z1" i="2" s="1"/>
  <c r="C7" i="2"/>
  <c r="D6" i="2"/>
  <c r="F7" i="2"/>
  <c r="G6" i="2"/>
  <c r="D5" i="2"/>
  <c r="G5" i="2"/>
  <c r="I7" i="2"/>
  <c r="J6" i="2"/>
  <c r="L6" i="2"/>
  <c r="M5" i="2"/>
  <c r="O5" i="2" s="1"/>
  <c r="M4" i="2"/>
  <c r="AE3" i="2"/>
  <c r="AH423" i="2" l="1"/>
  <c r="AG423" i="2"/>
  <c r="AF423" i="2"/>
  <c r="AF424" i="2"/>
  <c r="AH424" i="2"/>
  <c r="AE424" i="2"/>
  <c r="AG424" i="2"/>
  <c r="AE1" i="2"/>
  <c r="J7" i="2"/>
  <c r="I8" i="2"/>
  <c r="D7" i="2"/>
  <c r="C8" i="2"/>
  <c r="M6" i="2"/>
  <c r="O6" i="2" s="1"/>
  <c r="L7" i="2"/>
  <c r="G7" i="2"/>
  <c r="F8" i="2"/>
  <c r="M7" i="2" l="1"/>
  <c r="O7" i="2" s="1"/>
  <c r="L8" i="2"/>
  <c r="F9" i="2"/>
  <c r="G8" i="2"/>
  <c r="P6" i="2"/>
  <c r="R6" i="2"/>
  <c r="S6" i="2" s="1"/>
  <c r="D8" i="2"/>
  <c r="C9" i="2"/>
  <c r="I9" i="2"/>
  <c r="J8" i="2"/>
  <c r="J9" i="2" l="1"/>
  <c r="I10" i="2"/>
  <c r="D9" i="2"/>
  <c r="C10" i="2"/>
  <c r="X5" i="2"/>
  <c r="W5" i="2"/>
  <c r="Y6" i="2"/>
  <c r="Z5" i="2"/>
  <c r="Y5" i="2"/>
  <c r="X6" i="2"/>
  <c r="W6" i="2"/>
  <c r="G9" i="2"/>
  <c r="F10" i="2"/>
  <c r="L9" i="2"/>
  <c r="M8" i="2"/>
  <c r="O8" i="2" s="1"/>
  <c r="AH5" i="2"/>
  <c r="AG5" i="2"/>
  <c r="AF5" i="2"/>
  <c r="AE5" i="2"/>
  <c r="Q7" i="2"/>
  <c r="P7" i="2"/>
  <c r="Z6" i="2" s="1"/>
  <c r="Q8" i="2" l="1"/>
  <c r="P8" i="2"/>
  <c r="M9" i="2"/>
  <c r="O9" i="2" s="1"/>
  <c r="L10" i="2"/>
  <c r="R7" i="2"/>
  <c r="S7" i="2" s="1"/>
  <c r="BM7" i="2"/>
  <c r="AQ7" i="2"/>
  <c r="D10" i="2"/>
  <c r="C11" i="2"/>
  <c r="I11" i="2"/>
  <c r="J10" i="2"/>
  <c r="G10" i="2"/>
  <c r="F11" i="2"/>
  <c r="AP7" i="2"/>
  <c r="Y7" i="2"/>
  <c r="Z7" i="2"/>
  <c r="W7" i="2"/>
  <c r="X7" i="2"/>
  <c r="G11" i="2" l="1"/>
  <c r="F12" i="2"/>
  <c r="D11" i="2"/>
  <c r="C12" i="2"/>
  <c r="AH7" i="2"/>
  <c r="AG7" i="2"/>
  <c r="AF7" i="2"/>
  <c r="AH6" i="2"/>
  <c r="AF6" i="2"/>
  <c r="AG6" i="2"/>
  <c r="AE6" i="2"/>
  <c r="X8" i="2"/>
  <c r="W8" i="2"/>
  <c r="Z8" i="2"/>
  <c r="Y8" i="2"/>
  <c r="AP8" i="2"/>
  <c r="J11" i="2"/>
  <c r="I12" i="2"/>
  <c r="L11" i="2"/>
  <c r="M10" i="2"/>
  <c r="O10" i="2" s="1"/>
  <c r="Q9" i="2"/>
  <c r="P9" i="2"/>
  <c r="R8" i="2"/>
  <c r="S8" i="2" s="1"/>
  <c r="AE7" i="2" s="1"/>
  <c r="BM8" i="2"/>
  <c r="AQ8" i="2"/>
  <c r="AL287" i="1"/>
  <c r="M11" i="2" l="1"/>
  <c r="O11" i="2" s="1"/>
  <c r="L12" i="2"/>
  <c r="J12" i="2"/>
  <c r="I13" i="2"/>
  <c r="AP9" i="2"/>
  <c r="W9" i="2"/>
  <c r="Z9" i="2"/>
  <c r="Y9" i="2"/>
  <c r="X9" i="2"/>
  <c r="G12" i="2"/>
  <c r="F13" i="2"/>
  <c r="C13" i="2"/>
  <c r="D12" i="2"/>
  <c r="AQ9" i="2"/>
  <c r="R9" i="2"/>
  <c r="S9" i="2" s="1"/>
  <c r="AE8" i="2" s="1"/>
  <c r="BM9" i="2"/>
  <c r="F14" i="2" l="1"/>
  <c r="G13" i="2"/>
  <c r="AF8" i="2"/>
  <c r="AG8" i="2"/>
  <c r="Z10" i="2"/>
  <c r="Y10" i="2"/>
  <c r="X10" i="2"/>
  <c r="W10" i="2"/>
  <c r="AP10" i="2"/>
  <c r="L13" i="2"/>
  <c r="M12" i="2"/>
  <c r="O12" i="2" s="1"/>
  <c r="C14" i="2"/>
  <c r="D13" i="2"/>
  <c r="AH8" i="2"/>
  <c r="J13" i="2"/>
  <c r="I14" i="2"/>
  <c r="Q10" i="2"/>
  <c r="P11" i="2"/>
  <c r="Q11" i="2" s="1"/>
  <c r="AL286" i="1"/>
  <c r="BM11" i="2" l="1"/>
  <c r="AQ11" i="2"/>
  <c r="R11" i="2"/>
  <c r="P12" i="2"/>
  <c r="M13" i="2"/>
  <c r="O13" i="2" s="1"/>
  <c r="L14" i="2"/>
  <c r="J14" i="2"/>
  <c r="I15" i="2"/>
  <c r="D14" i="2"/>
  <c r="C15" i="2"/>
  <c r="AP11" i="2"/>
  <c r="Y11" i="2"/>
  <c r="X11" i="2"/>
  <c r="W11" i="2"/>
  <c r="Z11" i="2"/>
  <c r="AQ10" i="2"/>
  <c r="R10" i="2"/>
  <c r="S10" i="2" s="1"/>
  <c r="BM10" i="2"/>
  <c r="G14" i="2"/>
  <c r="F15" i="2"/>
  <c r="P286" i="1"/>
  <c r="AL285" i="1"/>
  <c r="AH9" i="2" l="1"/>
  <c r="AE9" i="2"/>
  <c r="AF9" i="2"/>
  <c r="AG9" i="2"/>
  <c r="Q13" i="2"/>
  <c r="P13" i="2"/>
  <c r="C16" i="2"/>
  <c r="D15" i="2"/>
  <c r="J15" i="2"/>
  <c r="I16" i="2"/>
  <c r="W12" i="2"/>
  <c r="Z12" i="2"/>
  <c r="Y12" i="2"/>
  <c r="X12" i="2"/>
  <c r="AP12" i="2"/>
  <c r="M14" i="2"/>
  <c r="O14" i="2" s="1"/>
  <c r="L15" i="2"/>
  <c r="Q12" i="2"/>
  <c r="S11" i="2"/>
  <c r="AF10" i="2" s="1"/>
  <c r="F16" i="2"/>
  <c r="G15" i="2"/>
  <c r="P285" i="1"/>
  <c r="Q286" i="1" s="1"/>
  <c r="AL284" i="1"/>
  <c r="AQ13" i="2" l="1"/>
  <c r="BM13" i="2"/>
  <c r="P14" i="2"/>
  <c r="Q14" i="2"/>
  <c r="D16" i="2"/>
  <c r="C17" i="2"/>
  <c r="G16" i="2"/>
  <c r="F17" i="2"/>
  <c r="I17" i="2"/>
  <c r="J16" i="2"/>
  <c r="AH10" i="2"/>
  <c r="AE10" i="2"/>
  <c r="Z13" i="2"/>
  <c r="Y13" i="2"/>
  <c r="X13" i="2"/>
  <c r="W13" i="2"/>
  <c r="AP13" i="2"/>
  <c r="AH11" i="2"/>
  <c r="AE11" i="2"/>
  <c r="BM12" i="2"/>
  <c r="AQ12" i="2"/>
  <c r="R12" i="2"/>
  <c r="S12" i="2" s="1"/>
  <c r="M15" i="2"/>
  <c r="O15" i="2" s="1"/>
  <c r="L16" i="2"/>
  <c r="AG10" i="2"/>
  <c r="AM286" i="1"/>
  <c r="X286" i="1"/>
  <c r="Z286" i="1"/>
  <c r="Y286" i="1"/>
  <c r="W286" i="1"/>
  <c r="AM287" i="1"/>
  <c r="AL283" i="1"/>
  <c r="AA283" i="1"/>
  <c r="AA284" i="1" s="1"/>
  <c r="AA285" i="1" s="1"/>
  <c r="AA286" i="1" s="1"/>
  <c r="AL282" i="1"/>
  <c r="AL281" i="1"/>
  <c r="AL280" i="1"/>
  <c r="AL279" i="1"/>
  <c r="AL278" i="1"/>
  <c r="AL277" i="1"/>
  <c r="AL276" i="1"/>
  <c r="AL275" i="1"/>
  <c r="AL274" i="1"/>
  <c r="AL273" i="1"/>
  <c r="AL272" i="1"/>
  <c r="AL271" i="1"/>
  <c r="AL270" i="1"/>
  <c r="AL269" i="1"/>
  <c r="AL268" i="1"/>
  <c r="AL267" i="1"/>
  <c r="AL266" i="1"/>
  <c r="AL265" i="1"/>
  <c r="AL264" i="1"/>
  <c r="AL263" i="1"/>
  <c r="AL262" i="1"/>
  <c r="AL261" i="1"/>
  <c r="M261" i="1"/>
  <c r="M262" i="1" s="1"/>
  <c r="C261" i="1"/>
  <c r="D261" i="1" s="1"/>
  <c r="AM260" i="1"/>
  <c r="AL260" i="1"/>
  <c r="N260" i="1"/>
  <c r="D260" i="1"/>
  <c r="AL259" i="1"/>
  <c r="N259" i="1"/>
  <c r="H259" i="1"/>
  <c r="I259" i="1" s="1"/>
  <c r="C18" i="2" l="1"/>
  <c r="D17" i="2"/>
  <c r="F18" i="2"/>
  <c r="G17" i="2"/>
  <c r="AH12" i="2"/>
  <c r="AG12" i="2"/>
  <c r="AF12" i="2"/>
  <c r="I18" i="2"/>
  <c r="J17" i="2"/>
  <c r="Q15" i="2"/>
  <c r="P15" i="2"/>
  <c r="Y14" i="2"/>
  <c r="AP14" i="2"/>
  <c r="X14" i="2"/>
  <c r="W14" i="2"/>
  <c r="AF11" i="2"/>
  <c r="M16" i="2"/>
  <c r="O16" i="2" s="1"/>
  <c r="L17" i="2"/>
  <c r="BM14" i="2"/>
  <c r="AQ14" i="2"/>
  <c r="R13" i="2"/>
  <c r="S13" i="2" s="1"/>
  <c r="AE12" i="2" s="1"/>
  <c r="AG11" i="2"/>
  <c r="F259" i="1"/>
  <c r="M263" i="1"/>
  <c r="N262" i="1"/>
  <c r="H260" i="1"/>
  <c r="C262" i="1"/>
  <c r="N261" i="1"/>
  <c r="D259" i="1"/>
  <c r="AL258" i="1"/>
  <c r="N258" i="1"/>
  <c r="I258" i="1"/>
  <c r="D258" i="1"/>
  <c r="P259" i="1" s="1"/>
  <c r="AL257" i="1"/>
  <c r="AL256" i="1"/>
  <c r="AL255" i="1"/>
  <c r="AL254" i="1"/>
  <c r="AL253" i="1"/>
  <c r="AL252" i="1"/>
  <c r="AP15" i="2" l="1"/>
  <c r="J18" i="2"/>
  <c r="I19" i="2"/>
  <c r="L18" i="2"/>
  <c r="M17" i="2"/>
  <c r="O17" i="2" s="1"/>
  <c r="Z14" i="2"/>
  <c r="Q16" i="2"/>
  <c r="P16" i="2"/>
  <c r="BM15" i="2"/>
  <c r="AQ15" i="2"/>
  <c r="R14" i="2"/>
  <c r="S14" i="2" s="1"/>
  <c r="AE13" i="2" s="1"/>
  <c r="G18" i="2"/>
  <c r="F19" i="2"/>
  <c r="D18" i="2"/>
  <c r="C19" i="2"/>
  <c r="C263" i="1"/>
  <c r="D262" i="1"/>
  <c r="N263" i="1"/>
  <c r="M264" i="1"/>
  <c r="I260" i="1"/>
  <c r="P260" i="1" s="1"/>
  <c r="H261" i="1"/>
  <c r="AL251" i="1"/>
  <c r="AL250" i="1"/>
  <c r="AL249" i="1"/>
  <c r="AL248" i="1"/>
  <c r="AL247" i="1"/>
  <c r="AL246" i="1"/>
  <c r="AL245" i="1"/>
  <c r="AL244" i="1"/>
  <c r="AL243" i="1"/>
  <c r="AL242" i="1"/>
  <c r="AL241" i="1"/>
  <c r="AL240" i="1"/>
  <c r="AL239" i="1"/>
  <c r="AL238" i="1"/>
  <c r="AL237" i="1"/>
  <c r="AL236" i="1"/>
  <c r="AL235" i="1"/>
  <c r="AL234" i="1"/>
  <c r="AL233" i="1"/>
  <c r="AL232" i="1"/>
  <c r="AL231" i="1"/>
  <c r="AL230" i="1"/>
  <c r="AL229" i="1"/>
  <c r="AL228" i="1"/>
  <c r="AL227" i="1"/>
  <c r="AL226" i="1"/>
  <c r="AL225" i="1"/>
  <c r="AL224" i="1"/>
  <c r="AL223" i="1"/>
  <c r="AL222" i="1"/>
  <c r="AL221" i="1"/>
  <c r="AL220" i="1"/>
  <c r="AL219" i="1"/>
  <c r="AL218" i="1"/>
  <c r="AL217" i="1"/>
  <c r="AL216" i="1"/>
  <c r="AL215" i="1"/>
  <c r="AL214" i="1"/>
  <c r="AL213" i="1"/>
  <c r="AL212" i="1"/>
  <c r="AL211" i="1"/>
  <c r="AL210" i="1"/>
  <c r="AL209" i="1"/>
  <c r="AL208" i="1"/>
  <c r="AL207" i="1"/>
  <c r="AL206" i="1"/>
  <c r="AL205" i="1"/>
  <c r="AL204" i="1"/>
  <c r="AL203" i="1"/>
  <c r="AL202" i="1"/>
  <c r="AL201" i="1"/>
  <c r="AL200" i="1"/>
  <c r="AL199" i="1"/>
  <c r="AL198" i="1"/>
  <c r="AL197" i="1"/>
  <c r="AL196" i="1"/>
  <c r="AL195" i="1"/>
  <c r="AL194" i="1"/>
  <c r="AL193" i="1"/>
  <c r="AL192" i="1"/>
  <c r="AL191" i="1"/>
  <c r="AL190" i="1"/>
  <c r="AL189" i="1"/>
  <c r="AL188" i="1"/>
  <c r="AL187" i="1"/>
  <c r="AL186" i="1"/>
  <c r="AL185" i="1"/>
  <c r="AL184" i="1"/>
  <c r="AL183" i="1"/>
  <c r="AL182" i="1"/>
  <c r="AL181" i="1"/>
  <c r="AL180" i="1"/>
  <c r="AL179" i="1"/>
  <c r="AL178" i="1"/>
  <c r="AL177" i="1"/>
  <c r="AL176" i="1"/>
  <c r="AL175" i="1"/>
  <c r="AL174" i="1"/>
  <c r="AL173" i="1"/>
  <c r="AL172" i="1"/>
  <c r="AL171" i="1"/>
  <c r="AL170" i="1"/>
  <c r="AL169" i="1"/>
  <c r="AL168" i="1"/>
  <c r="AL167" i="1"/>
  <c r="AL166" i="1"/>
  <c r="AL165" i="1"/>
  <c r="AL164" i="1"/>
  <c r="AL163" i="1"/>
  <c r="AL162" i="1"/>
  <c r="AL161" i="1"/>
  <c r="AL160" i="1"/>
  <c r="AL159" i="1"/>
  <c r="AL158" i="1"/>
  <c r="AL157" i="1"/>
  <c r="AL156" i="1"/>
  <c r="AL155" i="1"/>
  <c r="AL154" i="1"/>
  <c r="AL153" i="1"/>
  <c r="AL152" i="1"/>
  <c r="AL151" i="1"/>
  <c r="AL150" i="1"/>
  <c r="AL149" i="1"/>
  <c r="AL148" i="1"/>
  <c r="AL147" i="1"/>
  <c r="AL146" i="1"/>
  <c r="AL145" i="1"/>
  <c r="AL144" i="1"/>
  <c r="AL143" i="1"/>
  <c r="AL142" i="1"/>
  <c r="AL141" i="1"/>
  <c r="AL140" i="1"/>
  <c r="AL139" i="1"/>
  <c r="AL138" i="1"/>
  <c r="AL137" i="1"/>
  <c r="AL136" i="1"/>
  <c r="AL135" i="1"/>
  <c r="AL134" i="1"/>
  <c r="AL133" i="1"/>
  <c r="AL132" i="1"/>
  <c r="AL131" i="1"/>
  <c r="AL130" i="1"/>
  <c r="AL129" i="1"/>
  <c r="AL128" i="1"/>
  <c r="AL127" i="1"/>
  <c r="AL126" i="1"/>
  <c r="AL125" i="1"/>
  <c r="AL124" i="1"/>
  <c r="AL123" i="1"/>
  <c r="AL122" i="1"/>
  <c r="AL121" i="1"/>
  <c r="AL120" i="1"/>
  <c r="AL119" i="1"/>
  <c r="AL118" i="1"/>
  <c r="AL117" i="1"/>
  <c r="AL116" i="1"/>
  <c r="AL115" i="1"/>
  <c r="AL114" i="1"/>
  <c r="AL113" i="1"/>
  <c r="AL112" i="1"/>
  <c r="AL111" i="1"/>
  <c r="AL110" i="1"/>
  <c r="AL109" i="1"/>
  <c r="AL108" i="1"/>
  <c r="AL107" i="1"/>
  <c r="AL106" i="1"/>
  <c r="AL105" i="1"/>
  <c r="AL104" i="1"/>
  <c r="AL103" i="1"/>
  <c r="AL102" i="1"/>
  <c r="AL101" i="1"/>
  <c r="AL100" i="1"/>
  <c r="AL99" i="1"/>
  <c r="AL98" i="1"/>
  <c r="AL97" i="1"/>
  <c r="AL96" i="1"/>
  <c r="AL95" i="1"/>
  <c r="AL94" i="1"/>
  <c r="AL93" i="1"/>
  <c r="AL92" i="1"/>
  <c r="AL91" i="1"/>
  <c r="AL90" i="1"/>
  <c r="AL89" i="1"/>
  <c r="AL88" i="1"/>
  <c r="AL87" i="1"/>
  <c r="AL86" i="1"/>
  <c r="AL85" i="1"/>
  <c r="AL84" i="1"/>
  <c r="AL83" i="1"/>
  <c r="AL82" i="1"/>
  <c r="AL81" i="1"/>
  <c r="AL80" i="1"/>
  <c r="AL79" i="1"/>
  <c r="AL78" i="1"/>
  <c r="AL77" i="1"/>
  <c r="AL76" i="1"/>
  <c r="AL75" i="1"/>
  <c r="AL74" i="1"/>
  <c r="AL73" i="1"/>
  <c r="AL72" i="1"/>
  <c r="AL71" i="1"/>
  <c r="AL70" i="1"/>
  <c r="AL69" i="1"/>
  <c r="AL68" i="1"/>
  <c r="AL67" i="1"/>
  <c r="AL66" i="1"/>
  <c r="AL65" i="1"/>
  <c r="AL64" i="1"/>
  <c r="AL63" i="1"/>
  <c r="AL62" i="1"/>
  <c r="AL61" i="1"/>
  <c r="AL60" i="1"/>
  <c r="AL59" i="1"/>
  <c r="AL58" i="1"/>
  <c r="AL57" i="1"/>
  <c r="AL56" i="1"/>
  <c r="AL55" i="1"/>
  <c r="AL54" i="1"/>
  <c r="AL53" i="1"/>
  <c r="AL52" i="1"/>
  <c r="AL51" i="1"/>
  <c r="AL50" i="1"/>
  <c r="AL49" i="1"/>
  <c r="AL48" i="1"/>
  <c r="AL47" i="1"/>
  <c r="AL46" i="1"/>
  <c r="AL45" i="1"/>
  <c r="AL44" i="1"/>
  <c r="AL43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  <c r="AL12" i="1"/>
  <c r="AL11" i="1"/>
  <c r="AL10" i="1"/>
  <c r="AL9" i="1"/>
  <c r="AL8" i="1"/>
  <c r="AL7" i="1"/>
  <c r="C7" i="1"/>
  <c r="C8" i="1" s="1"/>
  <c r="C6" i="1"/>
  <c r="D6" i="1" s="1"/>
  <c r="N5" i="1"/>
  <c r="M5" i="1"/>
  <c r="M6" i="1" s="1"/>
  <c r="K5" i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H5" i="1"/>
  <c r="H6" i="1" s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M4" i="1"/>
  <c r="N4" i="1" s="1"/>
  <c r="K4" i="1"/>
  <c r="H4" i="1"/>
  <c r="I4" i="1" s="1"/>
  <c r="F4" i="1"/>
  <c r="C4" i="1"/>
  <c r="C5" i="1" s="1"/>
  <c r="D5" i="1" s="1"/>
  <c r="Y1" i="1"/>
  <c r="AB3" i="1" s="1"/>
  <c r="AB1" i="1" s="1"/>
  <c r="AF13" i="2" l="1"/>
  <c r="R15" i="2"/>
  <c r="S15" i="2" s="1"/>
  <c r="AG14" i="2" s="1"/>
  <c r="R16" i="2"/>
  <c r="BM16" i="2"/>
  <c r="AQ16" i="2"/>
  <c r="M18" i="2"/>
  <c r="O18" i="2" s="1"/>
  <c r="L19" i="2"/>
  <c r="AH13" i="2"/>
  <c r="AP16" i="2"/>
  <c r="W16" i="2"/>
  <c r="P17" i="2"/>
  <c r="Y16" i="2" s="1"/>
  <c r="Q17" i="2"/>
  <c r="C20" i="2"/>
  <c r="D19" i="2"/>
  <c r="W15" i="2"/>
  <c r="AG13" i="2"/>
  <c r="X15" i="2"/>
  <c r="I20" i="2"/>
  <c r="J19" i="2"/>
  <c r="F20" i="2"/>
  <c r="G19" i="2"/>
  <c r="Y15" i="2"/>
  <c r="Z15" i="2"/>
  <c r="AA3" i="1"/>
  <c r="AA1" i="1" s="1"/>
  <c r="AD3" i="1"/>
  <c r="AD1" i="1" s="1"/>
  <c r="AF3" i="1"/>
  <c r="Z3" i="1"/>
  <c r="Z1" i="1" s="1"/>
  <c r="AE3" i="1"/>
  <c r="AE1" i="1" s="1"/>
  <c r="AC3" i="1"/>
  <c r="AC1" i="1" s="1"/>
  <c r="N6" i="1"/>
  <c r="M7" i="1"/>
  <c r="D8" i="1"/>
  <c r="C9" i="1"/>
  <c r="I6" i="1"/>
  <c r="P6" i="1" s="1"/>
  <c r="S6" i="1" s="1"/>
  <c r="H7" i="1"/>
  <c r="I5" i="1"/>
  <c r="D7" i="1"/>
  <c r="D4" i="1"/>
  <c r="I261" i="1"/>
  <c r="P261" i="1" s="1"/>
  <c r="H262" i="1"/>
  <c r="N264" i="1"/>
  <c r="M265" i="1"/>
  <c r="D263" i="1"/>
  <c r="C264" i="1"/>
  <c r="S16" i="2" l="1"/>
  <c r="X16" i="2"/>
  <c r="Z16" i="2"/>
  <c r="G20" i="2"/>
  <c r="F21" i="2"/>
  <c r="P18" i="2"/>
  <c r="C21" i="2"/>
  <c r="D20" i="2"/>
  <c r="R17" i="2"/>
  <c r="S17" i="2" s="1"/>
  <c r="AH16" i="2" s="1"/>
  <c r="AQ17" i="2"/>
  <c r="BM17" i="2"/>
  <c r="W17" i="2"/>
  <c r="Z17" i="2"/>
  <c r="AP17" i="2"/>
  <c r="Y17" i="2"/>
  <c r="X17" i="2"/>
  <c r="AH14" i="2"/>
  <c r="L20" i="2"/>
  <c r="M19" i="2"/>
  <c r="O19" i="2" s="1"/>
  <c r="AF15" i="2"/>
  <c r="AE15" i="2"/>
  <c r="AH15" i="2"/>
  <c r="AG15" i="2"/>
  <c r="J20" i="2"/>
  <c r="I21" i="2"/>
  <c r="AE14" i="2"/>
  <c r="AF14" i="2"/>
  <c r="AF1" i="1"/>
  <c r="Q261" i="1"/>
  <c r="I7" i="1"/>
  <c r="H8" i="1"/>
  <c r="C265" i="1"/>
  <c r="D264" i="1"/>
  <c r="C10" i="1"/>
  <c r="D9" i="1"/>
  <c r="M266" i="1"/>
  <c r="N265" i="1"/>
  <c r="M8" i="1"/>
  <c r="N7" i="1"/>
  <c r="H263" i="1"/>
  <c r="I262" i="1"/>
  <c r="P262" i="1" s="1"/>
  <c r="D21" i="2" l="1"/>
  <c r="C22" i="2"/>
  <c r="P19" i="2"/>
  <c r="Q19" i="2"/>
  <c r="I22" i="2"/>
  <c r="J21" i="2"/>
  <c r="AG16" i="2"/>
  <c r="AP18" i="2"/>
  <c r="Y18" i="2"/>
  <c r="X18" i="2"/>
  <c r="W18" i="2"/>
  <c r="Z18" i="2"/>
  <c r="AE16" i="2"/>
  <c r="AF16" i="2"/>
  <c r="Q18" i="2"/>
  <c r="F22" i="2"/>
  <c r="G21" i="2"/>
  <c r="M20" i="2"/>
  <c r="O20" i="2" s="1"/>
  <c r="L21" i="2"/>
  <c r="D10" i="1"/>
  <c r="C11" i="1"/>
  <c r="C266" i="1"/>
  <c r="D265" i="1"/>
  <c r="Q262" i="1"/>
  <c r="R262" i="1"/>
  <c r="H9" i="1"/>
  <c r="I8" i="1"/>
  <c r="P8" i="1" s="1"/>
  <c r="H264" i="1"/>
  <c r="I263" i="1"/>
  <c r="P263" i="1" s="1"/>
  <c r="P7" i="1"/>
  <c r="X261" i="1"/>
  <c r="AM261" i="1"/>
  <c r="Z260" i="1"/>
  <c r="Y261" i="1"/>
  <c r="Z261" i="1"/>
  <c r="X260" i="1"/>
  <c r="Y260" i="1"/>
  <c r="W261" i="1"/>
  <c r="W260" i="1"/>
  <c r="M9" i="1"/>
  <c r="N8" i="1"/>
  <c r="M267" i="1"/>
  <c r="N266" i="1"/>
  <c r="R261" i="1"/>
  <c r="AQ18" i="2" l="1"/>
  <c r="R18" i="2"/>
  <c r="S18" i="2" s="1"/>
  <c r="BM18" i="2"/>
  <c r="F23" i="2"/>
  <c r="G22" i="2"/>
  <c r="R19" i="2"/>
  <c r="S19" i="2" s="1"/>
  <c r="BM19" i="2"/>
  <c r="AQ19" i="2"/>
  <c r="L22" i="2"/>
  <c r="M21" i="2"/>
  <c r="O21" i="2" s="1"/>
  <c r="J22" i="2"/>
  <c r="I23" i="2"/>
  <c r="C23" i="2"/>
  <c r="D22" i="2"/>
  <c r="Y19" i="2"/>
  <c r="X19" i="2"/>
  <c r="W19" i="2"/>
  <c r="AP19" i="2"/>
  <c r="Z19" i="2"/>
  <c r="Q20" i="2"/>
  <c r="P20" i="2"/>
  <c r="Q263" i="1"/>
  <c r="I264" i="1"/>
  <c r="P264" i="1" s="1"/>
  <c r="H265" i="1"/>
  <c r="I9" i="1"/>
  <c r="H10" i="1"/>
  <c r="AN262" i="1"/>
  <c r="AM262" i="1"/>
  <c r="W262" i="1"/>
  <c r="Z262" i="1"/>
  <c r="Y262" i="1"/>
  <c r="X262" i="1"/>
  <c r="R7" i="1"/>
  <c r="R8" i="1" s="1"/>
  <c r="Q7" i="1"/>
  <c r="Q8" i="1"/>
  <c r="AN261" i="1"/>
  <c r="S261" i="1"/>
  <c r="M268" i="1"/>
  <c r="N267" i="1"/>
  <c r="C267" i="1"/>
  <c r="D266" i="1"/>
  <c r="N9" i="1"/>
  <c r="M10" i="1"/>
  <c r="D11" i="1"/>
  <c r="C12" i="1"/>
  <c r="I24" i="2" l="1"/>
  <c r="J23" i="2"/>
  <c r="D23" i="2"/>
  <c r="C24" i="2"/>
  <c r="M22" i="2"/>
  <c r="O22" i="2" s="1"/>
  <c r="L23" i="2"/>
  <c r="AH18" i="2"/>
  <c r="AG18" i="2"/>
  <c r="AF18" i="2"/>
  <c r="AE18" i="2"/>
  <c r="AH17" i="2"/>
  <c r="AF17" i="2"/>
  <c r="AE17" i="2"/>
  <c r="AG17" i="2"/>
  <c r="BM20" i="2"/>
  <c r="AQ20" i="2"/>
  <c r="R20" i="2"/>
  <c r="P21" i="2"/>
  <c r="Z20" i="2" s="1"/>
  <c r="G23" i="2"/>
  <c r="F24" i="2"/>
  <c r="AP20" i="2"/>
  <c r="N268" i="1"/>
  <c r="M269" i="1"/>
  <c r="AM8" i="1"/>
  <c r="AN8" i="1"/>
  <c r="X7" i="1"/>
  <c r="Y6" i="1"/>
  <c r="W7" i="1"/>
  <c r="X6" i="1"/>
  <c r="W6" i="1"/>
  <c r="Z7" i="1"/>
  <c r="Z6" i="1"/>
  <c r="Y7" i="1"/>
  <c r="AM7" i="1"/>
  <c r="S7" i="1"/>
  <c r="T7" i="1" s="1"/>
  <c r="AC6" i="1" s="1"/>
  <c r="AN7" i="1"/>
  <c r="D12" i="1"/>
  <c r="C13" i="1"/>
  <c r="S262" i="1"/>
  <c r="M11" i="1"/>
  <c r="N10" i="1"/>
  <c r="I10" i="1"/>
  <c r="P10" i="1" s="1"/>
  <c r="H11" i="1"/>
  <c r="P9" i="1"/>
  <c r="I265" i="1"/>
  <c r="P265" i="1" s="1"/>
  <c r="H266" i="1"/>
  <c r="C268" i="1"/>
  <c r="D267" i="1"/>
  <c r="Q264" i="1"/>
  <c r="Y263" i="1" s="1"/>
  <c r="AM263" i="1"/>
  <c r="R263" i="1"/>
  <c r="S20" i="2" l="1"/>
  <c r="AH19" i="2" s="1"/>
  <c r="Q21" i="2"/>
  <c r="W20" i="2"/>
  <c r="P22" i="2"/>
  <c r="Q22" i="2"/>
  <c r="L24" i="2"/>
  <c r="M23" i="2"/>
  <c r="O23" i="2" s="1"/>
  <c r="Z21" i="2"/>
  <c r="Y21" i="2"/>
  <c r="X21" i="2"/>
  <c r="W21" i="2"/>
  <c r="AP21" i="2"/>
  <c r="Y20" i="2"/>
  <c r="X20" i="2"/>
  <c r="F25" i="2"/>
  <c r="G24" i="2"/>
  <c r="C25" i="2"/>
  <c r="D24" i="2"/>
  <c r="I25" i="2"/>
  <c r="J24" i="2"/>
  <c r="I11" i="1"/>
  <c r="H12" i="1"/>
  <c r="Q265" i="1"/>
  <c r="S8" i="1"/>
  <c r="T8" i="1" s="1"/>
  <c r="Z264" i="1"/>
  <c r="Y264" i="1"/>
  <c r="AM264" i="1"/>
  <c r="X264" i="1"/>
  <c r="W264" i="1"/>
  <c r="Q10" i="1"/>
  <c r="AE7" i="1"/>
  <c r="AD7" i="1"/>
  <c r="AC7" i="1"/>
  <c r="AE6" i="1"/>
  <c r="AF6" i="1"/>
  <c r="AD6" i="1"/>
  <c r="Z263" i="1"/>
  <c r="R264" i="1"/>
  <c r="R265" i="1" s="1"/>
  <c r="H267" i="1"/>
  <c r="I266" i="1"/>
  <c r="P266" i="1" s="1"/>
  <c r="R9" i="1"/>
  <c r="Q9" i="1"/>
  <c r="N11" i="1"/>
  <c r="M12" i="1"/>
  <c r="AN263" i="1"/>
  <c r="S263" i="1"/>
  <c r="M270" i="1"/>
  <c r="N269" i="1"/>
  <c r="D268" i="1"/>
  <c r="C269" i="1"/>
  <c r="D13" i="1"/>
  <c r="C14" i="1"/>
  <c r="X263" i="1"/>
  <c r="W263" i="1"/>
  <c r="AE19" i="2" l="1"/>
  <c r="AG19" i="2"/>
  <c r="AF19" i="2"/>
  <c r="AF7" i="1"/>
  <c r="J25" i="2"/>
  <c r="I26" i="2"/>
  <c r="AP22" i="2"/>
  <c r="F26" i="2"/>
  <c r="G25" i="2"/>
  <c r="M24" i="2"/>
  <c r="O24" i="2" s="1"/>
  <c r="L25" i="2"/>
  <c r="BM22" i="2"/>
  <c r="AQ22" i="2"/>
  <c r="R22" i="2"/>
  <c r="D25" i="2"/>
  <c r="C26" i="2"/>
  <c r="P23" i="2"/>
  <c r="Q23" i="2"/>
  <c r="R21" i="2"/>
  <c r="S21" i="2" s="1"/>
  <c r="AQ21" i="2"/>
  <c r="BM21" i="2"/>
  <c r="C15" i="1"/>
  <c r="D14" i="1"/>
  <c r="C270" i="1"/>
  <c r="D269" i="1"/>
  <c r="M13" i="1"/>
  <c r="N12" i="1"/>
  <c r="AM265" i="1"/>
  <c r="AM10" i="1"/>
  <c r="AN9" i="1"/>
  <c r="S9" i="1"/>
  <c r="AN265" i="1"/>
  <c r="M271" i="1"/>
  <c r="N270" i="1"/>
  <c r="R10" i="1"/>
  <c r="AM9" i="1"/>
  <c r="Z9" i="1"/>
  <c r="W9" i="1"/>
  <c r="Y9" i="1"/>
  <c r="X9" i="1"/>
  <c r="X8" i="1"/>
  <c r="Y8" i="1"/>
  <c r="W8" i="1"/>
  <c r="Z8" i="1"/>
  <c r="Q266" i="1"/>
  <c r="Y265" i="1" s="1"/>
  <c r="R266" i="1"/>
  <c r="AN264" i="1"/>
  <c r="S264" i="1"/>
  <c r="S265" i="1" s="1"/>
  <c r="I12" i="1"/>
  <c r="H13" i="1"/>
  <c r="H268" i="1"/>
  <c r="I267" i="1"/>
  <c r="P267" i="1" s="1"/>
  <c r="P11" i="1"/>
  <c r="S22" i="2" l="1"/>
  <c r="T9" i="1"/>
  <c r="AH20" i="2"/>
  <c r="AF20" i="2"/>
  <c r="AE20" i="2"/>
  <c r="AG20" i="2"/>
  <c r="BM23" i="2"/>
  <c r="AQ23" i="2"/>
  <c r="R23" i="2"/>
  <c r="Z23" i="2"/>
  <c r="Y23" i="2"/>
  <c r="X23" i="2"/>
  <c r="AP23" i="2"/>
  <c r="W23" i="2"/>
  <c r="C27" i="2"/>
  <c r="D26" i="2"/>
  <c r="L26" i="2"/>
  <c r="M25" i="2"/>
  <c r="O25" i="2" s="1"/>
  <c r="Q24" i="2"/>
  <c r="P24" i="2"/>
  <c r="F27" i="2"/>
  <c r="G26" i="2"/>
  <c r="W22" i="2"/>
  <c r="X22" i="2"/>
  <c r="Y22" i="2"/>
  <c r="Z22" i="2"/>
  <c r="I27" i="2"/>
  <c r="J26" i="2"/>
  <c r="S266" i="1"/>
  <c r="AN266" i="1"/>
  <c r="AM266" i="1"/>
  <c r="X265" i="1"/>
  <c r="R11" i="1"/>
  <c r="Q11" i="1"/>
  <c r="M14" i="1"/>
  <c r="N13" i="1"/>
  <c r="Q267" i="1"/>
  <c r="R267" i="1"/>
  <c r="I268" i="1"/>
  <c r="P268" i="1" s="1"/>
  <c r="H269" i="1"/>
  <c r="C271" i="1"/>
  <c r="D270" i="1"/>
  <c r="Z265" i="1"/>
  <c r="AN10" i="1"/>
  <c r="S10" i="1"/>
  <c r="M272" i="1"/>
  <c r="N271" i="1"/>
  <c r="H14" i="1"/>
  <c r="I13" i="1"/>
  <c r="P12" i="1"/>
  <c r="W265" i="1"/>
  <c r="D15" i="1"/>
  <c r="C16" i="1"/>
  <c r="S23" i="2" l="1"/>
  <c r="T10" i="1"/>
  <c r="AE8" i="1"/>
  <c r="AD8" i="1"/>
  <c r="AF8" i="1"/>
  <c r="AC8" i="1"/>
  <c r="D27" i="2"/>
  <c r="C28" i="2"/>
  <c r="AP24" i="2"/>
  <c r="Z24" i="2"/>
  <c r="Y24" i="2"/>
  <c r="X24" i="2"/>
  <c r="W24" i="2"/>
  <c r="AE21" i="2"/>
  <c r="AE22" i="2"/>
  <c r="I28" i="2"/>
  <c r="J27" i="2"/>
  <c r="R24" i="2"/>
  <c r="BM24" i="2"/>
  <c r="AQ24" i="2"/>
  <c r="AG21" i="2"/>
  <c r="L27" i="2"/>
  <c r="M26" i="2"/>
  <c r="O26" i="2" s="1"/>
  <c r="G27" i="2"/>
  <c r="F28" i="2"/>
  <c r="AF21" i="2"/>
  <c r="P25" i="2"/>
  <c r="AH21" i="2"/>
  <c r="R268" i="1"/>
  <c r="Q268" i="1"/>
  <c r="X267" i="1"/>
  <c r="Z267" i="1"/>
  <c r="Y267" i="1"/>
  <c r="W267" i="1"/>
  <c r="AM267" i="1"/>
  <c r="AN11" i="1"/>
  <c r="S11" i="1"/>
  <c r="X266" i="1"/>
  <c r="Y266" i="1"/>
  <c r="S267" i="1"/>
  <c r="AN267" i="1"/>
  <c r="AM11" i="1"/>
  <c r="Y10" i="1"/>
  <c r="W10" i="1"/>
  <c r="X10" i="1"/>
  <c r="Z10" i="1"/>
  <c r="Z266" i="1"/>
  <c r="D16" i="1"/>
  <c r="C17" i="1"/>
  <c r="M15" i="1"/>
  <c r="N14" i="1"/>
  <c r="P13" i="1"/>
  <c r="C272" i="1"/>
  <c r="D271" i="1"/>
  <c r="H270" i="1"/>
  <c r="I269" i="1"/>
  <c r="P269" i="1" s="1"/>
  <c r="R12" i="1"/>
  <c r="Q12" i="1"/>
  <c r="Y11" i="1" s="1"/>
  <c r="I14" i="1"/>
  <c r="H15" i="1"/>
  <c r="W266" i="1"/>
  <c r="M273" i="1"/>
  <c r="N272" i="1"/>
  <c r="S24" i="2" l="1"/>
  <c r="T11" i="1"/>
  <c r="AD9" i="1"/>
  <c r="AF9" i="1"/>
  <c r="AE9" i="1"/>
  <c r="AC9" i="1"/>
  <c r="M27" i="2"/>
  <c r="O27" i="2" s="1"/>
  <c r="L28" i="2"/>
  <c r="I29" i="2"/>
  <c r="J28" i="2"/>
  <c r="D28" i="2"/>
  <c r="C29" i="2"/>
  <c r="AF23" i="2"/>
  <c r="AE23" i="2"/>
  <c r="AH23" i="2"/>
  <c r="AG23" i="2"/>
  <c r="Z25" i="2"/>
  <c r="X25" i="2"/>
  <c r="AP25" i="2"/>
  <c r="Y25" i="2"/>
  <c r="W25" i="2"/>
  <c r="Q25" i="2"/>
  <c r="AF22" i="2"/>
  <c r="F29" i="2"/>
  <c r="G28" i="2"/>
  <c r="AG22" i="2"/>
  <c r="P26" i="2"/>
  <c r="Q26" i="2" s="1"/>
  <c r="AH22" i="2"/>
  <c r="W11" i="1"/>
  <c r="D17" i="1"/>
  <c r="C18" i="1"/>
  <c r="AE10" i="1"/>
  <c r="R13" i="1"/>
  <c r="Q13" i="1"/>
  <c r="X12" i="1" s="1"/>
  <c r="AM12" i="1"/>
  <c r="Z12" i="1"/>
  <c r="Y12" i="1"/>
  <c r="H271" i="1"/>
  <c r="I270" i="1"/>
  <c r="P270" i="1" s="1"/>
  <c r="S12" i="1"/>
  <c r="AN12" i="1"/>
  <c r="X11" i="1"/>
  <c r="Z11" i="1"/>
  <c r="AC10" i="1"/>
  <c r="AD10" i="1"/>
  <c r="AF10" i="1"/>
  <c r="N15" i="1"/>
  <c r="M16" i="1"/>
  <c r="H16" i="1"/>
  <c r="I15" i="1"/>
  <c r="P15" i="1" s="1"/>
  <c r="Z268" i="1"/>
  <c r="W268" i="1"/>
  <c r="Y268" i="1"/>
  <c r="AM268" i="1"/>
  <c r="R269" i="1"/>
  <c r="Q269" i="1"/>
  <c r="C273" i="1"/>
  <c r="D272" i="1"/>
  <c r="N273" i="1"/>
  <c r="M274" i="1"/>
  <c r="P14" i="1"/>
  <c r="S268" i="1"/>
  <c r="AN268" i="1"/>
  <c r="T12" i="1" l="1"/>
  <c r="AE11" i="1" s="1"/>
  <c r="R26" i="2"/>
  <c r="BM26" i="2"/>
  <c r="AQ26" i="2"/>
  <c r="BM25" i="2"/>
  <c r="AQ25" i="2"/>
  <c r="R25" i="2"/>
  <c r="S25" i="2" s="1"/>
  <c r="D29" i="2"/>
  <c r="C30" i="2"/>
  <c r="J29" i="2"/>
  <c r="I30" i="2"/>
  <c r="G29" i="2"/>
  <c r="F30" i="2"/>
  <c r="L29" i="2"/>
  <c r="M28" i="2"/>
  <c r="O28" i="2" s="1"/>
  <c r="Z26" i="2"/>
  <c r="Y26" i="2"/>
  <c r="X26" i="2"/>
  <c r="AP26" i="2"/>
  <c r="W26" i="2"/>
  <c r="Q27" i="2"/>
  <c r="P27" i="2"/>
  <c r="S13" i="1"/>
  <c r="AN13" i="1"/>
  <c r="I16" i="1"/>
  <c r="H17" i="1"/>
  <c r="D18" i="1"/>
  <c r="C19" i="1"/>
  <c r="W12" i="1"/>
  <c r="N16" i="1"/>
  <c r="M17" i="1"/>
  <c r="S269" i="1"/>
  <c r="AN269" i="1"/>
  <c r="AC11" i="1"/>
  <c r="Q15" i="1"/>
  <c r="Q14" i="1"/>
  <c r="M275" i="1"/>
  <c r="N274" i="1"/>
  <c r="AF11" i="1"/>
  <c r="Q270" i="1"/>
  <c r="R270" i="1"/>
  <c r="AM13" i="1"/>
  <c r="C274" i="1"/>
  <c r="D273" i="1"/>
  <c r="AM269" i="1"/>
  <c r="Z269" i="1"/>
  <c r="X268" i="1"/>
  <c r="I271" i="1"/>
  <c r="P271" i="1" s="1"/>
  <c r="H272" i="1"/>
  <c r="S26" i="2" l="1"/>
  <c r="T13" i="1"/>
  <c r="AD11" i="1"/>
  <c r="P28" i="2"/>
  <c r="G30" i="2"/>
  <c r="F31" i="2"/>
  <c r="I31" i="2"/>
  <c r="J30" i="2"/>
  <c r="D30" i="2"/>
  <c r="C31" i="2"/>
  <c r="R27" i="2"/>
  <c r="S27" i="2" s="1"/>
  <c r="BM27" i="2"/>
  <c r="AQ27" i="2"/>
  <c r="M29" i="2"/>
  <c r="O29" i="2" s="1"/>
  <c r="L30" i="2"/>
  <c r="AH25" i="2"/>
  <c r="AG25" i="2"/>
  <c r="AF25" i="2"/>
  <c r="AE25" i="2"/>
  <c r="AH24" i="2"/>
  <c r="AE24" i="2"/>
  <c r="AG24" i="2"/>
  <c r="AF24" i="2"/>
  <c r="AP27" i="2"/>
  <c r="Z27" i="2"/>
  <c r="W27" i="2"/>
  <c r="Y27" i="2"/>
  <c r="X27" i="2"/>
  <c r="M276" i="1"/>
  <c r="N275" i="1"/>
  <c r="AM14" i="1"/>
  <c r="W14" i="1"/>
  <c r="Z14" i="1"/>
  <c r="Y14" i="1"/>
  <c r="X14" i="1"/>
  <c r="R14" i="1"/>
  <c r="AM15" i="1"/>
  <c r="W13" i="1"/>
  <c r="M18" i="1"/>
  <c r="N17" i="1"/>
  <c r="X13" i="1"/>
  <c r="I272" i="1"/>
  <c r="P272" i="1" s="1"/>
  <c r="H273" i="1"/>
  <c r="Y13" i="1"/>
  <c r="Q271" i="1"/>
  <c r="Z13" i="1"/>
  <c r="C20" i="1"/>
  <c r="D19" i="1"/>
  <c r="S270" i="1"/>
  <c r="AN270" i="1"/>
  <c r="AM270" i="1"/>
  <c r="W270" i="1"/>
  <c r="Y270" i="1"/>
  <c r="Z270" i="1"/>
  <c r="X270" i="1"/>
  <c r="H18" i="1"/>
  <c r="I17" i="1"/>
  <c r="Y269" i="1"/>
  <c r="P16" i="1"/>
  <c r="W269" i="1"/>
  <c r="X269" i="1"/>
  <c r="C275" i="1"/>
  <c r="D274" i="1"/>
  <c r="AE12" i="1" l="1"/>
  <c r="AC12" i="1"/>
  <c r="AD12" i="1"/>
  <c r="AF12" i="1"/>
  <c r="L31" i="2"/>
  <c r="M30" i="2"/>
  <c r="O30" i="2" s="1"/>
  <c r="P29" i="2"/>
  <c r="D31" i="2"/>
  <c r="C32" i="2"/>
  <c r="AG26" i="2"/>
  <c r="AF26" i="2"/>
  <c r="AE26" i="2"/>
  <c r="AH26" i="2"/>
  <c r="G31" i="2"/>
  <c r="F32" i="2"/>
  <c r="X28" i="2"/>
  <c r="W28" i="2"/>
  <c r="Z28" i="2"/>
  <c r="AP28" i="2"/>
  <c r="Y28" i="2"/>
  <c r="J31" i="2"/>
  <c r="I32" i="2"/>
  <c r="Q28" i="2"/>
  <c r="H19" i="1"/>
  <c r="I18" i="1"/>
  <c r="AM271" i="1"/>
  <c r="AN14" i="1"/>
  <c r="S14" i="1"/>
  <c r="T14" i="1" s="1"/>
  <c r="R15" i="1"/>
  <c r="Q272" i="1"/>
  <c r="X271" i="1" s="1"/>
  <c r="R272" i="1"/>
  <c r="R271" i="1"/>
  <c r="H274" i="1"/>
  <c r="I273" i="1"/>
  <c r="P273" i="1" s="1"/>
  <c r="D20" i="1"/>
  <c r="C21" i="1"/>
  <c r="D275" i="1"/>
  <c r="C276" i="1"/>
  <c r="Q16" i="1"/>
  <c r="P17" i="1"/>
  <c r="M19" i="1"/>
  <c r="N18" i="1"/>
  <c r="M277" i="1"/>
  <c r="N276" i="1"/>
  <c r="J32" i="2" l="1"/>
  <c r="I33" i="2"/>
  <c r="G32" i="2"/>
  <c r="F33" i="2"/>
  <c r="AP29" i="2"/>
  <c r="P30" i="2"/>
  <c r="Y29" i="2" s="1"/>
  <c r="C33" i="2"/>
  <c r="D32" i="2"/>
  <c r="R28" i="2"/>
  <c r="S28" i="2" s="1"/>
  <c r="AQ28" i="2"/>
  <c r="BM28" i="2"/>
  <c r="Q29" i="2"/>
  <c r="M31" i="2"/>
  <c r="O31" i="2" s="1"/>
  <c r="L32" i="2"/>
  <c r="AN271" i="1"/>
  <c r="S271" i="1"/>
  <c r="T271" i="1" s="1"/>
  <c r="S15" i="1"/>
  <c r="T15" i="1" s="1"/>
  <c r="AN15" i="1"/>
  <c r="X16" i="1"/>
  <c r="W16" i="1"/>
  <c r="AM16" i="1"/>
  <c r="W15" i="1"/>
  <c r="Y15" i="1"/>
  <c r="X15" i="1"/>
  <c r="Z15" i="1"/>
  <c r="AF13" i="1"/>
  <c r="AE13" i="1"/>
  <c r="AC13" i="1"/>
  <c r="AD13" i="1"/>
  <c r="M278" i="1"/>
  <c r="N277" i="1"/>
  <c r="Q17" i="1"/>
  <c r="Y16" i="1" s="1"/>
  <c r="R273" i="1"/>
  <c r="Q273" i="1"/>
  <c r="I274" i="1"/>
  <c r="P274" i="1" s="1"/>
  <c r="H275" i="1"/>
  <c r="AM272" i="1"/>
  <c r="Z272" i="1"/>
  <c r="Y272" i="1"/>
  <c r="X272" i="1"/>
  <c r="W272" i="1"/>
  <c r="R16" i="1"/>
  <c r="Y271" i="1"/>
  <c r="Z271" i="1"/>
  <c r="P18" i="1"/>
  <c r="AN272" i="1"/>
  <c r="N19" i="1"/>
  <c r="M20" i="1"/>
  <c r="W271" i="1"/>
  <c r="C277" i="1"/>
  <c r="D276" i="1"/>
  <c r="D21" i="1"/>
  <c r="C22" i="1"/>
  <c r="I19" i="1"/>
  <c r="P19" i="1" s="1"/>
  <c r="H20" i="1"/>
  <c r="AF14" i="1" l="1"/>
  <c r="AE14" i="1"/>
  <c r="AD14" i="1"/>
  <c r="AC14" i="1"/>
  <c r="S272" i="1"/>
  <c r="T272" i="1" s="1"/>
  <c r="AD271" i="1" s="1"/>
  <c r="L33" i="2"/>
  <c r="M32" i="2"/>
  <c r="O32" i="2" s="1"/>
  <c r="P31" i="2"/>
  <c r="AF27" i="2"/>
  <c r="AE27" i="2"/>
  <c r="AH27" i="2"/>
  <c r="AG27" i="2"/>
  <c r="C34" i="2"/>
  <c r="D33" i="2"/>
  <c r="Q30" i="2"/>
  <c r="X29" i="2"/>
  <c r="Z29" i="2"/>
  <c r="G33" i="2"/>
  <c r="F34" i="2"/>
  <c r="J33" i="2"/>
  <c r="I34" i="2"/>
  <c r="AQ29" i="2"/>
  <c r="R29" i="2"/>
  <c r="BM29" i="2"/>
  <c r="Z30" i="2"/>
  <c r="Y30" i="2"/>
  <c r="X30" i="2"/>
  <c r="W30" i="2"/>
  <c r="AP30" i="2"/>
  <c r="W29" i="2"/>
  <c r="R274" i="1"/>
  <c r="Q274" i="1"/>
  <c r="Y273" i="1" s="1"/>
  <c r="S16" i="1"/>
  <c r="T16" i="1" s="1"/>
  <c r="AN16" i="1"/>
  <c r="Q19" i="1"/>
  <c r="H276" i="1"/>
  <c r="I275" i="1"/>
  <c r="P275" i="1" s="1"/>
  <c r="D22" i="1"/>
  <c r="C23" i="1"/>
  <c r="X17" i="1"/>
  <c r="W17" i="1"/>
  <c r="Z17" i="1"/>
  <c r="Y17" i="1"/>
  <c r="AM17" i="1"/>
  <c r="I20" i="1"/>
  <c r="H21" i="1"/>
  <c r="AN273" i="1"/>
  <c r="R17" i="1"/>
  <c r="M279" i="1"/>
  <c r="N278" i="1"/>
  <c r="Q18" i="1"/>
  <c r="AM273" i="1"/>
  <c r="W273" i="1"/>
  <c r="Z16" i="1"/>
  <c r="C278" i="1"/>
  <c r="D277" i="1"/>
  <c r="N20" i="1"/>
  <c r="M21" i="1"/>
  <c r="AC271" i="1" l="1"/>
  <c r="AE271" i="1"/>
  <c r="AF271" i="1"/>
  <c r="S273" i="1"/>
  <c r="T273" i="1" s="1"/>
  <c r="AE272" i="1" s="1"/>
  <c r="S29" i="2"/>
  <c r="BM30" i="2"/>
  <c r="AQ30" i="2"/>
  <c r="R30" i="2"/>
  <c r="S30" i="2" s="1"/>
  <c r="AH29" i="2" s="1"/>
  <c r="D34" i="2"/>
  <c r="C35" i="2"/>
  <c r="AP31" i="2"/>
  <c r="F35" i="2"/>
  <c r="G34" i="2"/>
  <c r="AE29" i="2"/>
  <c r="AF29" i="2"/>
  <c r="Q31" i="2"/>
  <c r="P32" i="2"/>
  <c r="X31" i="2" s="1"/>
  <c r="J34" i="2"/>
  <c r="I35" i="2"/>
  <c r="M33" i="2"/>
  <c r="O33" i="2" s="1"/>
  <c r="L34" i="2"/>
  <c r="N21" i="1"/>
  <c r="M22" i="1"/>
  <c r="D23" i="1"/>
  <c r="C24" i="1"/>
  <c r="X273" i="1"/>
  <c r="R275" i="1"/>
  <c r="Q275" i="1"/>
  <c r="AM19" i="1"/>
  <c r="AN274" i="1"/>
  <c r="S274" i="1"/>
  <c r="T274" i="1" s="1"/>
  <c r="Z273" i="1"/>
  <c r="H277" i="1"/>
  <c r="I276" i="1"/>
  <c r="P276" i="1" s="1"/>
  <c r="M280" i="1"/>
  <c r="N279" i="1"/>
  <c r="AM274" i="1"/>
  <c r="X274" i="1"/>
  <c r="Z274" i="1"/>
  <c r="Y274" i="1"/>
  <c r="P20" i="1"/>
  <c r="X18" i="1"/>
  <c r="Y18" i="1"/>
  <c r="Z18" i="1"/>
  <c r="W18" i="1"/>
  <c r="AM18" i="1"/>
  <c r="AE15" i="1"/>
  <c r="S17" i="1"/>
  <c r="T17" i="1" s="1"/>
  <c r="AN17" i="1"/>
  <c r="C279" i="1"/>
  <c r="D278" i="1"/>
  <c r="H22" i="1"/>
  <c r="I21" i="1"/>
  <c r="P21" i="1" s="1"/>
  <c r="AC15" i="1"/>
  <c r="AD15" i="1"/>
  <c r="R18" i="1"/>
  <c r="AF15" i="1"/>
  <c r="AF272" i="1"/>
  <c r="AC272" i="1" l="1"/>
  <c r="AD272" i="1"/>
  <c r="AG29" i="2"/>
  <c r="AG28" i="2"/>
  <c r="AF28" i="2"/>
  <c r="AE28" i="2"/>
  <c r="AH28" i="2"/>
  <c r="AE16" i="1"/>
  <c r="AF16" i="1"/>
  <c r="AD16" i="1"/>
  <c r="AC16" i="1"/>
  <c r="AE273" i="1"/>
  <c r="BM31" i="2"/>
  <c r="AQ31" i="2"/>
  <c r="R31" i="2"/>
  <c r="S31" i="2" s="1"/>
  <c r="Q32" i="2"/>
  <c r="Z31" i="2"/>
  <c r="Z32" i="2"/>
  <c r="Y32" i="2"/>
  <c r="X32" i="2"/>
  <c r="W32" i="2"/>
  <c r="AP32" i="2"/>
  <c r="F36" i="2"/>
  <c r="G35" i="2"/>
  <c r="W31" i="2"/>
  <c r="Y31" i="2"/>
  <c r="C36" i="2"/>
  <c r="D35" i="2"/>
  <c r="M34" i="2"/>
  <c r="O34" i="2" s="1"/>
  <c r="L35" i="2"/>
  <c r="P33" i="2"/>
  <c r="J35" i="2"/>
  <c r="I36" i="2"/>
  <c r="S18" i="1"/>
  <c r="T18" i="1" s="1"/>
  <c r="AN18" i="1"/>
  <c r="R19" i="1"/>
  <c r="Q21" i="1"/>
  <c r="H23" i="1"/>
  <c r="I22" i="1"/>
  <c r="AC273" i="1"/>
  <c r="AF273" i="1"/>
  <c r="AM275" i="1"/>
  <c r="W274" i="1"/>
  <c r="AD273" i="1"/>
  <c r="R276" i="1"/>
  <c r="Q276" i="1"/>
  <c r="W275" i="1" s="1"/>
  <c r="Q20" i="1"/>
  <c r="AN275" i="1"/>
  <c r="S275" i="1"/>
  <c r="T275" i="1" s="1"/>
  <c r="C25" i="1"/>
  <c r="D24" i="1"/>
  <c r="C280" i="1"/>
  <c r="D279" i="1"/>
  <c r="N280" i="1"/>
  <c r="M281" i="1"/>
  <c r="H278" i="1"/>
  <c r="I277" i="1"/>
  <c r="P277" i="1" s="1"/>
  <c r="M23" i="1"/>
  <c r="N22" i="1"/>
  <c r="AG30" i="2" l="1"/>
  <c r="AF30" i="2"/>
  <c r="AE30" i="2"/>
  <c r="AH30" i="2"/>
  <c r="AD17" i="1"/>
  <c r="AF17" i="1"/>
  <c r="AE17" i="1"/>
  <c r="AC17" i="1"/>
  <c r="AF274" i="1"/>
  <c r="G36" i="2"/>
  <c r="F37" i="2"/>
  <c r="D36" i="2"/>
  <c r="C37" i="2"/>
  <c r="Z33" i="2"/>
  <c r="Y33" i="2"/>
  <c r="X33" i="2"/>
  <c r="W33" i="2"/>
  <c r="AP33" i="2"/>
  <c r="BM32" i="2"/>
  <c r="AQ32" i="2"/>
  <c r="R32" i="2"/>
  <c r="S32" i="2" s="1"/>
  <c r="M35" i="2"/>
  <c r="O35" i="2" s="1"/>
  <c r="L36" i="2"/>
  <c r="I37" i="2"/>
  <c r="J36" i="2"/>
  <c r="Q33" i="2"/>
  <c r="P34" i="2"/>
  <c r="AE274" i="1"/>
  <c r="X275" i="1"/>
  <c r="S276" i="1"/>
  <c r="AN276" i="1"/>
  <c r="H279" i="1"/>
  <c r="I278" i="1"/>
  <c r="P278" i="1" s="1"/>
  <c r="Y275" i="1"/>
  <c r="C281" i="1"/>
  <c r="D280" i="1"/>
  <c r="H24" i="1"/>
  <c r="I23" i="1"/>
  <c r="D25" i="1"/>
  <c r="C26" i="1"/>
  <c r="AN19" i="1"/>
  <c r="S19" i="1"/>
  <c r="T19" i="1" s="1"/>
  <c r="M24" i="1"/>
  <c r="N23" i="1"/>
  <c r="P22" i="1"/>
  <c r="AM20" i="1"/>
  <c r="X20" i="1"/>
  <c r="Y20" i="1"/>
  <c r="Z20" i="1"/>
  <c r="W20" i="1"/>
  <c r="Z19" i="1"/>
  <c r="X19" i="1"/>
  <c r="W19" i="1"/>
  <c r="Y19" i="1"/>
  <c r="AM276" i="1"/>
  <c r="Q277" i="1"/>
  <c r="M282" i="1"/>
  <c r="N281" i="1"/>
  <c r="Z275" i="1"/>
  <c r="AM21" i="1"/>
  <c r="AC274" i="1"/>
  <c r="AD274" i="1"/>
  <c r="R20" i="1"/>
  <c r="AD18" i="1" l="1"/>
  <c r="AC18" i="1"/>
  <c r="T276" i="1"/>
  <c r="AE275" i="1" s="1"/>
  <c r="P35" i="2"/>
  <c r="I38" i="2"/>
  <c r="J37" i="2"/>
  <c r="AF31" i="2"/>
  <c r="Y34" i="2"/>
  <c r="Z34" i="2"/>
  <c r="W34" i="2"/>
  <c r="AP34" i="2"/>
  <c r="X34" i="2"/>
  <c r="Q34" i="2"/>
  <c r="F38" i="2"/>
  <c r="G37" i="2"/>
  <c r="M36" i="2"/>
  <c r="O36" i="2" s="1"/>
  <c r="L37" i="2"/>
  <c r="C38" i="2"/>
  <c r="D37" i="2"/>
  <c r="AE31" i="2"/>
  <c r="AH31" i="2"/>
  <c r="AG31" i="2"/>
  <c r="BM33" i="2"/>
  <c r="AQ33" i="2"/>
  <c r="R33" i="2"/>
  <c r="M283" i="1"/>
  <c r="N282" i="1"/>
  <c r="AM277" i="1"/>
  <c r="Q22" i="1"/>
  <c r="R277" i="1"/>
  <c r="M25" i="1"/>
  <c r="N24" i="1"/>
  <c r="W276" i="1"/>
  <c r="X276" i="1"/>
  <c r="Y276" i="1"/>
  <c r="D26" i="1"/>
  <c r="C27" i="1"/>
  <c r="P23" i="1"/>
  <c r="I24" i="1"/>
  <c r="H25" i="1"/>
  <c r="C282" i="1"/>
  <c r="D281" i="1"/>
  <c r="Z276" i="1"/>
  <c r="Q278" i="1"/>
  <c r="AF18" i="1"/>
  <c r="H280" i="1"/>
  <c r="I279" i="1"/>
  <c r="P279" i="1" s="1"/>
  <c r="AE18" i="1"/>
  <c r="AN20" i="1"/>
  <c r="S20" i="1"/>
  <c r="T20" i="1" s="1"/>
  <c r="R21" i="1"/>
  <c r="S33" i="2" l="1"/>
  <c r="AH32" i="2" s="1"/>
  <c r="AD275" i="1"/>
  <c r="AC275" i="1"/>
  <c r="AF275" i="1"/>
  <c r="R34" i="2"/>
  <c r="S34" i="2" s="1"/>
  <c r="AG33" i="2" s="1"/>
  <c r="BM34" i="2"/>
  <c r="AQ34" i="2"/>
  <c r="P36" i="2"/>
  <c r="AG32" i="2"/>
  <c r="J38" i="2"/>
  <c r="I39" i="2"/>
  <c r="M37" i="2"/>
  <c r="O37" i="2" s="1"/>
  <c r="L38" i="2"/>
  <c r="G38" i="2"/>
  <c r="F39" i="2"/>
  <c r="AF32" i="2"/>
  <c r="Z35" i="2"/>
  <c r="Y35" i="2"/>
  <c r="X35" i="2"/>
  <c r="W35" i="2"/>
  <c r="AP35" i="2"/>
  <c r="D38" i="2"/>
  <c r="C39" i="2"/>
  <c r="AE32" i="2"/>
  <c r="Q35" i="2"/>
  <c r="AM278" i="1"/>
  <c r="AE19" i="1"/>
  <c r="X22" i="1"/>
  <c r="W22" i="1"/>
  <c r="AM22" i="1"/>
  <c r="Z22" i="1"/>
  <c r="Y22" i="1"/>
  <c r="W21" i="1"/>
  <c r="Z21" i="1"/>
  <c r="Y21" i="1"/>
  <c r="X21" i="1"/>
  <c r="S21" i="1"/>
  <c r="AN21" i="1"/>
  <c r="AF19" i="1"/>
  <c r="S277" i="1"/>
  <c r="T277" i="1" s="1"/>
  <c r="AN277" i="1"/>
  <c r="I25" i="1"/>
  <c r="H26" i="1"/>
  <c r="W277" i="1"/>
  <c r="Y277" i="1"/>
  <c r="AC19" i="1"/>
  <c r="AD19" i="1"/>
  <c r="H281" i="1"/>
  <c r="I280" i="1"/>
  <c r="P280" i="1" s="1"/>
  <c r="M26" i="1"/>
  <c r="N25" i="1"/>
  <c r="C283" i="1"/>
  <c r="D283" i="1" s="1"/>
  <c r="P284" i="1" s="1"/>
  <c r="D282" i="1"/>
  <c r="Z277" i="1"/>
  <c r="X277" i="1"/>
  <c r="R23" i="1"/>
  <c r="Q23" i="1"/>
  <c r="Q279" i="1"/>
  <c r="X278" i="1" s="1"/>
  <c r="R278" i="1"/>
  <c r="R22" i="1"/>
  <c r="P24" i="1"/>
  <c r="D27" i="1"/>
  <c r="C28" i="1"/>
  <c r="M284" i="1"/>
  <c r="N284" i="1" s="1"/>
  <c r="N283" i="1"/>
  <c r="AH33" i="2" l="1"/>
  <c r="AE33" i="2"/>
  <c r="AF33" i="2"/>
  <c r="T21" i="1"/>
  <c r="AF20" i="1" s="1"/>
  <c r="C40" i="2"/>
  <c r="D39" i="2"/>
  <c r="L39" i="2"/>
  <c r="M38" i="2"/>
  <c r="O38" i="2" s="1"/>
  <c r="BM35" i="2"/>
  <c r="R35" i="2"/>
  <c r="AQ35" i="2"/>
  <c r="AP36" i="2"/>
  <c r="Q36" i="2"/>
  <c r="F40" i="2"/>
  <c r="G39" i="2"/>
  <c r="P37" i="2"/>
  <c r="Z36" i="2" s="1"/>
  <c r="I40" i="2"/>
  <c r="J39" i="2"/>
  <c r="N26" i="1"/>
  <c r="M27" i="1"/>
  <c r="H282" i="1"/>
  <c r="I281" i="1"/>
  <c r="P281" i="1" s="1"/>
  <c r="R24" i="1"/>
  <c r="Q24" i="1"/>
  <c r="AN23" i="1"/>
  <c r="Q280" i="1"/>
  <c r="R280" i="1"/>
  <c r="W278" i="1"/>
  <c r="Q285" i="1"/>
  <c r="I26" i="1"/>
  <c r="P26" i="1" s="1"/>
  <c r="H27" i="1"/>
  <c r="S22" i="1"/>
  <c r="T22" i="1" s="1"/>
  <c r="AD21" i="1" s="1"/>
  <c r="AN22" i="1"/>
  <c r="AD276" i="1"/>
  <c r="AC276" i="1"/>
  <c r="AF276" i="1"/>
  <c r="AE276" i="1"/>
  <c r="P25" i="1"/>
  <c r="X279" i="1"/>
  <c r="W279" i="1"/>
  <c r="AM279" i="1"/>
  <c r="Y279" i="1"/>
  <c r="Y278" i="1"/>
  <c r="D28" i="1"/>
  <c r="C29" i="1"/>
  <c r="S278" i="1"/>
  <c r="AN278" i="1"/>
  <c r="R279" i="1"/>
  <c r="AM23" i="1"/>
  <c r="Z23" i="1"/>
  <c r="Y23" i="1"/>
  <c r="X23" i="1"/>
  <c r="W23" i="1"/>
  <c r="Z278" i="1"/>
  <c r="AC20" i="1" l="1"/>
  <c r="AE20" i="1"/>
  <c r="AD20" i="1"/>
  <c r="S35" i="2"/>
  <c r="AG34" i="2" s="1"/>
  <c r="AF21" i="1"/>
  <c r="AC21" i="1"/>
  <c r="AE21" i="1"/>
  <c r="S23" i="1"/>
  <c r="T23" i="1" s="1"/>
  <c r="AE22" i="1" s="1"/>
  <c r="T278" i="1"/>
  <c r="AE277" i="1" s="1"/>
  <c r="R36" i="2"/>
  <c r="S36" i="2" s="1"/>
  <c r="BM36" i="2"/>
  <c r="AQ36" i="2"/>
  <c r="J40" i="2"/>
  <c r="I41" i="2"/>
  <c r="G40" i="2"/>
  <c r="F41" i="2"/>
  <c r="W36" i="2"/>
  <c r="Y36" i="2"/>
  <c r="Q37" i="2"/>
  <c r="W37" i="2"/>
  <c r="AP37" i="2"/>
  <c r="Z37" i="2"/>
  <c r="Y37" i="2"/>
  <c r="X37" i="2"/>
  <c r="X36" i="2"/>
  <c r="P38" i="2"/>
  <c r="L40" i="2"/>
  <c r="M39" i="2"/>
  <c r="O39" i="2" s="1"/>
  <c r="C41" i="2"/>
  <c r="D40" i="2"/>
  <c r="R25" i="1"/>
  <c r="R26" i="1" s="1"/>
  <c r="Q25" i="1"/>
  <c r="AN280" i="1"/>
  <c r="W280" i="1"/>
  <c r="AM280" i="1"/>
  <c r="Z280" i="1"/>
  <c r="Y280" i="1"/>
  <c r="X280" i="1"/>
  <c r="H283" i="1"/>
  <c r="I283" i="1" s="1"/>
  <c r="P283" i="1" s="1"/>
  <c r="I282" i="1"/>
  <c r="P282" i="1" s="1"/>
  <c r="S279" i="1"/>
  <c r="AN279" i="1"/>
  <c r="AM24" i="1"/>
  <c r="Z24" i="1"/>
  <c r="Y24" i="1"/>
  <c r="X24" i="1"/>
  <c r="W24" i="1"/>
  <c r="C30" i="1"/>
  <c r="D29" i="1"/>
  <c r="Q26" i="1"/>
  <c r="M28" i="1"/>
  <c r="N27" i="1"/>
  <c r="X285" i="1"/>
  <c r="W285" i="1"/>
  <c r="Y285" i="1"/>
  <c r="AM285" i="1"/>
  <c r="Z285" i="1"/>
  <c r="AN24" i="1"/>
  <c r="S24" i="1"/>
  <c r="R281" i="1"/>
  <c r="Q281" i="1"/>
  <c r="I27" i="1"/>
  <c r="H28" i="1"/>
  <c r="Z279" i="1"/>
  <c r="AD22" i="1" l="1"/>
  <c r="AF34" i="2"/>
  <c r="AE34" i="2"/>
  <c r="AH34" i="2"/>
  <c r="AC277" i="1"/>
  <c r="AF277" i="1"/>
  <c r="AD277" i="1"/>
  <c r="AE35" i="2"/>
  <c r="AF35" i="2"/>
  <c r="AG35" i="2"/>
  <c r="AH35" i="2"/>
  <c r="T279" i="1"/>
  <c r="AE278" i="1" s="1"/>
  <c r="AF22" i="1"/>
  <c r="AC22" i="1"/>
  <c r="T24" i="1"/>
  <c r="AE23" i="1" s="1"/>
  <c r="S280" i="1"/>
  <c r="S281" i="1" s="1"/>
  <c r="R37" i="2"/>
  <c r="BM37" i="2"/>
  <c r="AQ37" i="2"/>
  <c r="D41" i="2"/>
  <c r="C42" i="2"/>
  <c r="F42" i="2"/>
  <c r="G41" i="2"/>
  <c r="P39" i="2"/>
  <c r="M40" i="2"/>
  <c r="O40" i="2" s="1"/>
  <c r="L41" i="2"/>
  <c r="AP38" i="2"/>
  <c r="X38" i="2"/>
  <c r="W38" i="2"/>
  <c r="Z38" i="2"/>
  <c r="Y38" i="2"/>
  <c r="J41" i="2"/>
  <c r="I42" i="2"/>
  <c r="Q38" i="2"/>
  <c r="H29" i="1"/>
  <c r="I28" i="1"/>
  <c r="AN281" i="1"/>
  <c r="M29" i="1"/>
  <c r="N28" i="1"/>
  <c r="AN26" i="1"/>
  <c r="P27" i="1"/>
  <c r="AM25" i="1"/>
  <c r="Z25" i="1"/>
  <c r="Y25" i="1"/>
  <c r="X25" i="1"/>
  <c r="W25" i="1"/>
  <c r="Q283" i="1"/>
  <c r="Q284" i="1"/>
  <c r="AM281" i="1"/>
  <c r="X281" i="1"/>
  <c r="S25" i="1"/>
  <c r="T25" i="1" s="1"/>
  <c r="AN25" i="1"/>
  <c r="AM26" i="1"/>
  <c r="D30" i="1"/>
  <c r="C31" i="1"/>
  <c r="Q282" i="1"/>
  <c r="Y281" i="1" s="1"/>
  <c r="R282" i="1"/>
  <c r="AD23" i="1" l="1"/>
  <c r="AF23" i="1"/>
  <c r="AC23" i="1"/>
  <c r="AC278" i="1"/>
  <c r="AF278" i="1"/>
  <c r="S37" i="2"/>
  <c r="T280" i="1"/>
  <c r="AD278" i="1"/>
  <c r="AE36" i="2"/>
  <c r="AF36" i="2"/>
  <c r="AG36" i="2"/>
  <c r="M41" i="2"/>
  <c r="O41" i="2" s="1"/>
  <c r="L42" i="2"/>
  <c r="I43" i="2"/>
  <c r="J42" i="2"/>
  <c r="P40" i="2"/>
  <c r="X39" i="2"/>
  <c r="W39" i="2"/>
  <c r="AP39" i="2"/>
  <c r="Z39" i="2"/>
  <c r="C43" i="2"/>
  <c r="D42" i="2"/>
  <c r="AQ38" i="2"/>
  <c r="R38" i="2"/>
  <c r="BM38" i="2"/>
  <c r="Q39" i="2"/>
  <c r="F43" i="2"/>
  <c r="G42" i="2"/>
  <c r="AN282" i="1"/>
  <c r="S282" i="1"/>
  <c r="S26" i="1"/>
  <c r="AM283" i="1"/>
  <c r="Z283" i="1"/>
  <c r="Y283" i="1"/>
  <c r="X283" i="1"/>
  <c r="W283" i="1"/>
  <c r="AF24" i="1"/>
  <c r="R27" i="1"/>
  <c r="Q27" i="1"/>
  <c r="AC24" i="1"/>
  <c r="AE24" i="1"/>
  <c r="Y284" i="1"/>
  <c r="X284" i="1"/>
  <c r="W284" i="1"/>
  <c r="AM284" i="1"/>
  <c r="Z284" i="1"/>
  <c r="N29" i="1"/>
  <c r="M30" i="1"/>
  <c r="P28" i="1"/>
  <c r="AD24" i="1"/>
  <c r="AM282" i="1"/>
  <c r="Z282" i="1"/>
  <c r="Y282" i="1"/>
  <c r="X282" i="1"/>
  <c r="W282" i="1"/>
  <c r="Z281" i="1"/>
  <c r="R283" i="1"/>
  <c r="R284" i="1" s="1"/>
  <c r="R285" i="1" s="1"/>
  <c r="C32" i="1"/>
  <c r="D31" i="1"/>
  <c r="I29" i="1"/>
  <c r="P29" i="1" s="1"/>
  <c r="H30" i="1"/>
  <c r="S38" i="2" l="1"/>
  <c r="AE37" i="2" s="1"/>
  <c r="AH36" i="2"/>
  <c r="T26" i="1"/>
  <c r="AD25" i="1" s="1"/>
  <c r="S285" i="1"/>
  <c r="AN285" i="1"/>
  <c r="R286" i="1"/>
  <c r="S286" i="1" s="1"/>
  <c r="AN284" i="1"/>
  <c r="T281" i="1"/>
  <c r="AD279" i="1"/>
  <c r="AF279" i="1"/>
  <c r="AC279" i="1"/>
  <c r="AE279" i="1"/>
  <c r="R39" i="2"/>
  <c r="AQ39" i="2"/>
  <c r="BM39" i="2"/>
  <c r="D43" i="2"/>
  <c r="C44" i="2"/>
  <c r="AP40" i="2"/>
  <c r="Z40" i="2"/>
  <c r="Y40" i="2"/>
  <c r="X40" i="2"/>
  <c r="W40" i="2"/>
  <c r="M42" i="2"/>
  <c r="O42" i="2" s="1"/>
  <c r="L43" i="2"/>
  <c r="G43" i="2"/>
  <c r="F44" i="2"/>
  <c r="Y39" i="2"/>
  <c r="Q40" i="2"/>
  <c r="J43" i="2"/>
  <c r="I44" i="2"/>
  <c r="Q41" i="2"/>
  <c r="P41" i="2"/>
  <c r="AM27" i="1"/>
  <c r="Y26" i="1"/>
  <c r="X26" i="1"/>
  <c r="W26" i="1"/>
  <c r="Z26" i="1"/>
  <c r="Q29" i="1"/>
  <c r="S27" i="1"/>
  <c r="T27" i="1" s="1"/>
  <c r="AD26" i="1" s="1"/>
  <c r="AN27" i="1"/>
  <c r="R28" i="1"/>
  <c r="Q28" i="1"/>
  <c r="N30" i="1"/>
  <c r="M31" i="1"/>
  <c r="AN283" i="1"/>
  <c r="S283" i="1"/>
  <c r="AE25" i="1"/>
  <c r="I30" i="1"/>
  <c r="H31" i="1"/>
  <c r="D32" i="1"/>
  <c r="C33" i="1"/>
  <c r="AF25" i="1"/>
  <c r="AC25" i="1" l="1"/>
  <c r="AG37" i="2"/>
  <c r="AF37" i="2"/>
  <c r="S39" i="2"/>
  <c r="AG38" i="2" s="1"/>
  <c r="AH37" i="2"/>
  <c r="AN286" i="1"/>
  <c r="R287" i="1"/>
  <c r="S287" i="1" s="1"/>
  <c r="T282" i="1"/>
  <c r="AD281" i="1" s="1"/>
  <c r="AE280" i="1"/>
  <c r="AD280" i="1"/>
  <c r="AF280" i="1"/>
  <c r="AC280" i="1"/>
  <c r="S284" i="1"/>
  <c r="T284" i="1" s="1"/>
  <c r="L44" i="2"/>
  <c r="M43" i="2"/>
  <c r="O43" i="2" s="1"/>
  <c r="D44" i="2"/>
  <c r="C45" i="2"/>
  <c r="Q42" i="2"/>
  <c r="P42" i="2"/>
  <c r="Z41" i="2"/>
  <c r="Y41" i="2"/>
  <c r="X41" i="2"/>
  <c r="AP41" i="2"/>
  <c r="W41" i="2"/>
  <c r="BM40" i="2"/>
  <c r="AQ40" i="2"/>
  <c r="R40" i="2"/>
  <c r="G44" i="2"/>
  <c r="F45" i="2"/>
  <c r="BM41" i="2"/>
  <c r="AQ41" i="2"/>
  <c r="I45" i="2"/>
  <c r="J44" i="2"/>
  <c r="D33" i="1"/>
  <c r="C34" i="1"/>
  <c r="W28" i="1"/>
  <c r="Z28" i="1"/>
  <c r="Y28" i="1"/>
  <c r="X28" i="1"/>
  <c r="AM28" i="1"/>
  <c r="P30" i="1"/>
  <c r="I31" i="1"/>
  <c r="H32" i="1"/>
  <c r="S28" i="1"/>
  <c r="T28" i="1" s="1"/>
  <c r="AF27" i="1" s="1"/>
  <c r="AN28" i="1"/>
  <c r="AM29" i="1"/>
  <c r="W27" i="1"/>
  <c r="N31" i="1"/>
  <c r="M32" i="1"/>
  <c r="R29" i="1"/>
  <c r="Y27" i="1"/>
  <c r="AE26" i="1"/>
  <c r="Z27" i="1"/>
  <c r="AF26" i="1"/>
  <c r="AC26" i="1"/>
  <c r="X27" i="1"/>
  <c r="AC281" i="1" l="1"/>
  <c r="AE281" i="1"/>
  <c r="AE38" i="2"/>
  <c r="AH38" i="2"/>
  <c r="AF38" i="2"/>
  <c r="S40" i="2"/>
  <c r="AG39" i="2" s="1"/>
  <c r="AD27" i="1"/>
  <c r="AE27" i="1"/>
  <c r="AC27" i="1"/>
  <c r="T283" i="1"/>
  <c r="AD282" i="1" s="1"/>
  <c r="AF281" i="1"/>
  <c r="Z2" i="1"/>
  <c r="T285" i="1"/>
  <c r="AC284" i="1" s="1"/>
  <c r="AN287" i="1"/>
  <c r="AE283" i="1"/>
  <c r="J45" i="2"/>
  <c r="I46" i="2"/>
  <c r="AP42" i="2"/>
  <c r="Q43" i="2"/>
  <c r="P43" i="2"/>
  <c r="Z42" i="2" s="1"/>
  <c r="R42" i="2"/>
  <c r="BM42" i="2"/>
  <c r="AQ42" i="2"/>
  <c r="R41" i="2"/>
  <c r="C46" i="2"/>
  <c r="D45" i="2"/>
  <c r="G45" i="2"/>
  <c r="F46" i="2"/>
  <c r="L45" i="2"/>
  <c r="M44" i="2"/>
  <c r="O44" i="2" s="1"/>
  <c r="Q30" i="1"/>
  <c r="R30" i="1" s="1"/>
  <c r="AN29" i="1"/>
  <c r="S29" i="1"/>
  <c r="T29" i="1" s="1"/>
  <c r="AE28" i="1" s="1"/>
  <c r="M33" i="1"/>
  <c r="N32" i="1"/>
  <c r="I32" i="1"/>
  <c r="H33" i="1"/>
  <c r="C35" i="1"/>
  <c r="D34" i="1"/>
  <c r="P31" i="1"/>
  <c r="AE284" i="1" l="1"/>
  <c r="AD284" i="1"/>
  <c r="AF282" i="1"/>
  <c r="AC283" i="1"/>
  <c r="AD283" i="1"/>
  <c r="AF39" i="2"/>
  <c r="AH39" i="2"/>
  <c r="S42" i="2"/>
  <c r="S41" i="2"/>
  <c r="AH40" i="2" s="1"/>
  <c r="AE39" i="2"/>
  <c r="AF28" i="1"/>
  <c r="AD28" i="1"/>
  <c r="AC28" i="1"/>
  <c r="T286" i="1"/>
  <c r="AF284" i="1"/>
  <c r="AF283" i="1"/>
  <c r="AA2" i="1"/>
  <c r="AC282" i="1"/>
  <c r="AE282" i="1"/>
  <c r="Y42" i="2"/>
  <c r="M45" i="2"/>
  <c r="O45" i="2" s="1"/>
  <c r="L46" i="2"/>
  <c r="X42" i="2"/>
  <c r="P44" i="2"/>
  <c r="Q44" i="2"/>
  <c r="J46" i="2"/>
  <c r="I47" i="2"/>
  <c r="AP43" i="2"/>
  <c r="X43" i="2"/>
  <c r="W43" i="2"/>
  <c r="Z43" i="2"/>
  <c r="Y43" i="2"/>
  <c r="AQ43" i="2"/>
  <c r="R43" i="2"/>
  <c r="BM43" i="2"/>
  <c r="W42" i="2"/>
  <c r="AE40" i="2"/>
  <c r="AF40" i="2"/>
  <c r="F47" i="2"/>
  <c r="G46" i="2"/>
  <c r="AG40" i="2"/>
  <c r="D46" i="2"/>
  <c r="C47" i="2"/>
  <c r="AN30" i="1"/>
  <c r="S30" i="1"/>
  <c r="M34" i="1"/>
  <c r="N33" i="1"/>
  <c r="AM30" i="1"/>
  <c r="W29" i="1"/>
  <c r="Z29" i="1"/>
  <c r="Y29" i="1"/>
  <c r="X29" i="1"/>
  <c r="Q31" i="1"/>
  <c r="D35" i="1"/>
  <c r="C36" i="1"/>
  <c r="H34" i="1"/>
  <c r="I33" i="1"/>
  <c r="P33" i="1" s="1"/>
  <c r="P32" i="1"/>
  <c r="AF41" i="2" l="1"/>
  <c r="S43" i="2"/>
  <c r="AE42" i="2" s="1"/>
  <c r="T30" i="1"/>
  <c r="T287" i="1"/>
  <c r="T289" i="1" s="1"/>
  <c r="AC285" i="1"/>
  <c r="AF285" i="1"/>
  <c r="AD2" i="1"/>
  <c r="AD285" i="1"/>
  <c r="AE285" i="1"/>
  <c r="AF29" i="1"/>
  <c r="I48" i="2"/>
  <c r="J47" i="2"/>
  <c r="F48" i="2"/>
  <c r="G47" i="2"/>
  <c r="R44" i="2"/>
  <c r="BM44" i="2"/>
  <c r="AQ44" i="2"/>
  <c r="AE41" i="2"/>
  <c r="W44" i="2"/>
  <c r="Z44" i="2"/>
  <c r="Y44" i="2"/>
  <c r="X44" i="2"/>
  <c r="AP44" i="2"/>
  <c r="L47" i="2"/>
  <c r="M46" i="2"/>
  <c r="O46" i="2" s="1"/>
  <c r="C48" i="2"/>
  <c r="D47" i="2"/>
  <c r="P45" i="2"/>
  <c r="Q45" i="2"/>
  <c r="AH41" i="2"/>
  <c r="AH42" i="2"/>
  <c r="AG41" i="2"/>
  <c r="AM31" i="1"/>
  <c r="R31" i="1"/>
  <c r="X30" i="1"/>
  <c r="Y30" i="1"/>
  <c r="R32" i="1"/>
  <c r="R33" i="1" s="1"/>
  <c r="Q32" i="1"/>
  <c r="Y31" i="1" s="1"/>
  <c r="W30" i="1"/>
  <c r="Z30" i="1"/>
  <c r="Q33" i="1"/>
  <c r="I34" i="1"/>
  <c r="P34" i="1" s="1"/>
  <c r="H35" i="1"/>
  <c r="N34" i="1"/>
  <c r="M35" i="1"/>
  <c r="D36" i="1"/>
  <c r="C37" i="1"/>
  <c r="AB2" i="1" l="1"/>
  <c r="AC2" i="1"/>
  <c r="AC289" i="1"/>
  <c r="AD289" i="1"/>
  <c r="AE289" i="1"/>
  <c r="AF289" i="1"/>
  <c r="S44" i="2"/>
  <c r="AE2" i="1"/>
  <c r="AD286" i="1"/>
  <c r="AC286" i="1"/>
  <c r="AF286" i="1"/>
  <c r="AE286" i="1"/>
  <c r="AD29" i="1"/>
  <c r="AE29" i="1"/>
  <c r="AC29" i="1"/>
  <c r="AG42" i="2"/>
  <c r="AF42" i="2"/>
  <c r="M47" i="2"/>
  <c r="O47" i="2" s="1"/>
  <c r="L48" i="2"/>
  <c r="D48" i="2"/>
  <c r="C49" i="2"/>
  <c r="Q46" i="2"/>
  <c r="P46" i="2"/>
  <c r="AH43" i="2"/>
  <c r="AG43" i="2"/>
  <c r="AF43" i="2"/>
  <c r="AE43" i="2"/>
  <c r="AP45" i="2"/>
  <c r="Z45" i="2"/>
  <c r="Y45" i="2"/>
  <c r="X45" i="2"/>
  <c r="W45" i="2"/>
  <c r="AQ45" i="2"/>
  <c r="BM45" i="2"/>
  <c r="R45" i="2"/>
  <c r="G48" i="2"/>
  <c r="F49" i="2"/>
  <c r="J48" i="2"/>
  <c r="I49" i="2"/>
  <c r="AM33" i="1"/>
  <c r="S32" i="1"/>
  <c r="AN32" i="1"/>
  <c r="AN33" i="1"/>
  <c r="S33" i="1"/>
  <c r="W31" i="1"/>
  <c r="R34" i="1"/>
  <c r="Q34" i="1"/>
  <c r="D37" i="1"/>
  <c r="C38" i="1"/>
  <c r="I35" i="1"/>
  <c r="P35" i="1" s="1"/>
  <c r="H36" i="1"/>
  <c r="X32" i="1"/>
  <c r="W32" i="1"/>
  <c r="AM32" i="1"/>
  <c r="Z32" i="1"/>
  <c r="Y32" i="1"/>
  <c r="AN31" i="1"/>
  <c r="S31" i="1"/>
  <c r="T31" i="1" s="1"/>
  <c r="T32" i="1" s="1"/>
  <c r="T33" i="1" s="1"/>
  <c r="X31" i="1"/>
  <c r="N35" i="1"/>
  <c r="M36" i="1"/>
  <c r="Z31" i="1"/>
  <c r="S45" i="2" l="1"/>
  <c r="AE44" i="2" s="1"/>
  <c r="AF2" i="1"/>
  <c r="R46" i="2"/>
  <c r="BM46" i="2"/>
  <c r="AQ46" i="2"/>
  <c r="I50" i="2"/>
  <c r="J49" i="2"/>
  <c r="L49" i="2"/>
  <c r="M48" i="2"/>
  <c r="O48" i="2" s="1"/>
  <c r="Y46" i="2"/>
  <c r="Z46" i="2"/>
  <c r="W46" i="2"/>
  <c r="AP46" i="2"/>
  <c r="X46" i="2"/>
  <c r="AH44" i="2"/>
  <c r="G49" i="2"/>
  <c r="F50" i="2"/>
  <c r="C50" i="2"/>
  <c r="D49" i="2"/>
  <c r="Q47" i="2"/>
  <c r="P47" i="2"/>
  <c r="Q35" i="1"/>
  <c r="R35" i="1"/>
  <c r="AM34" i="1"/>
  <c r="Z34" i="1"/>
  <c r="Y34" i="1"/>
  <c r="X34" i="1"/>
  <c r="W34" i="1"/>
  <c r="W33" i="1"/>
  <c r="X33" i="1"/>
  <c r="Z33" i="1"/>
  <c r="I36" i="1"/>
  <c r="P36" i="1" s="1"/>
  <c r="H37" i="1"/>
  <c r="D38" i="1"/>
  <c r="C39" i="1"/>
  <c r="AN34" i="1"/>
  <c r="S34" i="1"/>
  <c r="T34" i="1" s="1"/>
  <c r="N36" i="1"/>
  <c r="M37" i="1"/>
  <c r="AF32" i="1"/>
  <c r="AE32" i="1"/>
  <c r="AD32" i="1"/>
  <c r="AC32" i="1"/>
  <c r="AD31" i="1"/>
  <c r="AC31" i="1"/>
  <c r="AE31" i="1"/>
  <c r="AF31" i="1"/>
  <c r="AE30" i="1"/>
  <c r="AF30" i="1"/>
  <c r="AD30" i="1"/>
  <c r="AC30" i="1"/>
  <c r="Y33" i="1"/>
  <c r="AF44" i="2" l="1"/>
  <c r="S46" i="2"/>
  <c r="AG44" i="2"/>
  <c r="AD33" i="1"/>
  <c r="AC33" i="1"/>
  <c r="AF33" i="1"/>
  <c r="AE33" i="1"/>
  <c r="L50" i="2"/>
  <c r="M49" i="2"/>
  <c r="O49" i="2" s="1"/>
  <c r="C51" i="2"/>
  <c r="D50" i="2"/>
  <c r="P48" i="2"/>
  <c r="F51" i="2"/>
  <c r="G50" i="2"/>
  <c r="BM47" i="2"/>
  <c r="R47" i="2"/>
  <c r="AQ47" i="2"/>
  <c r="J50" i="2"/>
  <c r="I51" i="2"/>
  <c r="W47" i="2"/>
  <c r="AP47" i="2"/>
  <c r="Z47" i="2"/>
  <c r="Y47" i="2"/>
  <c r="X47" i="2"/>
  <c r="Q36" i="1"/>
  <c r="R36" i="1"/>
  <c r="I37" i="1"/>
  <c r="H38" i="1"/>
  <c r="AN35" i="1"/>
  <c r="S35" i="1"/>
  <c r="T35" i="1" s="1"/>
  <c r="C40" i="1"/>
  <c r="D39" i="1"/>
  <c r="M38" i="1"/>
  <c r="N37" i="1"/>
  <c r="AM35" i="1"/>
  <c r="Z35" i="1"/>
  <c r="Y35" i="1"/>
  <c r="X35" i="1"/>
  <c r="W35" i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D12" i="3"/>
  <c r="E12" i="3" s="1"/>
  <c r="D13" i="3"/>
  <c r="E13" i="3" s="1"/>
  <c r="D14" i="3"/>
  <c r="E14" i="3" s="1"/>
  <c r="D15" i="3"/>
  <c r="E15" i="3" s="1"/>
  <c r="D16" i="3"/>
  <c r="E16" i="3" s="1"/>
  <c r="D17" i="3"/>
  <c r="E17" i="3" s="1"/>
  <c r="D18" i="3"/>
  <c r="E18" i="3" s="1"/>
  <c r="D19" i="3"/>
  <c r="E19" i="3" s="1"/>
  <c r="D20" i="3"/>
  <c r="E20" i="3" s="1"/>
  <c r="D21" i="3"/>
  <c r="E21" i="3" s="1"/>
  <c r="D22" i="3"/>
  <c r="E22" i="3" s="1"/>
  <c r="D23" i="3"/>
  <c r="E23" i="3" s="1"/>
  <c r="D24" i="3"/>
  <c r="E24" i="3" s="1"/>
  <c r="D25" i="3"/>
  <c r="E25" i="3" s="1"/>
  <c r="D26" i="3"/>
  <c r="E26" i="3" s="1"/>
  <c r="D27" i="3"/>
  <c r="E27" i="3" s="1"/>
  <c r="D28" i="3"/>
  <c r="E28" i="3" s="1"/>
  <c r="D29" i="3"/>
  <c r="E29" i="3" s="1"/>
  <c r="D30" i="3"/>
  <c r="E30" i="3" s="1"/>
  <c r="D31" i="3"/>
  <c r="E31" i="3" s="1"/>
  <c r="D32" i="3"/>
  <c r="E32" i="3" s="1"/>
  <c r="D33" i="3"/>
  <c r="E33" i="3" s="1"/>
  <c r="D34" i="3"/>
  <c r="E34" i="3" s="1"/>
  <c r="D35" i="3"/>
  <c r="E35" i="3" s="1"/>
  <c r="D36" i="3"/>
  <c r="E36" i="3" s="1"/>
  <c r="D37" i="3"/>
  <c r="E37" i="3" s="1"/>
  <c r="D38" i="3"/>
  <c r="E38" i="3" s="1"/>
  <c r="D39" i="3"/>
  <c r="E39" i="3" s="1"/>
  <c r="D40" i="3"/>
  <c r="E40" i="3" s="1"/>
  <c r="D41" i="3"/>
  <c r="E41" i="3" s="1"/>
  <c r="D42" i="3"/>
  <c r="E42" i="3" s="1"/>
  <c r="D43" i="3"/>
  <c r="E43" i="3" s="1"/>
  <c r="D44" i="3"/>
  <c r="E44" i="3" s="1"/>
  <c r="D45" i="3"/>
  <c r="E45" i="3" s="1"/>
  <c r="D46" i="3"/>
  <c r="E46" i="3" s="1"/>
  <c r="D47" i="3"/>
  <c r="E47" i="3" s="1"/>
  <c r="D48" i="3"/>
  <c r="E48" i="3" s="1"/>
  <c r="D49" i="3"/>
  <c r="E49" i="3" s="1"/>
  <c r="D50" i="3"/>
  <c r="E50" i="3" s="1"/>
  <c r="D51" i="3"/>
  <c r="E51" i="3" s="1"/>
  <c r="D52" i="3"/>
  <c r="E52" i="3" s="1"/>
  <c r="D53" i="3"/>
  <c r="E53" i="3" s="1"/>
  <c r="D54" i="3"/>
  <c r="E54" i="3" s="1"/>
  <c r="D55" i="3"/>
  <c r="E55" i="3" s="1"/>
  <c r="D56" i="3"/>
  <c r="E56" i="3" s="1"/>
  <c r="D57" i="3"/>
  <c r="E57" i="3" s="1"/>
  <c r="D58" i="3"/>
  <c r="E58" i="3" s="1"/>
  <c r="D59" i="3"/>
  <c r="E59" i="3" s="1"/>
  <c r="D60" i="3"/>
  <c r="E60" i="3" s="1"/>
  <c r="D61" i="3"/>
  <c r="E61" i="3" s="1"/>
  <c r="D62" i="3"/>
  <c r="E62" i="3" s="1"/>
  <c r="D63" i="3"/>
  <c r="E63" i="3" s="1"/>
  <c r="D64" i="3"/>
  <c r="E64" i="3" s="1"/>
  <c r="D65" i="3"/>
  <c r="E65" i="3" s="1"/>
  <c r="D66" i="3"/>
  <c r="E66" i="3" s="1"/>
  <c r="D67" i="3"/>
  <c r="E67" i="3" s="1"/>
  <c r="D68" i="3"/>
  <c r="E68" i="3" s="1"/>
  <c r="D69" i="3"/>
  <c r="E69" i="3" s="1"/>
  <c r="D70" i="3"/>
  <c r="E70" i="3" s="1"/>
  <c r="D71" i="3"/>
  <c r="E71" i="3" s="1"/>
  <c r="D72" i="3"/>
  <c r="E72" i="3" s="1"/>
  <c r="D73" i="3"/>
  <c r="E73" i="3" s="1"/>
  <c r="D74" i="3"/>
  <c r="E74" i="3" s="1"/>
  <c r="D75" i="3"/>
  <c r="E75" i="3" s="1"/>
  <c r="D76" i="3"/>
  <c r="E76" i="3" s="1"/>
  <c r="D77" i="3"/>
  <c r="E77" i="3" s="1"/>
  <c r="D78" i="3"/>
  <c r="E78" i="3" s="1"/>
  <c r="D79" i="3"/>
  <c r="E79" i="3" s="1"/>
  <c r="D80" i="3"/>
  <c r="E80" i="3" s="1"/>
  <c r="D81" i="3"/>
  <c r="E81" i="3" s="1"/>
  <c r="D82" i="3"/>
  <c r="E82" i="3" s="1"/>
  <c r="D83" i="3"/>
  <c r="E83" i="3" s="1"/>
  <c r="D84" i="3"/>
  <c r="E84" i="3" s="1"/>
  <c r="D85" i="3"/>
  <c r="E85" i="3" s="1"/>
  <c r="D86" i="3"/>
  <c r="E86" i="3" s="1"/>
  <c r="D87" i="3"/>
  <c r="E87" i="3" s="1"/>
  <c r="D88" i="3"/>
  <c r="E88" i="3" s="1"/>
  <c r="D89" i="3"/>
  <c r="E89" i="3" s="1"/>
  <c r="D90" i="3"/>
  <c r="E90" i="3" s="1"/>
  <c r="D91" i="3"/>
  <c r="E91" i="3" s="1"/>
  <c r="D92" i="3"/>
  <c r="E92" i="3" s="1"/>
  <c r="D93" i="3"/>
  <c r="E93" i="3" s="1"/>
  <c r="D94" i="3"/>
  <c r="E94" i="3" s="1"/>
  <c r="D95" i="3"/>
  <c r="E95" i="3" s="1"/>
  <c r="D96" i="3"/>
  <c r="E96" i="3" s="1"/>
  <c r="D97" i="3"/>
  <c r="E97" i="3" s="1"/>
  <c r="D98" i="3"/>
  <c r="E98" i="3" s="1"/>
  <c r="D99" i="3"/>
  <c r="E99" i="3" s="1"/>
  <c r="D100" i="3"/>
  <c r="E100" i="3" s="1"/>
  <c r="D101" i="3"/>
  <c r="E101" i="3" s="1"/>
  <c r="D102" i="3"/>
  <c r="E102" i="3" s="1"/>
  <c r="D103" i="3"/>
  <c r="E103" i="3" s="1"/>
  <c r="D104" i="3"/>
  <c r="E104" i="3" s="1"/>
  <c r="D105" i="3"/>
  <c r="E105" i="3" s="1"/>
  <c r="D106" i="3"/>
  <c r="E106" i="3" s="1"/>
  <c r="D107" i="3"/>
  <c r="E107" i="3" s="1"/>
  <c r="D108" i="3"/>
  <c r="E108" i="3" s="1"/>
  <c r="D109" i="3"/>
  <c r="E109" i="3" s="1"/>
  <c r="D110" i="3"/>
  <c r="E110" i="3" s="1"/>
  <c r="D111" i="3"/>
  <c r="E111" i="3" s="1"/>
  <c r="D112" i="3"/>
  <c r="E112" i="3" s="1"/>
  <c r="D113" i="3"/>
  <c r="E113" i="3" s="1"/>
  <c r="D114" i="3"/>
  <c r="E114" i="3" s="1"/>
  <c r="D115" i="3"/>
  <c r="E115" i="3" s="1"/>
  <c r="D116" i="3"/>
  <c r="E116" i="3" s="1"/>
  <c r="D117" i="3"/>
  <c r="E117" i="3" s="1"/>
  <c r="D118" i="3"/>
  <c r="E118" i="3" s="1"/>
  <c r="D119" i="3"/>
  <c r="E119" i="3" s="1"/>
  <c r="D120" i="3"/>
  <c r="E120" i="3" s="1"/>
  <c r="D121" i="3"/>
  <c r="E121" i="3" s="1"/>
  <c r="D122" i="3"/>
  <c r="E122" i="3" s="1"/>
  <c r="D123" i="3"/>
  <c r="E123" i="3" s="1"/>
  <c r="D124" i="3"/>
  <c r="E124" i="3" s="1"/>
  <c r="D125" i="3"/>
  <c r="E125" i="3" s="1"/>
  <c r="D126" i="3"/>
  <c r="E126" i="3" s="1"/>
  <c r="D127" i="3"/>
  <c r="E127" i="3" s="1"/>
  <c r="D128" i="3"/>
  <c r="E128" i="3" s="1"/>
  <c r="D129" i="3"/>
  <c r="E129" i="3" s="1"/>
  <c r="D130" i="3"/>
  <c r="E130" i="3" s="1"/>
  <c r="D131" i="3"/>
  <c r="E131" i="3" s="1"/>
  <c r="D132" i="3"/>
  <c r="E132" i="3" s="1"/>
  <c r="D133" i="3"/>
  <c r="E133" i="3" s="1"/>
  <c r="D134" i="3"/>
  <c r="E134" i="3" s="1"/>
  <c r="D135" i="3"/>
  <c r="E135" i="3" s="1"/>
  <c r="D136" i="3"/>
  <c r="E136" i="3" s="1"/>
  <c r="D137" i="3"/>
  <c r="E137" i="3" s="1"/>
  <c r="D138" i="3"/>
  <c r="E138" i="3" s="1"/>
  <c r="D139" i="3"/>
  <c r="E139" i="3" s="1"/>
  <c r="D140" i="3"/>
  <c r="E140" i="3" s="1"/>
  <c r="D141" i="3"/>
  <c r="E141" i="3" s="1"/>
  <c r="D142" i="3"/>
  <c r="E142" i="3" s="1"/>
  <c r="D143" i="3"/>
  <c r="E143" i="3" s="1"/>
  <c r="D144" i="3"/>
  <c r="E144" i="3" s="1"/>
  <c r="D145" i="3"/>
  <c r="E145" i="3" s="1"/>
  <c r="D146" i="3"/>
  <c r="E146" i="3" s="1"/>
  <c r="D147" i="3"/>
  <c r="E147" i="3" s="1"/>
  <c r="D148" i="3"/>
  <c r="E148" i="3" s="1"/>
  <c r="D149" i="3"/>
  <c r="E149" i="3" s="1"/>
  <c r="D150" i="3"/>
  <c r="E150" i="3" s="1"/>
  <c r="D151" i="3"/>
  <c r="E151" i="3" s="1"/>
  <c r="D152" i="3"/>
  <c r="E152" i="3" s="1"/>
  <c r="D153" i="3"/>
  <c r="E153" i="3" s="1"/>
  <c r="D154" i="3"/>
  <c r="E154" i="3" s="1"/>
  <c r="D155" i="3"/>
  <c r="E155" i="3" s="1"/>
  <c r="D156" i="3"/>
  <c r="E156" i="3" s="1"/>
  <c r="D157" i="3"/>
  <c r="E157" i="3" s="1"/>
  <c r="D158" i="3"/>
  <c r="E158" i="3" s="1"/>
  <c r="D159" i="3"/>
  <c r="E159" i="3" s="1"/>
  <c r="D160" i="3"/>
  <c r="E160" i="3" s="1"/>
  <c r="D161" i="3"/>
  <c r="E161" i="3" s="1"/>
  <c r="D162" i="3"/>
  <c r="E162" i="3" s="1"/>
  <c r="D163" i="3"/>
  <c r="E163" i="3" s="1"/>
  <c r="D164" i="3"/>
  <c r="E164" i="3" s="1"/>
  <c r="D165" i="3"/>
  <c r="E165" i="3" s="1"/>
  <c r="D166" i="3"/>
  <c r="E166" i="3" s="1"/>
  <c r="D167" i="3"/>
  <c r="E167" i="3" s="1"/>
  <c r="D168" i="3"/>
  <c r="E168" i="3" s="1"/>
  <c r="D169" i="3"/>
  <c r="E169" i="3" s="1"/>
  <c r="D170" i="3"/>
  <c r="E170" i="3" s="1"/>
  <c r="D171" i="3"/>
  <c r="E171" i="3" s="1"/>
  <c r="D172" i="3"/>
  <c r="E172" i="3" s="1"/>
  <c r="D173" i="3"/>
  <c r="E173" i="3" s="1"/>
  <c r="D174" i="3"/>
  <c r="E174" i="3" s="1"/>
  <c r="D175" i="3"/>
  <c r="E175" i="3" s="1"/>
  <c r="D176" i="3"/>
  <c r="E176" i="3" s="1"/>
  <c r="D177" i="3"/>
  <c r="E177" i="3" s="1"/>
  <c r="D178" i="3"/>
  <c r="E178" i="3" s="1"/>
  <c r="D179" i="3"/>
  <c r="E179" i="3" s="1"/>
  <c r="D180" i="3"/>
  <c r="E180" i="3" s="1"/>
  <c r="D181" i="3"/>
  <c r="E181" i="3" s="1"/>
  <c r="D182" i="3"/>
  <c r="E182" i="3" s="1"/>
  <c r="D183" i="3"/>
  <c r="E183" i="3" s="1"/>
  <c r="D184" i="3"/>
  <c r="E184" i="3" s="1"/>
  <c r="D185" i="3"/>
  <c r="E185" i="3" s="1"/>
  <c r="D186" i="3"/>
  <c r="E186" i="3" s="1"/>
  <c r="D187" i="3"/>
  <c r="E187" i="3" s="1"/>
  <c r="D188" i="3"/>
  <c r="E188" i="3" s="1"/>
  <c r="D189" i="3"/>
  <c r="E189" i="3" s="1"/>
  <c r="D190" i="3"/>
  <c r="E190" i="3" s="1"/>
  <c r="D191" i="3"/>
  <c r="E191" i="3" s="1"/>
  <c r="D192" i="3"/>
  <c r="E192" i="3" s="1"/>
  <c r="D193" i="3"/>
  <c r="E193" i="3" s="1"/>
  <c r="D194" i="3"/>
  <c r="E194" i="3" s="1"/>
  <c r="D195" i="3"/>
  <c r="E195" i="3" s="1"/>
  <c r="D196" i="3"/>
  <c r="E196" i="3" s="1"/>
  <c r="D197" i="3"/>
  <c r="E197" i="3" s="1"/>
  <c r="D198" i="3"/>
  <c r="E198" i="3" s="1"/>
  <c r="D199" i="3"/>
  <c r="E199" i="3" s="1"/>
  <c r="D200" i="3"/>
  <c r="E200" i="3" s="1"/>
  <c r="D201" i="3"/>
  <c r="E201" i="3" s="1"/>
  <c r="D202" i="3"/>
  <c r="E202" i="3" s="1"/>
  <c r="D203" i="3"/>
  <c r="E203" i="3" s="1"/>
  <c r="D204" i="3"/>
  <c r="E204" i="3" s="1"/>
  <c r="D205" i="3"/>
  <c r="E205" i="3" s="1"/>
  <c r="D206" i="3"/>
  <c r="E206" i="3" s="1"/>
  <c r="D207" i="3"/>
  <c r="E207" i="3" s="1"/>
  <c r="D208" i="3"/>
  <c r="E208" i="3" s="1"/>
  <c r="D209" i="3"/>
  <c r="E209" i="3" s="1"/>
  <c r="D210" i="3"/>
  <c r="E210" i="3" s="1"/>
  <c r="D211" i="3"/>
  <c r="E211" i="3" s="1"/>
  <c r="D212" i="3"/>
  <c r="E212" i="3" s="1"/>
  <c r="D213" i="3"/>
  <c r="E213" i="3" s="1"/>
  <c r="D214" i="3"/>
  <c r="E214" i="3" s="1"/>
  <c r="D215" i="3"/>
  <c r="E215" i="3" s="1"/>
  <c r="D216" i="3"/>
  <c r="E216" i="3" s="1"/>
  <c r="D217" i="3"/>
  <c r="E217" i="3" s="1"/>
  <c r="D218" i="3"/>
  <c r="E218" i="3" s="1"/>
  <c r="D219" i="3"/>
  <c r="E219" i="3" s="1"/>
  <c r="D220" i="3"/>
  <c r="E220" i="3" s="1"/>
  <c r="D221" i="3"/>
  <c r="E221" i="3" s="1"/>
  <c r="D222" i="3"/>
  <c r="E222" i="3" s="1"/>
  <c r="D223" i="3"/>
  <c r="E223" i="3" s="1"/>
  <c r="D224" i="3"/>
  <c r="E224" i="3" s="1"/>
  <c r="D225" i="3"/>
  <c r="E225" i="3" s="1"/>
  <c r="D226" i="3"/>
  <c r="E226" i="3" s="1"/>
  <c r="D227" i="3"/>
  <c r="E227" i="3" s="1"/>
  <c r="D228" i="3"/>
  <c r="E228" i="3" s="1"/>
  <c r="D229" i="3"/>
  <c r="E229" i="3" s="1"/>
  <c r="D230" i="3"/>
  <c r="E230" i="3" s="1"/>
  <c r="D231" i="3"/>
  <c r="E231" i="3" s="1"/>
  <c r="D232" i="3"/>
  <c r="E232" i="3" s="1"/>
  <c r="D233" i="3"/>
  <c r="E233" i="3" s="1"/>
  <c r="D234" i="3"/>
  <c r="E234" i="3" s="1"/>
  <c r="D235" i="3"/>
  <c r="E235" i="3" s="1"/>
  <c r="D236" i="3"/>
  <c r="E236" i="3" s="1"/>
  <c r="D237" i="3"/>
  <c r="E237" i="3" s="1"/>
  <c r="D238" i="3"/>
  <c r="E238" i="3" s="1"/>
  <c r="D239" i="3"/>
  <c r="E239" i="3" s="1"/>
  <c r="D240" i="3"/>
  <c r="E240" i="3" s="1"/>
  <c r="D241" i="3"/>
  <c r="E241" i="3" s="1"/>
  <c r="D242" i="3"/>
  <c r="E242" i="3" s="1"/>
  <c r="D243" i="3"/>
  <c r="E243" i="3" s="1"/>
  <c r="D244" i="3"/>
  <c r="E244" i="3" s="1"/>
  <c r="D245" i="3"/>
  <c r="E245" i="3" s="1"/>
  <c r="D246" i="3"/>
  <c r="E246" i="3" s="1"/>
  <c r="D247" i="3"/>
  <c r="E247" i="3" s="1"/>
  <c r="D248" i="3"/>
  <c r="E248" i="3" s="1"/>
  <c r="D249" i="3"/>
  <c r="E249" i="3" s="1"/>
  <c r="D250" i="3"/>
  <c r="E250" i="3" s="1"/>
  <c r="D251" i="3"/>
  <c r="E251" i="3" s="1"/>
  <c r="D252" i="3"/>
  <c r="E252" i="3" s="1"/>
  <c r="D253" i="3"/>
  <c r="E253" i="3" s="1"/>
  <c r="D254" i="3"/>
  <c r="E254" i="3" s="1"/>
  <c r="D255" i="3"/>
  <c r="E255" i="3" s="1"/>
  <c r="D256" i="3"/>
  <c r="E256" i="3" s="1"/>
  <c r="D257" i="3"/>
  <c r="E257" i="3" s="1"/>
  <c r="D258" i="3"/>
  <c r="E258" i="3" s="1"/>
  <c r="D259" i="3"/>
  <c r="E259" i="3" s="1"/>
  <c r="D260" i="3"/>
  <c r="E260" i="3" s="1"/>
  <c r="D261" i="3"/>
  <c r="E261" i="3" s="1"/>
  <c r="D262" i="3"/>
  <c r="E262" i="3" s="1"/>
  <c r="D263" i="3"/>
  <c r="E263" i="3" s="1"/>
  <c r="D264" i="3"/>
  <c r="E264" i="3" s="1"/>
  <c r="D265" i="3"/>
  <c r="E265" i="3" s="1"/>
  <c r="D266" i="3"/>
  <c r="E266" i="3" s="1"/>
  <c r="D267" i="3"/>
  <c r="E267" i="3" s="1"/>
  <c r="D268" i="3"/>
  <c r="E268" i="3" s="1"/>
  <c r="D269" i="3"/>
  <c r="E269" i="3" s="1"/>
  <c r="D270" i="3"/>
  <c r="E270" i="3" s="1"/>
  <c r="D271" i="3"/>
  <c r="E271" i="3" s="1"/>
  <c r="D272" i="3"/>
  <c r="E272" i="3" s="1"/>
  <c r="D273" i="3"/>
  <c r="E273" i="3" s="1"/>
  <c r="D274" i="3"/>
  <c r="E274" i="3" s="1"/>
  <c r="D275" i="3"/>
  <c r="E275" i="3" s="1"/>
  <c r="D276" i="3"/>
  <c r="E276" i="3" s="1"/>
  <c r="D277" i="3"/>
  <c r="E277" i="3" s="1"/>
  <c r="D278" i="3"/>
  <c r="E278" i="3" s="1"/>
  <c r="D279" i="3"/>
  <c r="E279" i="3" s="1"/>
  <c r="D280" i="3"/>
  <c r="E280" i="3" s="1"/>
  <c r="D281" i="3"/>
  <c r="E281" i="3" s="1"/>
  <c r="D282" i="3"/>
  <c r="E282" i="3" s="1"/>
  <c r="D283" i="3"/>
  <c r="E283" i="3" s="1"/>
  <c r="D284" i="3"/>
  <c r="E284" i="3" s="1"/>
  <c r="D285" i="3"/>
  <c r="E285" i="3" s="1"/>
  <c r="D286" i="3"/>
  <c r="E286" i="3" s="1"/>
  <c r="D287" i="3"/>
  <c r="E287" i="3" s="1"/>
  <c r="D288" i="3"/>
  <c r="E288" i="3" s="1"/>
  <c r="D289" i="3"/>
  <c r="E289" i="3" s="1"/>
  <c r="D290" i="3"/>
  <c r="E290" i="3" s="1"/>
  <c r="D291" i="3"/>
  <c r="E291" i="3" s="1"/>
  <c r="D292" i="3"/>
  <c r="E292" i="3" s="1"/>
  <c r="D293" i="3"/>
  <c r="E293" i="3" s="1"/>
  <c r="D294" i="3"/>
  <c r="E294" i="3" s="1"/>
  <c r="D295" i="3"/>
  <c r="E295" i="3" s="1"/>
  <c r="D296" i="3"/>
  <c r="E296" i="3" s="1"/>
  <c r="D297" i="3"/>
  <c r="E297" i="3" s="1"/>
  <c r="D298" i="3"/>
  <c r="E298" i="3" s="1"/>
  <c r="D299" i="3"/>
  <c r="E299" i="3" s="1"/>
  <c r="D300" i="3"/>
  <c r="E300" i="3" s="1"/>
  <c r="D301" i="3"/>
  <c r="E301" i="3" s="1"/>
  <c r="D302" i="3"/>
  <c r="E302" i="3" s="1"/>
  <c r="D303" i="3"/>
  <c r="E303" i="3" s="1"/>
  <c r="D304" i="3"/>
  <c r="E304" i="3" s="1"/>
  <c r="D305" i="3"/>
  <c r="E305" i="3" s="1"/>
  <c r="D306" i="3"/>
  <c r="E306" i="3" s="1"/>
  <c r="D307" i="3"/>
  <c r="E307" i="3" s="1"/>
  <c r="D308" i="3"/>
  <c r="E308" i="3" s="1"/>
  <c r="D309" i="3"/>
  <c r="E309" i="3" s="1"/>
  <c r="D310" i="3"/>
  <c r="E310" i="3" s="1"/>
  <c r="D311" i="3"/>
  <c r="E311" i="3" s="1"/>
  <c r="D312" i="3"/>
  <c r="E312" i="3" s="1"/>
  <c r="D313" i="3"/>
  <c r="E313" i="3" s="1"/>
  <c r="D314" i="3"/>
  <c r="E314" i="3" s="1"/>
  <c r="D315" i="3"/>
  <c r="E315" i="3" s="1"/>
  <c r="D316" i="3"/>
  <c r="E316" i="3" s="1"/>
  <c r="D317" i="3"/>
  <c r="E317" i="3" s="1"/>
  <c r="D318" i="3"/>
  <c r="E318" i="3" s="1"/>
  <c r="D319" i="3"/>
  <c r="E319" i="3" s="1"/>
  <c r="D320" i="3"/>
  <c r="E320" i="3" s="1"/>
  <c r="D321" i="3"/>
  <c r="E321" i="3" s="1"/>
  <c r="D322" i="3"/>
  <c r="E322" i="3" s="1"/>
  <c r="D323" i="3"/>
  <c r="E323" i="3" s="1"/>
  <c r="D324" i="3"/>
  <c r="E324" i="3" s="1"/>
  <c r="D325" i="3"/>
  <c r="E325" i="3" s="1"/>
  <c r="D326" i="3"/>
  <c r="E326" i="3" s="1"/>
  <c r="D327" i="3"/>
  <c r="E327" i="3" s="1"/>
  <c r="D328" i="3"/>
  <c r="E328" i="3" s="1"/>
  <c r="D329" i="3"/>
  <c r="E329" i="3" s="1"/>
  <c r="D330" i="3"/>
  <c r="E330" i="3" s="1"/>
  <c r="D331" i="3"/>
  <c r="E331" i="3" s="1"/>
  <c r="D332" i="3"/>
  <c r="E332" i="3" s="1"/>
  <c r="D333" i="3"/>
  <c r="E333" i="3" s="1"/>
  <c r="D334" i="3"/>
  <c r="E334" i="3" s="1"/>
  <c r="D335" i="3"/>
  <c r="E335" i="3" s="1"/>
  <c r="D336" i="3"/>
  <c r="E336" i="3" s="1"/>
  <c r="D337" i="3"/>
  <c r="E337" i="3" s="1"/>
  <c r="D338" i="3"/>
  <c r="E338" i="3" s="1"/>
  <c r="D339" i="3"/>
  <c r="E339" i="3" s="1"/>
  <c r="D340" i="3"/>
  <c r="E340" i="3" s="1"/>
  <c r="D341" i="3"/>
  <c r="E341" i="3" s="1"/>
  <c r="D342" i="3"/>
  <c r="E342" i="3" s="1"/>
  <c r="D343" i="3"/>
  <c r="E343" i="3" s="1"/>
  <c r="D344" i="3"/>
  <c r="E344" i="3" s="1"/>
  <c r="D345" i="3"/>
  <c r="E345" i="3" s="1"/>
  <c r="D346" i="3"/>
  <c r="E346" i="3" s="1"/>
  <c r="D347" i="3"/>
  <c r="E347" i="3" s="1"/>
  <c r="D348" i="3"/>
  <c r="E348" i="3" s="1"/>
  <c r="D349" i="3"/>
  <c r="E349" i="3" s="1"/>
  <c r="D350" i="3"/>
  <c r="E350" i="3" s="1"/>
  <c r="D351" i="3"/>
  <c r="E351" i="3" s="1"/>
  <c r="D352" i="3"/>
  <c r="E352" i="3" s="1"/>
  <c r="D353" i="3"/>
  <c r="E353" i="3" s="1"/>
  <c r="D354" i="3"/>
  <c r="E354" i="3" s="1"/>
  <c r="D355" i="3"/>
  <c r="E355" i="3" s="1"/>
  <c r="D356" i="3"/>
  <c r="E356" i="3" s="1"/>
  <c r="D357" i="3"/>
  <c r="E357" i="3" s="1"/>
  <c r="D358" i="3"/>
  <c r="E358" i="3" s="1"/>
  <c r="D359" i="3"/>
  <c r="E359" i="3" s="1"/>
  <c r="D360" i="3"/>
  <c r="E360" i="3" s="1"/>
  <c r="D361" i="3"/>
  <c r="E361" i="3" s="1"/>
  <c r="D362" i="3"/>
  <c r="E362" i="3" s="1"/>
  <c r="D363" i="3"/>
  <c r="E363" i="3" s="1"/>
  <c r="D364" i="3"/>
  <c r="E364" i="3" s="1"/>
  <c r="D365" i="3"/>
  <c r="E365" i="3" s="1"/>
  <c r="D366" i="3"/>
  <c r="E366" i="3" s="1"/>
  <c r="D367" i="3"/>
  <c r="E367" i="3" s="1"/>
  <c r="D368" i="3"/>
  <c r="E368" i="3" s="1"/>
  <c r="D369" i="3"/>
  <c r="E369" i="3" s="1"/>
  <c r="D370" i="3"/>
  <c r="E370" i="3" s="1"/>
  <c r="D371" i="3"/>
  <c r="E371" i="3" s="1"/>
  <c r="D372" i="3"/>
  <c r="E372" i="3" s="1"/>
  <c r="D373" i="3"/>
  <c r="E373" i="3" s="1"/>
  <c r="D374" i="3"/>
  <c r="E374" i="3" s="1"/>
  <c r="D375" i="3"/>
  <c r="E375" i="3" s="1"/>
  <c r="D376" i="3"/>
  <c r="E376" i="3" s="1"/>
  <c r="D377" i="3"/>
  <c r="E377" i="3" s="1"/>
  <c r="D378" i="3"/>
  <c r="E378" i="3" s="1"/>
  <c r="D379" i="3"/>
  <c r="E379" i="3" s="1"/>
  <c r="D380" i="3"/>
  <c r="E380" i="3" s="1"/>
  <c r="D381" i="3"/>
  <c r="E381" i="3" s="1"/>
  <c r="D382" i="3"/>
  <c r="E382" i="3" s="1"/>
  <c r="D383" i="3"/>
  <c r="E383" i="3" s="1"/>
  <c r="D384" i="3"/>
  <c r="E384" i="3" s="1"/>
  <c r="D385" i="3"/>
  <c r="E385" i="3" s="1"/>
  <c r="D386" i="3"/>
  <c r="E386" i="3" s="1"/>
  <c r="D387" i="3"/>
  <c r="E387" i="3" s="1"/>
  <c r="D388" i="3"/>
  <c r="E388" i="3" s="1"/>
  <c r="D389" i="3"/>
  <c r="E389" i="3" s="1"/>
  <c r="D390" i="3"/>
  <c r="E390" i="3" s="1"/>
  <c r="D391" i="3"/>
  <c r="E391" i="3" s="1"/>
  <c r="D392" i="3"/>
  <c r="E392" i="3" s="1"/>
  <c r="D393" i="3"/>
  <c r="E393" i="3" s="1"/>
  <c r="D394" i="3"/>
  <c r="E394" i="3" s="1"/>
  <c r="D395" i="3"/>
  <c r="E395" i="3" s="1"/>
  <c r="D396" i="3"/>
  <c r="E396" i="3" s="1"/>
  <c r="D397" i="3"/>
  <c r="E397" i="3" s="1"/>
  <c r="D398" i="3"/>
  <c r="E398" i="3" s="1"/>
  <c r="D399" i="3"/>
  <c r="E399" i="3" s="1"/>
  <c r="D400" i="3"/>
  <c r="E400" i="3" s="1"/>
  <c r="D401" i="3"/>
  <c r="E401" i="3" s="1"/>
  <c r="D402" i="3"/>
  <c r="E402" i="3" s="1"/>
  <c r="D403" i="3"/>
  <c r="E403" i="3" s="1"/>
  <c r="D404" i="3"/>
  <c r="E404" i="3" s="1"/>
  <c r="D405" i="3"/>
  <c r="E405" i="3" s="1"/>
  <c r="D406" i="3"/>
  <c r="E406" i="3" s="1"/>
  <c r="D407" i="3"/>
  <c r="E407" i="3" s="1"/>
  <c r="D408" i="3"/>
  <c r="E408" i="3" s="1"/>
  <c r="D2" i="3"/>
  <c r="E2" i="3" s="1"/>
  <c r="F2" i="3" s="1"/>
  <c r="A2" i="3"/>
  <c r="H2" i="3"/>
  <c r="B2" i="3"/>
  <c r="S47" i="2" l="1"/>
  <c r="AE45" i="2"/>
  <c r="AG45" i="2"/>
  <c r="AF45" i="2"/>
  <c r="AH45" i="2"/>
  <c r="AF34" i="1"/>
  <c r="AD34" i="1"/>
  <c r="AE34" i="1"/>
  <c r="AC34" i="1"/>
  <c r="I52" i="2"/>
  <c r="J51" i="2"/>
  <c r="F52" i="2"/>
  <c r="G51" i="2"/>
  <c r="D51" i="2"/>
  <c r="C52" i="2"/>
  <c r="AP48" i="2"/>
  <c r="P49" i="2"/>
  <c r="X48" i="2" s="1"/>
  <c r="Q49" i="2"/>
  <c r="Q48" i="2"/>
  <c r="M50" i="2"/>
  <c r="O50" i="2" s="1"/>
  <c r="L51" i="2"/>
  <c r="D40" i="1"/>
  <c r="C41" i="1"/>
  <c r="H39" i="1"/>
  <c r="I38" i="1"/>
  <c r="P37" i="1"/>
  <c r="M39" i="1"/>
  <c r="N38" i="1"/>
  <c r="AN36" i="1"/>
  <c r="S36" i="1"/>
  <c r="T36" i="1" s="1"/>
  <c r="AM36" i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F64" i="3" s="1"/>
  <c r="F65" i="3" s="1"/>
  <c r="F66" i="3" s="1"/>
  <c r="F67" i="3" s="1"/>
  <c r="F68" i="3" s="1"/>
  <c r="F69" i="3" s="1"/>
  <c r="F70" i="3" s="1"/>
  <c r="F71" i="3" s="1"/>
  <c r="F72" i="3" s="1"/>
  <c r="F73" i="3" s="1"/>
  <c r="F74" i="3" s="1"/>
  <c r="F75" i="3" s="1"/>
  <c r="F76" i="3" s="1"/>
  <c r="F77" i="3" s="1"/>
  <c r="F78" i="3" s="1"/>
  <c r="F79" i="3" s="1"/>
  <c r="F80" i="3" s="1"/>
  <c r="F81" i="3" s="1"/>
  <c r="F82" i="3" s="1"/>
  <c r="F83" i="3" s="1"/>
  <c r="F84" i="3" s="1"/>
  <c r="F85" i="3" s="1"/>
  <c r="F86" i="3" s="1"/>
  <c r="F87" i="3" s="1"/>
  <c r="F88" i="3" s="1"/>
  <c r="F89" i="3" s="1"/>
  <c r="F90" i="3" s="1"/>
  <c r="F91" i="3" s="1"/>
  <c r="F92" i="3" s="1"/>
  <c r="F93" i="3" s="1"/>
  <c r="F94" i="3" s="1"/>
  <c r="F95" i="3" s="1"/>
  <c r="F96" i="3" s="1"/>
  <c r="F97" i="3" s="1"/>
  <c r="F98" i="3" s="1"/>
  <c r="F99" i="3" s="1"/>
  <c r="F100" i="3" s="1"/>
  <c r="F101" i="3" s="1"/>
  <c r="F102" i="3" s="1"/>
  <c r="F103" i="3" s="1"/>
  <c r="F104" i="3" s="1"/>
  <c r="F105" i="3" s="1"/>
  <c r="F106" i="3" s="1"/>
  <c r="F107" i="3" s="1"/>
  <c r="F108" i="3" s="1"/>
  <c r="F109" i="3" s="1"/>
  <c r="F110" i="3" s="1"/>
  <c r="F111" i="3" s="1"/>
  <c r="F112" i="3" s="1"/>
  <c r="F113" i="3" s="1"/>
  <c r="F114" i="3" s="1"/>
  <c r="F115" i="3" s="1"/>
  <c r="F116" i="3" s="1"/>
  <c r="F117" i="3" s="1"/>
  <c r="F118" i="3" s="1"/>
  <c r="F119" i="3" s="1"/>
  <c r="F120" i="3" s="1"/>
  <c r="F121" i="3" s="1"/>
  <c r="F122" i="3" s="1"/>
  <c r="F123" i="3" s="1"/>
  <c r="F124" i="3" s="1"/>
  <c r="F125" i="3" s="1"/>
  <c r="F126" i="3" s="1"/>
  <c r="F127" i="3" s="1"/>
  <c r="F128" i="3" s="1"/>
  <c r="F129" i="3" s="1"/>
  <c r="F130" i="3" s="1"/>
  <c r="F131" i="3" s="1"/>
  <c r="F132" i="3" s="1"/>
  <c r="F133" i="3" s="1"/>
  <c r="F134" i="3" s="1"/>
  <c r="F135" i="3" s="1"/>
  <c r="F136" i="3" s="1"/>
  <c r="F137" i="3" s="1"/>
  <c r="F138" i="3" s="1"/>
  <c r="F139" i="3" s="1"/>
  <c r="F140" i="3" s="1"/>
  <c r="F141" i="3" s="1"/>
  <c r="F142" i="3" s="1"/>
  <c r="F143" i="3" s="1"/>
  <c r="F144" i="3" s="1"/>
  <c r="F145" i="3" s="1"/>
  <c r="F146" i="3" s="1"/>
  <c r="F147" i="3" s="1"/>
  <c r="F148" i="3" s="1"/>
  <c r="F149" i="3" s="1"/>
  <c r="F150" i="3" s="1"/>
  <c r="F151" i="3" s="1"/>
  <c r="F152" i="3" s="1"/>
  <c r="F153" i="3" s="1"/>
  <c r="F154" i="3" s="1"/>
  <c r="F155" i="3" s="1"/>
  <c r="F156" i="3" s="1"/>
  <c r="F157" i="3" s="1"/>
  <c r="F158" i="3" s="1"/>
  <c r="F159" i="3" s="1"/>
  <c r="F160" i="3" s="1"/>
  <c r="F161" i="3" s="1"/>
  <c r="F162" i="3" s="1"/>
  <c r="F163" i="3" s="1"/>
  <c r="F164" i="3" s="1"/>
  <c r="F165" i="3" s="1"/>
  <c r="F166" i="3" s="1"/>
  <c r="F167" i="3" s="1"/>
  <c r="F168" i="3" s="1"/>
  <c r="F169" i="3" s="1"/>
  <c r="F170" i="3" s="1"/>
  <c r="F171" i="3" s="1"/>
  <c r="F172" i="3" s="1"/>
  <c r="F173" i="3" s="1"/>
  <c r="F174" i="3" s="1"/>
  <c r="F175" i="3" s="1"/>
  <c r="F176" i="3" s="1"/>
  <c r="F177" i="3" s="1"/>
  <c r="F178" i="3" s="1"/>
  <c r="F179" i="3" s="1"/>
  <c r="F180" i="3" s="1"/>
  <c r="F181" i="3" s="1"/>
  <c r="F182" i="3" s="1"/>
  <c r="F183" i="3" s="1"/>
  <c r="F184" i="3" s="1"/>
  <c r="F185" i="3" s="1"/>
  <c r="F186" i="3" s="1"/>
  <c r="F187" i="3" s="1"/>
  <c r="F188" i="3" s="1"/>
  <c r="F189" i="3" s="1"/>
  <c r="F190" i="3" s="1"/>
  <c r="F191" i="3" s="1"/>
  <c r="F192" i="3" s="1"/>
  <c r="F193" i="3" s="1"/>
  <c r="F194" i="3" s="1"/>
  <c r="F195" i="3" s="1"/>
  <c r="F196" i="3" s="1"/>
  <c r="F197" i="3" s="1"/>
  <c r="F198" i="3" s="1"/>
  <c r="F199" i="3" s="1"/>
  <c r="F200" i="3" s="1"/>
  <c r="F201" i="3" s="1"/>
  <c r="F202" i="3" s="1"/>
  <c r="F203" i="3" s="1"/>
  <c r="F204" i="3" s="1"/>
  <c r="F205" i="3" s="1"/>
  <c r="F206" i="3" s="1"/>
  <c r="F207" i="3" s="1"/>
  <c r="F208" i="3" s="1"/>
  <c r="F209" i="3" s="1"/>
  <c r="F210" i="3" s="1"/>
  <c r="F211" i="3" s="1"/>
  <c r="F212" i="3" s="1"/>
  <c r="F213" i="3" s="1"/>
  <c r="F214" i="3" s="1"/>
  <c r="F215" i="3" s="1"/>
  <c r="F216" i="3" s="1"/>
  <c r="F217" i="3" s="1"/>
  <c r="F218" i="3" s="1"/>
  <c r="F219" i="3" s="1"/>
  <c r="F220" i="3" s="1"/>
  <c r="F221" i="3" s="1"/>
  <c r="F222" i="3" s="1"/>
  <c r="F223" i="3" s="1"/>
  <c r="F224" i="3" s="1"/>
  <c r="F225" i="3" s="1"/>
  <c r="F226" i="3" s="1"/>
  <c r="F227" i="3" s="1"/>
  <c r="F228" i="3" s="1"/>
  <c r="F229" i="3" s="1"/>
  <c r="F230" i="3" s="1"/>
  <c r="F231" i="3" s="1"/>
  <c r="F232" i="3" s="1"/>
  <c r="F233" i="3" s="1"/>
  <c r="F234" i="3" s="1"/>
  <c r="F235" i="3" s="1"/>
  <c r="F236" i="3" s="1"/>
  <c r="F237" i="3" s="1"/>
  <c r="F238" i="3" s="1"/>
  <c r="F239" i="3" s="1"/>
  <c r="F240" i="3" s="1"/>
  <c r="F241" i="3" s="1"/>
  <c r="F242" i="3" s="1"/>
  <c r="F243" i="3" s="1"/>
  <c r="F244" i="3" s="1"/>
  <c r="F245" i="3" s="1"/>
  <c r="F246" i="3" s="1"/>
  <c r="F247" i="3" s="1"/>
  <c r="F248" i="3" s="1"/>
  <c r="F249" i="3" s="1"/>
  <c r="F250" i="3" s="1"/>
  <c r="F251" i="3" s="1"/>
  <c r="F252" i="3" s="1"/>
  <c r="F253" i="3" s="1"/>
  <c r="F254" i="3" s="1"/>
  <c r="F255" i="3" s="1"/>
  <c r="F256" i="3" s="1"/>
  <c r="F257" i="3" s="1"/>
  <c r="F258" i="3" s="1"/>
  <c r="F259" i="3" s="1"/>
  <c r="F260" i="3" s="1"/>
  <c r="F261" i="3" s="1"/>
  <c r="F262" i="3" s="1"/>
  <c r="F263" i="3" s="1"/>
  <c r="F264" i="3" s="1"/>
  <c r="F265" i="3" s="1"/>
  <c r="F266" i="3" s="1"/>
  <c r="F267" i="3" s="1"/>
  <c r="F268" i="3" s="1"/>
  <c r="F269" i="3" s="1"/>
  <c r="F270" i="3" s="1"/>
  <c r="F271" i="3" s="1"/>
  <c r="F272" i="3" s="1"/>
  <c r="F273" i="3" s="1"/>
  <c r="F274" i="3" s="1"/>
  <c r="F275" i="3" s="1"/>
  <c r="F276" i="3" s="1"/>
  <c r="F277" i="3" s="1"/>
  <c r="F278" i="3" s="1"/>
  <c r="F279" i="3" s="1"/>
  <c r="F280" i="3" s="1"/>
  <c r="F281" i="3" s="1"/>
  <c r="F282" i="3" s="1"/>
  <c r="F283" i="3" s="1"/>
  <c r="F284" i="3" s="1"/>
  <c r="F285" i="3" s="1"/>
  <c r="F286" i="3" s="1"/>
  <c r="F287" i="3" s="1"/>
  <c r="F288" i="3" s="1"/>
  <c r="F289" i="3" s="1"/>
  <c r="F290" i="3" s="1"/>
  <c r="F291" i="3" s="1"/>
  <c r="F292" i="3" s="1"/>
  <c r="F293" i="3" s="1"/>
  <c r="F294" i="3" s="1"/>
  <c r="F295" i="3" s="1"/>
  <c r="F296" i="3" s="1"/>
  <c r="F297" i="3" s="1"/>
  <c r="F298" i="3" s="1"/>
  <c r="F299" i="3" s="1"/>
  <c r="F300" i="3" s="1"/>
  <c r="F301" i="3" s="1"/>
  <c r="F302" i="3" s="1"/>
  <c r="F303" i="3" s="1"/>
  <c r="F304" i="3" s="1"/>
  <c r="F305" i="3" s="1"/>
  <c r="F306" i="3" s="1"/>
  <c r="F307" i="3" s="1"/>
  <c r="F308" i="3" s="1"/>
  <c r="F309" i="3" s="1"/>
  <c r="F310" i="3" s="1"/>
  <c r="F311" i="3" s="1"/>
  <c r="F312" i="3" s="1"/>
  <c r="F313" i="3" s="1"/>
  <c r="F314" i="3" s="1"/>
  <c r="F315" i="3" s="1"/>
  <c r="F316" i="3" s="1"/>
  <c r="F317" i="3" s="1"/>
  <c r="F318" i="3" s="1"/>
  <c r="F319" i="3" s="1"/>
  <c r="F320" i="3" s="1"/>
  <c r="F321" i="3" s="1"/>
  <c r="F322" i="3" s="1"/>
  <c r="F323" i="3" s="1"/>
  <c r="F324" i="3" s="1"/>
  <c r="F325" i="3" s="1"/>
  <c r="F326" i="3" s="1"/>
  <c r="F327" i="3" s="1"/>
  <c r="F328" i="3" s="1"/>
  <c r="F329" i="3" s="1"/>
  <c r="F330" i="3" s="1"/>
  <c r="F331" i="3" s="1"/>
  <c r="F332" i="3" s="1"/>
  <c r="F333" i="3" s="1"/>
  <c r="F334" i="3" s="1"/>
  <c r="F335" i="3" s="1"/>
  <c r="F336" i="3" s="1"/>
  <c r="F337" i="3" s="1"/>
  <c r="F338" i="3" s="1"/>
  <c r="F339" i="3" s="1"/>
  <c r="F340" i="3" s="1"/>
  <c r="F341" i="3" s="1"/>
  <c r="F342" i="3" s="1"/>
  <c r="F343" i="3" s="1"/>
  <c r="F344" i="3" s="1"/>
  <c r="F345" i="3" s="1"/>
  <c r="F346" i="3" s="1"/>
  <c r="F347" i="3" s="1"/>
  <c r="F348" i="3" s="1"/>
  <c r="F349" i="3" s="1"/>
  <c r="F350" i="3" s="1"/>
  <c r="F351" i="3" s="1"/>
  <c r="F352" i="3" s="1"/>
  <c r="F353" i="3" s="1"/>
  <c r="F354" i="3" s="1"/>
  <c r="F355" i="3" s="1"/>
  <c r="F356" i="3" s="1"/>
  <c r="F357" i="3" s="1"/>
  <c r="F358" i="3" s="1"/>
  <c r="F359" i="3" s="1"/>
  <c r="F360" i="3" s="1"/>
  <c r="F361" i="3" s="1"/>
  <c r="F362" i="3" s="1"/>
  <c r="F363" i="3" s="1"/>
  <c r="F364" i="3" s="1"/>
  <c r="F365" i="3" s="1"/>
  <c r="F366" i="3" s="1"/>
  <c r="F367" i="3" s="1"/>
  <c r="F368" i="3" s="1"/>
  <c r="F369" i="3" s="1"/>
  <c r="F370" i="3" s="1"/>
  <c r="F371" i="3" s="1"/>
  <c r="F372" i="3" s="1"/>
  <c r="F373" i="3" s="1"/>
  <c r="F374" i="3" s="1"/>
  <c r="F375" i="3" s="1"/>
  <c r="F376" i="3" s="1"/>
  <c r="F377" i="3" s="1"/>
  <c r="F378" i="3" s="1"/>
  <c r="F379" i="3" s="1"/>
  <c r="F380" i="3" s="1"/>
  <c r="F381" i="3" s="1"/>
  <c r="F382" i="3" s="1"/>
  <c r="F383" i="3" s="1"/>
  <c r="F384" i="3" s="1"/>
  <c r="F385" i="3" s="1"/>
  <c r="F386" i="3" s="1"/>
  <c r="F387" i="3" s="1"/>
  <c r="F388" i="3" s="1"/>
  <c r="F389" i="3" s="1"/>
  <c r="F390" i="3" s="1"/>
  <c r="F391" i="3" s="1"/>
  <c r="F392" i="3" s="1"/>
  <c r="F393" i="3" s="1"/>
  <c r="F394" i="3" s="1"/>
  <c r="F395" i="3" s="1"/>
  <c r="F396" i="3" s="1"/>
  <c r="F397" i="3" s="1"/>
  <c r="F398" i="3" s="1"/>
  <c r="F399" i="3" s="1"/>
  <c r="F400" i="3" s="1"/>
  <c r="F401" i="3" s="1"/>
  <c r="F402" i="3" s="1"/>
  <c r="F403" i="3" s="1"/>
  <c r="F404" i="3" s="1"/>
  <c r="F405" i="3" s="1"/>
  <c r="F406" i="3" s="1"/>
  <c r="F407" i="3" s="1"/>
  <c r="F408" i="3" s="1"/>
  <c r="AH46" i="2" l="1"/>
  <c r="AG46" i="2"/>
  <c r="AF46" i="2"/>
  <c r="AE46" i="2"/>
  <c r="AC35" i="1"/>
  <c r="AF35" i="1"/>
  <c r="Q50" i="2"/>
  <c r="P50" i="2"/>
  <c r="W48" i="2"/>
  <c r="C53" i="2"/>
  <c r="D52" i="2"/>
  <c r="AQ48" i="2"/>
  <c r="R48" i="2"/>
  <c r="S48" i="2" s="1"/>
  <c r="BM48" i="2"/>
  <c r="BM49" i="2"/>
  <c r="AQ49" i="2"/>
  <c r="Z49" i="2"/>
  <c r="Y49" i="2"/>
  <c r="X49" i="2"/>
  <c r="W49" i="2"/>
  <c r="AP49" i="2"/>
  <c r="Z48" i="2"/>
  <c r="Y48" i="2"/>
  <c r="F53" i="2"/>
  <c r="G52" i="2"/>
  <c r="M51" i="2"/>
  <c r="O51" i="2" s="1"/>
  <c r="L52" i="2"/>
  <c r="I53" i="2"/>
  <c r="J52" i="2"/>
  <c r="AD35" i="1"/>
  <c r="AE35" i="1"/>
  <c r="R37" i="1"/>
  <c r="Q37" i="1"/>
  <c r="D41" i="1"/>
  <c r="C42" i="1"/>
  <c r="N39" i="1"/>
  <c r="M40" i="1"/>
  <c r="P38" i="1"/>
  <c r="I39" i="1"/>
  <c r="P39" i="1" s="1"/>
  <c r="H40" i="1"/>
  <c r="AH47" i="2" l="1"/>
  <c r="AG47" i="2"/>
  <c r="AF47" i="2"/>
  <c r="AE47" i="2"/>
  <c r="G53" i="2"/>
  <c r="F54" i="2"/>
  <c r="R49" i="2"/>
  <c r="S49" i="2" s="1"/>
  <c r="D53" i="2"/>
  <c r="C54" i="2"/>
  <c r="I54" i="2"/>
  <c r="J53" i="2"/>
  <c r="L53" i="2"/>
  <c r="M52" i="2"/>
  <c r="O52" i="2" s="1"/>
  <c r="AP50" i="2"/>
  <c r="Z50" i="2"/>
  <c r="Y50" i="2"/>
  <c r="Q51" i="2"/>
  <c r="P51" i="2"/>
  <c r="BM50" i="2"/>
  <c r="AQ50" i="2"/>
  <c r="Q39" i="1"/>
  <c r="AM37" i="1"/>
  <c r="Z36" i="1"/>
  <c r="Y36" i="1"/>
  <c r="W36" i="1"/>
  <c r="X36" i="1"/>
  <c r="I40" i="1"/>
  <c r="H41" i="1"/>
  <c r="R38" i="1"/>
  <c r="Q38" i="1"/>
  <c r="N40" i="1"/>
  <c r="M41" i="1"/>
  <c r="C43" i="1"/>
  <c r="D42" i="1"/>
  <c r="S37" i="1"/>
  <c r="T37" i="1" s="1"/>
  <c r="AN37" i="1"/>
  <c r="Q52" i="2" l="1"/>
  <c r="P52" i="2"/>
  <c r="R50" i="2"/>
  <c r="S50" i="2" s="1"/>
  <c r="Z51" i="2"/>
  <c r="Y51" i="2"/>
  <c r="AP51" i="2"/>
  <c r="X51" i="2"/>
  <c r="W51" i="2"/>
  <c r="AE48" i="2"/>
  <c r="AG48" i="2"/>
  <c r="W50" i="2"/>
  <c r="AH48" i="2"/>
  <c r="M53" i="2"/>
  <c r="O53" i="2" s="1"/>
  <c r="L54" i="2"/>
  <c r="I55" i="2"/>
  <c r="J54" i="2"/>
  <c r="C55" i="2"/>
  <c r="D54" i="2"/>
  <c r="F55" i="2"/>
  <c r="G54" i="2"/>
  <c r="BM51" i="2"/>
  <c r="AQ51" i="2"/>
  <c r="X50" i="2"/>
  <c r="AF48" i="2"/>
  <c r="P40" i="1"/>
  <c r="C44" i="1"/>
  <c r="D43" i="1"/>
  <c r="Z38" i="1"/>
  <c r="Y38" i="1"/>
  <c r="X38" i="1"/>
  <c r="W38" i="1"/>
  <c r="AM38" i="1"/>
  <c r="I41" i="1"/>
  <c r="H42" i="1"/>
  <c r="W37" i="1"/>
  <c r="X37" i="1"/>
  <c r="AM39" i="1"/>
  <c r="N41" i="1"/>
  <c r="M42" i="1"/>
  <c r="S38" i="1"/>
  <c r="AN38" i="1"/>
  <c r="Z37" i="1"/>
  <c r="Y37" i="1"/>
  <c r="AC36" i="1"/>
  <c r="AF36" i="1"/>
  <c r="AE36" i="1"/>
  <c r="AD36" i="1"/>
  <c r="R39" i="1"/>
  <c r="T38" i="1" l="1"/>
  <c r="AF37" i="1" s="1"/>
  <c r="L55" i="2"/>
  <c r="M54" i="2"/>
  <c r="O54" i="2" s="1"/>
  <c r="Q53" i="2"/>
  <c r="P53" i="2"/>
  <c r="I56" i="2"/>
  <c r="J55" i="2"/>
  <c r="AE49" i="2"/>
  <c r="R51" i="2"/>
  <c r="AF49" i="2"/>
  <c r="AG49" i="2"/>
  <c r="F56" i="2"/>
  <c r="G55" i="2"/>
  <c r="AH49" i="2"/>
  <c r="X52" i="2"/>
  <c r="W52" i="2"/>
  <c r="AP52" i="2"/>
  <c r="C56" i="2"/>
  <c r="D55" i="2"/>
  <c r="R52" i="2"/>
  <c r="S52" i="2" s="1"/>
  <c r="AQ52" i="2"/>
  <c r="BM52" i="2"/>
  <c r="P41" i="1"/>
  <c r="M43" i="1"/>
  <c r="N42" i="1"/>
  <c r="I42" i="1"/>
  <c r="P42" i="1" s="1"/>
  <c r="H43" i="1"/>
  <c r="C45" i="1"/>
  <c r="D44" i="1"/>
  <c r="AN39" i="1"/>
  <c r="S39" i="1"/>
  <c r="T39" i="1" s="1"/>
  <c r="R40" i="1"/>
  <c r="Q40" i="1"/>
  <c r="S51" i="2" l="1"/>
  <c r="AF50" i="2" s="1"/>
  <c r="AE37" i="1"/>
  <c r="AC37" i="1"/>
  <c r="AD37" i="1"/>
  <c r="AF38" i="1"/>
  <c r="AE38" i="1"/>
  <c r="AC38" i="1"/>
  <c r="AD38" i="1"/>
  <c r="G56" i="2"/>
  <c r="F57" i="2"/>
  <c r="J56" i="2"/>
  <c r="I57" i="2"/>
  <c r="AP53" i="2"/>
  <c r="C57" i="2"/>
  <c r="D56" i="2"/>
  <c r="Q54" i="2"/>
  <c r="P54" i="2"/>
  <c r="Y53" i="2" s="1"/>
  <c r="BM53" i="2"/>
  <c r="AQ53" i="2"/>
  <c r="R53" i="2"/>
  <c r="S53" i="2" s="1"/>
  <c r="Y52" i="2"/>
  <c r="Z52" i="2"/>
  <c r="L56" i="2"/>
  <c r="M55" i="2"/>
  <c r="O55" i="2" s="1"/>
  <c r="S40" i="1"/>
  <c r="T40" i="1" s="1"/>
  <c r="AN40" i="1"/>
  <c r="Q42" i="1"/>
  <c r="AM40" i="1"/>
  <c r="W39" i="1"/>
  <c r="Z39" i="1"/>
  <c r="Y39" i="1"/>
  <c r="X39" i="1"/>
  <c r="D45" i="1"/>
  <c r="C46" i="1"/>
  <c r="H44" i="1"/>
  <c r="I43" i="1"/>
  <c r="M44" i="1"/>
  <c r="N43" i="1"/>
  <c r="R41" i="1"/>
  <c r="Q41" i="1"/>
  <c r="X40" i="1" s="1"/>
  <c r="AH51" i="2" l="1"/>
  <c r="AE50" i="2"/>
  <c r="AH50" i="2"/>
  <c r="AE51" i="2"/>
  <c r="AG50" i="2"/>
  <c r="AF51" i="2"/>
  <c r="AG51" i="2"/>
  <c r="AE39" i="1"/>
  <c r="AD39" i="1"/>
  <c r="AC39" i="1"/>
  <c r="AF39" i="1"/>
  <c r="C58" i="2"/>
  <c r="D57" i="2"/>
  <c r="J57" i="2"/>
  <c r="I58" i="2"/>
  <c r="AP54" i="2"/>
  <c r="W53" i="2"/>
  <c r="Q55" i="2"/>
  <c r="P55" i="2"/>
  <c r="X54" i="2" s="1"/>
  <c r="Z53" i="2"/>
  <c r="G57" i="2"/>
  <c r="F58" i="2"/>
  <c r="R54" i="2"/>
  <c r="BM54" i="2"/>
  <c r="AQ54" i="2"/>
  <c r="X53" i="2"/>
  <c r="M56" i="2"/>
  <c r="O56" i="2" s="1"/>
  <c r="L57" i="2"/>
  <c r="AH52" i="2"/>
  <c r="AG52" i="2"/>
  <c r="AF52" i="2"/>
  <c r="AE52" i="2"/>
  <c r="D46" i="1"/>
  <c r="C47" i="1"/>
  <c r="Z40" i="1"/>
  <c r="M45" i="1"/>
  <c r="N44" i="1"/>
  <c r="Z41" i="1"/>
  <c r="Y41" i="1"/>
  <c r="X41" i="1"/>
  <c r="AM41" i="1"/>
  <c r="W41" i="1"/>
  <c r="P43" i="1"/>
  <c r="W40" i="1"/>
  <c r="Y40" i="1"/>
  <c r="AN41" i="1"/>
  <c r="S41" i="1"/>
  <c r="T41" i="1" s="1"/>
  <c r="AM42" i="1"/>
  <c r="R42" i="1"/>
  <c r="I44" i="1"/>
  <c r="H45" i="1"/>
  <c r="S54" i="2" l="1"/>
  <c r="AH53" i="2" s="1"/>
  <c r="F59" i="2"/>
  <c r="G58" i="2"/>
  <c r="R55" i="2"/>
  <c r="BM55" i="2"/>
  <c r="AQ55" i="2"/>
  <c r="W54" i="2"/>
  <c r="Y54" i="2"/>
  <c r="AE53" i="2"/>
  <c r="J58" i="2"/>
  <c r="I59" i="2"/>
  <c r="AG53" i="2"/>
  <c r="Q56" i="2"/>
  <c r="P56" i="2"/>
  <c r="Y55" i="2" s="1"/>
  <c r="AP55" i="2"/>
  <c r="Z54" i="2"/>
  <c r="L58" i="2"/>
  <c r="M57" i="2"/>
  <c r="O57" i="2" s="1"/>
  <c r="C59" i="2"/>
  <c r="D58" i="2"/>
  <c r="AC40" i="1"/>
  <c r="I45" i="1"/>
  <c r="H46" i="1"/>
  <c r="AF40" i="1"/>
  <c r="S42" i="1"/>
  <c r="T42" i="1" s="1"/>
  <c r="AN42" i="1"/>
  <c r="D47" i="1"/>
  <c r="C48" i="1"/>
  <c r="R43" i="1"/>
  <c r="Q43" i="1"/>
  <c r="AD40" i="1"/>
  <c r="AE40" i="1"/>
  <c r="N45" i="1"/>
  <c r="M46" i="1"/>
  <c r="P44" i="1"/>
  <c r="S55" i="2" l="1"/>
  <c r="AE54" i="2" s="1"/>
  <c r="AF53" i="2"/>
  <c r="BM56" i="2"/>
  <c r="AQ56" i="2"/>
  <c r="R56" i="2"/>
  <c r="X55" i="2"/>
  <c r="C60" i="2"/>
  <c r="D59" i="2"/>
  <c r="I60" i="2"/>
  <c r="J59" i="2"/>
  <c r="AP56" i="2"/>
  <c r="Q57" i="2"/>
  <c r="P57" i="2"/>
  <c r="Y56" i="2" s="1"/>
  <c r="Z55" i="2"/>
  <c r="W55" i="2"/>
  <c r="M58" i="2"/>
  <c r="O58" i="2" s="1"/>
  <c r="L59" i="2"/>
  <c r="F60" i="2"/>
  <c r="G59" i="2"/>
  <c r="N46" i="1"/>
  <c r="M47" i="1"/>
  <c r="R44" i="1"/>
  <c r="Q44" i="1"/>
  <c r="AM43" i="1"/>
  <c r="Z43" i="1"/>
  <c r="Y43" i="1"/>
  <c r="X43" i="1"/>
  <c r="W43" i="1"/>
  <c r="Y42" i="1"/>
  <c r="W42" i="1"/>
  <c r="X42" i="1"/>
  <c r="Z42" i="1"/>
  <c r="D48" i="1"/>
  <c r="C49" i="1"/>
  <c r="P45" i="1"/>
  <c r="I46" i="1"/>
  <c r="P46" i="1" s="1"/>
  <c r="H47" i="1"/>
  <c r="AE41" i="1"/>
  <c r="AF41" i="1"/>
  <c r="AC41" i="1"/>
  <c r="AN43" i="1"/>
  <c r="S43" i="1"/>
  <c r="AD41" i="1"/>
  <c r="AH54" i="2" l="1"/>
  <c r="AG54" i="2"/>
  <c r="AF54" i="2"/>
  <c r="S56" i="2"/>
  <c r="AH55" i="2" s="1"/>
  <c r="T43" i="1"/>
  <c r="AC42" i="1" s="1"/>
  <c r="Z56" i="2"/>
  <c r="P58" i="2"/>
  <c r="Q58" i="2"/>
  <c r="F61" i="2"/>
  <c r="G60" i="2"/>
  <c r="BM57" i="2"/>
  <c r="AQ57" i="2"/>
  <c r="R57" i="2"/>
  <c r="W56" i="2"/>
  <c r="J60" i="2"/>
  <c r="I61" i="2"/>
  <c r="L60" i="2"/>
  <c r="M59" i="2"/>
  <c r="O59" i="2" s="1"/>
  <c r="Z57" i="2"/>
  <c r="Y57" i="2"/>
  <c r="X57" i="2"/>
  <c r="W57" i="2"/>
  <c r="AP57" i="2"/>
  <c r="X56" i="2"/>
  <c r="C61" i="2"/>
  <c r="D60" i="2"/>
  <c r="R45" i="1"/>
  <c r="Q45" i="1"/>
  <c r="C50" i="1"/>
  <c r="D49" i="1"/>
  <c r="AD42" i="1"/>
  <c r="AF42" i="1"/>
  <c r="AM44" i="1"/>
  <c r="Z44" i="1"/>
  <c r="Y44" i="1"/>
  <c r="X44" i="1"/>
  <c r="W44" i="1"/>
  <c r="AE42" i="1"/>
  <c r="R46" i="1"/>
  <c r="Q46" i="1"/>
  <c r="M48" i="1"/>
  <c r="N47" i="1"/>
  <c r="AN44" i="1"/>
  <c r="S44" i="1"/>
  <c r="T44" i="1" s="1"/>
  <c r="AD43" i="1" s="1"/>
  <c r="I47" i="1"/>
  <c r="H48" i="1"/>
  <c r="AC43" i="1" l="1"/>
  <c r="AG55" i="2"/>
  <c r="S57" i="2"/>
  <c r="AG56" i="2" s="1"/>
  <c r="AF55" i="2"/>
  <c r="AE55" i="2"/>
  <c r="AF43" i="1"/>
  <c r="AE43" i="1"/>
  <c r="I62" i="2"/>
  <c r="J61" i="2"/>
  <c r="Q59" i="2"/>
  <c r="P59" i="2"/>
  <c r="D61" i="2"/>
  <c r="C62" i="2"/>
  <c r="AE56" i="2"/>
  <c r="AF56" i="2"/>
  <c r="AH56" i="2"/>
  <c r="AP58" i="2"/>
  <c r="Z58" i="2"/>
  <c r="Y58" i="2"/>
  <c r="X58" i="2"/>
  <c r="W58" i="2"/>
  <c r="M60" i="2"/>
  <c r="O60" i="2" s="1"/>
  <c r="L61" i="2"/>
  <c r="F62" i="2"/>
  <c r="G61" i="2"/>
  <c r="BM58" i="2"/>
  <c r="AQ58" i="2"/>
  <c r="R58" i="2"/>
  <c r="AN46" i="1"/>
  <c r="AM46" i="1"/>
  <c r="P47" i="1"/>
  <c r="H49" i="1"/>
  <c r="I48" i="1"/>
  <c r="D50" i="1"/>
  <c r="C51" i="1"/>
  <c r="AM45" i="1"/>
  <c r="Z45" i="1"/>
  <c r="Y45" i="1"/>
  <c r="X45" i="1"/>
  <c r="W45" i="1"/>
  <c r="M49" i="1"/>
  <c r="N48" i="1"/>
  <c r="AN45" i="1"/>
  <c r="S45" i="1"/>
  <c r="T45" i="1" s="1"/>
  <c r="S58" i="2" l="1"/>
  <c r="AH57" i="2" s="1"/>
  <c r="AC44" i="1"/>
  <c r="Q60" i="2"/>
  <c r="P60" i="2"/>
  <c r="R59" i="2"/>
  <c r="BM59" i="2"/>
  <c r="AQ59" i="2"/>
  <c r="L62" i="2"/>
  <c r="M61" i="2"/>
  <c r="O61" i="2" s="1"/>
  <c r="C63" i="2"/>
  <c r="D62" i="2"/>
  <c r="Z59" i="2"/>
  <c r="Y59" i="2"/>
  <c r="X59" i="2"/>
  <c r="W59" i="2"/>
  <c r="AP59" i="2"/>
  <c r="F63" i="2"/>
  <c r="G62" i="2"/>
  <c r="I63" i="2"/>
  <c r="J62" i="2"/>
  <c r="P48" i="1"/>
  <c r="I49" i="1"/>
  <c r="H50" i="1"/>
  <c r="N49" i="1"/>
  <c r="M50" i="1"/>
  <c r="R47" i="1"/>
  <c r="Q47" i="1"/>
  <c r="S46" i="1"/>
  <c r="C52" i="1"/>
  <c r="D51" i="1"/>
  <c r="AD44" i="1"/>
  <c r="AE44" i="1"/>
  <c r="AF44" i="1"/>
  <c r="S59" i="2" l="1"/>
  <c r="AH58" i="2" s="1"/>
  <c r="AF57" i="2"/>
  <c r="AE57" i="2"/>
  <c r="AG57" i="2"/>
  <c r="T46" i="1"/>
  <c r="AF45" i="1" s="1"/>
  <c r="G63" i="2"/>
  <c r="F64" i="2"/>
  <c r="Q61" i="2"/>
  <c r="P61" i="2"/>
  <c r="D63" i="2"/>
  <c r="C64" i="2"/>
  <c r="M62" i="2"/>
  <c r="O62" i="2" s="1"/>
  <c r="L63" i="2"/>
  <c r="Z60" i="2"/>
  <c r="Y60" i="2"/>
  <c r="X60" i="2"/>
  <c r="W60" i="2"/>
  <c r="AP60" i="2"/>
  <c r="I64" i="2"/>
  <c r="J63" i="2"/>
  <c r="R60" i="2"/>
  <c r="BM60" i="2"/>
  <c r="AQ60" i="2"/>
  <c r="AM47" i="1"/>
  <c r="Y47" i="1"/>
  <c r="Z46" i="1"/>
  <c r="Y46" i="1"/>
  <c r="X46" i="1"/>
  <c r="W46" i="1"/>
  <c r="N50" i="1"/>
  <c r="M51" i="1"/>
  <c r="I50" i="1"/>
  <c r="P50" i="1" s="1"/>
  <c r="H51" i="1"/>
  <c r="D52" i="1"/>
  <c r="C53" i="1"/>
  <c r="S47" i="1"/>
  <c r="AN47" i="1"/>
  <c r="P49" i="1"/>
  <c r="R48" i="1"/>
  <c r="Q48" i="1"/>
  <c r="X47" i="1" s="1"/>
  <c r="AF58" i="2" l="1"/>
  <c r="AE58" i="2"/>
  <c r="S60" i="2"/>
  <c r="AF59" i="2" s="1"/>
  <c r="AG58" i="2"/>
  <c r="AE45" i="1"/>
  <c r="T47" i="1"/>
  <c r="AC45" i="1"/>
  <c r="AD45" i="1"/>
  <c r="AP61" i="2"/>
  <c r="Q62" i="2"/>
  <c r="P62" i="2"/>
  <c r="R61" i="2"/>
  <c r="BM61" i="2"/>
  <c r="AQ61" i="2"/>
  <c r="M63" i="2"/>
  <c r="O63" i="2" s="1"/>
  <c r="L64" i="2"/>
  <c r="D64" i="2"/>
  <c r="C65" i="2"/>
  <c r="F65" i="2"/>
  <c r="G64" i="2"/>
  <c r="I65" i="2"/>
  <c r="J64" i="2"/>
  <c r="D53" i="1"/>
  <c r="C54" i="1"/>
  <c r="H52" i="1"/>
  <c r="I51" i="1"/>
  <c r="N51" i="1"/>
  <c r="M52" i="1"/>
  <c r="Q49" i="1"/>
  <c r="S48" i="1"/>
  <c r="AN48" i="1"/>
  <c r="Q50" i="1"/>
  <c r="Y48" i="1"/>
  <c r="X48" i="1"/>
  <c r="W48" i="1"/>
  <c r="AM48" i="1"/>
  <c r="Z48" i="1"/>
  <c r="Z47" i="1"/>
  <c r="W47" i="1"/>
  <c r="S61" i="2" l="1"/>
  <c r="AE59" i="2"/>
  <c r="AH59" i="2"/>
  <c r="AG59" i="2"/>
  <c r="T48" i="1"/>
  <c r="AF47" i="1" s="1"/>
  <c r="AD46" i="1"/>
  <c r="AE46" i="1"/>
  <c r="AC46" i="1"/>
  <c r="AF46" i="1"/>
  <c r="AP62" i="2"/>
  <c r="P63" i="2"/>
  <c r="Q63" i="2"/>
  <c r="R62" i="2"/>
  <c r="BM62" i="2"/>
  <c r="AQ62" i="2"/>
  <c r="Z61" i="2"/>
  <c r="G65" i="2"/>
  <c r="F66" i="2"/>
  <c r="C66" i="2"/>
  <c r="D65" i="2"/>
  <c r="L65" i="2"/>
  <c r="M64" i="2"/>
  <c r="O64" i="2" s="1"/>
  <c r="X61" i="2"/>
  <c r="Y61" i="2"/>
  <c r="J65" i="2"/>
  <c r="I66" i="2"/>
  <c r="W61" i="2"/>
  <c r="M53" i="1"/>
  <c r="N52" i="1"/>
  <c r="AM49" i="1"/>
  <c r="W49" i="1"/>
  <c r="Z49" i="1"/>
  <c r="Y49" i="1"/>
  <c r="X49" i="1"/>
  <c r="C55" i="1"/>
  <c r="D54" i="1"/>
  <c r="AM50" i="1"/>
  <c r="R49" i="1"/>
  <c r="P51" i="1"/>
  <c r="AD47" i="1"/>
  <c r="H53" i="1"/>
  <c r="I52" i="1"/>
  <c r="S62" i="2" l="1"/>
  <c r="AH60" i="2"/>
  <c r="AF60" i="2"/>
  <c r="AG60" i="2"/>
  <c r="AE60" i="2"/>
  <c r="AE47" i="1"/>
  <c r="AC47" i="1"/>
  <c r="C67" i="2"/>
  <c r="D66" i="2"/>
  <c r="BM63" i="2"/>
  <c r="AQ63" i="2"/>
  <c r="R63" i="2"/>
  <c r="S63" i="2" s="1"/>
  <c r="AG62" i="2" s="1"/>
  <c r="P64" i="2"/>
  <c r="Q64" i="2" s="1"/>
  <c r="F67" i="2"/>
  <c r="G66" i="2"/>
  <c r="AP63" i="2"/>
  <c r="Z63" i="2"/>
  <c r="Y63" i="2"/>
  <c r="X63" i="2"/>
  <c r="W63" i="2"/>
  <c r="W62" i="2"/>
  <c r="Z62" i="2"/>
  <c r="L66" i="2"/>
  <c r="M65" i="2"/>
  <c r="O65" i="2" s="1"/>
  <c r="I67" i="2"/>
  <c r="J66" i="2"/>
  <c r="X62" i="2"/>
  <c r="Y62" i="2"/>
  <c r="AE61" i="2"/>
  <c r="D55" i="1"/>
  <c r="C56" i="1"/>
  <c r="H54" i="1"/>
  <c r="I53" i="1"/>
  <c r="M54" i="1"/>
  <c r="N53" i="1"/>
  <c r="P52" i="1"/>
  <c r="Q51" i="1"/>
  <c r="AN49" i="1"/>
  <c r="S49" i="1"/>
  <c r="T49" i="1" s="1"/>
  <c r="R50" i="1"/>
  <c r="AH62" i="2" l="1"/>
  <c r="AF61" i="2"/>
  <c r="AG61" i="2"/>
  <c r="AH61" i="2"/>
  <c r="R64" i="2"/>
  <c r="S64" i="2" s="1"/>
  <c r="AG63" i="2" s="1"/>
  <c r="BM64" i="2"/>
  <c r="AQ64" i="2"/>
  <c r="L67" i="2"/>
  <c r="M66" i="2"/>
  <c r="O66" i="2" s="1"/>
  <c r="P65" i="2"/>
  <c r="G67" i="2"/>
  <c r="F68" i="2"/>
  <c r="J67" i="2"/>
  <c r="I68" i="2"/>
  <c r="X64" i="2"/>
  <c r="W64" i="2"/>
  <c r="AP64" i="2"/>
  <c r="Z64" i="2"/>
  <c r="Y64" i="2"/>
  <c r="AE62" i="2"/>
  <c r="AF62" i="2"/>
  <c r="D67" i="2"/>
  <c r="C68" i="2"/>
  <c r="AM51" i="1"/>
  <c r="Z50" i="1"/>
  <c r="X50" i="1"/>
  <c r="Y50" i="1"/>
  <c r="W50" i="1"/>
  <c r="AN50" i="1"/>
  <c r="S50" i="1"/>
  <c r="R52" i="1"/>
  <c r="Q52" i="1"/>
  <c r="N54" i="1"/>
  <c r="M55" i="1"/>
  <c r="I54" i="1"/>
  <c r="P54" i="1" s="1"/>
  <c r="H55" i="1"/>
  <c r="AC48" i="1"/>
  <c r="AE48" i="1"/>
  <c r="AD48" i="1"/>
  <c r="AF48" i="1"/>
  <c r="R51" i="1"/>
  <c r="P53" i="1"/>
  <c r="C57" i="1"/>
  <c r="D56" i="1"/>
  <c r="AH63" i="2" l="1"/>
  <c r="AE63" i="2"/>
  <c r="AF63" i="2"/>
  <c r="T50" i="1"/>
  <c r="AD49" i="1" s="1"/>
  <c r="F69" i="2"/>
  <c r="G68" i="2"/>
  <c r="I69" i="2"/>
  <c r="J68" i="2"/>
  <c r="AP65" i="2"/>
  <c r="P66" i="2"/>
  <c r="Y65" i="2" s="1"/>
  <c r="M67" i="2"/>
  <c r="O67" i="2" s="1"/>
  <c r="L68" i="2"/>
  <c r="Q65" i="2"/>
  <c r="C69" i="2"/>
  <c r="D68" i="2"/>
  <c r="AM52" i="1"/>
  <c r="R53" i="1"/>
  <c r="Q53" i="1"/>
  <c r="W52" i="1" s="1"/>
  <c r="W51" i="1"/>
  <c r="H56" i="1"/>
  <c r="I55" i="1"/>
  <c r="N55" i="1"/>
  <c r="M56" i="1"/>
  <c r="AN51" i="1"/>
  <c r="S51" i="1"/>
  <c r="T51" i="1" s="1"/>
  <c r="Y51" i="1"/>
  <c r="Q54" i="1"/>
  <c r="AN52" i="1"/>
  <c r="D57" i="1"/>
  <c r="C58" i="1"/>
  <c r="X51" i="1"/>
  <c r="AE49" i="1"/>
  <c r="Z51" i="1"/>
  <c r="AF49" i="1" l="1"/>
  <c r="AC49" i="1"/>
  <c r="AF50" i="1"/>
  <c r="AQ65" i="2"/>
  <c r="BM65" i="2"/>
  <c r="R65" i="2"/>
  <c r="S65" i="2" s="1"/>
  <c r="P67" i="2"/>
  <c r="C70" i="2"/>
  <c r="D69" i="2"/>
  <c r="Z66" i="2"/>
  <c r="Y66" i="2"/>
  <c r="X66" i="2"/>
  <c r="W66" i="2"/>
  <c r="AP66" i="2"/>
  <c r="X65" i="2"/>
  <c r="L69" i="2"/>
  <c r="M68" i="2"/>
  <c r="O68" i="2" s="1"/>
  <c r="Q66" i="2"/>
  <c r="W65" i="2"/>
  <c r="Z65" i="2"/>
  <c r="J69" i="2"/>
  <c r="I70" i="2"/>
  <c r="G69" i="2"/>
  <c r="F70" i="2"/>
  <c r="N56" i="1"/>
  <c r="M57" i="1"/>
  <c r="I56" i="1"/>
  <c r="P56" i="1" s="1"/>
  <c r="H57" i="1"/>
  <c r="AD50" i="1"/>
  <c r="AN53" i="1"/>
  <c r="S53" i="1"/>
  <c r="AC50" i="1"/>
  <c r="AE50" i="1"/>
  <c r="Y52" i="1"/>
  <c r="S52" i="1"/>
  <c r="T52" i="1" s="1"/>
  <c r="T53" i="1" s="1"/>
  <c r="P55" i="1"/>
  <c r="AM53" i="1"/>
  <c r="Z53" i="1"/>
  <c r="Y53" i="1"/>
  <c r="X53" i="1"/>
  <c r="W53" i="1"/>
  <c r="D58" i="1"/>
  <c r="C59" i="1"/>
  <c r="Z52" i="1"/>
  <c r="AM54" i="1"/>
  <c r="R54" i="1"/>
  <c r="X52" i="1"/>
  <c r="I71" i="2" l="1"/>
  <c r="J70" i="2"/>
  <c r="D70" i="2"/>
  <c r="C71" i="2"/>
  <c r="AQ66" i="2"/>
  <c r="R66" i="2"/>
  <c r="S66" i="2" s="1"/>
  <c r="AH65" i="2" s="1"/>
  <c r="BM66" i="2"/>
  <c r="Q67" i="2"/>
  <c r="P68" i="2"/>
  <c r="M69" i="2"/>
  <c r="O69" i="2" s="1"/>
  <c r="L70" i="2"/>
  <c r="AP67" i="2"/>
  <c r="Y67" i="2"/>
  <c r="X67" i="2"/>
  <c r="W67" i="2"/>
  <c r="Z67" i="2"/>
  <c r="AH64" i="2"/>
  <c r="AF64" i="2"/>
  <c r="AE64" i="2"/>
  <c r="AG64" i="2"/>
  <c r="F71" i="2"/>
  <c r="G70" i="2"/>
  <c r="Q55" i="1"/>
  <c r="R55" i="1"/>
  <c r="AC51" i="1"/>
  <c r="AD51" i="1"/>
  <c r="C60" i="1"/>
  <c r="D59" i="1"/>
  <c r="AE51" i="1"/>
  <c r="AN54" i="1"/>
  <c r="S54" i="1"/>
  <c r="T54" i="1" s="1"/>
  <c r="M58" i="1"/>
  <c r="N57" i="1"/>
  <c r="AF51" i="1"/>
  <c r="H58" i="1"/>
  <c r="I57" i="1"/>
  <c r="P57" i="1" s="1"/>
  <c r="Q56" i="1"/>
  <c r="AF65" i="2" l="1"/>
  <c r="AG65" i="2"/>
  <c r="BM67" i="2"/>
  <c r="AQ67" i="2"/>
  <c r="R67" i="2"/>
  <c r="S67" i="2" s="1"/>
  <c r="P69" i="2"/>
  <c r="Z68" i="2"/>
  <c r="Y68" i="2"/>
  <c r="X68" i="2"/>
  <c r="W68" i="2"/>
  <c r="AP68" i="2"/>
  <c r="F72" i="2"/>
  <c r="G71" i="2"/>
  <c r="C72" i="2"/>
  <c r="D71" i="2"/>
  <c r="L71" i="2"/>
  <c r="M70" i="2"/>
  <c r="O70" i="2" s="1"/>
  <c r="Q68" i="2"/>
  <c r="Q69" i="2" s="1"/>
  <c r="AH66" i="2"/>
  <c r="AG66" i="2"/>
  <c r="AF66" i="2"/>
  <c r="AE65" i="2"/>
  <c r="J71" i="2"/>
  <c r="I72" i="2"/>
  <c r="H59" i="1"/>
  <c r="I58" i="1"/>
  <c r="S55" i="1"/>
  <c r="T55" i="1" s="1"/>
  <c r="AN55" i="1"/>
  <c r="AF53" i="1"/>
  <c r="AE53" i="1"/>
  <c r="AD53" i="1"/>
  <c r="AC52" i="1"/>
  <c r="AE52" i="1"/>
  <c r="R57" i="1"/>
  <c r="Q57" i="1"/>
  <c r="W56" i="1" s="1"/>
  <c r="M59" i="1"/>
  <c r="N58" i="1"/>
  <c r="D60" i="1"/>
  <c r="C61" i="1"/>
  <c r="AM55" i="1"/>
  <c r="Z55" i="1"/>
  <c r="Y55" i="1"/>
  <c r="X55" i="1"/>
  <c r="W55" i="1"/>
  <c r="W54" i="1"/>
  <c r="Y54" i="1"/>
  <c r="X54" i="1"/>
  <c r="Z54" i="1"/>
  <c r="AD52" i="1"/>
  <c r="AM56" i="1"/>
  <c r="R56" i="1"/>
  <c r="AF52" i="1"/>
  <c r="AC53" i="1" l="1"/>
  <c r="BM69" i="2"/>
  <c r="AQ69" i="2"/>
  <c r="M71" i="2"/>
  <c r="O71" i="2" s="1"/>
  <c r="L72" i="2"/>
  <c r="G72" i="2"/>
  <c r="F73" i="2"/>
  <c r="P70" i="2"/>
  <c r="Q70" i="2"/>
  <c r="BM68" i="2"/>
  <c r="R68" i="2"/>
  <c r="AQ68" i="2"/>
  <c r="D72" i="2"/>
  <c r="C73" i="2"/>
  <c r="Z69" i="2"/>
  <c r="Y69" i="2"/>
  <c r="X69" i="2"/>
  <c r="W69" i="2"/>
  <c r="AP69" i="2"/>
  <c r="I73" i="2"/>
  <c r="J72" i="2"/>
  <c r="AE66" i="2"/>
  <c r="C62" i="1"/>
  <c r="D61" i="1"/>
  <c r="AN57" i="1"/>
  <c r="Y56" i="1"/>
  <c r="AN56" i="1"/>
  <c r="S56" i="1"/>
  <c r="T56" i="1" s="1"/>
  <c r="N59" i="1"/>
  <c r="M60" i="1"/>
  <c r="P58" i="1"/>
  <c r="AM57" i="1"/>
  <c r="X56" i="1"/>
  <c r="Z56" i="1"/>
  <c r="AF54" i="1"/>
  <c r="I59" i="1"/>
  <c r="P59" i="1" s="1"/>
  <c r="H60" i="1"/>
  <c r="S68" i="2" l="1"/>
  <c r="AG67" i="2" s="1"/>
  <c r="AE55" i="1"/>
  <c r="AF55" i="1"/>
  <c r="S57" i="1"/>
  <c r="T57" i="1" s="1"/>
  <c r="AC54" i="1"/>
  <c r="AD54" i="1"/>
  <c r="AE54" i="1"/>
  <c r="R70" i="2"/>
  <c r="BM70" i="2"/>
  <c r="AQ70" i="2"/>
  <c r="F74" i="2"/>
  <c r="G73" i="2"/>
  <c r="D73" i="2"/>
  <c r="C74" i="2"/>
  <c r="AP70" i="2"/>
  <c r="Q71" i="2"/>
  <c r="P71" i="2"/>
  <c r="X70" i="2" s="1"/>
  <c r="R69" i="2"/>
  <c r="I74" i="2"/>
  <c r="J73" i="2"/>
  <c r="L73" i="2"/>
  <c r="M72" i="2"/>
  <c r="O72" i="2" s="1"/>
  <c r="Q59" i="1"/>
  <c r="R58" i="1"/>
  <c r="Q58" i="1"/>
  <c r="H61" i="1"/>
  <c r="I60" i="1"/>
  <c r="N60" i="1"/>
  <c r="M61" i="1"/>
  <c r="AC55" i="1"/>
  <c r="AD55" i="1"/>
  <c r="D62" i="1"/>
  <c r="C63" i="1"/>
  <c r="S69" i="2" l="1"/>
  <c r="AG68" i="2" s="1"/>
  <c r="S70" i="2"/>
  <c r="AH67" i="2"/>
  <c r="AF67" i="2"/>
  <c r="AE67" i="2"/>
  <c r="J74" i="2"/>
  <c r="I75" i="2"/>
  <c r="W70" i="2"/>
  <c r="D74" i="2"/>
  <c r="C75" i="2"/>
  <c r="AH68" i="2"/>
  <c r="Z71" i="2"/>
  <c r="Y71" i="2"/>
  <c r="X71" i="2"/>
  <c r="W71" i="2"/>
  <c r="AP71" i="2"/>
  <c r="Z70" i="2"/>
  <c r="G74" i="2"/>
  <c r="F75" i="2"/>
  <c r="M73" i="2"/>
  <c r="O73" i="2" s="1"/>
  <c r="L74" i="2"/>
  <c r="AE68" i="2"/>
  <c r="R71" i="2"/>
  <c r="S71" i="2" s="1"/>
  <c r="BM71" i="2"/>
  <c r="AQ71" i="2"/>
  <c r="Y70" i="2"/>
  <c r="Q72" i="2"/>
  <c r="P72" i="2"/>
  <c r="AF68" i="2"/>
  <c r="AE69" i="2"/>
  <c r="AF56" i="1"/>
  <c r="N61" i="1"/>
  <c r="M62" i="1"/>
  <c r="D63" i="1"/>
  <c r="C64" i="1"/>
  <c r="AC56" i="1"/>
  <c r="AN58" i="1"/>
  <c r="S58" i="1"/>
  <c r="T58" i="1" s="1"/>
  <c r="AE56" i="1"/>
  <c r="AD56" i="1"/>
  <c r="P60" i="1"/>
  <c r="I61" i="1"/>
  <c r="P61" i="1" s="1"/>
  <c r="H62" i="1"/>
  <c r="Y58" i="1"/>
  <c r="AM58" i="1"/>
  <c r="Z58" i="1"/>
  <c r="X58" i="1"/>
  <c r="W58" i="1"/>
  <c r="X57" i="1"/>
  <c r="Z57" i="1"/>
  <c r="W57" i="1"/>
  <c r="Y57" i="1"/>
  <c r="AM59" i="1"/>
  <c r="R59" i="1"/>
  <c r="Q73" i="2" l="1"/>
  <c r="P73" i="2"/>
  <c r="L75" i="2"/>
  <c r="M74" i="2"/>
  <c r="O74" i="2" s="1"/>
  <c r="Y72" i="2"/>
  <c r="X72" i="2"/>
  <c r="W72" i="2"/>
  <c r="AP72" i="2"/>
  <c r="Z72" i="2"/>
  <c r="AG69" i="2"/>
  <c r="I76" i="2"/>
  <c r="J75" i="2"/>
  <c r="G75" i="2"/>
  <c r="F76" i="2"/>
  <c r="C76" i="2"/>
  <c r="D75" i="2"/>
  <c r="R72" i="2"/>
  <c r="S72" i="2" s="1"/>
  <c r="BM72" i="2"/>
  <c r="AQ72" i="2"/>
  <c r="AH69" i="2"/>
  <c r="AF69" i="2"/>
  <c r="AN59" i="1"/>
  <c r="S59" i="1"/>
  <c r="T59" i="1" s="1"/>
  <c r="AF58" i="1" s="1"/>
  <c r="H63" i="1"/>
  <c r="I62" i="1"/>
  <c r="AD58" i="1"/>
  <c r="C65" i="1"/>
  <c r="D64" i="1"/>
  <c r="M63" i="1"/>
  <c r="N62" i="1"/>
  <c r="Q61" i="1"/>
  <c r="AF57" i="1"/>
  <c r="Q60" i="1"/>
  <c r="R60" i="1"/>
  <c r="AC57" i="1"/>
  <c r="AD57" i="1"/>
  <c r="AE57" i="1"/>
  <c r="AE58" i="1" l="1"/>
  <c r="AC58" i="1"/>
  <c r="AF71" i="2"/>
  <c r="AE71" i="2"/>
  <c r="AH71" i="2"/>
  <c r="AG71" i="2"/>
  <c r="AE70" i="2"/>
  <c r="L76" i="2"/>
  <c r="M75" i="2"/>
  <c r="O75" i="2" s="1"/>
  <c r="G76" i="2"/>
  <c r="F77" i="2"/>
  <c r="AF70" i="2"/>
  <c r="W73" i="2"/>
  <c r="Z73" i="2"/>
  <c r="Y73" i="2"/>
  <c r="X73" i="2"/>
  <c r="AP73" i="2"/>
  <c r="D76" i="2"/>
  <c r="C77" i="2"/>
  <c r="J76" i="2"/>
  <c r="I77" i="2"/>
  <c r="AH70" i="2"/>
  <c r="AG70" i="2"/>
  <c r="P74" i="2"/>
  <c r="R73" i="2"/>
  <c r="BM73" i="2"/>
  <c r="AQ73" i="2"/>
  <c r="M64" i="1"/>
  <c r="N63" i="1"/>
  <c r="S60" i="1"/>
  <c r="T60" i="1" s="1"/>
  <c r="AN60" i="1"/>
  <c r="R61" i="1"/>
  <c r="AM60" i="1"/>
  <c r="Z60" i="1"/>
  <c r="Y60" i="1"/>
  <c r="X60" i="1"/>
  <c r="W60" i="1"/>
  <c r="W59" i="1"/>
  <c r="X59" i="1"/>
  <c r="Z59" i="1"/>
  <c r="Y59" i="1"/>
  <c r="AM61" i="1"/>
  <c r="D65" i="1"/>
  <c r="C66" i="1"/>
  <c r="P62" i="1"/>
  <c r="H64" i="1"/>
  <c r="I63" i="1"/>
  <c r="P63" i="1" s="1"/>
  <c r="S73" i="2" l="1"/>
  <c r="AE72" i="2" s="1"/>
  <c r="AD59" i="1"/>
  <c r="AC59" i="1"/>
  <c r="D77" i="2"/>
  <c r="C78" i="2"/>
  <c r="J77" i="2"/>
  <c r="I78" i="2"/>
  <c r="G77" i="2"/>
  <c r="F78" i="2"/>
  <c r="M76" i="2"/>
  <c r="O76" i="2" s="1"/>
  <c r="L77" i="2"/>
  <c r="AF72" i="2"/>
  <c r="Q75" i="2"/>
  <c r="P75" i="2"/>
  <c r="AG72" i="2"/>
  <c r="AH72" i="2"/>
  <c r="AP74" i="2"/>
  <c r="Y74" i="2"/>
  <c r="X74" i="2"/>
  <c r="Q74" i="2"/>
  <c r="AN61" i="1"/>
  <c r="S61" i="1"/>
  <c r="T61" i="1" s="1"/>
  <c r="Q63" i="1"/>
  <c r="I64" i="1"/>
  <c r="H65" i="1"/>
  <c r="R62" i="1"/>
  <c r="Q62" i="1"/>
  <c r="C67" i="1"/>
  <c r="D66" i="1"/>
  <c r="AE59" i="1"/>
  <c r="AF59" i="1"/>
  <c r="M65" i="1"/>
  <c r="N64" i="1"/>
  <c r="AF60" i="1" l="1"/>
  <c r="AE60" i="1"/>
  <c r="AC60" i="1"/>
  <c r="AD60" i="1"/>
  <c r="BM75" i="2"/>
  <c r="AQ75" i="2"/>
  <c r="G78" i="2"/>
  <c r="F79" i="2"/>
  <c r="AP75" i="2"/>
  <c r="L78" i="2"/>
  <c r="M77" i="2"/>
  <c r="O77" i="2" s="1"/>
  <c r="AQ74" i="2"/>
  <c r="R74" i="2"/>
  <c r="S74" i="2" s="1"/>
  <c r="BM74" i="2"/>
  <c r="C79" i="2"/>
  <c r="D78" i="2"/>
  <c r="Q76" i="2"/>
  <c r="P76" i="2"/>
  <c r="Y75" i="2" s="1"/>
  <c r="J78" i="2"/>
  <c r="I79" i="2"/>
  <c r="Z74" i="2"/>
  <c r="W74" i="2"/>
  <c r="S62" i="1"/>
  <c r="T62" i="1" s="1"/>
  <c r="AN62" i="1"/>
  <c r="P64" i="1"/>
  <c r="N65" i="1"/>
  <c r="M66" i="1"/>
  <c r="D67" i="1"/>
  <c r="C68" i="1"/>
  <c r="X62" i="1"/>
  <c r="W62" i="1"/>
  <c r="AM62" i="1"/>
  <c r="Z62" i="1"/>
  <c r="Y62" i="1"/>
  <c r="X61" i="1"/>
  <c r="Z61" i="1"/>
  <c r="W61" i="1"/>
  <c r="Y61" i="1"/>
  <c r="H66" i="1"/>
  <c r="I65" i="1"/>
  <c r="AM63" i="1"/>
  <c r="R63" i="1"/>
  <c r="AE61" i="1" l="1"/>
  <c r="AF61" i="1"/>
  <c r="AD61" i="1"/>
  <c r="AC61" i="1"/>
  <c r="BM76" i="2"/>
  <c r="AQ76" i="2"/>
  <c r="R76" i="2"/>
  <c r="Z75" i="2"/>
  <c r="AF73" i="2"/>
  <c r="AE73" i="2"/>
  <c r="AG73" i="2"/>
  <c r="AH73" i="2"/>
  <c r="M78" i="2"/>
  <c r="O78" i="2" s="1"/>
  <c r="L79" i="2"/>
  <c r="W75" i="2"/>
  <c r="AP76" i="2"/>
  <c r="X76" i="2"/>
  <c r="W76" i="2"/>
  <c r="Z76" i="2"/>
  <c r="Y76" i="2"/>
  <c r="C80" i="2"/>
  <c r="D79" i="2"/>
  <c r="Q77" i="2"/>
  <c r="P77" i="2"/>
  <c r="X75" i="2"/>
  <c r="F80" i="2"/>
  <c r="G79" i="2"/>
  <c r="I80" i="2"/>
  <c r="J79" i="2"/>
  <c r="R75" i="2"/>
  <c r="AN63" i="1"/>
  <c r="S63" i="1"/>
  <c r="C69" i="1"/>
  <c r="D68" i="1"/>
  <c r="N66" i="1"/>
  <c r="M67" i="1"/>
  <c r="P65" i="1"/>
  <c r="I66" i="1"/>
  <c r="P66" i="1" s="1"/>
  <c r="H67" i="1"/>
  <c r="R64" i="1"/>
  <c r="Q64" i="1"/>
  <c r="S76" i="2" l="1"/>
  <c r="S75" i="2"/>
  <c r="AH75" i="2" s="1"/>
  <c r="T63" i="1"/>
  <c r="AC62" i="1" s="1"/>
  <c r="AE62" i="1"/>
  <c r="AD62" i="1"/>
  <c r="P78" i="2"/>
  <c r="Q78" i="2"/>
  <c r="J80" i="2"/>
  <c r="I81" i="2"/>
  <c r="AF74" i="2"/>
  <c r="Z77" i="2"/>
  <c r="Y77" i="2"/>
  <c r="X77" i="2"/>
  <c r="W77" i="2"/>
  <c r="AP77" i="2"/>
  <c r="M79" i="2"/>
  <c r="O79" i="2" s="1"/>
  <c r="L80" i="2"/>
  <c r="F81" i="2"/>
  <c r="G80" i="2"/>
  <c r="AQ77" i="2"/>
  <c r="R77" i="2"/>
  <c r="S77" i="2" s="1"/>
  <c r="BM77" i="2"/>
  <c r="C81" i="2"/>
  <c r="D80" i="2"/>
  <c r="AM64" i="1"/>
  <c r="Z63" i="1"/>
  <c r="X63" i="1"/>
  <c r="W63" i="1"/>
  <c r="Y63" i="1"/>
  <c r="I67" i="1"/>
  <c r="P67" i="1" s="1"/>
  <c r="H68" i="1"/>
  <c r="M68" i="1"/>
  <c r="N67" i="1"/>
  <c r="AN64" i="1"/>
  <c r="S64" i="1"/>
  <c r="Q65" i="1"/>
  <c r="X64" i="1" s="1"/>
  <c r="R65" i="1"/>
  <c r="Q66" i="1"/>
  <c r="C70" i="1"/>
  <c r="D69" i="1"/>
  <c r="AE75" i="2" l="1"/>
  <c r="AH74" i="2"/>
  <c r="AG75" i="2"/>
  <c r="AE74" i="2"/>
  <c r="AG74" i="2"/>
  <c r="AF75" i="2"/>
  <c r="AF62" i="1"/>
  <c r="T64" i="1"/>
  <c r="AC63" i="1" s="1"/>
  <c r="P79" i="2"/>
  <c r="M80" i="2"/>
  <c r="O80" i="2" s="1"/>
  <c r="L81" i="2"/>
  <c r="BM78" i="2"/>
  <c r="AQ78" i="2"/>
  <c r="R78" i="2"/>
  <c r="S78" i="2" s="1"/>
  <c r="G81" i="2"/>
  <c r="F82" i="2"/>
  <c r="D81" i="2"/>
  <c r="C82" i="2"/>
  <c r="J81" i="2"/>
  <c r="I82" i="2"/>
  <c r="AF76" i="2"/>
  <c r="Z78" i="2"/>
  <c r="Y78" i="2"/>
  <c r="W78" i="2"/>
  <c r="AP78" i="2"/>
  <c r="AM66" i="1"/>
  <c r="Q67" i="1"/>
  <c r="Y66" i="1" s="1"/>
  <c r="AN65" i="1"/>
  <c r="S65" i="1"/>
  <c r="R66" i="1"/>
  <c r="AM65" i="1"/>
  <c r="Z65" i="1"/>
  <c r="Y65" i="1"/>
  <c r="X65" i="1"/>
  <c r="W65" i="1"/>
  <c r="H69" i="1"/>
  <c r="I68" i="1"/>
  <c r="P68" i="1" s="1"/>
  <c r="Y64" i="1"/>
  <c r="W64" i="1"/>
  <c r="M69" i="1"/>
  <c r="N68" i="1"/>
  <c r="Z64" i="1"/>
  <c r="D70" i="1"/>
  <c r="C71" i="1"/>
  <c r="AE63" i="1" l="1"/>
  <c r="AD63" i="1"/>
  <c r="AF63" i="1"/>
  <c r="T65" i="1"/>
  <c r="AD64" i="1" s="1"/>
  <c r="AH77" i="2"/>
  <c r="AG77" i="2"/>
  <c r="AF77" i="2"/>
  <c r="AE77" i="2"/>
  <c r="C83" i="2"/>
  <c r="D82" i="2"/>
  <c r="F83" i="2"/>
  <c r="G82" i="2"/>
  <c r="AG76" i="2"/>
  <c r="Z79" i="2"/>
  <c r="Y79" i="2"/>
  <c r="X79" i="2"/>
  <c r="W79" i="2"/>
  <c r="AP79" i="2"/>
  <c r="I83" i="2"/>
  <c r="J82" i="2"/>
  <c r="AE76" i="2"/>
  <c r="AH76" i="2"/>
  <c r="M81" i="2"/>
  <c r="O81" i="2" s="1"/>
  <c r="L82" i="2"/>
  <c r="P80" i="2"/>
  <c r="X78" i="2"/>
  <c r="Q79" i="2"/>
  <c r="Q80" i="2" s="1"/>
  <c r="Q68" i="1"/>
  <c r="I69" i="1"/>
  <c r="H70" i="1"/>
  <c r="C72" i="1"/>
  <c r="D71" i="1"/>
  <c r="AN66" i="1"/>
  <c r="S66" i="1"/>
  <c r="R67" i="1"/>
  <c r="X67" i="1"/>
  <c r="W67" i="1"/>
  <c r="AM67" i="1"/>
  <c r="Z67" i="1"/>
  <c r="M70" i="1"/>
  <c r="N69" i="1"/>
  <c r="W66" i="1"/>
  <c r="X66" i="1"/>
  <c r="Z66" i="1"/>
  <c r="AC64" i="1" l="1"/>
  <c r="T66" i="1"/>
  <c r="AC65" i="1" s="1"/>
  <c r="AF64" i="1"/>
  <c r="AE64" i="1"/>
  <c r="BM80" i="2"/>
  <c r="AQ80" i="2"/>
  <c r="J83" i="2"/>
  <c r="I84" i="2"/>
  <c r="G83" i="2"/>
  <c r="F84" i="2"/>
  <c r="D83" i="2"/>
  <c r="C84" i="2"/>
  <c r="M82" i="2"/>
  <c r="O82" i="2" s="1"/>
  <c r="L83" i="2"/>
  <c r="BM79" i="2"/>
  <c r="R79" i="2"/>
  <c r="S79" i="2" s="1"/>
  <c r="AQ79" i="2"/>
  <c r="Z80" i="2"/>
  <c r="Y80" i="2"/>
  <c r="X80" i="2"/>
  <c r="W80" i="2"/>
  <c r="AP80" i="2"/>
  <c r="Q81" i="2"/>
  <c r="P81" i="2"/>
  <c r="S67" i="1"/>
  <c r="T67" i="1" s="1"/>
  <c r="AN67" i="1"/>
  <c r="H71" i="1"/>
  <c r="I70" i="1"/>
  <c r="AM68" i="1"/>
  <c r="D72" i="1"/>
  <c r="C73" i="1"/>
  <c r="P69" i="1"/>
  <c r="N70" i="1"/>
  <c r="M71" i="1"/>
  <c r="Y67" i="1"/>
  <c r="R68" i="1"/>
  <c r="AF65" i="1" l="1"/>
  <c r="AD65" i="1"/>
  <c r="AE65" i="1"/>
  <c r="BM81" i="2"/>
  <c r="R81" i="2"/>
  <c r="AQ81" i="2"/>
  <c r="Q82" i="2"/>
  <c r="P82" i="2"/>
  <c r="X81" i="2" s="1"/>
  <c r="F85" i="2"/>
  <c r="G84" i="2"/>
  <c r="I85" i="2"/>
  <c r="J84" i="2"/>
  <c r="AE78" i="2"/>
  <c r="AH78" i="2"/>
  <c r="AF78" i="2"/>
  <c r="AG78" i="2"/>
  <c r="M83" i="2"/>
  <c r="O83" i="2" s="1"/>
  <c r="L84" i="2"/>
  <c r="D84" i="2"/>
  <c r="C85" i="2"/>
  <c r="AP81" i="2"/>
  <c r="R80" i="2"/>
  <c r="R69" i="1"/>
  <c r="Q69" i="1"/>
  <c r="N71" i="1"/>
  <c r="M72" i="1"/>
  <c r="AC66" i="1"/>
  <c r="C74" i="1"/>
  <c r="D73" i="1"/>
  <c r="P70" i="1"/>
  <c r="I71" i="1"/>
  <c r="P71" i="1" s="1"/>
  <c r="H72" i="1"/>
  <c r="AE66" i="1"/>
  <c r="AF66" i="1"/>
  <c r="AN68" i="1"/>
  <c r="S68" i="1"/>
  <c r="T68" i="1" s="1"/>
  <c r="AD66" i="1"/>
  <c r="S80" i="2" l="1"/>
  <c r="S81" i="2" s="1"/>
  <c r="S82" i="2" s="1"/>
  <c r="Q83" i="2"/>
  <c r="P83" i="2"/>
  <c r="G85" i="2"/>
  <c r="F86" i="2"/>
  <c r="L85" i="2"/>
  <c r="M84" i="2"/>
  <c r="O84" i="2" s="1"/>
  <c r="AP82" i="2"/>
  <c r="Z82" i="2"/>
  <c r="Y82" i="2"/>
  <c r="X82" i="2"/>
  <c r="W82" i="2"/>
  <c r="AH79" i="2"/>
  <c r="J85" i="2"/>
  <c r="I86" i="2"/>
  <c r="W81" i="2"/>
  <c r="R82" i="2"/>
  <c r="BM82" i="2"/>
  <c r="AQ82" i="2"/>
  <c r="Y81" i="2"/>
  <c r="Z81" i="2"/>
  <c r="C86" i="2"/>
  <c r="D85" i="2"/>
  <c r="Q70" i="1"/>
  <c r="R70" i="1"/>
  <c r="R71" i="1" s="1"/>
  <c r="AD67" i="1"/>
  <c r="AE67" i="1"/>
  <c r="H73" i="1"/>
  <c r="I72" i="1"/>
  <c r="P72" i="1" s="1"/>
  <c r="C75" i="1"/>
  <c r="D74" i="1"/>
  <c r="AC67" i="1"/>
  <c r="AM69" i="1"/>
  <c r="W69" i="1"/>
  <c r="Z69" i="1"/>
  <c r="Y69" i="1"/>
  <c r="X69" i="1"/>
  <c r="Y68" i="1"/>
  <c r="Z68" i="1"/>
  <c r="W68" i="1"/>
  <c r="X68" i="1"/>
  <c r="Q71" i="1"/>
  <c r="AF67" i="1"/>
  <c r="M73" i="1"/>
  <c r="N72" i="1"/>
  <c r="AN69" i="1"/>
  <c r="S69" i="1"/>
  <c r="AE80" i="2" l="1"/>
  <c r="AF79" i="2"/>
  <c r="AG79" i="2"/>
  <c r="AE79" i="2"/>
  <c r="T69" i="1"/>
  <c r="AF68" i="1" s="1"/>
  <c r="Q84" i="2"/>
  <c r="P84" i="2"/>
  <c r="M85" i="2"/>
  <c r="O85" i="2" s="1"/>
  <c r="L86" i="2"/>
  <c r="AG80" i="2"/>
  <c r="AH80" i="2"/>
  <c r="AP83" i="2"/>
  <c r="Z83" i="2"/>
  <c r="Y83" i="2"/>
  <c r="X83" i="2"/>
  <c r="W83" i="2"/>
  <c r="AH81" i="2"/>
  <c r="AG81" i="2"/>
  <c r="AF81" i="2"/>
  <c r="AE81" i="2"/>
  <c r="D86" i="2"/>
  <c r="C87" i="2"/>
  <c r="AF80" i="2"/>
  <c r="G86" i="2"/>
  <c r="F87" i="2"/>
  <c r="I87" i="2"/>
  <c r="J86" i="2"/>
  <c r="R83" i="2"/>
  <c r="S83" i="2" s="1"/>
  <c r="BM83" i="2"/>
  <c r="AQ83" i="2"/>
  <c r="AN71" i="1"/>
  <c r="Q72" i="1"/>
  <c r="R72" i="1" s="1"/>
  <c r="C76" i="1"/>
  <c r="D75" i="1"/>
  <c r="M74" i="1"/>
  <c r="N73" i="1"/>
  <c r="AM70" i="1"/>
  <c r="Z70" i="1"/>
  <c r="Y70" i="1"/>
  <c r="X70" i="1"/>
  <c r="W70" i="1"/>
  <c r="H74" i="1"/>
  <c r="I73" i="1"/>
  <c r="P73" i="1" s="1"/>
  <c r="AN70" i="1"/>
  <c r="S70" i="1"/>
  <c r="Z71" i="1"/>
  <c r="Y71" i="1"/>
  <c r="X71" i="1"/>
  <c r="W71" i="1"/>
  <c r="AM71" i="1"/>
  <c r="AE68" i="1" l="1"/>
  <c r="AC68" i="1"/>
  <c r="AD68" i="1"/>
  <c r="T70" i="1"/>
  <c r="AD69" i="1" s="1"/>
  <c r="D87" i="2"/>
  <c r="C88" i="2"/>
  <c r="L87" i="2"/>
  <c r="M86" i="2"/>
  <c r="O86" i="2" s="1"/>
  <c r="Q85" i="2"/>
  <c r="P85" i="2"/>
  <c r="X84" i="2"/>
  <c r="W84" i="2"/>
  <c r="AP84" i="2"/>
  <c r="Z84" i="2"/>
  <c r="Y84" i="2"/>
  <c r="AG82" i="2"/>
  <c r="AF82" i="2"/>
  <c r="AE82" i="2"/>
  <c r="AH82" i="2"/>
  <c r="J87" i="2"/>
  <c r="I88" i="2"/>
  <c r="F88" i="2"/>
  <c r="G87" i="2"/>
  <c r="R84" i="2"/>
  <c r="S84" i="2" s="1"/>
  <c r="BM84" i="2"/>
  <c r="AQ84" i="2"/>
  <c r="S72" i="1"/>
  <c r="T72" i="1" s="1"/>
  <c r="AN72" i="1"/>
  <c r="M75" i="1"/>
  <c r="N74" i="1"/>
  <c r="I74" i="1"/>
  <c r="P74" i="1" s="1"/>
  <c r="H75" i="1"/>
  <c r="C77" i="1"/>
  <c r="D76" i="1"/>
  <c r="Q73" i="1"/>
  <c r="X72" i="1"/>
  <c r="AM72" i="1"/>
  <c r="Z72" i="1"/>
  <c r="Y72" i="1"/>
  <c r="S71" i="1"/>
  <c r="AE83" i="2" l="1"/>
  <c r="AG83" i="2"/>
  <c r="AF83" i="2"/>
  <c r="AH83" i="2"/>
  <c r="T71" i="1"/>
  <c r="AF70" i="1" s="1"/>
  <c r="AE69" i="1"/>
  <c r="AF69" i="1"/>
  <c r="AC69" i="1"/>
  <c r="AC70" i="1"/>
  <c r="AD70" i="1"/>
  <c r="C89" i="2"/>
  <c r="D88" i="2"/>
  <c r="AP85" i="2"/>
  <c r="AQ85" i="2"/>
  <c r="R85" i="2"/>
  <c r="S85" i="2" s="1"/>
  <c r="BM85" i="2"/>
  <c r="Q86" i="2"/>
  <c r="P86" i="2"/>
  <c r="M87" i="2"/>
  <c r="O87" i="2" s="1"/>
  <c r="L88" i="2"/>
  <c r="G88" i="2"/>
  <c r="F89" i="2"/>
  <c r="J88" i="2"/>
  <c r="I89" i="2"/>
  <c r="AM73" i="1"/>
  <c r="R73" i="1"/>
  <c r="Q74" i="1"/>
  <c r="Y73" i="1" s="1"/>
  <c r="M76" i="1"/>
  <c r="N75" i="1"/>
  <c r="W72" i="1"/>
  <c r="D77" i="1"/>
  <c r="C78" i="1"/>
  <c r="H76" i="1"/>
  <c r="I75" i="1"/>
  <c r="P75" i="1" s="1"/>
  <c r="AE70" i="1" l="1"/>
  <c r="AD71" i="1"/>
  <c r="AC71" i="1"/>
  <c r="AE71" i="1"/>
  <c r="AF71" i="1"/>
  <c r="AQ86" i="2"/>
  <c r="R86" i="2"/>
  <c r="BM86" i="2"/>
  <c r="F90" i="2"/>
  <c r="G89" i="2"/>
  <c r="L89" i="2"/>
  <c r="M88" i="2"/>
  <c r="O88" i="2" s="1"/>
  <c r="Z86" i="2"/>
  <c r="Y86" i="2"/>
  <c r="X86" i="2"/>
  <c r="W86" i="2"/>
  <c r="AP86" i="2"/>
  <c r="Y85" i="2"/>
  <c r="Z85" i="2"/>
  <c r="C90" i="2"/>
  <c r="D89" i="2"/>
  <c r="AG84" i="2"/>
  <c r="P87" i="2"/>
  <c r="X85" i="2"/>
  <c r="W85" i="2"/>
  <c r="AE84" i="2"/>
  <c r="AF84" i="2"/>
  <c r="I90" i="2"/>
  <c r="J89" i="2"/>
  <c r="AH84" i="2"/>
  <c r="C79" i="1"/>
  <c r="D78" i="1"/>
  <c r="AN73" i="1"/>
  <c r="S73" i="1"/>
  <c r="T73" i="1" s="1"/>
  <c r="Q75" i="1"/>
  <c r="R74" i="1"/>
  <c r="W73" i="1"/>
  <c r="I76" i="1"/>
  <c r="P76" i="1" s="1"/>
  <c r="H77" i="1"/>
  <c r="M77" i="1"/>
  <c r="N76" i="1"/>
  <c r="AM74" i="1"/>
  <c r="Z74" i="1"/>
  <c r="W74" i="1"/>
  <c r="Y74" i="1"/>
  <c r="X74" i="1"/>
  <c r="X73" i="1"/>
  <c r="Z73" i="1"/>
  <c r="S86" i="2" l="1"/>
  <c r="AH85" i="2" s="1"/>
  <c r="R75" i="1"/>
  <c r="AF85" i="2"/>
  <c r="AG85" i="2"/>
  <c r="AC72" i="1"/>
  <c r="AF72" i="1"/>
  <c r="P88" i="2"/>
  <c r="M89" i="2"/>
  <c r="O89" i="2" s="1"/>
  <c r="L90" i="2"/>
  <c r="G90" i="2"/>
  <c r="F91" i="2"/>
  <c r="D90" i="2"/>
  <c r="C91" i="2"/>
  <c r="J90" i="2"/>
  <c r="I91" i="2"/>
  <c r="AP87" i="2"/>
  <c r="Y87" i="2"/>
  <c r="X87" i="2"/>
  <c r="W87" i="2"/>
  <c r="Z87" i="2"/>
  <c r="Q87" i="2"/>
  <c r="AN75" i="1"/>
  <c r="Q76" i="1"/>
  <c r="R76" i="1"/>
  <c r="H78" i="1"/>
  <c r="I77" i="1"/>
  <c r="AM75" i="1"/>
  <c r="Z75" i="1"/>
  <c r="X75" i="1"/>
  <c r="Y75" i="1"/>
  <c r="W75" i="1"/>
  <c r="D79" i="1"/>
  <c r="C80" i="1"/>
  <c r="N77" i="1"/>
  <c r="M78" i="1"/>
  <c r="AN74" i="1"/>
  <c r="S74" i="1"/>
  <c r="T74" i="1" s="1"/>
  <c r="AD72" i="1"/>
  <c r="AE72" i="1"/>
  <c r="AE85" i="2" l="1"/>
  <c r="AD73" i="1"/>
  <c r="J91" i="2"/>
  <c r="I92" i="2"/>
  <c r="AP88" i="2"/>
  <c r="BM87" i="2"/>
  <c r="AQ87" i="2"/>
  <c r="R87" i="2"/>
  <c r="S87" i="2" s="1"/>
  <c r="C92" i="2"/>
  <c r="D91" i="2"/>
  <c r="F92" i="2"/>
  <c r="G91" i="2"/>
  <c r="M90" i="2"/>
  <c r="O90" i="2" s="1"/>
  <c r="L91" i="2"/>
  <c r="P89" i="2"/>
  <c r="Y88" i="2" s="1"/>
  <c r="Q88" i="2"/>
  <c r="Q89" i="2" s="1"/>
  <c r="AE73" i="1"/>
  <c r="M79" i="1"/>
  <c r="N78" i="1"/>
  <c r="D80" i="1"/>
  <c r="C81" i="1"/>
  <c r="H79" i="1"/>
  <c r="I78" i="1"/>
  <c r="P78" i="1" s="1"/>
  <c r="S75" i="1"/>
  <c r="T75" i="1" s="1"/>
  <c r="AC73" i="1"/>
  <c r="P77" i="1"/>
  <c r="AN76" i="1"/>
  <c r="S76" i="1"/>
  <c r="AM76" i="1"/>
  <c r="AF73" i="1"/>
  <c r="T76" i="1" l="1"/>
  <c r="AF74" i="1"/>
  <c r="BM89" i="2"/>
  <c r="AQ89" i="2"/>
  <c r="AG86" i="2"/>
  <c r="AH86" i="2"/>
  <c r="AE86" i="2"/>
  <c r="AF86" i="2"/>
  <c r="BM88" i="2"/>
  <c r="AQ88" i="2"/>
  <c r="R88" i="2"/>
  <c r="S88" i="2" s="1"/>
  <c r="P90" i="2"/>
  <c r="Q90" i="2"/>
  <c r="G92" i="2"/>
  <c r="F93" i="2"/>
  <c r="W88" i="2"/>
  <c r="Z89" i="2"/>
  <c r="AP89" i="2"/>
  <c r="M91" i="2"/>
  <c r="O91" i="2" s="1"/>
  <c r="L92" i="2"/>
  <c r="D92" i="2"/>
  <c r="C93" i="2"/>
  <c r="X88" i="2"/>
  <c r="Z88" i="2"/>
  <c r="I93" i="2"/>
  <c r="J92" i="2"/>
  <c r="Q78" i="1"/>
  <c r="I79" i="1"/>
  <c r="H80" i="1"/>
  <c r="AC74" i="1"/>
  <c r="R77" i="1"/>
  <c r="Q77" i="1"/>
  <c r="N79" i="1"/>
  <c r="M80" i="1"/>
  <c r="AF75" i="1"/>
  <c r="AE75" i="1"/>
  <c r="AD75" i="1"/>
  <c r="AC75" i="1"/>
  <c r="AD74" i="1"/>
  <c r="AE74" i="1"/>
  <c r="C82" i="1"/>
  <c r="D81" i="1"/>
  <c r="F94" i="2" l="1"/>
  <c r="G93" i="2"/>
  <c r="BM90" i="2"/>
  <c r="AQ90" i="2"/>
  <c r="R90" i="2"/>
  <c r="S90" i="2" s="1"/>
  <c r="AF87" i="2"/>
  <c r="Z90" i="2"/>
  <c r="W90" i="2"/>
  <c r="AP90" i="2"/>
  <c r="Y90" i="2"/>
  <c r="X90" i="2"/>
  <c r="I94" i="2"/>
  <c r="J93" i="2"/>
  <c r="C94" i="2"/>
  <c r="D93" i="2"/>
  <c r="M92" i="2"/>
  <c r="O92" i="2" s="1"/>
  <c r="L93" i="2"/>
  <c r="AE87" i="2"/>
  <c r="AG87" i="2"/>
  <c r="AH87" i="2"/>
  <c r="Q91" i="2"/>
  <c r="P91" i="2"/>
  <c r="W89" i="2"/>
  <c r="R89" i="2"/>
  <c r="S89" i="2" s="1"/>
  <c r="X89" i="2"/>
  <c r="Y89" i="2"/>
  <c r="AN77" i="1"/>
  <c r="S77" i="1"/>
  <c r="T77" i="1" s="1"/>
  <c r="M81" i="1"/>
  <c r="N80" i="1"/>
  <c r="AM77" i="1"/>
  <c r="Z77" i="1"/>
  <c r="Y77" i="1"/>
  <c r="X77" i="1"/>
  <c r="W77" i="1"/>
  <c r="X76" i="1"/>
  <c r="W76" i="1"/>
  <c r="Y76" i="1"/>
  <c r="Z76" i="1"/>
  <c r="P79" i="1"/>
  <c r="H81" i="1"/>
  <c r="I80" i="1"/>
  <c r="P80" i="1" s="1"/>
  <c r="AM78" i="1"/>
  <c r="D82" i="1"/>
  <c r="C83" i="1"/>
  <c r="R78" i="1"/>
  <c r="Q92" i="2" l="1"/>
  <c r="P92" i="2"/>
  <c r="AH89" i="2"/>
  <c r="AG89" i="2"/>
  <c r="AF89" i="2"/>
  <c r="AE89" i="2"/>
  <c r="AG88" i="2"/>
  <c r="D94" i="2"/>
  <c r="C95" i="2"/>
  <c r="J94" i="2"/>
  <c r="I95" i="2"/>
  <c r="R91" i="2"/>
  <c r="BM91" i="2"/>
  <c r="AQ91" i="2"/>
  <c r="Z91" i="2"/>
  <c r="Y91" i="2"/>
  <c r="W91" i="2"/>
  <c r="AP91" i="2"/>
  <c r="AF88" i="2"/>
  <c r="AH88" i="2"/>
  <c r="AE88" i="2"/>
  <c r="M93" i="2"/>
  <c r="O93" i="2" s="1"/>
  <c r="L94" i="2"/>
  <c r="G94" i="2"/>
  <c r="F95" i="2"/>
  <c r="I81" i="1"/>
  <c r="H82" i="1"/>
  <c r="Q80" i="1"/>
  <c r="S78" i="1"/>
  <c r="T78" i="1" s="1"/>
  <c r="AN78" i="1"/>
  <c r="N81" i="1"/>
  <c r="M82" i="1"/>
  <c r="R79" i="1"/>
  <c r="Q79" i="1"/>
  <c r="AF76" i="1"/>
  <c r="AE76" i="1"/>
  <c r="AC76" i="1"/>
  <c r="AD76" i="1"/>
  <c r="C84" i="1"/>
  <c r="D83" i="1"/>
  <c r="S91" i="2" l="1"/>
  <c r="S92" i="2" s="1"/>
  <c r="AD77" i="1"/>
  <c r="AC77" i="1"/>
  <c r="I96" i="2"/>
  <c r="J95" i="2"/>
  <c r="AH90" i="2"/>
  <c r="M94" i="2"/>
  <c r="O94" i="2" s="1"/>
  <c r="L95" i="2"/>
  <c r="AG90" i="2"/>
  <c r="C96" i="2"/>
  <c r="D95" i="2"/>
  <c r="P93" i="2"/>
  <c r="Y92" i="2" s="1"/>
  <c r="AP92" i="2"/>
  <c r="Z92" i="2"/>
  <c r="X92" i="2"/>
  <c r="W92" i="2"/>
  <c r="AE90" i="2"/>
  <c r="F96" i="2"/>
  <c r="G95" i="2"/>
  <c r="X91" i="2"/>
  <c r="R92" i="2"/>
  <c r="BM92" i="2"/>
  <c r="AQ92" i="2"/>
  <c r="AF77" i="1"/>
  <c r="D84" i="1"/>
  <c r="C85" i="1"/>
  <c r="AE77" i="1"/>
  <c r="X79" i="1"/>
  <c r="W79" i="1"/>
  <c r="Z79" i="1"/>
  <c r="Y79" i="1"/>
  <c r="AM79" i="1"/>
  <c r="W78" i="1"/>
  <c r="Y78" i="1"/>
  <c r="X78" i="1"/>
  <c r="Z78" i="1"/>
  <c r="AM80" i="1"/>
  <c r="S79" i="1"/>
  <c r="T79" i="1" s="1"/>
  <c r="AN79" i="1"/>
  <c r="M83" i="1"/>
  <c r="N82" i="1"/>
  <c r="R80" i="1"/>
  <c r="H83" i="1"/>
  <c r="I82" i="1"/>
  <c r="P82" i="1" s="1"/>
  <c r="P81" i="1"/>
  <c r="AE91" i="2" l="1"/>
  <c r="AF90" i="2"/>
  <c r="L96" i="2"/>
  <c r="M95" i="2"/>
  <c r="O95" i="2" s="1"/>
  <c r="J96" i="2"/>
  <c r="I97" i="2"/>
  <c r="AP93" i="2"/>
  <c r="P94" i="2"/>
  <c r="W93" i="2" s="1"/>
  <c r="AH91" i="2"/>
  <c r="Q93" i="2"/>
  <c r="C97" i="2"/>
  <c r="D96" i="2"/>
  <c r="AG91" i="2"/>
  <c r="G96" i="2"/>
  <c r="F97" i="2"/>
  <c r="AF91" i="2"/>
  <c r="Q81" i="1"/>
  <c r="R81" i="1" s="1"/>
  <c r="AE78" i="1"/>
  <c r="AF78" i="1"/>
  <c r="AD78" i="1"/>
  <c r="S80" i="1"/>
  <c r="T80" i="1" s="1"/>
  <c r="AN80" i="1"/>
  <c r="D85" i="1"/>
  <c r="C86" i="1"/>
  <c r="I83" i="1"/>
  <c r="H84" i="1"/>
  <c r="AC78" i="1"/>
  <c r="Q82" i="1"/>
  <c r="N83" i="1"/>
  <c r="M84" i="1"/>
  <c r="R93" i="2" l="1"/>
  <c r="S93" i="2" s="1"/>
  <c r="BM93" i="2"/>
  <c r="AQ93" i="2"/>
  <c r="Y93" i="2"/>
  <c r="D97" i="2"/>
  <c r="C98" i="2"/>
  <c r="Q94" i="2"/>
  <c r="I98" i="2"/>
  <c r="J97" i="2"/>
  <c r="F98" i="2"/>
  <c r="G97" i="2"/>
  <c r="AP94" i="2"/>
  <c r="X93" i="2"/>
  <c r="Z93" i="2"/>
  <c r="P95" i="2"/>
  <c r="Y94" i="2" s="1"/>
  <c r="Q95" i="2"/>
  <c r="M96" i="2"/>
  <c r="O96" i="2" s="1"/>
  <c r="L97" i="2"/>
  <c r="AN81" i="1"/>
  <c r="S81" i="1"/>
  <c r="AM82" i="1"/>
  <c r="I84" i="1"/>
  <c r="H85" i="1"/>
  <c r="R82" i="1"/>
  <c r="AE79" i="1"/>
  <c r="P83" i="1"/>
  <c r="C87" i="1"/>
  <c r="D86" i="1"/>
  <c r="Z81" i="1"/>
  <c r="Y81" i="1"/>
  <c r="X81" i="1"/>
  <c r="W81" i="1"/>
  <c r="AM81" i="1"/>
  <c r="Z80" i="1"/>
  <c r="W80" i="1"/>
  <c r="X80" i="1"/>
  <c r="Y80" i="1"/>
  <c r="AC79" i="1"/>
  <c r="AD79" i="1"/>
  <c r="M85" i="1"/>
  <c r="N84" i="1"/>
  <c r="AF79" i="1"/>
  <c r="T81" i="1" l="1"/>
  <c r="AE80" i="1" s="1"/>
  <c r="AF80" i="1"/>
  <c r="BM95" i="2"/>
  <c r="AQ95" i="2"/>
  <c r="X95" i="2"/>
  <c r="W95" i="2"/>
  <c r="AP95" i="2"/>
  <c r="Z95" i="2"/>
  <c r="W94" i="2"/>
  <c r="X94" i="2"/>
  <c r="F99" i="2"/>
  <c r="G98" i="2"/>
  <c r="J98" i="2"/>
  <c r="I99" i="2"/>
  <c r="L98" i="2"/>
  <c r="M97" i="2"/>
  <c r="O97" i="2" s="1"/>
  <c r="Z94" i="2"/>
  <c r="AQ94" i="2"/>
  <c r="R94" i="2"/>
  <c r="S94" i="2" s="1"/>
  <c r="BM94" i="2"/>
  <c r="C99" i="2"/>
  <c r="D98" i="2"/>
  <c r="P96" i="2"/>
  <c r="Y95" i="2" s="1"/>
  <c r="AF92" i="2"/>
  <c r="AH92" i="2"/>
  <c r="AE92" i="2"/>
  <c r="AG92" i="2"/>
  <c r="H86" i="1"/>
  <c r="I85" i="1"/>
  <c r="P84" i="1"/>
  <c r="D87" i="1"/>
  <c r="C88" i="1"/>
  <c r="AN82" i="1"/>
  <c r="S82" i="1"/>
  <c r="R83" i="1"/>
  <c r="Q83" i="1"/>
  <c r="M86" i="1"/>
  <c r="N85" i="1"/>
  <c r="AD80" i="1" l="1"/>
  <c r="AC80" i="1"/>
  <c r="T82" i="1"/>
  <c r="AE81" i="1" s="1"/>
  <c r="M98" i="2"/>
  <c r="O98" i="2" s="1"/>
  <c r="L99" i="2"/>
  <c r="I100" i="2"/>
  <c r="J99" i="2"/>
  <c r="G99" i="2"/>
  <c r="F100" i="2"/>
  <c r="AE93" i="2"/>
  <c r="AF93" i="2"/>
  <c r="AG93" i="2"/>
  <c r="AH93" i="2"/>
  <c r="Q97" i="2"/>
  <c r="P97" i="2"/>
  <c r="AP96" i="2"/>
  <c r="X96" i="2"/>
  <c r="W96" i="2"/>
  <c r="Z96" i="2"/>
  <c r="Q96" i="2"/>
  <c r="C100" i="2"/>
  <c r="D99" i="2"/>
  <c r="R95" i="2"/>
  <c r="S95" i="2" s="1"/>
  <c r="AM83" i="1"/>
  <c r="Z82" i="1"/>
  <c r="X82" i="1"/>
  <c r="W82" i="1"/>
  <c r="Y82" i="1"/>
  <c r="N86" i="1"/>
  <c r="M87" i="1"/>
  <c r="AN83" i="1"/>
  <c r="S83" i="1"/>
  <c r="D88" i="1"/>
  <c r="C89" i="1"/>
  <c r="Q84" i="1"/>
  <c r="Y83" i="1" s="1"/>
  <c r="P85" i="1"/>
  <c r="I86" i="1"/>
  <c r="H87" i="1"/>
  <c r="AF81" i="1" l="1"/>
  <c r="AD81" i="1"/>
  <c r="AC81" i="1"/>
  <c r="T83" i="1"/>
  <c r="AF82" i="1" s="1"/>
  <c r="L100" i="2"/>
  <c r="M99" i="2"/>
  <c r="O99" i="2" s="1"/>
  <c r="C101" i="2"/>
  <c r="D100" i="2"/>
  <c r="AQ97" i="2"/>
  <c r="BM97" i="2"/>
  <c r="AF94" i="2"/>
  <c r="AG94" i="2"/>
  <c r="Z97" i="2"/>
  <c r="Y97" i="2"/>
  <c r="X97" i="2"/>
  <c r="W97" i="2"/>
  <c r="AP97" i="2"/>
  <c r="F101" i="2"/>
  <c r="G100" i="2"/>
  <c r="I101" i="2"/>
  <c r="J100" i="2"/>
  <c r="P98" i="2"/>
  <c r="Q98" i="2"/>
  <c r="AE94" i="2"/>
  <c r="BM96" i="2"/>
  <c r="AQ96" i="2"/>
  <c r="R96" i="2"/>
  <c r="S96" i="2" s="1"/>
  <c r="Y96" i="2"/>
  <c r="AH94" i="2"/>
  <c r="N87" i="1"/>
  <c r="M88" i="1"/>
  <c r="I87" i="1"/>
  <c r="P87" i="1" s="1"/>
  <c r="H88" i="1"/>
  <c r="Q85" i="1"/>
  <c r="Y84" i="1" s="1"/>
  <c r="X83" i="1"/>
  <c r="W83" i="1"/>
  <c r="D89" i="1"/>
  <c r="C90" i="1"/>
  <c r="P86" i="1"/>
  <c r="X84" i="1"/>
  <c r="W84" i="1"/>
  <c r="AM84" i="1"/>
  <c r="R84" i="1"/>
  <c r="Z83" i="1"/>
  <c r="AE82" i="1" l="1"/>
  <c r="AC82" i="1"/>
  <c r="AD82" i="1"/>
  <c r="AF95" i="2"/>
  <c r="AH95" i="2"/>
  <c r="AE95" i="2"/>
  <c r="R97" i="2"/>
  <c r="S97" i="2" s="1"/>
  <c r="Q99" i="2"/>
  <c r="P99" i="2"/>
  <c r="G101" i="2"/>
  <c r="F102" i="2"/>
  <c r="AG95" i="2"/>
  <c r="BM98" i="2"/>
  <c r="AQ98" i="2"/>
  <c r="R98" i="2"/>
  <c r="S98" i="2" s="1"/>
  <c r="AP98" i="2"/>
  <c r="Z98" i="2"/>
  <c r="Y98" i="2"/>
  <c r="X98" i="2"/>
  <c r="D101" i="2"/>
  <c r="C102" i="2"/>
  <c r="J101" i="2"/>
  <c r="I102" i="2"/>
  <c r="M100" i="2"/>
  <c r="O100" i="2" s="1"/>
  <c r="L101" i="2"/>
  <c r="Q86" i="1"/>
  <c r="D90" i="1"/>
  <c r="C91" i="1"/>
  <c r="R85" i="1"/>
  <c r="N88" i="1"/>
  <c r="M89" i="1"/>
  <c r="Q87" i="1"/>
  <c r="R87" i="1" s="1"/>
  <c r="AM85" i="1"/>
  <c r="Z85" i="1"/>
  <c r="X85" i="1"/>
  <c r="W85" i="1"/>
  <c r="Y85" i="1"/>
  <c r="I88" i="1"/>
  <c r="P88" i="1" s="1"/>
  <c r="H89" i="1"/>
  <c r="S84" i="1"/>
  <c r="T84" i="1" s="1"/>
  <c r="AN84" i="1"/>
  <c r="Z84" i="1"/>
  <c r="AH97" i="2" l="1"/>
  <c r="AG97" i="2"/>
  <c r="AF97" i="2"/>
  <c r="AE97" i="2"/>
  <c r="BM99" i="2"/>
  <c r="AQ99" i="2"/>
  <c r="R99" i="2"/>
  <c r="Q100" i="2"/>
  <c r="P100" i="2"/>
  <c r="I103" i="2"/>
  <c r="J102" i="2"/>
  <c r="Z99" i="2"/>
  <c r="Y99" i="2"/>
  <c r="X99" i="2"/>
  <c r="AP99" i="2"/>
  <c r="W99" i="2"/>
  <c r="AF96" i="2"/>
  <c r="F103" i="2"/>
  <c r="G102" i="2"/>
  <c r="L102" i="2"/>
  <c r="M101" i="2"/>
  <c r="O101" i="2" s="1"/>
  <c r="AE96" i="2"/>
  <c r="C103" i="2"/>
  <c r="D102" i="2"/>
  <c r="AG96" i="2"/>
  <c r="W98" i="2"/>
  <c r="AH96" i="2"/>
  <c r="AN87" i="1"/>
  <c r="S87" i="1"/>
  <c r="Q88" i="1"/>
  <c r="I89" i="1"/>
  <c r="H90" i="1"/>
  <c r="AN85" i="1"/>
  <c r="S85" i="1"/>
  <c r="AM86" i="1"/>
  <c r="Y86" i="1"/>
  <c r="X86" i="1"/>
  <c r="W86" i="1"/>
  <c r="Z86" i="1"/>
  <c r="AD83" i="1"/>
  <c r="AF83" i="1"/>
  <c r="AC83" i="1"/>
  <c r="AE83" i="1"/>
  <c r="AM87" i="1"/>
  <c r="X87" i="1"/>
  <c r="W87" i="1"/>
  <c r="M90" i="1"/>
  <c r="N89" i="1"/>
  <c r="C92" i="1"/>
  <c r="D91" i="1"/>
  <c r="R86" i="1"/>
  <c r="S99" i="2" l="1"/>
  <c r="AG98" i="2" s="1"/>
  <c r="T85" i="1"/>
  <c r="AF84" i="1" s="1"/>
  <c r="R100" i="2"/>
  <c r="S100" i="2" s="1"/>
  <c r="BM100" i="2"/>
  <c r="AQ100" i="2"/>
  <c r="I104" i="2"/>
  <c r="J103" i="2"/>
  <c r="AF99" i="2"/>
  <c r="AE99" i="2"/>
  <c r="AH99" i="2"/>
  <c r="AG99" i="2"/>
  <c r="D103" i="2"/>
  <c r="C104" i="2"/>
  <c r="AE98" i="2"/>
  <c r="AH98" i="2"/>
  <c r="L103" i="2"/>
  <c r="M102" i="2"/>
  <c r="O102" i="2" s="1"/>
  <c r="AP100" i="2"/>
  <c r="Z100" i="2"/>
  <c r="Y100" i="2"/>
  <c r="X100" i="2"/>
  <c r="W100" i="2"/>
  <c r="AF98" i="2"/>
  <c r="Q101" i="2"/>
  <c r="P101" i="2"/>
  <c r="G103" i="2"/>
  <c r="F104" i="2"/>
  <c r="D92" i="1"/>
  <c r="C93" i="1"/>
  <c r="AN86" i="1"/>
  <c r="S86" i="1"/>
  <c r="H91" i="1"/>
  <c r="I90" i="1"/>
  <c r="AM88" i="1"/>
  <c r="M91" i="1"/>
  <c r="N90" i="1"/>
  <c r="R88" i="1"/>
  <c r="P89" i="1"/>
  <c r="Y87" i="1"/>
  <c r="Z87" i="1"/>
  <c r="AC84" i="1" l="1"/>
  <c r="T86" i="1"/>
  <c r="AE85" i="1" s="1"/>
  <c r="AE84" i="1"/>
  <c r="AD84" i="1"/>
  <c r="T87" i="1"/>
  <c r="AF86" i="1" s="1"/>
  <c r="AF85" i="1"/>
  <c r="AC85" i="1"/>
  <c r="AD85" i="1"/>
  <c r="AP101" i="2"/>
  <c r="F105" i="2"/>
  <c r="G104" i="2"/>
  <c r="BM101" i="2"/>
  <c r="AQ101" i="2"/>
  <c r="R101" i="2"/>
  <c r="S101" i="2" s="1"/>
  <c r="AG100" i="2" s="1"/>
  <c r="Q102" i="2"/>
  <c r="P102" i="2"/>
  <c r="X101" i="2" s="1"/>
  <c r="M103" i="2"/>
  <c r="O103" i="2" s="1"/>
  <c r="L104" i="2"/>
  <c r="D104" i="2"/>
  <c r="C105" i="2"/>
  <c r="I105" i="2"/>
  <c r="J104" i="2"/>
  <c r="N91" i="1"/>
  <c r="M92" i="1"/>
  <c r="I91" i="1"/>
  <c r="P91" i="1" s="1"/>
  <c r="H92" i="1"/>
  <c r="D93" i="1"/>
  <c r="C94" i="1"/>
  <c r="P90" i="1"/>
  <c r="AN88" i="1"/>
  <c r="S88" i="1"/>
  <c r="Q89" i="1"/>
  <c r="AC86" i="1" l="1"/>
  <c r="AE86" i="1"/>
  <c r="AD86" i="1"/>
  <c r="AE100" i="2"/>
  <c r="T88" i="1"/>
  <c r="AE87" i="1" s="1"/>
  <c r="Q103" i="2"/>
  <c r="P103" i="2"/>
  <c r="J105" i="2"/>
  <c r="I106" i="2"/>
  <c r="D105" i="2"/>
  <c r="C106" i="2"/>
  <c r="R102" i="2"/>
  <c r="BM102" i="2"/>
  <c r="AQ102" i="2"/>
  <c r="Y101" i="2"/>
  <c r="L105" i="2"/>
  <c r="M104" i="2"/>
  <c r="O104" i="2" s="1"/>
  <c r="Z102" i="2"/>
  <c r="Y102" i="2"/>
  <c r="X102" i="2"/>
  <c r="AP102" i="2"/>
  <c r="G105" i="2"/>
  <c r="F106" i="2"/>
  <c r="W101" i="2"/>
  <c r="AF100" i="2"/>
  <c r="AH100" i="2"/>
  <c r="Z101" i="2"/>
  <c r="AM89" i="1"/>
  <c r="X88" i="1"/>
  <c r="Z88" i="1"/>
  <c r="W88" i="1"/>
  <c r="Y88" i="1"/>
  <c r="R89" i="1"/>
  <c r="Q91" i="1"/>
  <c r="R90" i="1"/>
  <c r="Q90" i="1"/>
  <c r="W89" i="1" s="1"/>
  <c r="I92" i="1"/>
  <c r="P92" i="1" s="1"/>
  <c r="H93" i="1"/>
  <c r="N92" i="1"/>
  <c r="M93" i="1"/>
  <c r="C95" i="1"/>
  <c r="D94" i="1"/>
  <c r="AC87" i="1" l="1"/>
  <c r="S102" i="2"/>
  <c r="AE101" i="2" s="1"/>
  <c r="AF87" i="1"/>
  <c r="AD87" i="1"/>
  <c r="G106" i="2"/>
  <c r="F107" i="2"/>
  <c r="P104" i="2"/>
  <c r="AF101" i="2"/>
  <c r="AH101" i="2"/>
  <c r="I107" i="2"/>
  <c r="J106" i="2"/>
  <c r="AP103" i="2"/>
  <c r="Z103" i="2"/>
  <c r="W103" i="2"/>
  <c r="Y103" i="2"/>
  <c r="X103" i="2"/>
  <c r="L106" i="2"/>
  <c r="M105" i="2"/>
  <c r="O105" i="2" s="1"/>
  <c r="D106" i="2"/>
  <c r="C107" i="2"/>
  <c r="W102" i="2"/>
  <c r="R103" i="2"/>
  <c r="BM103" i="2"/>
  <c r="AQ103" i="2"/>
  <c r="AN90" i="1"/>
  <c r="Q92" i="1"/>
  <c r="AM91" i="1"/>
  <c r="Z91" i="1"/>
  <c r="Y91" i="1"/>
  <c r="X91" i="1"/>
  <c r="W91" i="1"/>
  <c r="N93" i="1"/>
  <c r="M94" i="1"/>
  <c r="R91" i="1"/>
  <c r="Z89" i="1"/>
  <c r="I93" i="1"/>
  <c r="P93" i="1" s="1"/>
  <c r="H94" i="1"/>
  <c r="S89" i="1"/>
  <c r="T89" i="1" s="1"/>
  <c r="AN89" i="1"/>
  <c r="Z90" i="1"/>
  <c r="Y90" i="1"/>
  <c r="X90" i="1"/>
  <c r="W90" i="1"/>
  <c r="AM90" i="1"/>
  <c r="C96" i="1"/>
  <c r="D95" i="1"/>
  <c r="Y89" i="1"/>
  <c r="X89" i="1"/>
  <c r="S103" i="2" l="1"/>
  <c r="AF102" i="2" s="1"/>
  <c r="AG101" i="2"/>
  <c r="AP104" i="2"/>
  <c r="G107" i="2"/>
  <c r="F108" i="2"/>
  <c r="P105" i="2"/>
  <c r="L107" i="2"/>
  <c r="M106" i="2"/>
  <c r="O106" i="2" s="1"/>
  <c r="J107" i="2"/>
  <c r="I108" i="2"/>
  <c r="Q104" i="2"/>
  <c r="AH102" i="2"/>
  <c r="AE102" i="2"/>
  <c r="D107" i="2"/>
  <c r="C108" i="2"/>
  <c r="AG102" i="2"/>
  <c r="AN91" i="1"/>
  <c r="AC88" i="1"/>
  <c r="AF88" i="1"/>
  <c r="AE88" i="1"/>
  <c r="AD88" i="1"/>
  <c r="I94" i="1"/>
  <c r="H95" i="1"/>
  <c r="M95" i="1"/>
  <c r="N94" i="1"/>
  <c r="AM92" i="1"/>
  <c r="Z92" i="1"/>
  <c r="Y92" i="1"/>
  <c r="X92" i="1"/>
  <c r="W92" i="1"/>
  <c r="Q93" i="1"/>
  <c r="C97" i="1"/>
  <c r="D96" i="1"/>
  <c r="R92" i="1"/>
  <c r="S90" i="1"/>
  <c r="T90" i="1" l="1"/>
  <c r="AC89" i="1" s="1"/>
  <c r="R104" i="2"/>
  <c r="S104" i="2" s="1"/>
  <c r="AQ104" i="2"/>
  <c r="BM104" i="2"/>
  <c r="P106" i="2"/>
  <c r="Q106" i="2" s="1"/>
  <c r="M107" i="2"/>
  <c r="O107" i="2" s="1"/>
  <c r="L108" i="2"/>
  <c r="G108" i="2"/>
  <c r="F109" i="2"/>
  <c r="J108" i="2"/>
  <c r="I109" i="2"/>
  <c r="AP105" i="2"/>
  <c r="Y105" i="2"/>
  <c r="X105" i="2"/>
  <c r="W105" i="2"/>
  <c r="Z105" i="2"/>
  <c r="Z104" i="2"/>
  <c r="W104" i="2"/>
  <c r="Q105" i="2"/>
  <c r="Y104" i="2"/>
  <c r="C109" i="2"/>
  <c r="D108" i="2"/>
  <c r="X104" i="2"/>
  <c r="M96" i="1"/>
  <c r="N95" i="1"/>
  <c r="H96" i="1"/>
  <c r="I95" i="1"/>
  <c r="P95" i="1" s="1"/>
  <c r="D97" i="1"/>
  <c r="C98" i="1"/>
  <c r="AM93" i="1"/>
  <c r="S91" i="1"/>
  <c r="T91" i="1" s="1"/>
  <c r="P94" i="1"/>
  <c r="AN92" i="1"/>
  <c r="AE89" i="1"/>
  <c r="AF89" i="1"/>
  <c r="R93" i="1"/>
  <c r="AD89" i="1" l="1"/>
  <c r="BM106" i="2"/>
  <c r="AQ106" i="2"/>
  <c r="AQ105" i="2"/>
  <c r="R105" i="2"/>
  <c r="BM105" i="2"/>
  <c r="J109" i="2"/>
  <c r="I110" i="2"/>
  <c r="G109" i="2"/>
  <c r="F110" i="2"/>
  <c r="L109" i="2"/>
  <c r="M108" i="2"/>
  <c r="O108" i="2" s="1"/>
  <c r="P107" i="2"/>
  <c r="Y106" i="2" s="1"/>
  <c r="Z106" i="2"/>
  <c r="X106" i="2"/>
  <c r="W106" i="2"/>
  <c r="AP106" i="2"/>
  <c r="C110" i="2"/>
  <c r="D109" i="2"/>
  <c r="AG103" i="2"/>
  <c r="AH103" i="2"/>
  <c r="AE103" i="2"/>
  <c r="AF103" i="2"/>
  <c r="AC90" i="1"/>
  <c r="Q94" i="1"/>
  <c r="R94" i="1" s="1"/>
  <c r="AN93" i="1"/>
  <c r="S92" i="1"/>
  <c r="T92" i="1" s="1"/>
  <c r="D98" i="1"/>
  <c r="C99" i="1"/>
  <c r="AD90" i="1"/>
  <c r="AF90" i="1"/>
  <c r="AE90" i="1"/>
  <c r="R95" i="1"/>
  <c r="Q95" i="1"/>
  <c r="I96" i="1"/>
  <c r="P96" i="1" s="1"/>
  <c r="H97" i="1"/>
  <c r="M97" i="1"/>
  <c r="N96" i="1"/>
  <c r="S105" i="2" l="1"/>
  <c r="AE104" i="2" s="1"/>
  <c r="D110" i="2"/>
  <c r="C111" i="2"/>
  <c r="AP107" i="2"/>
  <c r="P108" i="2"/>
  <c r="F111" i="2"/>
  <c r="G110" i="2"/>
  <c r="I111" i="2"/>
  <c r="J110" i="2"/>
  <c r="Q107" i="2"/>
  <c r="M109" i="2"/>
  <c r="O109" i="2" s="1"/>
  <c r="L110" i="2"/>
  <c r="AF104" i="2"/>
  <c r="AG104" i="2"/>
  <c r="R106" i="2"/>
  <c r="AH104" i="2"/>
  <c r="AN94" i="1"/>
  <c r="Q96" i="1"/>
  <c r="R96" i="1" s="1"/>
  <c r="AN95" i="1"/>
  <c r="I97" i="1"/>
  <c r="H98" i="1"/>
  <c r="D99" i="1"/>
  <c r="C100" i="1"/>
  <c r="AF91" i="1"/>
  <c r="AM95" i="1"/>
  <c r="Z95" i="1"/>
  <c r="Y95" i="1"/>
  <c r="X95" i="1"/>
  <c r="S93" i="1"/>
  <c r="X94" i="1"/>
  <c r="W94" i="1"/>
  <c r="AM94" i="1"/>
  <c r="Z94" i="1"/>
  <c r="Y94" i="1"/>
  <c r="Z93" i="1"/>
  <c r="X93" i="1"/>
  <c r="Y93" i="1"/>
  <c r="W93" i="1"/>
  <c r="AD91" i="1"/>
  <c r="AE91" i="1"/>
  <c r="N97" i="1"/>
  <c r="M98" i="1"/>
  <c r="AC91" i="1"/>
  <c r="S106" i="2" l="1"/>
  <c r="AH105" i="2" s="1"/>
  <c r="T93" i="1"/>
  <c r="AD92" i="1" s="1"/>
  <c r="M110" i="2"/>
  <c r="O110" i="2" s="1"/>
  <c r="L111" i="2"/>
  <c r="BM107" i="2"/>
  <c r="AQ107" i="2"/>
  <c r="R107" i="2"/>
  <c r="S107" i="2" s="1"/>
  <c r="AP108" i="2"/>
  <c r="Z107" i="2"/>
  <c r="Q108" i="2"/>
  <c r="X107" i="2"/>
  <c r="C112" i="2"/>
  <c r="D111" i="2"/>
  <c r="Q109" i="2"/>
  <c r="P109" i="2"/>
  <c r="Z108" i="2" s="1"/>
  <c r="J111" i="2"/>
  <c r="I112" i="2"/>
  <c r="F112" i="2"/>
  <c r="G111" i="2"/>
  <c r="W107" i="2"/>
  <c r="Y107" i="2"/>
  <c r="AN96" i="1"/>
  <c r="N98" i="1"/>
  <c r="M99" i="1"/>
  <c r="P97" i="1"/>
  <c r="D100" i="1"/>
  <c r="C101" i="1"/>
  <c r="I98" i="1"/>
  <c r="P98" i="1" s="1"/>
  <c r="H99" i="1"/>
  <c r="AM96" i="1"/>
  <c r="W95" i="1"/>
  <c r="S94" i="1"/>
  <c r="T94" i="1" s="1"/>
  <c r="AE105" i="2" l="1"/>
  <c r="AF105" i="2"/>
  <c r="AG105" i="2"/>
  <c r="AF92" i="1"/>
  <c r="AC92" i="1"/>
  <c r="AE92" i="1"/>
  <c r="BM108" i="2"/>
  <c r="AQ108" i="2"/>
  <c r="R108" i="2"/>
  <c r="S108" i="2" s="1"/>
  <c r="BM109" i="2"/>
  <c r="AQ109" i="2"/>
  <c r="R109" i="2"/>
  <c r="S109" i="2" s="1"/>
  <c r="AG107" i="2"/>
  <c r="AH107" i="2"/>
  <c r="AF107" i="2"/>
  <c r="AE107" i="2"/>
  <c r="G112" i="2"/>
  <c r="F113" i="2"/>
  <c r="I113" i="2"/>
  <c r="J112" i="2"/>
  <c r="W108" i="2"/>
  <c r="AE106" i="2"/>
  <c r="AF106" i="2"/>
  <c r="AH106" i="2"/>
  <c r="M111" i="2"/>
  <c r="O111" i="2" s="1"/>
  <c r="L112" i="2"/>
  <c r="AP109" i="2"/>
  <c r="D112" i="2"/>
  <c r="C113" i="2"/>
  <c r="X108" i="2"/>
  <c r="Y108" i="2"/>
  <c r="AG106" i="2"/>
  <c r="Q110" i="2"/>
  <c r="P110" i="2"/>
  <c r="I99" i="1"/>
  <c r="H100" i="1"/>
  <c r="Q97" i="1"/>
  <c r="R97" i="1" s="1"/>
  <c r="R98" i="1"/>
  <c r="Q98" i="1"/>
  <c r="C102" i="1"/>
  <c r="D101" i="1"/>
  <c r="M100" i="1"/>
  <c r="N99" i="1"/>
  <c r="S95" i="1"/>
  <c r="T95" i="1" s="1"/>
  <c r="G113" i="2" l="1"/>
  <c r="F114" i="2"/>
  <c r="Q111" i="2"/>
  <c r="P111" i="2"/>
  <c r="R110" i="2"/>
  <c r="S110" i="2" s="1"/>
  <c r="BM110" i="2"/>
  <c r="AQ110" i="2"/>
  <c r="Z110" i="2"/>
  <c r="Y110" i="2"/>
  <c r="W110" i="2"/>
  <c r="AP110" i="2"/>
  <c r="X110" i="2"/>
  <c r="AF109" i="2"/>
  <c r="AE109" i="2"/>
  <c r="AH109" i="2"/>
  <c r="AG109" i="2"/>
  <c r="X109" i="2"/>
  <c r="L113" i="2"/>
  <c r="M112" i="2"/>
  <c r="O112" i="2" s="1"/>
  <c r="J113" i="2"/>
  <c r="I114" i="2"/>
  <c r="W109" i="2"/>
  <c r="C114" i="2"/>
  <c r="D113" i="2"/>
  <c r="AE108" i="2"/>
  <c r="AH108" i="2"/>
  <c r="AG108" i="2"/>
  <c r="AF108" i="2"/>
  <c r="Y109" i="2"/>
  <c r="Z109" i="2"/>
  <c r="AN97" i="1"/>
  <c r="AF94" i="1"/>
  <c r="S96" i="1"/>
  <c r="T96" i="1" s="1"/>
  <c r="AN98" i="1"/>
  <c r="AC94" i="1"/>
  <c r="AF93" i="1"/>
  <c r="AE93" i="1"/>
  <c r="AD93" i="1"/>
  <c r="AC93" i="1"/>
  <c r="AM98" i="1"/>
  <c r="H101" i="1"/>
  <c r="I100" i="1"/>
  <c r="M101" i="1"/>
  <c r="N100" i="1"/>
  <c r="D102" i="1"/>
  <c r="C103" i="1"/>
  <c r="AM97" i="1"/>
  <c r="Z97" i="1"/>
  <c r="Y97" i="1"/>
  <c r="X97" i="1"/>
  <c r="W97" i="1"/>
  <c r="X96" i="1"/>
  <c r="W96" i="1"/>
  <c r="Y96" i="1"/>
  <c r="Z96" i="1"/>
  <c r="P99" i="1"/>
  <c r="AD94" i="1" l="1"/>
  <c r="AE94" i="1"/>
  <c r="AE95" i="1"/>
  <c r="L114" i="2"/>
  <c r="M113" i="2"/>
  <c r="O113" i="2" s="1"/>
  <c r="AP111" i="2"/>
  <c r="C115" i="2"/>
  <c r="D114" i="2"/>
  <c r="F115" i="2"/>
  <c r="G114" i="2"/>
  <c r="P112" i="2"/>
  <c r="R111" i="2"/>
  <c r="BM111" i="2"/>
  <c r="AQ111" i="2"/>
  <c r="J114" i="2"/>
  <c r="I115" i="2"/>
  <c r="I101" i="1"/>
  <c r="H102" i="1"/>
  <c r="R99" i="1"/>
  <c r="Q99" i="1"/>
  <c r="D103" i="1"/>
  <c r="C104" i="1"/>
  <c r="N101" i="1"/>
  <c r="M102" i="1"/>
  <c r="S97" i="1"/>
  <c r="T97" i="1" s="1"/>
  <c r="P100" i="1"/>
  <c r="S111" i="2" l="1"/>
  <c r="AH110" i="2" s="1"/>
  <c r="AF95" i="1"/>
  <c r="AC95" i="1"/>
  <c r="AD95" i="1"/>
  <c r="AF110" i="2"/>
  <c r="AP112" i="2"/>
  <c r="C116" i="2"/>
  <c r="D115" i="2"/>
  <c r="Q112" i="2"/>
  <c r="Q113" i="2" s="1"/>
  <c r="Y111" i="2"/>
  <c r="P113" i="2"/>
  <c r="Y112" i="2" s="1"/>
  <c r="AE110" i="2"/>
  <c r="AG110" i="2"/>
  <c r="G115" i="2"/>
  <c r="F116" i="2"/>
  <c r="W111" i="2"/>
  <c r="X111" i="2"/>
  <c r="Z111" i="2"/>
  <c r="J115" i="2"/>
  <c r="I116" i="2"/>
  <c r="L115" i="2"/>
  <c r="M114" i="2"/>
  <c r="O114" i="2" s="1"/>
  <c r="D104" i="1"/>
  <c r="C105" i="1"/>
  <c r="S98" i="1"/>
  <c r="T98" i="1" s="1"/>
  <c r="R100" i="1"/>
  <c r="Q100" i="1"/>
  <c r="W99" i="1"/>
  <c r="AM99" i="1"/>
  <c r="Z99" i="1"/>
  <c r="Y99" i="1"/>
  <c r="W98" i="1"/>
  <c r="Z98" i="1"/>
  <c r="X98" i="1"/>
  <c r="Y98" i="1"/>
  <c r="I102" i="1"/>
  <c r="P102" i="1" s="1"/>
  <c r="H103" i="1"/>
  <c r="N102" i="1"/>
  <c r="M103" i="1"/>
  <c r="AN99" i="1"/>
  <c r="P101" i="1"/>
  <c r="AQ113" i="2" l="1"/>
  <c r="BM113" i="2"/>
  <c r="F117" i="2"/>
  <c r="G116" i="2"/>
  <c r="R112" i="2"/>
  <c r="S112" i="2" s="1"/>
  <c r="BM112" i="2"/>
  <c r="AQ112" i="2"/>
  <c r="D116" i="2"/>
  <c r="C117" i="2"/>
  <c r="AP113" i="2"/>
  <c r="P114" i="2"/>
  <c r="X113" i="2" s="1"/>
  <c r="Q114" i="2"/>
  <c r="X112" i="2"/>
  <c r="W112" i="2"/>
  <c r="M115" i="2"/>
  <c r="O115" i="2" s="1"/>
  <c r="L116" i="2"/>
  <c r="I117" i="2"/>
  <c r="J116" i="2"/>
  <c r="Z112" i="2"/>
  <c r="N103" i="1"/>
  <c r="M104" i="1"/>
  <c r="Q102" i="1"/>
  <c r="AM100" i="1"/>
  <c r="R101" i="1"/>
  <c r="Q101" i="1"/>
  <c r="I103" i="1"/>
  <c r="P103" i="1" s="1"/>
  <c r="H104" i="1"/>
  <c r="D105" i="1"/>
  <c r="C106" i="1"/>
  <c r="X99" i="1"/>
  <c r="AN100" i="1"/>
  <c r="AF97" i="1"/>
  <c r="AE97" i="1"/>
  <c r="AD97" i="1"/>
  <c r="AC97" i="1"/>
  <c r="AE96" i="1"/>
  <c r="AF96" i="1"/>
  <c r="AC96" i="1"/>
  <c r="AD96" i="1"/>
  <c r="S99" i="1"/>
  <c r="T99" i="1" l="1"/>
  <c r="Y114" i="2"/>
  <c r="W114" i="2"/>
  <c r="AP114" i="2"/>
  <c r="X114" i="2"/>
  <c r="AF111" i="2"/>
  <c r="AE111" i="2"/>
  <c r="AG111" i="2"/>
  <c r="AH111" i="2"/>
  <c r="BM114" i="2"/>
  <c r="AQ114" i="2"/>
  <c r="R114" i="2"/>
  <c r="W113" i="2"/>
  <c r="Z113" i="2"/>
  <c r="R113" i="2"/>
  <c r="S113" i="2" s="1"/>
  <c r="Q115" i="2"/>
  <c r="P115" i="2"/>
  <c r="Y113" i="2"/>
  <c r="C118" i="2"/>
  <c r="D117" i="2"/>
  <c r="F118" i="2"/>
  <c r="G117" i="2"/>
  <c r="I118" i="2"/>
  <c r="J117" i="2"/>
  <c r="L117" i="2"/>
  <c r="M116" i="2"/>
  <c r="O116" i="2" s="1"/>
  <c r="Q103" i="1"/>
  <c r="AM101" i="1"/>
  <c r="Y101" i="1"/>
  <c r="X101" i="1"/>
  <c r="W101" i="1"/>
  <c r="Z101" i="1"/>
  <c r="Z100" i="1"/>
  <c r="X100" i="1"/>
  <c r="C107" i="1"/>
  <c r="D106" i="1"/>
  <c r="I104" i="1"/>
  <c r="H105" i="1"/>
  <c r="AN101" i="1"/>
  <c r="M105" i="1"/>
  <c r="N104" i="1"/>
  <c r="Y100" i="1"/>
  <c r="W100" i="1"/>
  <c r="AM102" i="1"/>
  <c r="Z102" i="1"/>
  <c r="Y102" i="1"/>
  <c r="X102" i="1"/>
  <c r="W102" i="1"/>
  <c r="R102" i="1"/>
  <c r="S100" i="1"/>
  <c r="S114" i="2" l="1"/>
  <c r="T100" i="1"/>
  <c r="AF99" i="1" s="1"/>
  <c r="AE98" i="1"/>
  <c r="AF98" i="1"/>
  <c r="AD98" i="1"/>
  <c r="S101" i="1"/>
  <c r="T101" i="1" s="1"/>
  <c r="AC98" i="1"/>
  <c r="AE99" i="1"/>
  <c r="BM115" i="2"/>
  <c r="AQ115" i="2"/>
  <c r="R115" i="2"/>
  <c r="S115" i="2" s="1"/>
  <c r="AE113" i="2"/>
  <c r="AF112" i="2"/>
  <c r="M117" i="2"/>
  <c r="O117" i="2" s="1"/>
  <c r="L118" i="2"/>
  <c r="AG112" i="2"/>
  <c r="Q116" i="2"/>
  <c r="P116" i="2"/>
  <c r="AE112" i="2"/>
  <c r="I119" i="2"/>
  <c r="J118" i="2"/>
  <c r="AH112" i="2"/>
  <c r="F119" i="2"/>
  <c r="G118" i="2"/>
  <c r="D118" i="2"/>
  <c r="C119" i="2"/>
  <c r="AP115" i="2"/>
  <c r="Z114" i="2"/>
  <c r="P104" i="1"/>
  <c r="M106" i="1"/>
  <c r="N105" i="1"/>
  <c r="AF100" i="1"/>
  <c r="AE100" i="1"/>
  <c r="AD100" i="1"/>
  <c r="AC100" i="1"/>
  <c r="S102" i="1"/>
  <c r="T102" i="1" s="1"/>
  <c r="AN102" i="1"/>
  <c r="AM103" i="1"/>
  <c r="H106" i="1"/>
  <c r="I105" i="1"/>
  <c r="C108" i="1"/>
  <c r="D107" i="1"/>
  <c r="AD99" i="1"/>
  <c r="R103" i="1"/>
  <c r="AC99" i="1" l="1"/>
  <c r="J119" i="2"/>
  <c r="I120" i="2"/>
  <c r="AP116" i="2"/>
  <c r="F120" i="2"/>
  <c r="G119" i="2"/>
  <c r="Q117" i="2"/>
  <c r="P117" i="2"/>
  <c r="W116" i="2" s="1"/>
  <c r="AG114" i="2"/>
  <c r="AF114" i="2"/>
  <c r="AE114" i="2"/>
  <c r="X115" i="2"/>
  <c r="AG113" i="2"/>
  <c r="AH113" i="2"/>
  <c r="AQ116" i="2"/>
  <c r="R116" i="2"/>
  <c r="S116" i="2" s="1"/>
  <c r="BM116" i="2"/>
  <c r="L119" i="2"/>
  <c r="M118" i="2"/>
  <c r="O118" i="2" s="1"/>
  <c r="W115" i="2"/>
  <c r="AF113" i="2"/>
  <c r="Y115" i="2"/>
  <c r="Z115" i="2"/>
  <c r="C120" i="2"/>
  <c r="D119" i="2"/>
  <c r="H107" i="1"/>
  <c r="I106" i="1"/>
  <c r="AC101" i="1"/>
  <c r="AE101" i="1"/>
  <c r="S103" i="1"/>
  <c r="T103" i="1" s="1"/>
  <c r="AN103" i="1"/>
  <c r="C109" i="1"/>
  <c r="D108" i="1"/>
  <c r="M107" i="1"/>
  <c r="N106" i="1"/>
  <c r="AD101" i="1"/>
  <c r="AF101" i="1"/>
  <c r="P105" i="1"/>
  <c r="Q104" i="1"/>
  <c r="R104" i="1" s="1"/>
  <c r="AH115" i="2" l="1"/>
  <c r="AG115" i="2"/>
  <c r="AF115" i="2"/>
  <c r="AE115" i="2"/>
  <c r="AH114" i="2"/>
  <c r="BM117" i="2"/>
  <c r="R117" i="2"/>
  <c r="AQ117" i="2"/>
  <c r="G120" i="2"/>
  <c r="F121" i="2"/>
  <c r="Q118" i="2"/>
  <c r="P118" i="2"/>
  <c r="I121" i="2"/>
  <c r="J120" i="2"/>
  <c r="Z117" i="2"/>
  <c r="Y117" i="2"/>
  <c r="AP117" i="2"/>
  <c r="D120" i="2"/>
  <c r="C121" i="2"/>
  <c r="X116" i="2"/>
  <c r="Y116" i="2"/>
  <c r="Z116" i="2"/>
  <c r="M119" i="2"/>
  <c r="O119" i="2" s="1"/>
  <c r="L120" i="2"/>
  <c r="S104" i="1"/>
  <c r="AN104" i="1"/>
  <c r="I107" i="1"/>
  <c r="P107" i="1" s="1"/>
  <c r="H108" i="1"/>
  <c r="AM104" i="1"/>
  <c r="Z103" i="1"/>
  <c r="W103" i="1"/>
  <c r="Y103" i="1"/>
  <c r="X103" i="1"/>
  <c r="R105" i="1"/>
  <c r="Q105" i="1"/>
  <c r="Y104" i="1" s="1"/>
  <c r="M108" i="1"/>
  <c r="N107" i="1"/>
  <c r="D109" i="1"/>
  <c r="C110" i="1"/>
  <c r="P106" i="1"/>
  <c r="AC102" i="1"/>
  <c r="AD102" i="1"/>
  <c r="AE102" i="1"/>
  <c r="AF102" i="1"/>
  <c r="S117" i="2" l="1"/>
  <c r="AH116" i="2" s="1"/>
  <c r="T104" i="1"/>
  <c r="R118" i="2"/>
  <c r="S118" i="2" s="1"/>
  <c r="BM118" i="2"/>
  <c r="AQ118" i="2"/>
  <c r="Z118" i="2"/>
  <c r="X118" i="2"/>
  <c r="W118" i="2"/>
  <c r="AP118" i="2"/>
  <c r="Y118" i="2"/>
  <c r="F122" i="2"/>
  <c r="G121" i="2"/>
  <c r="M120" i="2"/>
  <c r="O120" i="2" s="1"/>
  <c r="L121" i="2"/>
  <c r="I122" i="2"/>
  <c r="J121" i="2"/>
  <c r="AF116" i="2"/>
  <c r="AG117" i="2"/>
  <c r="AF117" i="2"/>
  <c r="Q119" i="2"/>
  <c r="P119" i="2"/>
  <c r="C122" i="2"/>
  <c r="D121" i="2"/>
  <c r="AG116" i="2"/>
  <c r="W117" i="2"/>
  <c r="X117" i="2"/>
  <c r="AE116" i="2"/>
  <c r="AN105" i="1"/>
  <c r="S105" i="1"/>
  <c r="W104" i="1"/>
  <c r="I108" i="1"/>
  <c r="H109" i="1"/>
  <c r="Z104" i="1"/>
  <c r="X104" i="1"/>
  <c r="R107" i="1"/>
  <c r="Q107" i="1"/>
  <c r="AM105" i="1"/>
  <c r="Q106" i="1"/>
  <c r="D110" i="1"/>
  <c r="C111" i="1"/>
  <c r="N108" i="1"/>
  <c r="M109" i="1"/>
  <c r="AH117" i="2" l="1"/>
  <c r="AE117" i="2"/>
  <c r="AC103" i="1"/>
  <c r="AF103" i="1"/>
  <c r="AE103" i="1"/>
  <c r="T105" i="1"/>
  <c r="AF104" i="1" s="1"/>
  <c r="AD103" i="1"/>
  <c r="R119" i="2"/>
  <c r="BM119" i="2"/>
  <c r="AQ119" i="2"/>
  <c r="M121" i="2"/>
  <c r="O121" i="2" s="1"/>
  <c r="L122" i="2"/>
  <c r="G122" i="2"/>
  <c r="F123" i="2"/>
  <c r="Q120" i="2"/>
  <c r="P120" i="2"/>
  <c r="D122" i="2"/>
  <c r="C123" i="2"/>
  <c r="J122" i="2"/>
  <c r="I123" i="2"/>
  <c r="X119" i="2"/>
  <c r="W119" i="2"/>
  <c r="AP119" i="2"/>
  <c r="Z119" i="2"/>
  <c r="Y119" i="2"/>
  <c r="AM106" i="1"/>
  <c r="Z106" i="1"/>
  <c r="Y106" i="1"/>
  <c r="X106" i="1"/>
  <c r="W106" i="1"/>
  <c r="Y105" i="1"/>
  <c r="R106" i="1"/>
  <c r="AN107" i="1"/>
  <c r="D111" i="1"/>
  <c r="C112" i="1"/>
  <c r="W105" i="1"/>
  <c r="I109" i="1"/>
  <c r="P109" i="1" s="1"/>
  <c r="H110" i="1"/>
  <c r="X105" i="1"/>
  <c r="Z105" i="1"/>
  <c r="AM107" i="1"/>
  <c r="P108" i="1"/>
  <c r="M110" i="1"/>
  <c r="N109" i="1"/>
  <c r="S119" i="2" l="1"/>
  <c r="AE104" i="1"/>
  <c r="AD104" i="1"/>
  <c r="AC104" i="1"/>
  <c r="C124" i="2"/>
  <c r="D123" i="2"/>
  <c r="AP120" i="2"/>
  <c r="I124" i="2"/>
  <c r="J123" i="2"/>
  <c r="BM120" i="2"/>
  <c r="AQ120" i="2"/>
  <c r="R120" i="2"/>
  <c r="F124" i="2"/>
  <c r="G123" i="2"/>
  <c r="L123" i="2"/>
  <c r="M122" i="2"/>
  <c r="O122" i="2" s="1"/>
  <c r="P121" i="2"/>
  <c r="Q109" i="1"/>
  <c r="D112" i="1"/>
  <c r="C113" i="1"/>
  <c r="N110" i="1"/>
  <c r="M111" i="1"/>
  <c r="H111" i="1"/>
  <c r="I110" i="1"/>
  <c r="P110" i="1" s="1"/>
  <c r="AN106" i="1"/>
  <c r="S106" i="1"/>
  <c r="T106" i="1" s="1"/>
  <c r="R108" i="1"/>
  <c r="Q108" i="1"/>
  <c r="S120" i="2" l="1"/>
  <c r="AH119" i="2" s="1"/>
  <c r="AF118" i="2"/>
  <c r="AE118" i="2"/>
  <c r="AH118" i="2"/>
  <c r="AG118" i="2"/>
  <c r="AG119" i="2"/>
  <c r="AP121" i="2"/>
  <c r="G124" i="2"/>
  <c r="F125" i="2"/>
  <c r="P122" i="2"/>
  <c r="W120" i="2"/>
  <c r="Z120" i="2"/>
  <c r="Q121" i="2"/>
  <c r="L124" i="2"/>
  <c r="M123" i="2"/>
  <c r="O123" i="2" s="1"/>
  <c r="J124" i="2"/>
  <c r="I125" i="2"/>
  <c r="X120" i="2"/>
  <c r="Y120" i="2"/>
  <c r="AE119" i="2"/>
  <c r="AF119" i="2"/>
  <c r="C125" i="2"/>
  <c r="D124" i="2"/>
  <c r="Q110" i="1"/>
  <c r="AN108" i="1"/>
  <c r="I111" i="1"/>
  <c r="H112" i="1"/>
  <c r="N111" i="1"/>
  <c r="M112" i="1"/>
  <c r="D113" i="1"/>
  <c r="C114" i="1"/>
  <c r="Y108" i="1"/>
  <c r="X108" i="1"/>
  <c r="W108" i="1"/>
  <c r="AM108" i="1"/>
  <c r="Z108" i="1"/>
  <c r="X107" i="1"/>
  <c r="W107" i="1"/>
  <c r="Z107" i="1"/>
  <c r="Y107" i="1"/>
  <c r="S107" i="1"/>
  <c r="T107" i="1" s="1"/>
  <c r="AM109" i="1"/>
  <c r="X109" i="1"/>
  <c r="W109" i="1"/>
  <c r="Z109" i="1"/>
  <c r="Y109" i="1"/>
  <c r="R109" i="1"/>
  <c r="S108" i="1" l="1"/>
  <c r="T108" i="1" s="1"/>
  <c r="P123" i="2"/>
  <c r="AP122" i="2"/>
  <c r="Z122" i="2"/>
  <c r="Y122" i="2"/>
  <c r="X122" i="2"/>
  <c r="W122" i="2"/>
  <c r="I126" i="2"/>
  <c r="J125" i="2"/>
  <c r="M124" i="2"/>
  <c r="O124" i="2" s="1"/>
  <c r="L125" i="2"/>
  <c r="F126" i="2"/>
  <c r="G125" i="2"/>
  <c r="X121" i="2"/>
  <c r="R121" i="2"/>
  <c r="S121" i="2" s="1"/>
  <c r="BM121" i="2"/>
  <c r="AQ121" i="2"/>
  <c r="Q122" i="2"/>
  <c r="C126" i="2"/>
  <c r="D125" i="2"/>
  <c r="Y121" i="2"/>
  <c r="Z121" i="2"/>
  <c r="W121" i="2"/>
  <c r="N112" i="1"/>
  <c r="M113" i="1"/>
  <c r="AF105" i="1"/>
  <c r="AE105" i="1"/>
  <c r="AD105" i="1"/>
  <c r="AC105" i="1"/>
  <c r="S109" i="1"/>
  <c r="AN109" i="1"/>
  <c r="H113" i="1"/>
  <c r="I112" i="1"/>
  <c r="P112" i="1" s="1"/>
  <c r="AM110" i="1"/>
  <c r="D114" i="1"/>
  <c r="C115" i="1"/>
  <c r="P111" i="1"/>
  <c r="AF106" i="1"/>
  <c r="R110" i="1"/>
  <c r="T109" i="1" l="1"/>
  <c r="AC106" i="1"/>
  <c r="AF120" i="2"/>
  <c r="AG120" i="2"/>
  <c r="AE120" i="2"/>
  <c r="AH120" i="2"/>
  <c r="C127" i="2"/>
  <c r="D126" i="2"/>
  <c r="F127" i="2"/>
  <c r="G126" i="2"/>
  <c r="L126" i="2"/>
  <c r="M125" i="2"/>
  <c r="O125" i="2" s="1"/>
  <c r="J126" i="2"/>
  <c r="I127" i="2"/>
  <c r="Y123" i="2"/>
  <c r="X123" i="2"/>
  <c r="W123" i="2"/>
  <c r="AP123" i="2"/>
  <c r="AQ122" i="2"/>
  <c r="BM122" i="2"/>
  <c r="R122" i="2"/>
  <c r="S122" i="2" s="1"/>
  <c r="P124" i="2"/>
  <c r="Q123" i="2"/>
  <c r="Q124" i="2" s="1"/>
  <c r="I113" i="1"/>
  <c r="H114" i="1"/>
  <c r="AE106" i="1"/>
  <c r="Q112" i="1"/>
  <c r="R112" i="1" s="1"/>
  <c r="S110" i="1"/>
  <c r="T110" i="1" s="1"/>
  <c r="AN110" i="1"/>
  <c r="AD106" i="1"/>
  <c r="M114" i="1"/>
  <c r="N113" i="1"/>
  <c r="Q111" i="1"/>
  <c r="R111" i="1" s="1"/>
  <c r="D115" i="1"/>
  <c r="C116" i="1"/>
  <c r="BM124" i="2" l="1"/>
  <c r="AQ124" i="2"/>
  <c r="M126" i="2"/>
  <c r="O126" i="2" s="1"/>
  <c r="L127" i="2"/>
  <c r="C128" i="2"/>
  <c r="D127" i="2"/>
  <c r="J127" i="2"/>
  <c r="I128" i="2"/>
  <c r="F128" i="2"/>
  <c r="G127" i="2"/>
  <c r="R123" i="2"/>
  <c r="BM123" i="2"/>
  <c r="AQ123" i="2"/>
  <c r="AP124" i="2"/>
  <c r="Z124" i="2"/>
  <c r="Y124" i="2"/>
  <c r="X124" i="2"/>
  <c r="W124" i="2"/>
  <c r="AG121" i="2"/>
  <c r="Q125" i="2"/>
  <c r="P125" i="2"/>
  <c r="AE121" i="2"/>
  <c r="AF121" i="2"/>
  <c r="Z123" i="2"/>
  <c r="AH121" i="2"/>
  <c r="AN111" i="1"/>
  <c r="S111" i="1"/>
  <c r="T111" i="1" s="1"/>
  <c r="AN112" i="1"/>
  <c r="S112" i="1"/>
  <c r="T112" i="1" s="1"/>
  <c r="D116" i="1"/>
  <c r="C117" i="1"/>
  <c r="AE107" i="1"/>
  <c r="AD107" i="1"/>
  <c r="AD109" i="1"/>
  <c r="AM111" i="1"/>
  <c r="Z111" i="1"/>
  <c r="Y111" i="1"/>
  <c r="X111" i="1"/>
  <c r="W111" i="1"/>
  <c r="Z110" i="1"/>
  <c r="X110" i="1"/>
  <c r="W110" i="1"/>
  <c r="Y110" i="1"/>
  <c r="AF107" i="1"/>
  <c r="M115" i="1"/>
  <c r="N114" i="1"/>
  <c r="I114" i="1"/>
  <c r="P114" i="1" s="1"/>
  <c r="H115" i="1"/>
  <c r="AF108" i="1"/>
  <c r="AE108" i="1"/>
  <c r="AD108" i="1"/>
  <c r="AC108" i="1"/>
  <c r="AC107" i="1"/>
  <c r="AM112" i="1"/>
  <c r="P113" i="1"/>
  <c r="S123" i="2" l="1"/>
  <c r="AP125" i="2"/>
  <c r="M127" i="2"/>
  <c r="O127" i="2" s="1"/>
  <c r="L128" i="2"/>
  <c r="R125" i="2"/>
  <c r="BM125" i="2"/>
  <c r="AQ125" i="2"/>
  <c r="P126" i="2"/>
  <c r="W125" i="2" s="1"/>
  <c r="Q126" i="2"/>
  <c r="F129" i="2"/>
  <c r="G128" i="2"/>
  <c r="J128" i="2"/>
  <c r="I129" i="2"/>
  <c r="C129" i="2"/>
  <c r="D128" i="2"/>
  <c r="AE122" i="2"/>
  <c r="R124" i="2"/>
  <c r="AF122" i="2"/>
  <c r="AG122" i="2"/>
  <c r="Q113" i="1"/>
  <c r="D117" i="1"/>
  <c r="C118" i="1"/>
  <c r="Q114" i="1"/>
  <c r="AF110" i="1"/>
  <c r="AE110" i="1"/>
  <c r="AD110" i="1"/>
  <c r="AC110" i="1"/>
  <c r="H116" i="1"/>
  <c r="I115" i="1"/>
  <c r="P115" i="1" s="1"/>
  <c r="AC109" i="1"/>
  <c r="N115" i="1"/>
  <c r="M116" i="1"/>
  <c r="AE109" i="1"/>
  <c r="AF109" i="1"/>
  <c r="S125" i="2" l="1"/>
  <c r="S124" i="2"/>
  <c r="AG123" i="2" s="1"/>
  <c r="AH122" i="2"/>
  <c r="BM126" i="2"/>
  <c r="AQ126" i="2"/>
  <c r="R126" i="2"/>
  <c r="S126" i="2" s="1"/>
  <c r="AH125" i="2" s="1"/>
  <c r="AP126" i="2"/>
  <c r="P127" i="2"/>
  <c r="Y126" i="2" s="1"/>
  <c r="X125" i="2"/>
  <c r="Z125" i="2"/>
  <c r="I130" i="2"/>
  <c r="J129" i="2"/>
  <c r="AE123" i="2"/>
  <c r="G129" i="2"/>
  <c r="F130" i="2"/>
  <c r="M128" i="2"/>
  <c r="O128" i="2" s="1"/>
  <c r="L129" i="2"/>
  <c r="Y125" i="2"/>
  <c r="AE124" i="2"/>
  <c r="AH124" i="2"/>
  <c r="AG124" i="2"/>
  <c r="AF123" i="2"/>
  <c r="D129" i="2"/>
  <c r="C130" i="2"/>
  <c r="AH123" i="2"/>
  <c r="N116" i="1"/>
  <c r="M117" i="1"/>
  <c r="H117" i="1"/>
  <c r="I116" i="1"/>
  <c r="P116" i="1" s="1"/>
  <c r="Q115" i="1"/>
  <c r="AD111" i="1"/>
  <c r="AC111" i="1"/>
  <c r="Z114" i="1"/>
  <c r="AM114" i="1"/>
  <c r="Y114" i="1"/>
  <c r="X114" i="1"/>
  <c r="W114" i="1"/>
  <c r="Y113" i="1"/>
  <c r="X113" i="1"/>
  <c r="W113" i="1"/>
  <c r="AM113" i="1"/>
  <c r="Z113" i="1"/>
  <c r="W112" i="1"/>
  <c r="Y112" i="1"/>
  <c r="Z112" i="1"/>
  <c r="X112" i="1"/>
  <c r="AF111" i="1"/>
  <c r="D118" i="1"/>
  <c r="C119" i="1"/>
  <c r="R113" i="1"/>
  <c r="AF125" i="2" l="1"/>
  <c r="AE125" i="2"/>
  <c r="AG125" i="2"/>
  <c r="AF124" i="2"/>
  <c r="AE111" i="1"/>
  <c r="X126" i="2"/>
  <c r="C131" i="2"/>
  <c r="D130" i="2"/>
  <c r="Q127" i="2"/>
  <c r="L130" i="2"/>
  <c r="M129" i="2"/>
  <c r="O129" i="2" s="1"/>
  <c r="I131" i="2"/>
  <c r="J130" i="2"/>
  <c r="Z127" i="2"/>
  <c r="Y127" i="2"/>
  <c r="AP127" i="2"/>
  <c r="X127" i="2"/>
  <c r="W127" i="2"/>
  <c r="Z126" i="2"/>
  <c r="W126" i="2"/>
  <c r="Q128" i="2"/>
  <c r="P128" i="2"/>
  <c r="F131" i="2"/>
  <c r="G130" i="2"/>
  <c r="D119" i="1"/>
  <c r="C120" i="1"/>
  <c r="AN113" i="1"/>
  <c r="S113" i="1"/>
  <c r="T113" i="1" s="1"/>
  <c r="R114" i="1"/>
  <c r="AM115" i="1"/>
  <c r="R115" i="1"/>
  <c r="M118" i="1"/>
  <c r="N117" i="1"/>
  <c r="AD112" i="1"/>
  <c r="AC112" i="1"/>
  <c r="AF112" i="1"/>
  <c r="R116" i="1"/>
  <c r="Q116" i="1"/>
  <c r="W115" i="1" s="1"/>
  <c r="H118" i="1"/>
  <c r="I117" i="1"/>
  <c r="AE112" i="1" l="1"/>
  <c r="BM128" i="2"/>
  <c r="AQ128" i="2"/>
  <c r="I132" i="2"/>
  <c r="J131" i="2"/>
  <c r="BM127" i="2"/>
  <c r="AQ127" i="2"/>
  <c r="R127" i="2"/>
  <c r="S127" i="2" s="1"/>
  <c r="G131" i="2"/>
  <c r="F132" i="2"/>
  <c r="D131" i="2"/>
  <c r="C132" i="2"/>
  <c r="Q129" i="2"/>
  <c r="P129" i="2"/>
  <c r="M130" i="2"/>
  <c r="O130" i="2" s="1"/>
  <c r="L131" i="2"/>
  <c r="AP128" i="2"/>
  <c r="Z128" i="2"/>
  <c r="Y128" i="2"/>
  <c r="X128" i="2"/>
  <c r="AN116" i="1"/>
  <c r="AN115" i="1"/>
  <c r="Z115" i="1"/>
  <c r="C121" i="1"/>
  <c r="D120" i="1"/>
  <c r="AM116" i="1"/>
  <c r="N118" i="1"/>
  <c r="M119" i="1"/>
  <c r="X115" i="1"/>
  <c r="Y115" i="1"/>
  <c r="S114" i="1"/>
  <c r="AN114" i="1"/>
  <c r="P117" i="1"/>
  <c r="I118" i="1"/>
  <c r="H119" i="1"/>
  <c r="S115" i="1" l="1"/>
  <c r="T114" i="1"/>
  <c r="T115" i="1" s="1"/>
  <c r="AC114" i="1" s="1"/>
  <c r="BM129" i="2"/>
  <c r="AQ129" i="2"/>
  <c r="AP129" i="2"/>
  <c r="L132" i="2"/>
  <c r="M131" i="2"/>
  <c r="O131" i="2" s="1"/>
  <c r="C133" i="2"/>
  <c r="D132" i="2"/>
  <c r="F133" i="2"/>
  <c r="G132" i="2"/>
  <c r="Q130" i="2"/>
  <c r="P130" i="2"/>
  <c r="Y129" i="2" s="1"/>
  <c r="AE127" i="2"/>
  <c r="AH127" i="2"/>
  <c r="AG127" i="2"/>
  <c r="AH126" i="2"/>
  <c r="AF126" i="2"/>
  <c r="AG126" i="2"/>
  <c r="AE126" i="2"/>
  <c r="I133" i="2"/>
  <c r="J132" i="2"/>
  <c r="W128" i="2"/>
  <c r="R128" i="2"/>
  <c r="S128" i="2" s="1"/>
  <c r="AF127" i="2" s="1"/>
  <c r="S116" i="1"/>
  <c r="M120" i="1"/>
  <c r="N119" i="1"/>
  <c r="D121" i="1"/>
  <c r="C122" i="1"/>
  <c r="I119" i="1"/>
  <c r="P119" i="1" s="1"/>
  <c r="H120" i="1"/>
  <c r="P118" i="1"/>
  <c r="R117" i="1"/>
  <c r="Q117" i="1"/>
  <c r="T116" i="1" l="1"/>
  <c r="AC115" i="1" s="1"/>
  <c r="AD113" i="1"/>
  <c r="AF113" i="1"/>
  <c r="AC113" i="1"/>
  <c r="AD114" i="1"/>
  <c r="AE114" i="1"/>
  <c r="AF114" i="1"/>
  <c r="AE113" i="1"/>
  <c r="BM130" i="2"/>
  <c r="AQ130" i="2"/>
  <c r="G133" i="2"/>
  <c r="F134" i="2"/>
  <c r="C134" i="2"/>
  <c r="D133" i="2"/>
  <c r="W129" i="2"/>
  <c r="AP130" i="2"/>
  <c r="Q131" i="2"/>
  <c r="P131" i="2"/>
  <c r="X130" i="2" s="1"/>
  <c r="L133" i="2"/>
  <c r="M132" i="2"/>
  <c r="O132" i="2" s="1"/>
  <c r="X129" i="2"/>
  <c r="J133" i="2"/>
  <c r="I134" i="2"/>
  <c r="Z129" i="2"/>
  <c r="R129" i="2"/>
  <c r="AN117" i="1"/>
  <c r="S117" i="1"/>
  <c r="Q119" i="1"/>
  <c r="H121" i="1"/>
  <c r="I120" i="1"/>
  <c r="P120" i="1" s="1"/>
  <c r="Z117" i="1"/>
  <c r="Y117" i="1"/>
  <c r="X117" i="1"/>
  <c r="W117" i="1"/>
  <c r="AM117" i="1"/>
  <c r="Z116" i="1"/>
  <c r="W116" i="1"/>
  <c r="Y116" i="1"/>
  <c r="X116" i="1"/>
  <c r="R118" i="1"/>
  <c r="R119" i="1" s="1"/>
  <c r="Q118" i="1"/>
  <c r="C123" i="1"/>
  <c r="D122" i="1"/>
  <c r="N120" i="1"/>
  <c r="M121" i="1"/>
  <c r="AE115" i="1" l="1"/>
  <c r="AD115" i="1"/>
  <c r="AF115" i="1"/>
  <c r="S129" i="2"/>
  <c r="AF128" i="2" s="1"/>
  <c r="T117" i="1"/>
  <c r="AF116" i="1" s="1"/>
  <c r="AE116" i="1"/>
  <c r="I135" i="2"/>
  <c r="J134" i="2"/>
  <c r="L134" i="2"/>
  <c r="M133" i="2"/>
  <c r="O133" i="2" s="1"/>
  <c r="Q132" i="2"/>
  <c r="P132" i="2"/>
  <c r="Z130" i="2"/>
  <c r="R131" i="2"/>
  <c r="S131" i="2" s="1"/>
  <c r="BM131" i="2"/>
  <c r="AQ131" i="2"/>
  <c r="AP131" i="2"/>
  <c r="Z131" i="2"/>
  <c r="Y131" i="2"/>
  <c r="X131" i="2"/>
  <c r="W131" i="2"/>
  <c r="W130" i="2"/>
  <c r="C135" i="2"/>
  <c r="D134" i="2"/>
  <c r="F135" i="2"/>
  <c r="G134" i="2"/>
  <c r="Y130" i="2"/>
  <c r="R130" i="2"/>
  <c r="R120" i="1"/>
  <c r="Q120" i="1"/>
  <c r="AN119" i="1"/>
  <c r="H122" i="1"/>
  <c r="I121" i="1"/>
  <c r="M122" i="1"/>
  <c r="N121" i="1"/>
  <c r="Y119" i="1"/>
  <c r="X119" i="1"/>
  <c r="W119" i="1"/>
  <c r="AM119" i="1"/>
  <c r="Z119" i="1"/>
  <c r="C124" i="1"/>
  <c r="D123" i="1"/>
  <c r="Y118" i="1"/>
  <c r="X118" i="1"/>
  <c r="W118" i="1"/>
  <c r="AM118" i="1"/>
  <c r="Z118" i="1"/>
  <c r="AN118" i="1"/>
  <c r="S118" i="1"/>
  <c r="S130" i="2" l="1"/>
  <c r="AG129" i="2" s="1"/>
  <c r="AH128" i="2"/>
  <c r="AG128" i="2"/>
  <c r="AE128" i="2"/>
  <c r="AD116" i="1"/>
  <c r="T118" i="1"/>
  <c r="AF117" i="1" s="1"/>
  <c r="AC116" i="1"/>
  <c r="AH129" i="2"/>
  <c r="AE129" i="2"/>
  <c r="AF129" i="2"/>
  <c r="AP132" i="2"/>
  <c r="R132" i="2"/>
  <c r="S132" i="2" s="1"/>
  <c r="BM132" i="2"/>
  <c r="AQ132" i="2"/>
  <c r="P133" i="2"/>
  <c r="X132" i="2" s="1"/>
  <c r="F136" i="2"/>
  <c r="G135" i="2"/>
  <c r="L135" i="2"/>
  <c r="M134" i="2"/>
  <c r="O134" i="2" s="1"/>
  <c r="D135" i="2"/>
  <c r="C136" i="2"/>
  <c r="J135" i="2"/>
  <c r="I136" i="2"/>
  <c r="C125" i="1"/>
  <c r="D124" i="1"/>
  <c r="I122" i="1"/>
  <c r="H123" i="1"/>
  <c r="S119" i="1"/>
  <c r="M123" i="1"/>
  <c r="N122" i="1"/>
  <c r="AM120" i="1"/>
  <c r="P121" i="1"/>
  <c r="AN120" i="1"/>
  <c r="S120" i="1"/>
  <c r="AE117" i="1" l="1"/>
  <c r="AD117" i="1"/>
  <c r="AC117" i="1"/>
  <c r="T119" i="1"/>
  <c r="AF118" i="1" s="1"/>
  <c r="P134" i="2"/>
  <c r="Q133" i="2"/>
  <c r="W132" i="2"/>
  <c r="M135" i="2"/>
  <c r="O135" i="2" s="1"/>
  <c r="L136" i="2"/>
  <c r="F137" i="2"/>
  <c r="G136" i="2"/>
  <c r="AH131" i="2"/>
  <c r="Y132" i="2"/>
  <c r="I137" i="2"/>
  <c r="J136" i="2"/>
  <c r="AG130" i="2"/>
  <c r="AP133" i="2"/>
  <c r="Z133" i="2"/>
  <c r="Y133" i="2"/>
  <c r="W133" i="2"/>
  <c r="Z132" i="2"/>
  <c r="AE130" i="2"/>
  <c r="AF130" i="2"/>
  <c r="D136" i="2"/>
  <c r="C137" i="2"/>
  <c r="AH130" i="2"/>
  <c r="N123" i="1"/>
  <c r="M124" i="1"/>
  <c r="P122" i="1"/>
  <c r="R121" i="1"/>
  <c r="Q121" i="1"/>
  <c r="I123" i="1"/>
  <c r="P123" i="1" s="1"/>
  <c r="H124" i="1"/>
  <c r="C126" i="1"/>
  <c r="D125" i="1"/>
  <c r="AD118" i="1" l="1"/>
  <c r="AC118" i="1"/>
  <c r="AE118" i="1"/>
  <c r="T120" i="1"/>
  <c r="AE119" i="1" s="1"/>
  <c r="I138" i="2"/>
  <c r="J137" i="2"/>
  <c r="P135" i="2"/>
  <c r="AQ133" i="2"/>
  <c r="R133" i="2"/>
  <c r="BM133" i="2"/>
  <c r="AF131" i="2"/>
  <c r="F138" i="2"/>
  <c r="G137" i="2"/>
  <c r="AE131" i="2"/>
  <c r="Z134" i="2"/>
  <c r="Y134" i="2"/>
  <c r="X134" i="2"/>
  <c r="W134" i="2"/>
  <c r="AP134" i="2"/>
  <c r="L137" i="2"/>
  <c r="M136" i="2"/>
  <c r="O136" i="2" s="1"/>
  <c r="C138" i="2"/>
  <c r="D137" i="2"/>
  <c r="AG131" i="2"/>
  <c r="X133" i="2"/>
  <c r="Q134" i="2"/>
  <c r="Q123" i="1"/>
  <c r="D126" i="1"/>
  <c r="C127" i="1"/>
  <c r="AM121" i="1"/>
  <c r="Z121" i="1"/>
  <c r="Y121" i="1"/>
  <c r="X121" i="1"/>
  <c r="W121" i="1"/>
  <c r="Y120" i="1"/>
  <c r="Z120" i="1"/>
  <c r="W120" i="1"/>
  <c r="X120" i="1"/>
  <c r="I124" i="1"/>
  <c r="P124" i="1" s="1"/>
  <c r="H125" i="1"/>
  <c r="R122" i="1"/>
  <c r="Q122" i="1"/>
  <c r="M125" i="1"/>
  <c r="N124" i="1"/>
  <c r="AN121" i="1"/>
  <c r="S121" i="1"/>
  <c r="AD119" i="1" l="1"/>
  <c r="AC119" i="1"/>
  <c r="AF119" i="1"/>
  <c r="S133" i="2"/>
  <c r="AE132" i="2" s="1"/>
  <c r="T121" i="1"/>
  <c r="AD120" i="1" s="1"/>
  <c r="F139" i="2"/>
  <c r="G138" i="2"/>
  <c r="BM134" i="2"/>
  <c r="AQ134" i="2"/>
  <c r="R134" i="2"/>
  <c r="D138" i="2"/>
  <c r="C139" i="2"/>
  <c r="AP135" i="2"/>
  <c r="Q135" i="2"/>
  <c r="P136" i="2"/>
  <c r="Z135" i="2" s="1"/>
  <c r="M137" i="2"/>
  <c r="O137" i="2" s="1"/>
  <c r="L138" i="2"/>
  <c r="I139" i="2"/>
  <c r="J138" i="2"/>
  <c r="H126" i="1"/>
  <c r="I125" i="1"/>
  <c r="Z122" i="1"/>
  <c r="AM122" i="1"/>
  <c r="Y122" i="1"/>
  <c r="X122" i="1"/>
  <c r="W122" i="1"/>
  <c r="Q124" i="1"/>
  <c r="N125" i="1"/>
  <c r="M126" i="1"/>
  <c r="AN122" i="1"/>
  <c r="S122" i="1"/>
  <c r="T122" i="1" s="1"/>
  <c r="X123" i="1"/>
  <c r="W123" i="1"/>
  <c r="AM123" i="1"/>
  <c r="Z123" i="1"/>
  <c r="D127" i="1"/>
  <c r="C128" i="1"/>
  <c r="R123" i="1"/>
  <c r="AC120" i="1" l="1"/>
  <c r="AF120" i="1"/>
  <c r="S134" i="2"/>
  <c r="AG133" i="2" s="1"/>
  <c r="AG132" i="2"/>
  <c r="AF132" i="2"/>
  <c r="AH132" i="2"/>
  <c r="AE120" i="1"/>
  <c r="AF121" i="1"/>
  <c r="AE121" i="1"/>
  <c r="P137" i="2"/>
  <c r="BM135" i="2"/>
  <c r="AQ135" i="2"/>
  <c r="R135" i="2"/>
  <c r="S135" i="2" s="1"/>
  <c r="X135" i="2"/>
  <c r="Y135" i="2"/>
  <c r="C140" i="2"/>
  <c r="D139" i="2"/>
  <c r="Q136" i="2"/>
  <c r="Z136" i="2"/>
  <c r="Y136" i="2"/>
  <c r="X136" i="2"/>
  <c r="AP136" i="2"/>
  <c r="W136" i="2"/>
  <c r="W135" i="2"/>
  <c r="J139" i="2"/>
  <c r="I140" i="2"/>
  <c r="L139" i="2"/>
  <c r="M138" i="2"/>
  <c r="O138" i="2" s="1"/>
  <c r="F140" i="2"/>
  <c r="G139" i="2"/>
  <c r="AM124" i="1"/>
  <c r="M127" i="1"/>
  <c r="N126" i="1"/>
  <c r="R124" i="1"/>
  <c r="P125" i="1"/>
  <c r="Y123" i="1"/>
  <c r="AN123" i="1"/>
  <c r="S123" i="1"/>
  <c r="D128" i="1"/>
  <c r="C129" i="1"/>
  <c r="AC121" i="1"/>
  <c r="AD121" i="1"/>
  <c r="H127" i="1"/>
  <c r="I126" i="1"/>
  <c r="AE134" i="2" l="1"/>
  <c r="AH133" i="2"/>
  <c r="AG134" i="2"/>
  <c r="AF133" i="2"/>
  <c r="AH134" i="2"/>
  <c r="AE133" i="2"/>
  <c r="AF134" i="2"/>
  <c r="T123" i="1"/>
  <c r="AD122" i="1" s="1"/>
  <c r="D140" i="2"/>
  <c r="C141" i="2"/>
  <c r="P138" i="2"/>
  <c r="Q138" i="2"/>
  <c r="BM136" i="2"/>
  <c r="AQ136" i="2"/>
  <c r="R136" i="2"/>
  <c r="S136" i="2" s="1"/>
  <c r="AF135" i="2" s="1"/>
  <c r="M139" i="2"/>
  <c r="O139" i="2" s="1"/>
  <c r="L140" i="2"/>
  <c r="AP137" i="2"/>
  <c r="Z137" i="2"/>
  <c r="Y137" i="2"/>
  <c r="X137" i="2"/>
  <c r="W137" i="2"/>
  <c r="G140" i="2"/>
  <c r="F141" i="2"/>
  <c r="I141" i="2"/>
  <c r="J140" i="2"/>
  <c r="Q137" i="2"/>
  <c r="D129" i="1"/>
  <c r="C130" i="1"/>
  <c r="S124" i="1"/>
  <c r="T124" i="1" s="1"/>
  <c r="AN124" i="1"/>
  <c r="P126" i="1"/>
  <c r="AF122" i="1"/>
  <c r="R125" i="1"/>
  <c r="Q125" i="1"/>
  <c r="N127" i="1"/>
  <c r="M128" i="1"/>
  <c r="AC122" i="1"/>
  <c r="H128" i="1"/>
  <c r="I127" i="1"/>
  <c r="P127" i="1" s="1"/>
  <c r="AH135" i="2" l="1"/>
  <c r="AE135" i="2"/>
  <c r="AG135" i="2"/>
  <c r="AC123" i="1"/>
  <c r="AD123" i="1"/>
  <c r="AE123" i="1"/>
  <c r="AF123" i="1"/>
  <c r="AE122" i="1"/>
  <c r="L141" i="2"/>
  <c r="M140" i="2"/>
  <c r="O140" i="2" s="1"/>
  <c r="Q139" i="2"/>
  <c r="P139" i="2"/>
  <c r="BM137" i="2"/>
  <c r="R137" i="2"/>
  <c r="S137" i="2" s="1"/>
  <c r="AH136" i="2" s="1"/>
  <c r="AQ137" i="2"/>
  <c r="C142" i="2"/>
  <c r="D141" i="2"/>
  <c r="F142" i="2"/>
  <c r="G141" i="2"/>
  <c r="BM138" i="2"/>
  <c r="AQ138" i="2"/>
  <c r="Z138" i="2"/>
  <c r="Y138" i="2"/>
  <c r="AP138" i="2"/>
  <c r="I142" i="2"/>
  <c r="J141" i="2"/>
  <c r="I128" i="1"/>
  <c r="H129" i="1"/>
  <c r="N128" i="1"/>
  <c r="M129" i="1"/>
  <c r="R126" i="1"/>
  <c r="R127" i="1" s="1"/>
  <c r="Q126" i="1"/>
  <c r="AM125" i="1"/>
  <c r="Z125" i="1"/>
  <c r="Y125" i="1"/>
  <c r="X125" i="1"/>
  <c r="W125" i="1"/>
  <c r="Y124" i="1"/>
  <c r="Z124" i="1"/>
  <c r="X124" i="1"/>
  <c r="W124" i="1"/>
  <c r="D130" i="1"/>
  <c r="C131" i="1"/>
  <c r="Q127" i="1"/>
  <c r="AN125" i="1"/>
  <c r="S125" i="1"/>
  <c r="T125" i="1" s="1"/>
  <c r="AE136" i="2" l="1"/>
  <c r="R138" i="2"/>
  <c r="S138" i="2" s="1"/>
  <c r="AH137" i="2" s="1"/>
  <c r="AF136" i="2"/>
  <c r="AG136" i="2"/>
  <c r="AE124" i="1"/>
  <c r="AC124" i="1"/>
  <c r="AF124" i="1"/>
  <c r="AD124" i="1"/>
  <c r="G142" i="2"/>
  <c r="F143" i="2"/>
  <c r="AP139" i="2"/>
  <c r="Q140" i="2"/>
  <c r="P140" i="2"/>
  <c r="D142" i="2"/>
  <c r="C143" i="2"/>
  <c r="J142" i="2"/>
  <c r="I143" i="2"/>
  <c r="BM139" i="2"/>
  <c r="AQ139" i="2"/>
  <c r="W138" i="2"/>
  <c r="X138" i="2"/>
  <c r="M141" i="2"/>
  <c r="O141" i="2" s="1"/>
  <c r="L142" i="2"/>
  <c r="AN127" i="1"/>
  <c r="S127" i="1"/>
  <c r="AM127" i="1"/>
  <c r="AN126" i="1"/>
  <c r="S126" i="1"/>
  <c r="T126" i="1" s="1"/>
  <c r="T127" i="1" s="1"/>
  <c r="I129" i="1"/>
  <c r="P129" i="1" s="1"/>
  <c r="H130" i="1"/>
  <c r="D131" i="1"/>
  <c r="C132" i="1"/>
  <c r="AM126" i="1"/>
  <c r="Z126" i="1"/>
  <c r="Y126" i="1"/>
  <c r="X126" i="1"/>
  <c r="W126" i="1"/>
  <c r="M130" i="1"/>
  <c r="N129" i="1"/>
  <c r="P128" i="1"/>
  <c r="AE137" i="2" l="1"/>
  <c r="AG137" i="2"/>
  <c r="AF137" i="2"/>
  <c r="R139" i="2"/>
  <c r="AE125" i="1"/>
  <c r="R140" i="2"/>
  <c r="BM140" i="2"/>
  <c r="AQ140" i="2"/>
  <c r="AP140" i="2"/>
  <c r="Y139" i="2"/>
  <c r="L143" i="2"/>
  <c r="M142" i="2"/>
  <c r="O142" i="2" s="1"/>
  <c r="C144" i="2"/>
  <c r="D143" i="2"/>
  <c r="W139" i="2"/>
  <c r="F144" i="2"/>
  <c r="G143" i="2"/>
  <c r="Q141" i="2"/>
  <c r="P141" i="2"/>
  <c r="X139" i="2"/>
  <c r="Z139" i="2"/>
  <c r="I144" i="2"/>
  <c r="J143" i="2"/>
  <c r="C133" i="1"/>
  <c r="D132" i="1"/>
  <c r="Q129" i="1"/>
  <c r="R129" i="1" s="1"/>
  <c r="I130" i="1"/>
  <c r="H131" i="1"/>
  <c r="AF126" i="1"/>
  <c r="M131" i="1"/>
  <c r="N130" i="1"/>
  <c r="AC126" i="1"/>
  <c r="Q128" i="1"/>
  <c r="R128" i="1" s="1"/>
  <c r="AC125" i="1"/>
  <c r="AD125" i="1"/>
  <c r="AF125" i="1"/>
  <c r="S140" i="2" l="1"/>
  <c r="S139" i="2"/>
  <c r="AH139" i="2" s="1"/>
  <c r="AE139" i="2"/>
  <c r="AD126" i="1"/>
  <c r="AE126" i="1"/>
  <c r="D144" i="2"/>
  <c r="C145" i="2"/>
  <c r="AP141" i="2"/>
  <c r="G144" i="2"/>
  <c r="F145" i="2"/>
  <c r="L144" i="2"/>
  <c r="M143" i="2"/>
  <c r="O143" i="2" s="1"/>
  <c r="Q142" i="2"/>
  <c r="P142" i="2"/>
  <c r="W140" i="2"/>
  <c r="J144" i="2"/>
  <c r="I145" i="2"/>
  <c r="R141" i="2"/>
  <c r="S141" i="2" s="1"/>
  <c r="BM141" i="2"/>
  <c r="AQ141" i="2"/>
  <c r="X140" i="2"/>
  <c r="Y140" i="2"/>
  <c r="Z140" i="2"/>
  <c r="S128" i="1"/>
  <c r="AN128" i="1"/>
  <c r="S129" i="1"/>
  <c r="T129" i="1" s="1"/>
  <c r="AN129" i="1"/>
  <c r="N131" i="1"/>
  <c r="M132" i="1"/>
  <c r="H132" i="1"/>
  <c r="I131" i="1"/>
  <c r="P131" i="1" s="1"/>
  <c r="Z128" i="1"/>
  <c r="Y128" i="1"/>
  <c r="X128" i="1"/>
  <c r="W128" i="1"/>
  <c r="AM128" i="1"/>
  <c r="Z127" i="1"/>
  <c r="Y127" i="1"/>
  <c r="X127" i="1"/>
  <c r="W127" i="1"/>
  <c r="P130" i="1"/>
  <c r="AM129" i="1"/>
  <c r="D133" i="1"/>
  <c r="C134" i="1"/>
  <c r="AE138" i="2" l="1"/>
  <c r="AF139" i="2"/>
  <c r="AG138" i="2"/>
  <c r="AH138" i="2"/>
  <c r="AF138" i="2"/>
  <c r="AG139" i="2"/>
  <c r="T128" i="1"/>
  <c r="AE127" i="1" s="1"/>
  <c r="AC128" i="1"/>
  <c r="AQ142" i="2"/>
  <c r="R142" i="2"/>
  <c r="S142" i="2" s="1"/>
  <c r="BM142" i="2"/>
  <c r="J145" i="2"/>
  <c r="I146" i="2"/>
  <c r="AP142" i="2"/>
  <c r="W142" i="2"/>
  <c r="Z142" i="2"/>
  <c r="Y142" i="2"/>
  <c r="X142" i="2"/>
  <c r="F146" i="2"/>
  <c r="G145" i="2"/>
  <c r="AF140" i="2"/>
  <c r="M144" i="2"/>
  <c r="O144" i="2" s="1"/>
  <c r="L145" i="2"/>
  <c r="X141" i="2"/>
  <c r="Y141" i="2"/>
  <c r="AH140" i="2"/>
  <c r="C146" i="2"/>
  <c r="D145" i="2"/>
  <c r="P143" i="2"/>
  <c r="Q143" i="2" s="1"/>
  <c r="AE140" i="2"/>
  <c r="AG140" i="2"/>
  <c r="Z141" i="2"/>
  <c r="W141" i="2"/>
  <c r="M133" i="1"/>
  <c r="N132" i="1"/>
  <c r="I132" i="1"/>
  <c r="P132" i="1" s="1"/>
  <c r="H133" i="1"/>
  <c r="Q130" i="1"/>
  <c r="R130" i="1" s="1"/>
  <c r="C135" i="1"/>
  <c r="D134" i="1"/>
  <c r="Q131" i="1"/>
  <c r="AD127" i="1" l="1"/>
  <c r="AC127" i="1"/>
  <c r="AF127" i="1"/>
  <c r="AE128" i="1"/>
  <c r="AD128" i="1"/>
  <c r="AF128" i="1"/>
  <c r="BM143" i="2"/>
  <c r="AQ143" i="2"/>
  <c r="R143" i="2"/>
  <c r="S143" i="2" s="1"/>
  <c r="P144" i="2"/>
  <c r="Q144" i="2" s="1"/>
  <c r="F147" i="2"/>
  <c r="G146" i="2"/>
  <c r="J146" i="2"/>
  <c r="I147" i="2"/>
  <c r="AH142" i="2"/>
  <c r="AG142" i="2"/>
  <c r="AF142" i="2"/>
  <c r="AE142" i="2"/>
  <c r="C147" i="2"/>
  <c r="D146" i="2"/>
  <c r="L146" i="2"/>
  <c r="M145" i="2"/>
  <c r="O145" i="2" s="1"/>
  <c r="AE141" i="2"/>
  <c r="AG141" i="2"/>
  <c r="Y143" i="2"/>
  <c r="AP143" i="2"/>
  <c r="AF141" i="2"/>
  <c r="AH141" i="2"/>
  <c r="S130" i="1"/>
  <c r="T130" i="1" s="1"/>
  <c r="AN130" i="1"/>
  <c r="R131" i="1"/>
  <c r="R132" i="1" s="1"/>
  <c r="AM131" i="1"/>
  <c r="Q132" i="1"/>
  <c r="D135" i="1"/>
  <c r="C136" i="1"/>
  <c r="Y130" i="1"/>
  <c r="X130" i="1"/>
  <c r="W130" i="1"/>
  <c r="AM130" i="1"/>
  <c r="Z130" i="1"/>
  <c r="X129" i="1"/>
  <c r="W129" i="1"/>
  <c r="Z129" i="1"/>
  <c r="Y129" i="1"/>
  <c r="I133" i="1"/>
  <c r="H134" i="1"/>
  <c r="N133" i="1"/>
  <c r="M134" i="1"/>
  <c r="BM144" i="2" l="1"/>
  <c r="AQ144" i="2"/>
  <c r="R144" i="2"/>
  <c r="I148" i="2"/>
  <c r="J147" i="2"/>
  <c r="F148" i="2"/>
  <c r="G147" i="2"/>
  <c r="Q145" i="2"/>
  <c r="P145" i="2"/>
  <c r="M146" i="2"/>
  <c r="O146" i="2" s="1"/>
  <c r="L147" i="2"/>
  <c r="D147" i="2"/>
  <c r="C148" i="2"/>
  <c r="AP144" i="2"/>
  <c r="X144" i="2"/>
  <c r="Z144" i="2"/>
  <c r="Y144" i="2"/>
  <c r="W144" i="2"/>
  <c r="Z143" i="2"/>
  <c r="W143" i="2"/>
  <c r="X143" i="2"/>
  <c r="AN132" i="1"/>
  <c r="N134" i="1"/>
  <c r="M135" i="1"/>
  <c r="AM132" i="1"/>
  <c r="Y131" i="1"/>
  <c r="S131" i="1"/>
  <c r="AN131" i="1"/>
  <c r="C137" i="1"/>
  <c r="D136" i="1"/>
  <c r="W131" i="1"/>
  <c r="X131" i="1"/>
  <c r="Z131" i="1"/>
  <c r="H135" i="1"/>
  <c r="I134" i="1"/>
  <c r="P134" i="1" s="1"/>
  <c r="P133" i="1"/>
  <c r="AE129" i="1"/>
  <c r="AC129" i="1"/>
  <c r="AF129" i="1"/>
  <c r="AD129" i="1"/>
  <c r="S144" i="2" l="1"/>
  <c r="AH143" i="2" s="1"/>
  <c r="T131" i="1"/>
  <c r="AF130" i="1" s="1"/>
  <c r="BM145" i="2"/>
  <c r="AQ145" i="2"/>
  <c r="R145" i="2"/>
  <c r="S145" i="2" s="1"/>
  <c r="AH144" i="2" s="1"/>
  <c r="C149" i="2"/>
  <c r="D148" i="2"/>
  <c r="L148" i="2"/>
  <c r="M147" i="2"/>
  <c r="O147" i="2" s="1"/>
  <c r="J148" i="2"/>
  <c r="I149" i="2"/>
  <c r="P146" i="2"/>
  <c r="Q146" i="2"/>
  <c r="F149" i="2"/>
  <c r="G148" i="2"/>
  <c r="X145" i="2"/>
  <c r="W145" i="2"/>
  <c r="AP145" i="2"/>
  <c r="AE130" i="1"/>
  <c r="Q134" i="1"/>
  <c r="C138" i="1"/>
  <c r="D137" i="1"/>
  <c r="M136" i="1"/>
  <c r="N135" i="1"/>
  <c r="S132" i="1"/>
  <c r="I135" i="1"/>
  <c r="P135" i="1" s="1"/>
  <c r="H136" i="1"/>
  <c r="AD130" i="1"/>
  <c r="R133" i="1"/>
  <c r="Q133" i="1"/>
  <c r="AC130" i="1" l="1"/>
  <c r="AG143" i="2"/>
  <c r="AF143" i="2"/>
  <c r="AG144" i="2"/>
  <c r="AE143" i="2"/>
  <c r="T132" i="1"/>
  <c r="AF131" i="1" s="1"/>
  <c r="AP146" i="2"/>
  <c r="Z145" i="2"/>
  <c r="F150" i="2"/>
  <c r="G149" i="2"/>
  <c r="I150" i="2"/>
  <c r="J149" i="2"/>
  <c r="Y145" i="2"/>
  <c r="P147" i="2"/>
  <c r="W146" i="2" s="1"/>
  <c r="D149" i="2"/>
  <c r="C150" i="2"/>
  <c r="BM146" i="2"/>
  <c r="AQ146" i="2"/>
  <c r="R146" i="2"/>
  <c r="S146" i="2" s="1"/>
  <c r="M148" i="2"/>
  <c r="O148" i="2" s="1"/>
  <c r="L149" i="2"/>
  <c r="AE144" i="2"/>
  <c r="AF144" i="2"/>
  <c r="AN133" i="1"/>
  <c r="S133" i="1"/>
  <c r="T133" i="1" s="1"/>
  <c r="I136" i="1"/>
  <c r="H137" i="1"/>
  <c r="Q135" i="1"/>
  <c r="C139" i="1"/>
  <c r="D138" i="1"/>
  <c r="AM133" i="1"/>
  <c r="X133" i="1"/>
  <c r="W133" i="1"/>
  <c r="Z133" i="1"/>
  <c r="Y133" i="1"/>
  <c r="Z132" i="1"/>
  <c r="X132" i="1"/>
  <c r="W132" i="1"/>
  <c r="Y132" i="1"/>
  <c r="AF132" i="1"/>
  <c r="N136" i="1"/>
  <c r="M137" i="1"/>
  <c r="AM134" i="1"/>
  <c r="Z134" i="1"/>
  <c r="R134" i="1"/>
  <c r="AE132" i="1" l="1"/>
  <c r="AE131" i="1"/>
  <c r="AD131" i="1"/>
  <c r="AC131" i="1"/>
  <c r="P148" i="2"/>
  <c r="L150" i="2"/>
  <c r="M149" i="2"/>
  <c r="O149" i="2" s="1"/>
  <c r="C151" i="2"/>
  <c r="D150" i="2"/>
  <c r="Q147" i="2"/>
  <c r="AG145" i="2"/>
  <c r="Z147" i="2"/>
  <c r="Y147" i="2"/>
  <c r="AP147" i="2"/>
  <c r="X147" i="2"/>
  <c r="W147" i="2"/>
  <c r="I151" i="2"/>
  <c r="J150" i="2"/>
  <c r="F151" i="2"/>
  <c r="G150" i="2"/>
  <c r="AE145" i="2"/>
  <c r="X146" i="2"/>
  <c r="AF145" i="2"/>
  <c r="Y146" i="2"/>
  <c r="AH145" i="2"/>
  <c r="Z146" i="2"/>
  <c r="S134" i="1"/>
  <c r="AN134" i="1"/>
  <c r="D139" i="1"/>
  <c r="C140" i="1"/>
  <c r="R135" i="1"/>
  <c r="AM135" i="1"/>
  <c r="X134" i="1"/>
  <c r="M138" i="1"/>
  <c r="N137" i="1"/>
  <c r="W134" i="1"/>
  <c r="Y134" i="1"/>
  <c r="H138" i="1"/>
  <c r="I137" i="1"/>
  <c r="P136" i="1"/>
  <c r="AC132" i="1"/>
  <c r="AD132" i="1"/>
  <c r="T134" i="1" l="1"/>
  <c r="AD133" i="1" s="1"/>
  <c r="P149" i="2"/>
  <c r="J151" i="2"/>
  <c r="I152" i="2"/>
  <c r="D151" i="2"/>
  <c r="C152" i="2"/>
  <c r="M150" i="2"/>
  <c r="O150" i="2" s="1"/>
  <c r="L151" i="2"/>
  <c r="BM147" i="2"/>
  <c r="AQ147" i="2"/>
  <c r="R147" i="2"/>
  <c r="S147" i="2" s="1"/>
  <c r="AP148" i="2"/>
  <c r="Z148" i="2"/>
  <c r="Y148" i="2"/>
  <c r="X148" i="2"/>
  <c r="W148" i="2"/>
  <c r="G151" i="2"/>
  <c r="F152" i="2"/>
  <c r="Q148" i="2"/>
  <c r="M139" i="1"/>
  <c r="N138" i="1"/>
  <c r="S135" i="1"/>
  <c r="T135" i="1" s="1"/>
  <c r="AN135" i="1"/>
  <c r="P137" i="1"/>
  <c r="D140" i="1"/>
  <c r="C141" i="1"/>
  <c r="R136" i="1"/>
  <c r="Q136" i="1"/>
  <c r="H139" i="1"/>
  <c r="I138" i="1"/>
  <c r="P138" i="1" s="1"/>
  <c r="AD134" i="1" l="1"/>
  <c r="AE134" i="1"/>
  <c r="AF134" i="1"/>
  <c r="AC134" i="1"/>
  <c r="AF133" i="1"/>
  <c r="AC133" i="1"/>
  <c r="AE133" i="1"/>
  <c r="R148" i="2"/>
  <c r="S148" i="2" s="1"/>
  <c r="BM148" i="2"/>
  <c r="AQ148" i="2"/>
  <c r="AF147" i="2"/>
  <c r="AE147" i="2"/>
  <c r="AH147" i="2"/>
  <c r="AG147" i="2"/>
  <c r="AH146" i="2"/>
  <c r="AF146" i="2"/>
  <c r="AE146" i="2"/>
  <c r="AG146" i="2"/>
  <c r="P150" i="2"/>
  <c r="AP149" i="2"/>
  <c r="Z149" i="2"/>
  <c r="Y149" i="2"/>
  <c r="X149" i="2"/>
  <c r="W149" i="2"/>
  <c r="F153" i="2"/>
  <c r="G152" i="2"/>
  <c r="M151" i="2"/>
  <c r="O151" i="2" s="1"/>
  <c r="L152" i="2"/>
  <c r="D152" i="2"/>
  <c r="C153" i="2"/>
  <c r="I153" i="2"/>
  <c r="J152" i="2"/>
  <c r="Q149" i="2"/>
  <c r="H140" i="1"/>
  <c r="I139" i="1"/>
  <c r="Q138" i="1"/>
  <c r="R138" i="1"/>
  <c r="S136" i="1"/>
  <c r="T136" i="1" s="1"/>
  <c r="AN136" i="1"/>
  <c r="M140" i="1"/>
  <c r="N139" i="1"/>
  <c r="X136" i="1"/>
  <c r="W136" i="1"/>
  <c r="Z136" i="1"/>
  <c r="Y136" i="1"/>
  <c r="AM136" i="1"/>
  <c r="W135" i="1"/>
  <c r="X135" i="1"/>
  <c r="Y135" i="1"/>
  <c r="Z135" i="1"/>
  <c r="D141" i="1"/>
  <c r="C142" i="1"/>
  <c r="R137" i="1"/>
  <c r="Q137" i="1"/>
  <c r="AQ149" i="2" l="1"/>
  <c r="R149" i="2"/>
  <c r="S149" i="2" s="1"/>
  <c r="BM149" i="2"/>
  <c r="G153" i="2"/>
  <c r="F154" i="2"/>
  <c r="AP150" i="2"/>
  <c r="L153" i="2"/>
  <c r="M152" i="2"/>
  <c r="O152" i="2" s="1"/>
  <c r="Q150" i="2"/>
  <c r="J153" i="2"/>
  <c r="I154" i="2"/>
  <c r="D153" i="2"/>
  <c r="C154" i="2"/>
  <c r="P151" i="2"/>
  <c r="M141" i="1"/>
  <c r="N140" i="1"/>
  <c r="AE135" i="1"/>
  <c r="AM137" i="1"/>
  <c r="Z137" i="1"/>
  <c r="Y137" i="1"/>
  <c r="X137" i="1"/>
  <c r="W137" i="1"/>
  <c r="AF135" i="1"/>
  <c r="AN138" i="1"/>
  <c r="D142" i="1"/>
  <c r="C143" i="1"/>
  <c r="P139" i="1"/>
  <c r="AD135" i="1"/>
  <c r="AC135" i="1"/>
  <c r="AN137" i="1"/>
  <c r="S137" i="1"/>
  <c r="T137" i="1" s="1"/>
  <c r="AM138" i="1"/>
  <c r="H141" i="1"/>
  <c r="I140" i="1"/>
  <c r="P140" i="1" s="1"/>
  <c r="AF148" i="2" l="1"/>
  <c r="AE148" i="2"/>
  <c r="S138" i="1"/>
  <c r="T138" i="1" s="1"/>
  <c r="AP151" i="2"/>
  <c r="W150" i="2"/>
  <c r="Q151" i="2"/>
  <c r="L154" i="2"/>
  <c r="M153" i="2"/>
  <c r="O153" i="2" s="1"/>
  <c r="D154" i="2"/>
  <c r="C155" i="2"/>
  <c r="I155" i="2"/>
  <c r="J154" i="2"/>
  <c r="Q152" i="2"/>
  <c r="P152" i="2"/>
  <c r="Y151" i="2" s="1"/>
  <c r="Y150" i="2"/>
  <c r="R150" i="2"/>
  <c r="AQ150" i="2"/>
  <c r="BM150" i="2"/>
  <c r="X150" i="2"/>
  <c r="Z150" i="2"/>
  <c r="G154" i="2"/>
  <c r="F155" i="2"/>
  <c r="AG148" i="2"/>
  <c r="AH148" i="2"/>
  <c r="R139" i="1"/>
  <c r="Q139" i="1"/>
  <c r="AF137" i="1"/>
  <c r="AE137" i="1"/>
  <c r="AD137" i="1"/>
  <c r="AC137" i="1"/>
  <c r="C144" i="1"/>
  <c r="D143" i="1"/>
  <c r="R140" i="1"/>
  <c r="Q140" i="1"/>
  <c r="H142" i="1"/>
  <c r="I141" i="1"/>
  <c r="AE136" i="1"/>
  <c r="N141" i="1"/>
  <c r="M142" i="1"/>
  <c r="AC136" i="1"/>
  <c r="AD136" i="1"/>
  <c r="AF136" i="1"/>
  <c r="S150" i="2" l="1"/>
  <c r="AG149" i="2" s="1"/>
  <c r="AH149" i="2"/>
  <c r="AE149" i="2"/>
  <c r="L155" i="2"/>
  <c r="M154" i="2"/>
  <c r="O154" i="2" s="1"/>
  <c r="Q153" i="2"/>
  <c r="P153" i="2"/>
  <c r="X152" i="2"/>
  <c r="W152" i="2"/>
  <c r="AP152" i="2"/>
  <c r="Z152" i="2"/>
  <c r="Y152" i="2"/>
  <c r="J155" i="2"/>
  <c r="I156" i="2"/>
  <c r="G155" i="2"/>
  <c r="F156" i="2"/>
  <c r="W151" i="2"/>
  <c r="X151" i="2"/>
  <c r="Z151" i="2"/>
  <c r="BM152" i="2"/>
  <c r="AQ152" i="2"/>
  <c r="D155" i="2"/>
  <c r="C156" i="2"/>
  <c r="R151" i="2"/>
  <c r="BM151" i="2"/>
  <c r="AQ151" i="2"/>
  <c r="M143" i="1"/>
  <c r="N142" i="1"/>
  <c r="H143" i="1"/>
  <c r="I142" i="1"/>
  <c r="P142" i="1" s="1"/>
  <c r="AM140" i="1"/>
  <c r="C145" i="1"/>
  <c r="D144" i="1"/>
  <c r="Y139" i="1"/>
  <c r="X139" i="1"/>
  <c r="W139" i="1"/>
  <c r="AM139" i="1"/>
  <c r="Z139" i="1"/>
  <c r="Z138" i="1"/>
  <c r="X138" i="1"/>
  <c r="W138" i="1"/>
  <c r="Y138" i="1"/>
  <c r="P141" i="1"/>
  <c r="AN140" i="1"/>
  <c r="AN139" i="1"/>
  <c r="S139" i="1"/>
  <c r="T139" i="1" s="1"/>
  <c r="AF149" i="2" l="1"/>
  <c r="S151" i="2"/>
  <c r="R152" i="2"/>
  <c r="J156" i="2"/>
  <c r="I157" i="2"/>
  <c r="AQ153" i="2"/>
  <c r="BM153" i="2"/>
  <c r="R153" i="2"/>
  <c r="G156" i="2"/>
  <c r="F157" i="2"/>
  <c r="P154" i="2"/>
  <c r="Q154" i="2" s="1"/>
  <c r="AP153" i="2"/>
  <c r="W153" i="2"/>
  <c r="Z153" i="2"/>
  <c r="Y153" i="2"/>
  <c r="X153" i="2"/>
  <c r="D156" i="2"/>
  <c r="C157" i="2"/>
  <c r="M155" i="2"/>
  <c r="O155" i="2" s="1"/>
  <c r="L156" i="2"/>
  <c r="C146" i="1"/>
  <c r="D145" i="1"/>
  <c r="H144" i="1"/>
  <c r="I143" i="1"/>
  <c r="Q141" i="1"/>
  <c r="R141" i="1"/>
  <c r="N143" i="1"/>
  <c r="M144" i="1"/>
  <c r="AE138" i="1"/>
  <c r="AF138" i="1"/>
  <c r="AD138" i="1"/>
  <c r="AC138" i="1"/>
  <c r="R142" i="1"/>
  <c r="Q142" i="1"/>
  <c r="S140" i="1"/>
  <c r="T140" i="1" s="1"/>
  <c r="S152" i="2" l="1"/>
  <c r="AH150" i="2"/>
  <c r="AF150" i="2"/>
  <c r="AE151" i="2"/>
  <c r="AE150" i="2"/>
  <c r="AF151" i="2"/>
  <c r="AG151" i="2"/>
  <c r="AH151" i="2"/>
  <c r="AG150" i="2"/>
  <c r="AQ154" i="2"/>
  <c r="BM154" i="2"/>
  <c r="R154" i="2"/>
  <c r="S154" i="2" s="1"/>
  <c r="G157" i="2"/>
  <c r="F158" i="2"/>
  <c r="L157" i="2"/>
  <c r="M156" i="2"/>
  <c r="O156" i="2" s="1"/>
  <c r="C158" i="2"/>
  <c r="D157" i="2"/>
  <c r="J157" i="2"/>
  <c r="I158" i="2"/>
  <c r="Z154" i="2"/>
  <c r="Y154" i="2"/>
  <c r="X154" i="2"/>
  <c r="W154" i="2"/>
  <c r="AP154" i="2"/>
  <c r="P155" i="2"/>
  <c r="AD139" i="1"/>
  <c r="AN142" i="1"/>
  <c r="AE139" i="1"/>
  <c r="AM142" i="1"/>
  <c r="AC139" i="1"/>
  <c r="M145" i="1"/>
  <c r="N144" i="1"/>
  <c r="Z141" i="1"/>
  <c r="Y141" i="1"/>
  <c r="X141" i="1"/>
  <c r="W141" i="1"/>
  <c r="AM141" i="1"/>
  <c r="W140" i="1"/>
  <c r="Y140" i="1"/>
  <c r="Z140" i="1"/>
  <c r="X140" i="1"/>
  <c r="H145" i="1"/>
  <c r="I144" i="1"/>
  <c r="AF139" i="1"/>
  <c r="S141" i="1"/>
  <c r="AN141" i="1"/>
  <c r="P143" i="1"/>
  <c r="C147" i="1"/>
  <c r="D146" i="1"/>
  <c r="S153" i="2" l="1"/>
  <c r="AF152" i="2"/>
  <c r="AG152" i="2"/>
  <c r="AH152" i="2"/>
  <c r="T141" i="1"/>
  <c r="AD140" i="1" s="1"/>
  <c r="J158" i="2"/>
  <c r="I159" i="2"/>
  <c r="P156" i="2"/>
  <c r="G158" i="2"/>
  <c r="F159" i="2"/>
  <c r="D158" i="2"/>
  <c r="C159" i="2"/>
  <c r="M157" i="2"/>
  <c r="O157" i="2" s="1"/>
  <c r="L158" i="2"/>
  <c r="AP155" i="2"/>
  <c r="Y155" i="2"/>
  <c r="X155" i="2"/>
  <c r="W155" i="2"/>
  <c r="Z155" i="2"/>
  <c r="Q155" i="2"/>
  <c r="Q143" i="1"/>
  <c r="P144" i="1"/>
  <c r="D147" i="1"/>
  <c r="C148" i="1"/>
  <c r="S142" i="1"/>
  <c r="T142" i="1" s="1"/>
  <c r="AE141" i="1" s="1"/>
  <c r="M146" i="1"/>
  <c r="N145" i="1"/>
  <c r="H146" i="1"/>
  <c r="I145" i="1"/>
  <c r="P145" i="1" s="1"/>
  <c r="AF140" i="1"/>
  <c r="AE140" i="1"/>
  <c r="AH153" i="2" l="1"/>
  <c r="AE152" i="2"/>
  <c r="AG153" i="2"/>
  <c r="AE153" i="2"/>
  <c r="AF153" i="2"/>
  <c r="AD141" i="1"/>
  <c r="AF141" i="1"/>
  <c r="AC140" i="1"/>
  <c r="AC141" i="1"/>
  <c r="M158" i="2"/>
  <c r="O158" i="2" s="1"/>
  <c r="L159" i="2"/>
  <c r="BM155" i="2"/>
  <c r="AQ155" i="2"/>
  <c r="R155" i="2"/>
  <c r="S155" i="2" s="1"/>
  <c r="C160" i="2"/>
  <c r="D159" i="2"/>
  <c r="AP156" i="2"/>
  <c r="J159" i="2"/>
  <c r="I160" i="2"/>
  <c r="P157" i="2"/>
  <c r="X156" i="2" s="1"/>
  <c r="F160" i="2"/>
  <c r="G159" i="2"/>
  <c r="Q156" i="2"/>
  <c r="Q145" i="1"/>
  <c r="C149" i="1"/>
  <c r="D148" i="1"/>
  <c r="AM143" i="1"/>
  <c r="Z143" i="1"/>
  <c r="Y143" i="1"/>
  <c r="X143" i="1"/>
  <c r="W143" i="1"/>
  <c r="W142" i="1"/>
  <c r="Z142" i="1"/>
  <c r="Y142" i="1"/>
  <c r="X142" i="1"/>
  <c r="H147" i="1"/>
  <c r="I146" i="1"/>
  <c r="N146" i="1"/>
  <c r="M147" i="1"/>
  <c r="Q144" i="1"/>
  <c r="R143" i="1"/>
  <c r="G160" i="2" l="1"/>
  <c r="F161" i="2"/>
  <c r="J160" i="2"/>
  <c r="I161" i="2"/>
  <c r="BM156" i="2"/>
  <c r="AQ156" i="2"/>
  <c r="R156" i="2"/>
  <c r="S156" i="2" s="1"/>
  <c r="AH155" i="2" s="1"/>
  <c r="X157" i="2"/>
  <c r="W157" i="2"/>
  <c r="AP157" i="2"/>
  <c r="Z156" i="2"/>
  <c r="D160" i="2"/>
  <c r="C161" i="2"/>
  <c r="Q157" i="2"/>
  <c r="Q158" i="2" s="1"/>
  <c r="W156" i="2"/>
  <c r="Y156" i="2"/>
  <c r="AG154" i="2"/>
  <c r="AH154" i="2"/>
  <c r="AE154" i="2"/>
  <c r="AF154" i="2"/>
  <c r="M159" i="2"/>
  <c r="O159" i="2" s="1"/>
  <c r="L160" i="2"/>
  <c r="P158" i="2"/>
  <c r="Y157" i="2" s="1"/>
  <c r="H148" i="1"/>
  <c r="I147" i="1"/>
  <c r="AN143" i="1"/>
  <c r="S143" i="1"/>
  <c r="T143" i="1" s="1"/>
  <c r="AM145" i="1"/>
  <c r="P146" i="1"/>
  <c r="C150" i="1"/>
  <c r="D149" i="1"/>
  <c r="Y144" i="1"/>
  <c r="X144" i="1"/>
  <c r="W144" i="1"/>
  <c r="AM144" i="1"/>
  <c r="Z144" i="1"/>
  <c r="R144" i="1"/>
  <c r="N147" i="1"/>
  <c r="M148" i="1"/>
  <c r="AG155" i="2" l="1"/>
  <c r="BM158" i="2"/>
  <c r="AQ158" i="2"/>
  <c r="R158" i="2"/>
  <c r="Z157" i="2"/>
  <c r="C162" i="2"/>
  <c r="D161" i="2"/>
  <c r="M160" i="2"/>
  <c r="O160" i="2" s="1"/>
  <c r="L161" i="2"/>
  <c r="F162" i="2"/>
  <c r="G161" i="2"/>
  <c r="BM157" i="2"/>
  <c r="R157" i="2"/>
  <c r="S157" i="2" s="1"/>
  <c r="AQ157" i="2"/>
  <c r="Z158" i="2"/>
  <c r="Y158" i="2"/>
  <c r="W158" i="2"/>
  <c r="AP158" i="2"/>
  <c r="Q159" i="2"/>
  <c r="P159" i="2"/>
  <c r="I162" i="2"/>
  <c r="J161" i="2"/>
  <c r="AE155" i="2"/>
  <c r="AF155" i="2"/>
  <c r="AN144" i="1"/>
  <c r="S144" i="1"/>
  <c r="T144" i="1" s="1"/>
  <c r="R145" i="1"/>
  <c r="R146" i="1"/>
  <c r="Q146" i="1"/>
  <c r="AD142" i="1"/>
  <c r="AC142" i="1"/>
  <c r="AE142" i="1"/>
  <c r="AF142" i="1"/>
  <c r="I148" i="1"/>
  <c r="P148" i="1" s="1"/>
  <c r="H149" i="1"/>
  <c r="C151" i="1"/>
  <c r="D150" i="1"/>
  <c r="P147" i="1"/>
  <c r="M149" i="1"/>
  <c r="N148" i="1"/>
  <c r="S158" i="2" l="1"/>
  <c r="AD143" i="1"/>
  <c r="AF143" i="1"/>
  <c r="AC143" i="1"/>
  <c r="AE143" i="1"/>
  <c r="G162" i="2"/>
  <c r="F163" i="2"/>
  <c r="M161" i="2"/>
  <c r="O161" i="2" s="1"/>
  <c r="L162" i="2"/>
  <c r="AH156" i="2"/>
  <c r="R159" i="2"/>
  <c r="S159" i="2" s="1"/>
  <c r="BM159" i="2"/>
  <c r="AQ159" i="2"/>
  <c r="Q160" i="2"/>
  <c r="P160" i="2"/>
  <c r="AG156" i="2"/>
  <c r="AE156" i="2"/>
  <c r="D162" i="2"/>
  <c r="C163" i="2"/>
  <c r="AF156" i="2"/>
  <c r="J162" i="2"/>
  <c r="I163" i="2"/>
  <c r="AP159" i="2"/>
  <c r="X158" i="2"/>
  <c r="R147" i="1"/>
  <c r="Q147" i="1"/>
  <c r="N149" i="1"/>
  <c r="M150" i="1"/>
  <c r="H150" i="1"/>
  <c r="I149" i="1"/>
  <c r="P149" i="1" s="1"/>
  <c r="AN146" i="1"/>
  <c r="D151" i="1"/>
  <c r="C152" i="1"/>
  <c r="S145" i="1"/>
  <c r="T145" i="1" s="1"/>
  <c r="AN145" i="1"/>
  <c r="R148" i="1"/>
  <c r="Q148" i="1"/>
  <c r="W146" i="1"/>
  <c r="AM146" i="1"/>
  <c r="Z146" i="1"/>
  <c r="Y146" i="1"/>
  <c r="X146" i="1"/>
  <c r="Y145" i="1"/>
  <c r="X145" i="1"/>
  <c r="W145" i="1"/>
  <c r="Z145" i="1"/>
  <c r="AF144" i="1" l="1"/>
  <c r="AP160" i="2"/>
  <c r="C164" i="2"/>
  <c r="D163" i="2"/>
  <c r="M162" i="2"/>
  <c r="O162" i="2" s="1"/>
  <c r="L163" i="2"/>
  <c r="X159" i="2"/>
  <c r="R160" i="2"/>
  <c r="BM160" i="2"/>
  <c r="AQ160" i="2"/>
  <c r="AG158" i="2"/>
  <c r="AF158" i="2"/>
  <c r="AE158" i="2"/>
  <c r="AH158" i="2"/>
  <c r="F164" i="2"/>
  <c r="G163" i="2"/>
  <c r="AE157" i="2"/>
  <c r="Q161" i="2"/>
  <c r="P161" i="2"/>
  <c r="X160" i="2" s="1"/>
  <c r="W159" i="2"/>
  <c r="AG157" i="2"/>
  <c r="Y159" i="2"/>
  <c r="AH157" i="2"/>
  <c r="Z159" i="2"/>
  <c r="I164" i="2"/>
  <c r="J163" i="2"/>
  <c r="AF157" i="2"/>
  <c r="AM148" i="1"/>
  <c r="Q149" i="1"/>
  <c r="Y148" i="1" s="1"/>
  <c r="R149" i="1"/>
  <c r="AC144" i="1"/>
  <c r="AD144" i="1"/>
  <c r="AN148" i="1"/>
  <c r="S148" i="1"/>
  <c r="D152" i="1"/>
  <c r="C153" i="1"/>
  <c r="I150" i="1"/>
  <c r="P150" i="1" s="1"/>
  <c r="H151" i="1"/>
  <c r="AM147" i="1"/>
  <c r="Z147" i="1"/>
  <c r="Y147" i="1"/>
  <c r="X147" i="1"/>
  <c r="W147" i="1"/>
  <c r="S146" i="1"/>
  <c r="T146" i="1" s="1"/>
  <c r="AE144" i="1"/>
  <c r="M151" i="1"/>
  <c r="N150" i="1"/>
  <c r="AN147" i="1"/>
  <c r="S147" i="1"/>
  <c r="T147" i="1" s="1"/>
  <c r="S160" i="2" l="1"/>
  <c r="AF159" i="2" s="1"/>
  <c r="T148" i="1"/>
  <c r="L164" i="2"/>
  <c r="M163" i="2"/>
  <c r="O163" i="2" s="1"/>
  <c r="Z160" i="2"/>
  <c r="Q162" i="2"/>
  <c r="P162" i="2"/>
  <c r="AH159" i="2"/>
  <c r="R161" i="2"/>
  <c r="S161" i="2" s="1"/>
  <c r="BM161" i="2"/>
  <c r="AQ161" i="2"/>
  <c r="J164" i="2"/>
  <c r="I165" i="2"/>
  <c r="AE159" i="2"/>
  <c r="W161" i="2"/>
  <c r="Z161" i="2"/>
  <c r="Y161" i="2"/>
  <c r="AP161" i="2"/>
  <c r="D164" i="2"/>
  <c r="C165" i="2"/>
  <c r="W160" i="2"/>
  <c r="G164" i="2"/>
  <c r="F165" i="2"/>
  <c r="Y160" i="2"/>
  <c r="H152" i="1"/>
  <c r="I151" i="1"/>
  <c r="P151" i="1" s="1"/>
  <c r="AF146" i="1"/>
  <c r="AE146" i="1"/>
  <c r="AD146" i="1"/>
  <c r="AC146" i="1"/>
  <c r="AF145" i="1"/>
  <c r="AN149" i="1"/>
  <c r="S149" i="1"/>
  <c r="W148" i="1"/>
  <c r="AC145" i="1"/>
  <c r="R150" i="1"/>
  <c r="Q150" i="1"/>
  <c r="D153" i="1"/>
  <c r="C154" i="1"/>
  <c r="N151" i="1"/>
  <c r="M152" i="1"/>
  <c r="AM149" i="1"/>
  <c r="AD145" i="1"/>
  <c r="AE145" i="1"/>
  <c r="X148" i="1"/>
  <c r="Z148" i="1"/>
  <c r="AG159" i="2" l="1"/>
  <c r="T149" i="1"/>
  <c r="AQ162" i="2"/>
  <c r="R162" i="2"/>
  <c r="S162" i="2" s="1"/>
  <c r="BM162" i="2"/>
  <c r="I166" i="2"/>
  <c r="J165" i="2"/>
  <c r="AP162" i="2"/>
  <c r="Z162" i="2"/>
  <c r="Y162" i="2"/>
  <c r="X162" i="2"/>
  <c r="W162" i="2"/>
  <c r="F166" i="2"/>
  <c r="G165" i="2"/>
  <c r="M164" i="2"/>
  <c r="O164" i="2" s="1"/>
  <c r="L165" i="2"/>
  <c r="AH161" i="2"/>
  <c r="AG161" i="2"/>
  <c r="AF161" i="2"/>
  <c r="AE161" i="2"/>
  <c r="AE160" i="2"/>
  <c r="AF160" i="2"/>
  <c r="AG160" i="2"/>
  <c r="AH160" i="2"/>
  <c r="D165" i="2"/>
  <c r="C166" i="2"/>
  <c r="P163" i="2"/>
  <c r="Q163" i="2"/>
  <c r="X161" i="2"/>
  <c r="AM150" i="1"/>
  <c r="X150" i="1"/>
  <c r="W150" i="1"/>
  <c r="Y150" i="1"/>
  <c r="AE148" i="1"/>
  <c r="AD148" i="1"/>
  <c r="AC148" i="1"/>
  <c r="AF148" i="1"/>
  <c r="Z149" i="1"/>
  <c r="X149" i="1"/>
  <c r="N152" i="1"/>
  <c r="M153" i="1"/>
  <c r="AC147" i="1"/>
  <c r="Y149" i="1"/>
  <c r="Q151" i="1"/>
  <c r="Z150" i="1" s="1"/>
  <c r="R151" i="1"/>
  <c r="S150" i="1"/>
  <c r="AN150" i="1"/>
  <c r="W149" i="1"/>
  <c r="AD147" i="1"/>
  <c r="AE147" i="1"/>
  <c r="AF147" i="1"/>
  <c r="D154" i="1"/>
  <c r="C155" i="1"/>
  <c r="I152" i="1"/>
  <c r="H153" i="1"/>
  <c r="T150" i="1" l="1"/>
  <c r="AE149" i="1" s="1"/>
  <c r="L166" i="2"/>
  <c r="M165" i="2"/>
  <c r="O165" i="2" s="1"/>
  <c r="P164" i="2"/>
  <c r="R163" i="2"/>
  <c r="S163" i="2" s="1"/>
  <c r="BM163" i="2"/>
  <c r="AQ163" i="2"/>
  <c r="AH162" i="2"/>
  <c r="AG162" i="2"/>
  <c r="AF162" i="2"/>
  <c r="AE162" i="2"/>
  <c r="F167" i="2"/>
  <c r="G166" i="2"/>
  <c r="Y163" i="2"/>
  <c r="X163" i="2"/>
  <c r="W163" i="2"/>
  <c r="AP163" i="2"/>
  <c r="Z163" i="2"/>
  <c r="C167" i="2"/>
  <c r="D166" i="2"/>
  <c r="J166" i="2"/>
  <c r="I167" i="2"/>
  <c r="N153" i="1"/>
  <c r="M154" i="1"/>
  <c r="I153" i="1"/>
  <c r="P153" i="1" s="1"/>
  <c r="H154" i="1"/>
  <c r="AN151" i="1"/>
  <c r="S151" i="1"/>
  <c r="P152" i="1"/>
  <c r="C156" i="1"/>
  <c r="D155" i="1"/>
  <c r="AM151" i="1"/>
  <c r="AC149" i="1" l="1"/>
  <c r="AD149" i="1"/>
  <c r="T151" i="1"/>
  <c r="AF150" i="1" s="1"/>
  <c r="AF149" i="1"/>
  <c r="AE150" i="1"/>
  <c r="D167" i="2"/>
  <c r="C168" i="2"/>
  <c r="P165" i="2"/>
  <c r="Q165" i="2" s="1"/>
  <c r="G167" i="2"/>
  <c r="F168" i="2"/>
  <c r="AP164" i="2"/>
  <c r="X164" i="2"/>
  <c r="W164" i="2"/>
  <c r="Z164" i="2"/>
  <c r="Y164" i="2"/>
  <c r="Q164" i="2"/>
  <c r="I168" i="2"/>
  <c r="J167" i="2"/>
  <c r="M166" i="2"/>
  <c r="O166" i="2" s="1"/>
  <c r="L167" i="2"/>
  <c r="D156" i="1"/>
  <c r="C157" i="1"/>
  <c r="R152" i="1"/>
  <c r="Q152" i="1"/>
  <c r="I154" i="1"/>
  <c r="H155" i="1"/>
  <c r="N154" i="1"/>
  <c r="M155" i="1"/>
  <c r="R153" i="1"/>
  <c r="Q153" i="1"/>
  <c r="AD150" i="1" l="1"/>
  <c r="AC150" i="1"/>
  <c r="AQ165" i="2"/>
  <c r="BM165" i="2"/>
  <c r="BM164" i="2"/>
  <c r="AQ164" i="2"/>
  <c r="R164" i="2"/>
  <c r="S164" i="2" s="1"/>
  <c r="L168" i="2"/>
  <c r="M167" i="2"/>
  <c r="O167" i="2" s="1"/>
  <c r="F169" i="2"/>
  <c r="G168" i="2"/>
  <c r="P166" i="2"/>
  <c r="Q166" i="2"/>
  <c r="I169" i="2"/>
  <c r="J168" i="2"/>
  <c r="Z165" i="2"/>
  <c r="Y165" i="2"/>
  <c r="X165" i="2"/>
  <c r="W165" i="2"/>
  <c r="AP165" i="2"/>
  <c r="C169" i="2"/>
  <c r="D168" i="2"/>
  <c r="AN153" i="1"/>
  <c r="S153" i="1"/>
  <c r="M156" i="1"/>
  <c r="N155" i="1"/>
  <c r="I155" i="1"/>
  <c r="P155" i="1" s="1"/>
  <c r="H156" i="1"/>
  <c r="AM152" i="1"/>
  <c r="Z152" i="1"/>
  <c r="Y152" i="1"/>
  <c r="X152" i="1"/>
  <c r="W152" i="1"/>
  <c r="Y151" i="1"/>
  <c r="W151" i="1"/>
  <c r="Z151" i="1"/>
  <c r="X151" i="1"/>
  <c r="D157" i="1"/>
  <c r="C158" i="1"/>
  <c r="AM153" i="1"/>
  <c r="P154" i="1"/>
  <c r="AN152" i="1"/>
  <c r="S152" i="1"/>
  <c r="T152" i="1" s="1"/>
  <c r="T153" i="1" l="1"/>
  <c r="J169" i="2"/>
  <c r="I170" i="2"/>
  <c r="P167" i="2"/>
  <c r="BM166" i="2"/>
  <c r="AQ166" i="2"/>
  <c r="G169" i="2"/>
  <c r="F170" i="2"/>
  <c r="M168" i="2"/>
  <c r="O168" i="2" s="1"/>
  <c r="L169" i="2"/>
  <c r="D169" i="2"/>
  <c r="C170" i="2"/>
  <c r="AP166" i="2"/>
  <c r="Z166" i="2"/>
  <c r="Y166" i="2"/>
  <c r="X166" i="2"/>
  <c r="W166" i="2"/>
  <c r="AH163" i="2"/>
  <c r="AF163" i="2"/>
  <c r="AE163" i="2"/>
  <c r="AG163" i="2"/>
  <c r="R165" i="2"/>
  <c r="S165" i="2" s="1"/>
  <c r="AF164" i="2" s="1"/>
  <c r="AF151" i="1"/>
  <c r="AC151" i="1"/>
  <c r="AE151" i="1"/>
  <c r="AD151" i="1"/>
  <c r="AD152" i="1"/>
  <c r="D158" i="1"/>
  <c r="C159" i="1"/>
  <c r="H157" i="1"/>
  <c r="I156" i="1"/>
  <c r="Q155" i="1"/>
  <c r="R154" i="1"/>
  <c r="R155" i="1" s="1"/>
  <c r="Q154" i="1"/>
  <c r="N156" i="1"/>
  <c r="M157" i="1"/>
  <c r="AH164" i="2" l="1"/>
  <c r="L170" i="2"/>
  <c r="M169" i="2"/>
  <c r="O169" i="2" s="1"/>
  <c r="C171" i="2"/>
  <c r="D170" i="2"/>
  <c r="P168" i="2"/>
  <c r="R166" i="2"/>
  <c r="S166" i="2" s="1"/>
  <c r="AG164" i="2"/>
  <c r="I171" i="2"/>
  <c r="J170" i="2"/>
  <c r="F171" i="2"/>
  <c r="G170" i="2"/>
  <c r="Z167" i="2"/>
  <c r="Y167" i="2"/>
  <c r="X167" i="2"/>
  <c r="AP167" i="2"/>
  <c r="Q167" i="2"/>
  <c r="AE164" i="2"/>
  <c r="AN155" i="1"/>
  <c r="C160" i="1"/>
  <c r="D159" i="1"/>
  <c r="S154" i="1"/>
  <c r="AN154" i="1"/>
  <c r="I157" i="1"/>
  <c r="H158" i="1"/>
  <c r="N157" i="1"/>
  <c r="M158" i="1"/>
  <c r="P156" i="1"/>
  <c r="Y154" i="1"/>
  <c r="X154" i="1"/>
  <c r="W154" i="1"/>
  <c r="AM154" i="1"/>
  <c r="Z154" i="1"/>
  <c r="Y153" i="1"/>
  <c r="X153" i="1"/>
  <c r="W153" i="1"/>
  <c r="Z153" i="1"/>
  <c r="AM155" i="1"/>
  <c r="AC152" i="1"/>
  <c r="AE152" i="1"/>
  <c r="AF152" i="1"/>
  <c r="T154" i="1" l="1"/>
  <c r="AF165" i="2"/>
  <c r="D171" i="2"/>
  <c r="C172" i="2"/>
  <c r="G171" i="2"/>
  <c r="F172" i="2"/>
  <c r="AP168" i="2"/>
  <c r="AE165" i="2"/>
  <c r="P169" i="2"/>
  <c r="Z168" i="2" s="1"/>
  <c r="J171" i="2"/>
  <c r="I172" i="2"/>
  <c r="Q168" i="2"/>
  <c r="AG165" i="2"/>
  <c r="AH165" i="2"/>
  <c r="BM167" i="2"/>
  <c r="AQ167" i="2"/>
  <c r="R167" i="2"/>
  <c r="W167" i="2"/>
  <c r="L171" i="2"/>
  <c r="M170" i="2"/>
  <c r="O170" i="2" s="1"/>
  <c r="P157" i="1"/>
  <c r="R156" i="1"/>
  <c r="Q156" i="1"/>
  <c r="I158" i="1"/>
  <c r="H159" i="1"/>
  <c r="N158" i="1"/>
  <c r="M159" i="1"/>
  <c r="C161" i="1"/>
  <c r="D160" i="1"/>
  <c r="S155" i="1"/>
  <c r="S167" i="2" l="1"/>
  <c r="AE166" i="2" s="1"/>
  <c r="T155" i="1"/>
  <c r="AC153" i="1"/>
  <c r="AF153" i="1"/>
  <c r="AC154" i="1"/>
  <c r="AE153" i="1"/>
  <c r="AD153" i="1"/>
  <c r="I173" i="2"/>
  <c r="J172" i="2"/>
  <c r="R168" i="2"/>
  <c r="BM168" i="2"/>
  <c r="AQ168" i="2"/>
  <c r="M171" i="2"/>
  <c r="O171" i="2" s="1"/>
  <c r="L172" i="2"/>
  <c r="AP169" i="2"/>
  <c r="Y168" i="2"/>
  <c r="W168" i="2"/>
  <c r="P170" i="2"/>
  <c r="D172" i="2"/>
  <c r="C173" i="2"/>
  <c r="AF166" i="2"/>
  <c r="Q169" i="2"/>
  <c r="X168" i="2"/>
  <c r="F173" i="2"/>
  <c r="G172" i="2"/>
  <c r="AG166" i="2"/>
  <c r="AH166" i="2"/>
  <c r="AD154" i="1"/>
  <c r="AE154" i="1"/>
  <c r="AN156" i="1"/>
  <c r="S156" i="1"/>
  <c r="C162" i="1"/>
  <c r="D161" i="1"/>
  <c r="AF154" i="1"/>
  <c r="N159" i="1"/>
  <c r="M160" i="1"/>
  <c r="I159" i="1"/>
  <c r="P159" i="1" s="1"/>
  <c r="H160" i="1"/>
  <c r="P158" i="1"/>
  <c r="Z156" i="1"/>
  <c r="AM156" i="1"/>
  <c r="Y156" i="1"/>
  <c r="Y155" i="1"/>
  <c r="W155" i="1"/>
  <c r="Z155" i="1"/>
  <c r="X155" i="1"/>
  <c r="R157" i="1"/>
  <c r="Q157" i="1"/>
  <c r="S168" i="2" l="1"/>
  <c r="T156" i="1"/>
  <c r="AD155" i="1" s="1"/>
  <c r="AG167" i="2"/>
  <c r="Y170" i="2"/>
  <c r="X170" i="2"/>
  <c r="AP170" i="2"/>
  <c r="W170" i="2"/>
  <c r="D173" i="2"/>
  <c r="C174" i="2"/>
  <c r="Y169" i="2"/>
  <c r="X169" i="2"/>
  <c r="Z169" i="2"/>
  <c r="L173" i="2"/>
  <c r="M172" i="2"/>
  <c r="O172" i="2" s="1"/>
  <c r="G173" i="2"/>
  <c r="F174" i="2"/>
  <c r="BM169" i="2"/>
  <c r="AQ169" i="2"/>
  <c r="R169" i="2"/>
  <c r="S169" i="2" s="1"/>
  <c r="Q170" i="2"/>
  <c r="W169" i="2"/>
  <c r="Q171" i="2"/>
  <c r="P171" i="2"/>
  <c r="J173" i="2"/>
  <c r="I174" i="2"/>
  <c r="Q159" i="1"/>
  <c r="R158" i="1"/>
  <c r="Q158" i="1"/>
  <c r="M161" i="1"/>
  <c r="N160" i="1"/>
  <c r="AM157" i="1"/>
  <c r="Z157" i="1"/>
  <c r="Y157" i="1"/>
  <c r="X157" i="1"/>
  <c r="W157" i="1"/>
  <c r="AC155" i="1"/>
  <c r="AE155" i="1"/>
  <c r="H161" i="1"/>
  <c r="I160" i="1"/>
  <c r="P160" i="1" s="1"/>
  <c r="C163" i="1"/>
  <c r="D162" i="1"/>
  <c r="AN157" i="1"/>
  <c r="S157" i="1"/>
  <c r="W156" i="1"/>
  <c r="X156" i="1"/>
  <c r="AF155" i="1"/>
  <c r="AH167" i="2" l="1"/>
  <c r="AE167" i="2"/>
  <c r="AF167" i="2"/>
  <c r="T157" i="1"/>
  <c r="P172" i="2"/>
  <c r="D174" i="2"/>
  <c r="C175" i="2"/>
  <c r="L174" i="2"/>
  <c r="M173" i="2"/>
  <c r="O173" i="2" s="1"/>
  <c r="AF168" i="2"/>
  <c r="BM171" i="2"/>
  <c r="AQ171" i="2"/>
  <c r="G174" i="2"/>
  <c r="F175" i="2"/>
  <c r="R170" i="2"/>
  <c r="S170" i="2" s="1"/>
  <c r="BM170" i="2"/>
  <c r="AQ170" i="2"/>
  <c r="I175" i="2"/>
  <c r="J174" i="2"/>
  <c r="AH168" i="2"/>
  <c r="AE168" i="2"/>
  <c r="AG168" i="2"/>
  <c r="AP171" i="2"/>
  <c r="Z171" i="2"/>
  <c r="W171" i="2"/>
  <c r="Y171" i="2"/>
  <c r="X171" i="2"/>
  <c r="Z170" i="2"/>
  <c r="I161" i="1"/>
  <c r="H162" i="1"/>
  <c r="Q160" i="1"/>
  <c r="Z158" i="1"/>
  <c r="Y158" i="1"/>
  <c r="X158" i="1"/>
  <c r="W158" i="1"/>
  <c r="AM158" i="1"/>
  <c r="Y159" i="1"/>
  <c r="X159" i="1"/>
  <c r="W159" i="1"/>
  <c r="Z159" i="1"/>
  <c r="AM159" i="1"/>
  <c r="N161" i="1"/>
  <c r="M162" i="1"/>
  <c r="S158" i="1"/>
  <c r="AN158" i="1"/>
  <c r="D163" i="1"/>
  <c r="C164" i="1"/>
  <c r="R159" i="1"/>
  <c r="T158" i="1" l="1"/>
  <c r="AD156" i="1"/>
  <c r="AE156" i="1"/>
  <c r="AF156" i="1"/>
  <c r="AC156" i="1"/>
  <c r="J175" i="2"/>
  <c r="I176" i="2"/>
  <c r="P173" i="2"/>
  <c r="Z172" i="2" s="1"/>
  <c r="G175" i="2"/>
  <c r="F176" i="2"/>
  <c r="L175" i="2"/>
  <c r="M174" i="2"/>
  <c r="O174" i="2" s="1"/>
  <c r="AE169" i="2"/>
  <c r="AH169" i="2"/>
  <c r="R171" i="2"/>
  <c r="D175" i="2"/>
  <c r="C176" i="2"/>
  <c r="AF169" i="2"/>
  <c r="AG169" i="2"/>
  <c r="X172" i="2"/>
  <c r="AP172" i="2"/>
  <c r="Q172" i="2"/>
  <c r="N162" i="1"/>
  <c r="M163" i="1"/>
  <c r="AM160" i="1"/>
  <c r="S159" i="1"/>
  <c r="T159" i="1" s="1"/>
  <c r="AC158" i="1" s="1"/>
  <c r="AN159" i="1"/>
  <c r="I162" i="1"/>
  <c r="P162" i="1" s="1"/>
  <c r="H163" i="1"/>
  <c r="R160" i="1"/>
  <c r="D164" i="1"/>
  <c r="C165" i="1"/>
  <c r="P161" i="1"/>
  <c r="S171" i="2" l="1"/>
  <c r="AH170" i="2" s="1"/>
  <c r="AF158" i="1"/>
  <c r="AD158" i="1"/>
  <c r="AE158" i="1"/>
  <c r="AE157" i="1"/>
  <c r="AC157" i="1"/>
  <c r="AD157" i="1"/>
  <c r="AF157" i="1"/>
  <c r="P174" i="2"/>
  <c r="G176" i="2"/>
  <c r="F177" i="2"/>
  <c r="R172" i="2"/>
  <c r="S172" i="2" s="1"/>
  <c r="AF171" i="2" s="1"/>
  <c r="AQ172" i="2"/>
  <c r="BM172" i="2"/>
  <c r="M175" i="2"/>
  <c r="O175" i="2" s="1"/>
  <c r="L176" i="2"/>
  <c r="Y172" i="2"/>
  <c r="J176" i="2"/>
  <c r="I177" i="2"/>
  <c r="C177" i="2"/>
  <c r="D176" i="2"/>
  <c r="AP173" i="2"/>
  <c r="Y173" i="2"/>
  <c r="X173" i="2"/>
  <c r="W173" i="2"/>
  <c r="Z173" i="2"/>
  <c r="Q173" i="2"/>
  <c r="W172" i="2"/>
  <c r="S160" i="1"/>
  <c r="T160" i="1" s="1"/>
  <c r="AN160" i="1"/>
  <c r="H164" i="1"/>
  <c r="I163" i="1"/>
  <c r="Q161" i="1"/>
  <c r="R161" i="1"/>
  <c r="Q162" i="1"/>
  <c r="M164" i="1"/>
  <c r="N163" i="1"/>
  <c r="C166" i="1"/>
  <c r="D165" i="1"/>
  <c r="AE171" i="2" l="1"/>
  <c r="AG171" i="2"/>
  <c r="AH171" i="2"/>
  <c r="AE170" i="2"/>
  <c r="AG170" i="2"/>
  <c r="AF170" i="2"/>
  <c r="AD159" i="1"/>
  <c r="AE159" i="1"/>
  <c r="AC159" i="1"/>
  <c r="AF159" i="1"/>
  <c r="J177" i="2"/>
  <c r="I178" i="2"/>
  <c r="C178" i="2"/>
  <c r="D177" i="2"/>
  <c r="AQ173" i="2"/>
  <c r="R173" i="2"/>
  <c r="S173" i="2" s="1"/>
  <c r="AG172" i="2" s="1"/>
  <c r="BM173" i="2"/>
  <c r="L177" i="2"/>
  <c r="M176" i="2"/>
  <c r="O176" i="2" s="1"/>
  <c r="G177" i="2"/>
  <c r="F178" i="2"/>
  <c r="Z174" i="2"/>
  <c r="Y174" i="2"/>
  <c r="X174" i="2"/>
  <c r="W174" i="2"/>
  <c r="AP174" i="2"/>
  <c r="P175" i="2"/>
  <c r="Q174" i="2"/>
  <c r="M165" i="1"/>
  <c r="N164" i="1"/>
  <c r="AN161" i="1"/>
  <c r="S161" i="1"/>
  <c r="R162" i="1"/>
  <c r="C167" i="1"/>
  <c r="D166" i="1"/>
  <c r="AM162" i="1"/>
  <c r="Z161" i="1"/>
  <c r="Y161" i="1"/>
  <c r="X161" i="1"/>
  <c r="W161" i="1"/>
  <c r="AM161" i="1"/>
  <c r="Z160" i="1"/>
  <c r="Y160" i="1"/>
  <c r="W160" i="1"/>
  <c r="X160" i="1"/>
  <c r="P163" i="1"/>
  <c r="I164" i="1"/>
  <c r="P164" i="1" s="1"/>
  <c r="H165" i="1"/>
  <c r="AH172" i="2" l="1"/>
  <c r="AE172" i="2"/>
  <c r="AF172" i="2"/>
  <c r="T161" i="1"/>
  <c r="AD160" i="1" s="1"/>
  <c r="M177" i="2"/>
  <c r="O177" i="2" s="1"/>
  <c r="L178" i="2"/>
  <c r="BM174" i="2"/>
  <c r="AQ174" i="2"/>
  <c r="R174" i="2"/>
  <c r="P176" i="2"/>
  <c r="Q176" i="2"/>
  <c r="AP175" i="2"/>
  <c r="Z175" i="2"/>
  <c r="Y175" i="2"/>
  <c r="X175" i="2"/>
  <c r="W175" i="2"/>
  <c r="I179" i="2"/>
  <c r="J178" i="2"/>
  <c r="F179" i="2"/>
  <c r="G178" i="2"/>
  <c r="D178" i="2"/>
  <c r="C179" i="2"/>
  <c r="Q175" i="2"/>
  <c r="D167" i="1"/>
  <c r="C168" i="1"/>
  <c r="Q164" i="1"/>
  <c r="R163" i="1"/>
  <c r="Q163" i="1"/>
  <c r="I165" i="1"/>
  <c r="H166" i="1"/>
  <c r="S162" i="1"/>
  <c r="T162" i="1" s="1"/>
  <c r="AN162" i="1"/>
  <c r="M166" i="1"/>
  <c r="N165" i="1"/>
  <c r="S174" i="2" l="1"/>
  <c r="AG173" i="2" s="1"/>
  <c r="AE160" i="1"/>
  <c r="AC160" i="1"/>
  <c r="AF160" i="1"/>
  <c r="AH173" i="2"/>
  <c r="AF173" i="2"/>
  <c r="AE173" i="2"/>
  <c r="AF161" i="1"/>
  <c r="G179" i="2"/>
  <c r="F180" i="2"/>
  <c r="W176" i="2"/>
  <c r="AP176" i="2"/>
  <c r="I180" i="2"/>
  <c r="J179" i="2"/>
  <c r="BM176" i="2"/>
  <c r="AQ176" i="2"/>
  <c r="BM175" i="2"/>
  <c r="AQ175" i="2"/>
  <c r="R175" i="2"/>
  <c r="S175" i="2" s="1"/>
  <c r="M178" i="2"/>
  <c r="O178" i="2" s="1"/>
  <c r="L179" i="2"/>
  <c r="C180" i="2"/>
  <c r="D179" i="2"/>
  <c r="Q177" i="2"/>
  <c r="P177" i="2"/>
  <c r="X176" i="2" s="1"/>
  <c r="AD161" i="1"/>
  <c r="Z163" i="1"/>
  <c r="AM163" i="1"/>
  <c r="Y163" i="1"/>
  <c r="X163" i="1"/>
  <c r="W163" i="1"/>
  <c r="X162" i="1"/>
  <c r="Z162" i="1"/>
  <c r="W162" i="1"/>
  <c r="Y162" i="1"/>
  <c r="M167" i="1"/>
  <c r="N166" i="1"/>
  <c r="AE161" i="1"/>
  <c r="P165" i="1"/>
  <c r="AM164" i="1"/>
  <c r="C169" i="1"/>
  <c r="D168" i="1"/>
  <c r="AC161" i="1"/>
  <c r="I166" i="1"/>
  <c r="H167" i="1"/>
  <c r="AN163" i="1"/>
  <c r="S163" i="1"/>
  <c r="T163" i="1" s="1"/>
  <c r="R164" i="1"/>
  <c r="R176" i="2" l="1"/>
  <c r="J180" i="2"/>
  <c r="I181" i="2"/>
  <c r="AH174" i="2"/>
  <c r="AF174" i="2"/>
  <c r="Q178" i="2"/>
  <c r="P178" i="2"/>
  <c r="Z177" i="2"/>
  <c r="Y177" i="2"/>
  <c r="X177" i="2"/>
  <c r="W177" i="2"/>
  <c r="AP177" i="2"/>
  <c r="Y176" i="2"/>
  <c r="G180" i="2"/>
  <c r="F181" i="2"/>
  <c r="AG174" i="2"/>
  <c r="M179" i="2"/>
  <c r="O179" i="2" s="1"/>
  <c r="L180" i="2"/>
  <c r="BM177" i="2"/>
  <c r="AQ177" i="2"/>
  <c r="R177" i="2"/>
  <c r="S177" i="2" s="1"/>
  <c r="Z176" i="2"/>
  <c r="D180" i="2"/>
  <c r="C181" i="2"/>
  <c r="AE174" i="2"/>
  <c r="R165" i="1"/>
  <c r="Q165" i="1"/>
  <c r="S164" i="1"/>
  <c r="T164" i="1" s="1"/>
  <c r="AN164" i="1"/>
  <c r="P166" i="1"/>
  <c r="M168" i="1"/>
  <c r="N167" i="1"/>
  <c r="AE162" i="1"/>
  <c r="AD162" i="1"/>
  <c r="I167" i="1"/>
  <c r="P167" i="1" s="1"/>
  <c r="H168" i="1"/>
  <c r="C170" i="1"/>
  <c r="D169" i="1"/>
  <c r="AC162" i="1"/>
  <c r="AF162" i="1"/>
  <c r="S176" i="2" l="1"/>
  <c r="AH175" i="2" s="1"/>
  <c r="AE163" i="1"/>
  <c r="AF163" i="1"/>
  <c r="AC163" i="1"/>
  <c r="AD163" i="1"/>
  <c r="R178" i="2"/>
  <c r="S178" i="2" s="1"/>
  <c r="BM178" i="2"/>
  <c r="AQ178" i="2"/>
  <c r="J181" i="2"/>
  <c r="I182" i="2"/>
  <c r="C182" i="2"/>
  <c r="D181" i="2"/>
  <c r="F182" i="2"/>
  <c r="G181" i="2"/>
  <c r="AF177" i="2"/>
  <c r="AE177" i="2"/>
  <c r="AH177" i="2"/>
  <c r="AG177" i="2"/>
  <c r="AE175" i="2"/>
  <c r="Z178" i="2"/>
  <c r="Y178" i="2"/>
  <c r="X178" i="2"/>
  <c r="AP178" i="2"/>
  <c r="W178" i="2"/>
  <c r="AG176" i="2"/>
  <c r="AF176" i="2"/>
  <c r="AF175" i="2"/>
  <c r="L181" i="2"/>
  <c r="M180" i="2"/>
  <c r="O180" i="2" s="1"/>
  <c r="Q179" i="2"/>
  <c r="P179" i="2"/>
  <c r="AG175" i="2"/>
  <c r="Q167" i="1"/>
  <c r="R166" i="1"/>
  <c r="R167" i="1" s="1"/>
  <c r="Q166" i="1"/>
  <c r="Z165" i="1"/>
  <c r="Y165" i="1"/>
  <c r="X165" i="1"/>
  <c r="W165" i="1"/>
  <c r="AM165" i="1"/>
  <c r="X164" i="1"/>
  <c r="W164" i="1"/>
  <c r="Y164" i="1"/>
  <c r="Z164" i="1"/>
  <c r="D170" i="1"/>
  <c r="C171" i="1"/>
  <c r="H169" i="1"/>
  <c r="I168" i="1"/>
  <c r="N168" i="1"/>
  <c r="M169" i="1"/>
  <c r="S165" i="1"/>
  <c r="T165" i="1" s="1"/>
  <c r="AN165" i="1"/>
  <c r="AH176" i="2" l="1"/>
  <c r="AE176" i="2"/>
  <c r="F183" i="2"/>
  <c r="G182" i="2"/>
  <c r="R179" i="2"/>
  <c r="S179" i="2" s="1"/>
  <c r="AH178" i="2" s="1"/>
  <c r="BM179" i="2"/>
  <c r="AQ179" i="2"/>
  <c r="Q180" i="2"/>
  <c r="P180" i="2"/>
  <c r="L182" i="2"/>
  <c r="M181" i="2"/>
  <c r="O181" i="2" s="1"/>
  <c r="W179" i="2"/>
  <c r="AP179" i="2"/>
  <c r="Z179" i="2"/>
  <c r="Y179" i="2"/>
  <c r="X179" i="2"/>
  <c r="C183" i="2"/>
  <c r="D182" i="2"/>
  <c r="J182" i="2"/>
  <c r="I183" i="2"/>
  <c r="AN167" i="1"/>
  <c r="N169" i="1"/>
  <c r="M170" i="1"/>
  <c r="C172" i="1"/>
  <c r="D171" i="1"/>
  <c r="AM167" i="1"/>
  <c r="P168" i="1"/>
  <c r="X166" i="1"/>
  <c r="W166" i="1"/>
  <c r="Z166" i="1"/>
  <c r="Y166" i="1"/>
  <c r="AM166" i="1"/>
  <c r="AC164" i="1"/>
  <c r="I169" i="1"/>
  <c r="P169" i="1" s="1"/>
  <c r="H170" i="1"/>
  <c r="S166" i="1"/>
  <c r="T166" i="1" s="1"/>
  <c r="AN166" i="1"/>
  <c r="AD164" i="1"/>
  <c r="AE164" i="1"/>
  <c r="AF164" i="1"/>
  <c r="AG178" i="2" l="1"/>
  <c r="AC165" i="1"/>
  <c r="AD165" i="1"/>
  <c r="AE165" i="1"/>
  <c r="AF165" i="1"/>
  <c r="I184" i="2"/>
  <c r="J183" i="2"/>
  <c r="AQ180" i="2"/>
  <c r="R180" i="2"/>
  <c r="S180" i="2" s="1"/>
  <c r="AE179" i="2" s="1"/>
  <c r="BM180" i="2"/>
  <c r="D183" i="2"/>
  <c r="C184" i="2"/>
  <c r="AP180" i="2"/>
  <c r="P181" i="2"/>
  <c r="Q181" i="2"/>
  <c r="M182" i="2"/>
  <c r="O182" i="2" s="1"/>
  <c r="L183" i="2"/>
  <c r="AE178" i="2"/>
  <c r="AF178" i="2"/>
  <c r="F184" i="2"/>
  <c r="G183" i="2"/>
  <c r="Q169" i="1"/>
  <c r="C173" i="1"/>
  <c r="D172" i="1"/>
  <c r="Q168" i="1"/>
  <c r="R168" i="1"/>
  <c r="R169" i="1" s="1"/>
  <c r="H171" i="1"/>
  <c r="I170" i="1"/>
  <c r="P170" i="1" s="1"/>
  <c r="M171" i="1"/>
  <c r="N170" i="1"/>
  <c r="S167" i="1"/>
  <c r="T167" i="1" s="1"/>
  <c r="AG179" i="2" l="1"/>
  <c r="AF179" i="2"/>
  <c r="AH179" i="2"/>
  <c r="AP181" i="2"/>
  <c r="M183" i="2"/>
  <c r="O183" i="2" s="1"/>
  <c r="L184" i="2"/>
  <c r="X180" i="2"/>
  <c r="AQ181" i="2"/>
  <c r="R181" i="2"/>
  <c r="S181" i="2" s="1"/>
  <c r="BM181" i="2"/>
  <c r="Z180" i="2"/>
  <c r="C185" i="2"/>
  <c r="D184" i="2"/>
  <c r="F185" i="2"/>
  <c r="G184" i="2"/>
  <c r="P182" i="2"/>
  <c r="Q182" i="2" s="1"/>
  <c r="Y180" i="2"/>
  <c r="W180" i="2"/>
  <c r="I185" i="2"/>
  <c r="J184" i="2"/>
  <c r="AN169" i="1"/>
  <c r="N171" i="1"/>
  <c r="M172" i="1"/>
  <c r="I171" i="1"/>
  <c r="P171" i="1" s="1"/>
  <c r="H172" i="1"/>
  <c r="Z168" i="1"/>
  <c r="AM168" i="1"/>
  <c r="Y168" i="1"/>
  <c r="X168" i="1"/>
  <c r="W168" i="1"/>
  <c r="Z167" i="1"/>
  <c r="W167" i="1"/>
  <c r="X167" i="1"/>
  <c r="Y167" i="1"/>
  <c r="AC166" i="1"/>
  <c r="Q170" i="1"/>
  <c r="AN168" i="1"/>
  <c r="S168" i="1"/>
  <c r="D173" i="1"/>
  <c r="C174" i="1"/>
  <c r="AD166" i="1"/>
  <c r="AE166" i="1"/>
  <c r="AF166" i="1"/>
  <c r="AM169" i="1"/>
  <c r="Z169" i="1"/>
  <c r="Y169" i="1"/>
  <c r="X169" i="1"/>
  <c r="W169" i="1"/>
  <c r="T168" i="1" l="1"/>
  <c r="AC167" i="1" s="1"/>
  <c r="AE167" i="1"/>
  <c r="BM182" i="2"/>
  <c r="AQ182" i="2"/>
  <c r="R182" i="2"/>
  <c r="AP182" i="2"/>
  <c r="Z182" i="2"/>
  <c r="X182" i="2"/>
  <c r="W182" i="2"/>
  <c r="F186" i="2"/>
  <c r="G185" i="2"/>
  <c r="C186" i="2"/>
  <c r="D185" i="2"/>
  <c r="L185" i="2"/>
  <c r="M184" i="2"/>
  <c r="O184" i="2" s="1"/>
  <c r="I186" i="2"/>
  <c r="J185" i="2"/>
  <c r="W181" i="2"/>
  <c r="Y181" i="2"/>
  <c r="Q183" i="2"/>
  <c r="P183" i="2"/>
  <c r="Y182" i="2" s="1"/>
  <c r="AE180" i="2"/>
  <c r="AF180" i="2"/>
  <c r="X181" i="2"/>
  <c r="AG180" i="2"/>
  <c r="AH180" i="2"/>
  <c r="Z181" i="2"/>
  <c r="D174" i="1"/>
  <c r="C175" i="1"/>
  <c r="AM170" i="1"/>
  <c r="I172" i="1"/>
  <c r="H173" i="1"/>
  <c r="S169" i="1"/>
  <c r="Q171" i="1"/>
  <c r="M173" i="1"/>
  <c r="N172" i="1"/>
  <c r="R170" i="1"/>
  <c r="AD167" i="1" l="1"/>
  <c r="S182" i="2"/>
  <c r="T169" i="1"/>
  <c r="AC168" i="1" s="1"/>
  <c r="AF167" i="1"/>
  <c r="AE181" i="2"/>
  <c r="L186" i="2"/>
  <c r="M185" i="2"/>
  <c r="O185" i="2" s="1"/>
  <c r="Q184" i="2"/>
  <c r="P184" i="2"/>
  <c r="I187" i="2"/>
  <c r="J186" i="2"/>
  <c r="D186" i="2"/>
  <c r="C187" i="2"/>
  <c r="G186" i="2"/>
  <c r="F187" i="2"/>
  <c r="BM183" i="2"/>
  <c r="R183" i="2"/>
  <c r="AQ183" i="2"/>
  <c r="Z183" i="2"/>
  <c r="Y183" i="2"/>
  <c r="X183" i="2"/>
  <c r="W183" i="2"/>
  <c r="AP183" i="2"/>
  <c r="AM171" i="1"/>
  <c r="X170" i="1"/>
  <c r="M174" i="1"/>
  <c r="N173" i="1"/>
  <c r="I173" i="1"/>
  <c r="P173" i="1" s="1"/>
  <c r="H174" i="1"/>
  <c r="W170" i="1"/>
  <c r="Z170" i="1"/>
  <c r="D175" i="1"/>
  <c r="C176" i="1"/>
  <c r="AN170" i="1"/>
  <c r="S170" i="1"/>
  <c r="R171" i="1"/>
  <c r="P172" i="1"/>
  <c r="Y170" i="1"/>
  <c r="AF168" i="1" l="1"/>
  <c r="S183" i="2"/>
  <c r="S184" i="2" s="1"/>
  <c r="AG181" i="2"/>
  <c r="AH181" i="2"/>
  <c r="AF181" i="2"/>
  <c r="T170" i="1"/>
  <c r="AE169" i="1" s="1"/>
  <c r="AE168" i="1"/>
  <c r="AD168" i="1"/>
  <c r="AG182" i="2"/>
  <c r="AD169" i="1"/>
  <c r="F188" i="2"/>
  <c r="G187" i="2"/>
  <c r="AP184" i="2"/>
  <c r="P185" i="2"/>
  <c r="Q185" i="2"/>
  <c r="C188" i="2"/>
  <c r="D187" i="2"/>
  <c r="I188" i="2"/>
  <c r="J187" i="2"/>
  <c r="R184" i="2"/>
  <c r="BM184" i="2"/>
  <c r="AQ184" i="2"/>
  <c r="AE182" i="2"/>
  <c r="AF182" i="2"/>
  <c r="L187" i="2"/>
  <c r="M186" i="2"/>
  <c r="O186" i="2" s="1"/>
  <c r="I174" i="1"/>
  <c r="H175" i="1"/>
  <c r="Q173" i="1"/>
  <c r="C177" i="1"/>
  <c r="D176" i="1"/>
  <c r="AN171" i="1"/>
  <c r="S171" i="1"/>
  <c r="M175" i="1"/>
  <c r="N174" i="1"/>
  <c r="R172" i="1"/>
  <c r="Q172" i="1"/>
  <c r="AF169" i="1" l="1"/>
  <c r="AC169" i="1"/>
  <c r="AG183" i="2"/>
  <c r="AH182" i="2"/>
  <c r="T171" i="1"/>
  <c r="AF170" i="1" s="1"/>
  <c r="BM185" i="2"/>
  <c r="AQ185" i="2"/>
  <c r="R185" i="2"/>
  <c r="AP185" i="2"/>
  <c r="X184" i="2"/>
  <c r="M187" i="2"/>
  <c r="O187" i="2" s="1"/>
  <c r="L188" i="2"/>
  <c r="D188" i="2"/>
  <c r="C189" i="2"/>
  <c r="Z184" i="2"/>
  <c r="W184" i="2"/>
  <c r="G188" i="2"/>
  <c r="F189" i="2"/>
  <c r="AE183" i="2"/>
  <c r="J188" i="2"/>
  <c r="I189" i="2"/>
  <c r="Y184" i="2"/>
  <c r="Q186" i="2"/>
  <c r="P186" i="2"/>
  <c r="Y185" i="2" s="1"/>
  <c r="AF183" i="2"/>
  <c r="AH183" i="2"/>
  <c r="AM172" i="1"/>
  <c r="Z172" i="1"/>
  <c r="Y172" i="1"/>
  <c r="X172" i="1"/>
  <c r="W172" i="1"/>
  <c r="X171" i="1"/>
  <c r="Z171" i="1"/>
  <c r="W171" i="1"/>
  <c r="Y171" i="1"/>
  <c r="AN172" i="1"/>
  <c r="S172" i="1"/>
  <c r="N175" i="1"/>
  <c r="M176" i="1"/>
  <c r="AM173" i="1"/>
  <c r="H176" i="1"/>
  <c r="I175" i="1"/>
  <c r="D177" i="1"/>
  <c r="C178" i="1"/>
  <c r="R173" i="1"/>
  <c r="P174" i="1"/>
  <c r="S185" i="2" l="1"/>
  <c r="AH184" i="2" s="1"/>
  <c r="T172" i="1"/>
  <c r="AF171" i="1" s="1"/>
  <c r="AD170" i="1"/>
  <c r="AC170" i="1"/>
  <c r="AE170" i="1"/>
  <c r="AG184" i="2"/>
  <c r="Q187" i="2"/>
  <c r="P187" i="2"/>
  <c r="X185" i="2"/>
  <c r="L189" i="2"/>
  <c r="M188" i="2"/>
  <c r="O188" i="2" s="1"/>
  <c r="F190" i="2"/>
  <c r="G189" i="2"/>
  <c r="C190" i="2"/>
  <c r="D189" i="2"/>
  <c r="AP186" i="2"/>
  <c r="Z186" i="2"/>
  <c r="Y186" i="2"/>
  <c r="X186" i="2"/>
  <c r="W186" i="2"/>
  <c r="I190" i="2"/>
  <c r="J189" i="2"/>
  <c r="W185" i="2"/>
  <c r="BM186" i="2"/>
  <c r="AQ186" i="2"/>
  <c r="R186" i="2"/>
  <c r="S186" i="2" s="1"/>
  <c r="Z185" i="2"/>
  <c r="AE184" i="2"/>
  <c r="AF184" i="2"/>
  <c r="N176" i="1"/>
  <c r="M177" i="1"/>
  <c r="R174" i="1"/>
  <c r="Q174" i="1"/>
  <c r="I176" i="1"/>
  <c r="P176" i="1" s="1"/>
  <c r="H177" i="1"/>
  <c r="AN173" i="1"/>
  <c r="S173" i="1"/>
  <c r="T173" i="1" s="1"/>
  <c r="AF172" i="1" s="1"/>
  <c r="AC171" i="1"/>
  <c r="D178" i="1"/>
  <c r="C179" i="1"/>
  <c r="P175" i="1"/>
  <c r="AE171" i="1" l="1"/>
  <c r="AD171" i="1"/>
  <c r="AE172" i="1"/>
  <c r="AC172" i="1"/>
  <c r="AD172" i="1"/>
  <c r="AG185" i="2"/>
  <c r="J190" i="2"/>
  <c r="I191" i="2"/>
  <c r="C191" i="2"/>
  <c r="D190" i="2"/>
  <c r="G190" i="2"/>
  <c r="F191" i="2"/>
  <c r="AE185" i="2"/>
  <c r="AF185" i="2"/>
  <c r="AH185" i="2"/>
  <c r="W187" i="2"/>
  <c r="Z187" i="2"/>
  <c r="Y187" i="2"/>
  <c r="X187" i="2"/>
  <c r="AP187" i="2"/>
  <c r="Q188" i="2"/>
  <c r="P188" i="2"/>
  <c r="L190" i="2"/>
  <c r="M189" i="2"/>
  <c r="O189" i="2" s="1"/>
  <c r="R187" i="2"/>
  <c r="S187" i="2" s="1"/>
  <c r="BM187" i="2"/>
  <c r="AQ187" i="2"/>
  <c r="R175" i="1"/>
  <c r="Q175" i="1"/>
  <c r="C180" i="1"/>
  <c r="D179" i="1"/>
  <c r="R176" i="1"/>
  <c r="Q176" i="1"/>
  <c r="H178" i="1"/>
  <c r="I177" i="1"/>
  <c r="P177" i="1" s="1"/>
  <c r="AM174" i="1"/>
  <c r="Z174" i="1"/>
  <c r="Y174" i="1"/>
  <c r="X174" i="1"/>
  <c r="W174" i="1"/>
  <c r="Y173" i="1"/>
  <c r="Z173" i="1"/>
  <c r="W173" i="1"/>
  <c r="X173" i="1"/>
  <c r="N177" i="1"/>
  <c r="M178" i="1"/>
  <c r="S174" i="1"/>
  <c r="AN174" i="1"/>
  <c r="T174" i="1" l="1"/>
  <c r="AC173" i="1" s="1"/>
  <c r="AQ188" i="2"/>
  <c r="R188" i="2"/>
  <c r="BM188" i="2"/>
  <c r="J191" i="2"/>
  <c r="I192" i="2"/>
  <c r="AE186" i="2"/>
  <c r="M190" i="2"/>
  <c r="O190" i="2" s="1"/>
  <c r="L191" i="2"/>
  <c r="AG186" i="2"/>
  <c r="F192" i="2"/>
  <c r="G191" i="2"/>
  <c r="C192" i="2"/>
  <c r="D191" i="2"/>
  <c r="Q189" i="2"/>
  <c r="P189" i="2"/>
  <c r="AF186" i="2"/>
  <c r="AP188" i="2"/>
  <c r="AH186" i="2"/>
  <c r="AN176" i="1"/>
  <c r="S176" i="1"/>
  <c r="T176" i="1" s="1"/>
  <c r="C181" i="1"/>
  <c r="D180" i="1"/>
  <c r="R177" i="1"/>
  <c r="Q177" i="1"/>
  <c r="AM176" i="1"/>
  <c r="Z176" i="1"/>
  <c r="Y176" i="1"/>
  <c r="X176" i="1"/>
  <c r="W176" i="1"/>
  <c r="Z175" i="1"/>
  <c r="Y175" i="1"/>
  <c r="X175" i="1"/>
  <c r="W175" i="1"/>
  <c r="AM175" i="1"/>
  <c r="H179" i="1"/>
  <c r="I178" i="1"/>
  <c r="P178" i="1" s="1"/>
  <c r="N178" i="1"/>
  <c r="M179" i="1"/>
  <c r="S175" i="1"/>
  <c r="AN175" i="1"/>
  <c r="S188" i="2" l="1"/>
  <c r="T175" i="1"/>
  <c r="AE174" i="1" s="1"/>
  <c r="AD173" i="1"/>
  <c r="AF173" i="1"/>
  <c r="AE173" i="1"/>
  <c r="AF174" i="1"/>
  <c r="AP189" i="2"/>
  <c r="C193" i="2"/>
  <c r="D192" i="2"/>
  <c r="R189" i="2"/>
  <c r="S189" i="2" s="1"/>
  <c r="AG188" i="2" s="1"/>
  <c r="BM189" i="2"/>
  <c r="AQ189" i="2"/>
  <c r="P190" i="2"/>
  <c r="Q190" i="2" s="1"/>
  <c r="Y188" i="2"/>
  <c r="W188" i="2"/>
  <c r="X188" i="2"/>
  <c r="F193" i="2"/>
  <c r="G192" i="2"/>
  <c r="L192" i="2"/>
  <c r="M191" i="2"/>
  <c r="O191" i="2" s="1"/>
  <c r="J192" i="2"/>
  <c r="I193" i="2"/>
  <c r="Z188" i="2"/>
  <c r="I179" i="1"/>
  <c r="H180" i="1"/>
  <c r="AM177" i="1"/>
  <c r="R178" i="1"/>
  <c r="Q178" i="1"/>
  <c r="S177" i="1"/>
  <c r="T177" i="1" s="1"/>
  <c r="AN177" i="1"/>
  <c r="AD175" i="1"/>
  <c r="M180" i="1"/>
  <c r="N179" i="1"/>
  <c r="C182" i="1"/>
  <c r="D181" i="1"/>
  <c r="AH188" i="2" l="1"/>
  <c r="AE187" i="2"/>
  <c r="AF187" i="2"/>
  <c r="AH187" i="2"/>
  <c r="AF188" i="2"/>
  <c r="AE188" i="2"/>
  <c r="AG187" i="2"/>
  <c r="AD174" i="1"/>
  <c r="AC174" i="1"/>
  <c r="BM190" i="2"/>
  <c r="AQ190" i="2"/>
  <c r="R190" i="2"/>
  <c r="F194" i="2"/>
  <c r="G193" i="2"/>
  <c r="AP190" i="2"/>
  <c r="W190" i="2"/>
  <c r="Z190" i="2"/>
  <c r="Y190" i="2"/>
  <c r="X190" i="2"/>
  <c r="D193" i="2"/>
  <c r="C194" i="2"/>
  <c r="X189" i="2"/>
  <c r="I194" i="2"/>
  <c r="J193" i="2"/>
  <c r="Z189" i="2"/>
  <c r="P191" i="2"/>
  <c r="W189" i="2"/>
  <c r="M192" i="2"/>
  <c r="O192" i="2" s="1"/>
  <c r="L193" i="2"/>
  <c r="Y189" i="2"/>
  <c r="N180" i="1"/>
  <c r="M181" i="1"/>
  <c r="AE175" i="1"/>
  <c r="D182" i="1"/>
  <c r="C183" i="1"/>
  <c r="AC175" i="1"/>
  <c r="AM178" i="1"/>
  <c r="Z177" i="1"/>
  <c r="X177" i="1"/>
  <c r="H181" i="1"/>
  <c r="I180" i="1"/>
  <c r="P180" i="1" s="1"/>
  <c r="AF175" i="1"/>
  <c r="S178" i="1"/>
  <c r="T178" i="1" s="1"/>
  <c r="AN178" i="1"/>
  <c r="Y177" i="1"/>
  <c r="W177" i="1"/>
  <c r="P179" i="1"/>
  <c r="S190" i="2" l="1"/>
  <c r="AE189" i="2" s="1"/>
  <c r="C195" i="2"/>
  <c r="D194" i="2"/>
  <c r="J194" i="2"/>
  <c r="I195" i="2"/>
  <c r="AG189" i="2"/>
  <c r="F195" i="2"/>
  <c r="G194" i="2"/>
  <c r="AF189" i="2"/>
  <c r="L194" i="2"/>
  <c r="M193" i="2"/>
  <c r="O193" i="2" s="1"/>
  <c r="P192" i="2"/>
  <c r="AH189" i="2"/>
  <c r="Z191" i="2"/>
  <c r="Y191" i="2"/>
  <c r="X191" i="2"/>
  <c r="AP191" i="2"/>
  <c r="Q191" i="2"/>
  <c r="Q192" i="2" s="1"/>
  <c r="AF177" i="1"/>
  <c r="AE177" i="1"/>
  <c r="AD177" i="1"/>
  <c r="AC177" i="1"/>
  <c r="AD176" i="1"/>
  <c r="R179" i="1"/>
  <c r="Q179" i="1"/>
  <c r="Q180" i="1"/>
  <c r="AE176" i="1"/>
  <c r="D183" i="1"/>
  <c r="C184" i="1"/>
  <c r="M182" i="1"/>
  <c r="N181" i="1"/>
  <c r="I181" i="1"/>
  <c r="P181" i="1" s="1"/>
  <c r="H182" i="1"/>
  <c r="AC176" i="1"/>
  <c r="AF176" i="1"/>
  <c r="P193" i="2" l="1"/>
  <c r="AP192" i="2"/>
  <c r="Z192" i="2"/>
  <c r="Y192" i="2"/>
  <c r="X192" i="2"/>
  <c r="W192" i="2"/>
  <c r="I196" i="2"/>
  <c r="J195" i="2"/>
  <c r="BM192" i="2"/>
  <c r="AQ192" i="2"/>
  <c r="M194" i="2"/>
  <c r="O194" i="2" s="1"/>
  <c r="L195" i="2"/>
  <c r="F196" i="2"/>
  <c r="G195" i="2"/>
  <c r="BM191" i="2"/>
  <c r="AQ191" i="2"/>
  <c r="R191" i="2"/>
  <c r="S191" i="2" s="1"/>
  <c r="W191" i="2"/>
  <c r="D195" i="2"/>
  <c r="C196" i="2"/>
  <c r="Q181" i="1"/>
  <c r="Z180" i="1"/>
  <c r="AM180" i="1"/>
  <c r="Y180" i="1"/>
  <c r="X180" i="1"/>
  <c r="W180" i="1"/>
  <c r="H183" i="1"/>
  <c r="I182" i="1"/>
  <c r="C185" i="1"/>
  <c r="D184" i="1"/>
  <c r="R180" i="1"/>
  <c r="N182" i="1"/>
  <c r="M183" i="1"/>
  <c r="S179" i="1"/>
  <c r="T179" i="1" s="1"/>
  <c r="AN179" i="1"/>
  <c r="AM179" i="1"/>
  <c r="Z179" i="1"/>
  <c r="Y179" i="1"/>
  <c r="X179" i="1"/>
  <c r="W179" i="1"/>
  <c r="X178" i="1"/>
  <c r="Z178" i="1"/>
  <c r="W178" i="1"/>
  <c r="Y178" i="1"/>
  <c r="AF190" i="2" l="1"/>
  <c r="AE190" i="2"/>
  <c r="AH190" i="2"/>
  <c r="AG190" i="2"/>
  <c r="R192" i="2"/>
  <c r="F197" i="2"/>
  <c r="G196" i="2"/>
  <c r="L196" i="2"/>
  <c r="M195" i="2"/>
  <c r="O195" i="2" s="1"/>
  <c r="I197" i="2"/>
  <c r="J196" i="2"/>
  <c r="Z193" i="2"/>
  <c r="Y193" i="2"/>
  <c r="AP193" i="2"/>
  <c r="X193" i="2"/>
  <c r="W193" i="2"/>
  <c r="P194" i="2"/>
  <c r="C197" i="2"/>
  <c r="D196" i="2"/>
  <c r="Q193" i="2"/>
  <c r="N183" i="1"/>
  <c r="M184" i="1"/>
  <c r="AN180" i="1"/>
  <c r="S180" i="1"/>
  <c r="C186" i="1"/>
  <c r="D185" i="1"/>
  <c r="AE178" i="1"/>
  <c r="AF178" i="1"/>
  <c r="AD178" i="1"/>
  <c r="AC178" i="1"/>
  <c r="I183" i="1"/>
  <c r="P183" i="1" s="1"/>
  <c r="H184" i="1"/>
  <c r="AM181" i="1"/>
  <c r="P182" i="1"/>
  <c r="R181" i="1"/>
  <c r="S192" i="2" l="1"/>
  <c r="AG191" i="2" s="1"/>
  <c r="T180" i="1"/>
  <c r="I198" i="2"/>
  <c r="J197" i="2"/>
  <c r="AE191" i="2"/>
  <c r="M196" i="2"/>
  <c r="O196" i="2" s="1"/>
  <c r="L197" i="2"/>
  <c r="G197" i="2"/>
  <c r="F198" i="2"/>
  <c r="AP194" i="2"/>
  <c r="P195" i="2"/>
  <c r="Y194" i="2" s="1"/>
  <c r="AQ193" i="2"/>
  <c r="R193" i="2"/>
  <c r="BM193" i="2"/>
  <c r="D197" i="2"/>
  <c r="C198" i="2"/>
  <c r="AF191" i="2"/>
  <c r="Q194" i="2"/>
  <c r="AH191" i="2"/>
  <c r="Q183" i="1"/>
  <c r="D186" i="1"/>
  <c r="C187" i="1"/>
  <c r="N184" i="1"/>
  <c r="M185" i="1"/>
  <c r="H185" i="1"/>
  <c r="I184" i="1"/>
  <c r="P184" i="1" s="1"/>
  <c r="AN181" i="1"/>
  <c r="S181" i="1"/>
  <c r="Q182" i="1"/>
  <c r="R182" i="1"/>
  <c r="S193" i="2" l="1"/>
  <c r="AE192" i="2" s="1"/>
  <c r="T181" i="1"/>
  <c r="AC180" i="1" s="1"/>
  <c r="AD179" i="1"/>
  <c r="AC179" i="1"/>
  <c r="AE179" i="1"/>
  <c r="AF179" i="1"/>
  <c r="X194" i="2"/>
  <c r="AG192" i="2"/>
  <c r="R194" i="2"/>
  <c r="S194" i="2" s="1"/>
  <c r="BM194" i="2"/>
  <c r="AQ194" i="2"/>
  <c r="AF192" i="2"/>
  <c r="Q195" i="2"/>
  <c r="F199" i="2"/>
  <c r="G198" i="2"/>
  <c r="Z195" i="2"/>
  <c r="Y195" i="2"/>
  <c r="X195" i="2"/>
  <c r="W195" i="2"/>
  <c r="AP195" i="2"/>
  <c r="W194" i="2"/>
  <c r="Z194" i="2"/>
  <c r="L198" i="2"/>
  <c r="M197" i="2"/>
  <c r="O197" i="2" s="1"/>
  <c r="P196" i="2"/>
  <c r="C199" i="2"/>
  <c r="D198" i="2"/>
  <c r="I199" i="2"/>
  <c r="J198" i="2"/>
  <c r="S182" i="1"/>
  <c r="AN182" i="1"/>
  <c r="Z182" i="1"/>
  <c r="Y182" i="1"/>
  <c r="AM182" i="1"/>
  <c r="X182" i="1"/>
  <c r="W182" i="1"/>
  <c r="W181" i="1"/>
  <c r="X181" i="1"/>
  <c r="Y181" i="1"/>
  <c r="Z181" i="1"/>
  <c r="I185" i="1"/>
  <c r="H186" i="1"/>
  <c r="AD180" i="1"/>
  <c r="Q184" i="1"/>
  <c r="M186" i="1"/>
  <c r="N185" i="1"/>
  <c r="D187" i="1"/>
  <c r="C188" i="1"/>
  <c r="AM183" i="1"/>
  <c r="AF180" i="1"/>
  <c r="AE180" i="1"/>
  <c r="R183" i="1"/>
  <c r="R184" i="1" s="1"/>
  <c r="AH192" i="2" l="1"/>
  <c r="T182" i="1"/>
  <c r="AE181" i="1" s="1"/>
  <c r="G199" i="2"/>
  <c r="F200" i="2"/>
  <c r="J199" i="2"/>
  <c r="I200" i="2"/>
  <c r="W196" i="2"/>
  <c r="AP196" i="2"/>
  <c r="Z196" i="2"/>
  <c r="R195" i="2"/>
  <c r="S195" i="2" s="1"/>
  <c r="AG194" i="2" s="1"/>
  <c r="BM195" i="2"/>
  <c r="AQ195" i="2"/>
  <c r="C200" i="2"/>
  <c r="D199" i="2"/>
  <c r="AG193" i="2"/>
  <c r="L199" i="2"/>
  <c r="M198" i="2"/>
  <c r="O198" i="2" s="1"/>
  <c r="AE193" i="2"/>
  <c r="Q196" i="2"/>
  <c r="P197" i="2"/>
  <c r="Y196" i="2" s="1"/>
  <c r="AH193" i="2"/>
  <c r="AF193" i="2"/>
  <c r="P185" i="1"/>
  <c r="D188" i="1"/>
  <c r="C189" i="1"/>
  <c r="AM184" i="1"/>
  <c r="AN183" i="1"/>
  <c r="S183" i="1"/>
  <c r="M187" i="1"/>
  <c r="N186" i="1"/>
  <c r="I186" i="1"/>
  <c r="P186" i="1" s="1"/>
  <c r="H187" i="1"/>
  <c r="W183" i="1"/>
  <c r="Z183" i="1"/>
  <c r="AN184" i="1"/>
  <c r="X183" i="1"/>
  <c r="Y183" i="1"/>
  <c r="AE194" i="2" l="1"/>
  <c r="AF194" i="2"/>
  <c r="T183" i="1"/>
  <c r="AE182" i="1" s="1"/>
  <c r="AC181" i="1"/>
  <c r="AF181" i="1"/>
  <c r="S184" i="1"/>
  <c r="T184" i="1" s="1"/>
  <c r="AD183" i="1" s="1"/>
  <c r="AD181" i="1"/>
  <c r="M199" i="2"/>
  <c r="O199" i="2" s="1"/>
  <c r="L200" i="2"/>
  <c r="R196" i="2"/>
  <c r="S196" i="2" s="1"/>
  <c r="AH195" i="2" s="1"/>
  <c r="BM196" i="2"/>
  <c r="AQ196" i="2"/>
  <c r="D200" i="2"/>
  <c r="C201" i="2"/>
  <c r="X196" i="2"/>
  <c r="F201" i="2"/>
  <c r="G200" i="2"/>
  <c r="AH194" i="2"/>
  <c r="AP197" i="2"/>
  <c r="Z197" i="2"/>
  <c r="Y197" i="2"/>
  <c r="X197" i="2"/>
  <c r="W197" i="2"/>
  <c r="Q197" i="2"/>
  <c r="I201" i="2"/>
  <c r="J200" i="2"/>
  <c r="Q198" i="2"/>
  <c r="P198" i="2"/>
  <c r="R186" i="1"/>
  <c r="Q186" i="1"/>
  <c r="N187" i="1"/>
  <c r="M188" i="1"/>
  <c r="H188" i="1"/>
  <c r="I187" i="1"/>
  <c r="P187" i="1" s="1"/>
  <c r="C190" i="1"/>
  <c r="D189" i="1"/>
  <c r="R185" i="1"/>
  <c r="Q185" i="1"/>
  <c r="AC183" i="1" l="1"/>
  <c r="AE183" i="1"/>
  <c r="AF183" i="1"/>
  <c r="AF182" i="1"/>
  <c r="AF195" i="2"/>
  <c r="AG195" i="2"/>
  <c r="AE195" i="2"/>
  <c r="AD182" i="1"/>
  <c r="AC182" i="1"/>
  <c r="R198" i="2"/>
  <c r="BM198" i="2"/>
  <c r="AQ198" i="2"/>
  <c r="J201" i="2"/>
  <c r="I202" i="2"/>
  <c r="L201" i="2"/>
  <c r="M200" i="2"/>
  <c r="O200" i="2" s="1"/>
  <c r="F202" i="2"/>
  <c r="G201" i="2"/>
  <c r="C202" i="2"/>
  <c r="D201" i="2"/>
  <c r="X198" i="2"/>
  <c r="W198" i="2"/>
  <c r="AP198" i="2"/>
  <c r="Z198" i="2"/>
  <c r="Y198" i="2"/>
  <c r="R197" i="2"/>
  <c r="S197" i="2" s="1"/>
  <c r="AH196" i="2" s="1"/>
  <c r="BM197" i="2"/>
  <c r="AQ197" i="2"/>
  <c r="Q199" i="2"/>
  <c r="P199" i="2"/>
  <c r="D190" i="1"/>
  <c r="C191" i="1"/>
  <c r="I188" i="1"/>
  <c r="H189" i="1"/>
  <c r="M189" i="1"/>
  <c r="N188" i="1"/>
  <c r="Y186" i="1"/>
  <c r="X186" i="1"/>
  <c r="W186" i="1"/>
  <c r="AM186" i="1"/>
  <c r="Z186" i="1"/>
  <c r="Y185" i="1"/>
  <c r="X185" i="1"/>
  <c r="Z185" i="1"/>
  <c r="W185" i="1"/>
  <c r="AM185" i="1"/>
  <c r="X184" i="1"/>
  <c r="Z184" i="1"/>
  <c r="Y184" i="1"/>
  <c r="W184" i="1"/>
  <c r="R187" i="1"/>
  <c r="Q187" i="1"/>
  <c r="AN186" i="1"/>
  <c r="AN185" i="1"/>
  <c r="S185" i="1"/>
  <c r="T185" i="1" s="1"/>
  <c r="AF196" i="2" l="1"/>
  <c r="AE196" i="2"/>
  <c r="AG196" i="2"/>
  <c r="S198" i="2"/>
  <c r="AH197" i="2" s="1"/>
  <c r="Q200" i="2"/>
  <c r="P200" i="2"/>
  <c r="M201" i="2"/>
  <c r="O201" i="2" s="1"/>
  <c r="L202" i="2"/>
  <c r="AP199" i="2"/>
  <c r="Z199" i="2"/>
  <c r="Y199" i="2"/>
  <c r="X199" i="2"/>
  <c r="W199" i="2"/>
  <c r="C203" i="2"/>
  <c r="D202" i="2"/>
  <c r="AQ199" i="2"/>
  <c r="BM199" i="2"/>
  <c r="R199" i="2"/>
  <c r="S199" i="2" s="1"/>
  <c r="F203" i="2"/>
  <c r="G202" i="2"/>
  <c r="I203" i="2"/>
  <c r="J202" i="2"/>
  <c r="S186" i="1"/>
  <c r="T186" i="1" s="1"/>
  <c r="D191" i="1"/>
  <c r="C192" i="1"/>
  <c r="M190" i="1"/>
  <c r="N189" i="1"/>
  <c r="I189" i="1"/>
  <c r="P189" i="1" s="1"/>
  <c r="H190" i="1"/>
  <c r="AM187" i="1"/>
  <c r="AC185" i="1"/>
  <c r="AD185" i="1"/>
  <c r="AF185" i="1"/>
  <c r="AE185" i="1"/>
  <c r="AE184" i="1"/>
  <c r="AF184" i="1"/>
  <c r="AD184" i="1"/>
  <c r="AC184" i="1"/>
  <c r="P188" i="1"/>
  <c r="S187" i="1"/>
  <c r="T187" i="1" s="1"/>
  <c r="AN187" i="1"/>
  <c r="AG197" i="2" l="1"/>
  <c r="AH198" i="2"/>
  <c r="AG198" i="2"/>
  <c r="AF198" i="2"/>
  <c r="AE198" i="2"/>
  <c r="AE197" i="2"/>
  <c r="Z200" i="2"/>
  <c r="Y200" i="2"/>
  <c r="X200" i="2"/>
  <c r="W200" i="2"/>
  <c r="AP200" i="2"/>
  <c r="I204" i="2"/>
  <c r="J203" i="2"/>
  <c r="F204" i="2"/>
  <c r="G203" i="2"/>
  <c r="C204" i="2"/>
  <c r="D203" i="2"/>
  <c r="L203" i="2"/>
  <c r="M202" i="2"/>
  <c r="O202" i="2" s="1"/>
  <c r="Q201" i="2"/>
  <c r="P201" i="2"/>
  <c r="AF197" i="2"/>
  <c r="AQ200" i="2"/>
  <c r="R200" i="2"/>
  <c r="S200" i="2" s="1"/>
  <c r="BM200" i="2"/>
  <c r="H191" i="1"/>
  <c r="I190" i="1"/>
  <c r="C193" i="1"/>
  <c r="D192" i="1"/>
  <c r="Q189" i="1"/>
  <c r="R189" i="1" s="1"/>
  <c r="N190" i="1"/>
  <c r="M191" i="1"/>
  <c r="R188" i="1"/>
  <c r="Q188" i="1"/>
  <c r="AE186" i="1"/>
  <c r="AF186" i="1"/>
  <c r="AD186" i="1"/>
  <c r="AC186" i="1"/>
  <c r="D204" i="2" l="1"/>
  <c r="C205" i="2"/>
  <c r="I205" i="2"/>
  <c r="J204" i="2"/>
  <c r="F205" i="2"/>
  <c r="G204" i="2"/>
  <c r="BM201" i="2"/>
  <c r="AQ201" i="2"/>
  <c r="R201" i="2"/>
  <c r="AE199" i="2"/>
  <c r="AG199" i="2"/>
  <c r="AH199" i="2"/>
  <c r="AF199" i="2"/>
  <c r="AP201" i="2"/>
  <c r="Z201" i="2"/>
  <c r="Y201" i="2"/>
  <c r="Q202" i="2"/>
  <c r="P202" i="2"/>
  <c r="M203" i="2"/>
  <c r="O203" i="2" s="1"/>
  <c r="L204" i="2"/>
  <c r="S189" i="1"/>
  <c r="AN189" i="1"/>
  <c r="AN188" i="1"/>
  <c r="S188" i="1"/>
  <c r="T188" i="1" s="1"/>
  <c r="M192" i="1"/>
  <c r="N191" i="1"/>
  <c r="AM188" i="1"/>
  <c r="Z188" i="1"/>
  <c r="Y188" i="1"/>
  <c r="X188" i="1"/>
  <c r="W188" i="1"/>
  <c r="W187" i="1"/>
  <c r="X187" i="1"/>
  <c r="Y187" i="1"/>
  <c r="Z187" i="1"/>
  <c r="AM189" i="1"/>
  <c r="D193" i="1"/>
  <c r="C194" i="1"/>
  <c r="P190" i="1"/>
  <c r="H192" i="1"/>
  <c r="I191" i="1"/>
  <c r="P191" i="1" s="1"/>
  <c r="S201" i="2" l="1"/>
  <c r="AH200" i="2" s="1"/>
  <c r="T189" i="1"/>
  <c r="F206" i="2"/>
  <c r="G205" i="2"/>
  <c r="L205" i="2"/>
  <c r="M204" i="2"/>
  <c r="O204" i="2" s="1"/>
  <c r="AP202" i="2"/>
  <c r="C206" i="2"/>
  <c r="D205" i="2"/>
  <c r="AG200" i="2"/>
  <c r="Q203" i="2"/>
  <c r="P203" i="2"/>
  <c r="BM202" i="2"/>
  <c r="R202" i="2"/>
  <c r="AQ202" i="2"/>
  <c r="J205" i="2"/>
  <c r="I206" i="2"/>
  <c r="W201" i="2"/>
  <c r="X201" i="2"/>
  <c r="N192" i="1"/>
  <c r="M193" i="1"/>
  <c r="R190" i="1"/>
  <c r="Q190" i="1"/>
  <c r="Q191" i="1"/>
  <c r="R191" i="1" s="1"/>
  <c r="D194" i="1"/>
  <c r="C195" i="1"/>
  <c r="H193" i="1"/>
  <c r="I192" i="1"/>
  <c r="P192" i="1" s="1"/>
  <c r="AF187" i="1"/>
  <c r="AE187" i="1"/>
  <c r="AD187" i="1"/>
  <c r="AC187" i="1"/>
  <c r="AF200" i="2" l="1"/>
  <c r="AE200" i="2"/>
  <c r="S202" i="2"/>
  <c r="AH201" i="2" s="1"/>
  <c r="AE188" i="1"/>
  <c r="AP203" i="2"/>
  <c r="D206" i="2"/>
  <c r="C207" i="2"/>
  <c r="W202" i="2"/>
  <c r="Z202" i="2"/>
  <c r="Y202" i="2"/>
  <c r="M205" i="2"/>
  <c r="O205" i="2" s="1"/>
  <c r="L206" i="2"/>
  <c r="G206" i="2"/>
  <c r="F207" i="2"/>
  <c r="BM203" i="2"/>
  <c r="R203" i="2"/>
  <c r="AQ203" i="2"/>
  <c r="X202" i="2"/>
  <c r="P204" i="2"/>
  <c r="Q204" i="2"/>
  <c r="I207" i="2"/>
  <c r="J206" i="2"/>
  <c r="S191" i="1"/>
  <c r="AN191" i="1"/>
  <c r="AD188" i="1"/>
  <c r="H194" i="1"/>
  <c r="I193" i="1"/>
  <c r="P193" i="1" s="1"/>
  <c r="Q192" i="1"/>
  <c r="R192" i="1" s="1"/>
  <c r="D195" i="1"/>
  <c r="C196" i="1"/>
  <c r="W191" i="1"/>
  <c r="AM191" i="1"/>
  <c r="Z191" i="1"/>
  <c r="Y191" i="1"/>
  <c r="X191" i="1"/>
  <c r="Y190" i="1"/>
  <c r="X190" i="1"/>
  <c r="AM190" i="1"/>
  <c r="Z190" i="1"/>
  <c r="W190" i="1"/>
  <c r="Z189" i="1"/>
  <c r="X189" i="1"/>
  <c r="Y189" i="1"/>
  <c r="W189" i="1"/>
  <c r="N193" i="1"/>
  <c r="M194" i="1"/>
  <c r="AC188" i="1"/>
  <c r="AF188" i="1"/>
  <c r="S190" i="1"/>
  <c r="AN190" i="1"/>
  <c r="S203" i="2" l="1"/>
  <c r="AE202" i="2" s="1"/>
  <c r="AG201" i="2"/>
  <c r="AE201" i="2"/>
  <c r="AF201" i="2"/>
  <c r="T191" i="1"/>
  <c r="T190" i="1"/>
  <c r="AE189" i="1" s="1"/>
  <c r="AG202" i="2"/>
  <c r="F208" i="2"/>
  <c r="G207" i="2"/>
  <c r="C208" i="2"/>
  <c r="D207" i="2"/>
  <c r="AP204" i="2"/>
  <c r="AF203" i="2"/>
  <c r="AE203" i="2"/>
  <c r="AH202" i="2"/>
  <c r="Q205" i="2"/>
  <c r="P205" i="2"/>
  <c r="X204" i="2" s="1"/>
  <c r="W203" i="2"/>
  <c r="Y203" i="2"/>
  <c r="AF202" i="2"/>
  <c r="L207" i="2"/>
  <c r="M206" i="2"/>
  <c r="O206" i="2" s="1"/>
  <c r="I208" i="2"/>
  <c r="J207" i="2"/>
  <c r="R204" i="2"/>
  <c r="S204" i="2" s="1"/>
  <c r="AH203" i="2" s="1"/>
  <c r="BM204" i="2"/>
  <c r="AQ204" i="2"/>
  <c r="X203" i="2"/>
  <c r="Z203" i="2"/>
  <c r="AN192" i="1"/>
  <c r="S192" i="1"/>
  <c r="T192" i="1" s="1"/>
  <c r="AM192" i="1"/>
  <c r="M195" i="1"/>
  <c r="N194" i="1"/>
  <c r="AF190" i="1"/>
  <c r="AE190" i="1"/>
  <c r="AD190" i="1"/>
  <c r="AC190" i="1"/>
  <c r="Q193" i="1"/>
  <c r="W192" i="1" s="1"/>
  <c r="I194" i="1"/>
  <c r="P194" i="1" s="1"/>
  <c r="H195" i="1"/>
  <c r="C197" i="1"/>
  <c r="D196" i="1"/>
  <c r="AG203" i="2" l="1"/>
  <c r="AD189" i="1"/>
  <c r="AF189" i="1"/>
  <c r="AC189" i="1"/>
  <c r="AP205" i="2"/>
  <c r="Z204" i="2"/>
  <c r="P206" i="2"/>
  <c r="Q206" i="2"/>
  <c r="G208" i="2"/>
  <c r="F209" i="2"/>
  <c r="R205" i="2"/>
  <c r="BM205" i="2"/>
  <c r="AQ205" i="2"/>
  <c r="W204" i="2"/>
  <c r="Y204" i="2"/>
  <c r="D208" i="2"/>
  <c r="C209" i="2"/>
  <c r="J208" i="2"/>
  <c r="I209" i="2"/>
  <c r="L208" i="2"/>
  <c r="M207" i="2"/>
  <c r="O207" i="2" s="1"/>
  <c r="Q194" i="1"/>
  <c r="AM193" i="1"/>
  <c r="Y193" i="1"/>
  <c r="X193" i="1"/>
  <c r="W193" i="1"/>
  <c r="Z193" i="1"/>
  <c r="AF191" i="1"/>
  <c r="AE191" i="1"/>
  <c r="AD191" i="1"/>
  <c r="AC191" i="1"/>
  <c r="X192" i="1"/>
  <c r="I195" i="1"/>
  <c r="P195" i="1" s="1"/>
  <c r="H196" i="1"/>
  <c r="Z192" i="1"/>
  <c r="R193" i="1"/>
  <c r="N195" i="1"/>
  <c r="M196" i="1"/>
  <c r="Y192" i="1"/>
  <c r="D197" i="1"/>
  <c r="C198" i="1"/>
  <c r="S205" i="2" l="1"/>
  <c r="F210" i="2"/>
  <c r="G209" i="2"/>
  <c r="Q207" i="2"/>
  <c r="P207" i="2"/>
  <c r="AP206" i="2"/>
  <c r="Z206" i="2"/>
  <c r="Y206" i="2"/>
  <c r="X206" i="2"/>
  <c r="W206" i="2"/>
  <c r="W205" i="2"/>
  <c r="X205" i="2"/>
  <c r="Z205" i="2"/>
  <c r="R206" i="2"/>
  <c r="S206" i="2" s="1"/>
  <c r="BM206" i="2"/>
  <c r="AQ206" i="2"/>
  <c r="M208" i="2"/>
  <c r="O208" i="2" s="1"/>
  <c r="L209" i="2"/>
  <c r="I210" i="2"/>
  <c r="J209" i="2"/>
  <c r="Y205" i="2"/>
  <c r="D209" i="2"/>
  <c r="C210" i="2"/>
  <c r="H197" i="1"/>
  <c r="I196" i="1"/>
  <c r="C199" i="1"/>
  <c r="D198" i="1"/>
  <c r="M197" i="1"/>
  <c r="N196" i="1"/>
  <c r="AM194" i="1"/>
  <c r="AN193" i="1"/>
  <c r="S193" i="1"/>
  <c r="T193" i="1" s="1"/>
  <c r="Q195" i="1"/>
  <c r="R194" i="1"/>
  <c r="AF204" i="2" l="1"/>
  <c r="AH204" i="2"/>
  <c r="AE204" i="2"/>
  <c r="AG204" i="2"/>
  <c r="Q208" i="2"/>
  <c r="P208" i="2"/>
  <c r="AG205" i="2"/>
  <c r="AE205" i="2"/>
  <c r="C211" i="2"/>
  <c r="D210" i="2"/>
  <c r="AF205" i="2"/>
  <c r="J210" i="2"/>
  <c r="I211" i="2"/>
  <c r="AH205" i="2"/>
  <c r="W207" i="2"/>
  <c r="AP207" i="2"/>
  <c r="Z207" i="2"/>
  <c r="Y207" i="2"/>
  <c r="X207" i="2"/>
  <c r="R207" i="2"/>
  <c r="BM207" i="2"/>
  <c r="AQ207" i="2"/>
  <c r="L210" i="2"/>
  <c r="M209" i="2"/>
  <c r="O209" i="2" s="1"/>
  <c r="G210" i="2"/>
  <c r="F211" i="2"/>
  <c r="AM195" i="1"/>
  <c r="AN194" i="1"/>
  <c r="S194" i="1"/>
  <c r="T194" i="1" s="1"/>
  <c r="Y194" i="1"/>
  <c r="R195" i="1"/>
  <c r="Z194" i="1"/>
  <c r="W194" i="1"/>
  <c r="C200" i="1"/>
  <c r="D199" i="1"/>
  <c r="AD192" i="1"/>
  <c r="AF192" i="1"/>
  <c r="AC192" i="1"/>
  <c r="AE192" i="1"/>
  <c r="X194" i="1"/>
  <c r="N197" i="1"/>
  <c r="M198" i="1"/>
  <c r="P196" i="1"/>
  <c r="H198" i="1"/>
  <c r="I197" i="1"/>
  <c r="P197" i="1" s="1"/>
  <c r="S207" i="2" l="1"/>
  <c r="AF206" i="2" s="1"/>
  <c r="AC193" i="1"/>
  <c r="AF193" i="1"/>
  <c r="AD193" i="1"/>
  <c r="AE193" i="1"/>
  <c r="C212" i="2"/>
  <c r="D211" i="2"/>
  <c r="M210" i="2"/>
  <c r="O210" i="2" s="1"/>
  <c r="L211" i="2"/>
  <c r="J211" i="2"/>
  <c r="I212" i="2"/>
  <c r="F212" i="2"/>
  <c r="G211" i="2"/>
  <c r="Q209" i="2"/>
  <c r="P209" i="2"/>
  <c r="AP208" i="2"/>
  <c r="Z208" i="2"/>
  <c r="Y208" i="2"/>
  <c r="X208" i="2"/>
  <c r="W208" i="2"/>
  <c r="AG206" i="2"/>
  <c r="AQ208" i="2"/>
  <c r="BM208" i="2"/>
  <c r="R208" i="2"/>
  <c r="S208" i="2" s="1"/>
  <c r="H199" i="1"/>
  <c r="I198" i="1"/>
  <c r="D200" i="1"/>
  <c r="C201" i="1"/>
  <c r="Q197" i="1"/>
  <c r="R196" i="1"/>
  <c r="Q196" i="1"/>
  <c r="N198" i="1"/>
  <c r="M199" i="1"/>
  <c r="S195" i="1"/>
  <c r="AN195" i="1"/>
  <c r="AH206" i="2" l="1"/>
  <c r="AE206" i="2"/>
  <c r="T195" i="1"/>
  <c r="AE194" i="1" s="1"/>
  <c r="AP209" i="2"/>
  <c r="Z209" i="2"/>
  <c r="BM209" i="2"/>
  <c r="AQ209" i="2"/>
  <c r="R209" i="2"/>
  <c r="S209" i="2" s="1"/>
  <c r="AF207" i="2"/>
  <c r="AH207" i="2"/>
  <c r="L212" i="2"/>
  <c r="M211" i="2"/>
  <c r="O211" i="2" s="1"/>
  <c r="G212" i="2"/>
  <c r="F213" i="2"/>
  <c r="J212" i="2"/>
  <c r="I213" i="2"/>
  <c r="AE207" i="2"/>
  <c r="AG207" i="2"/>
  <c r="Q210" i="2"/>
  <c r="P210" i="2"/>
  <c r="X209" i="2" s="1"/>
  <c r="C213" i="2"/>
  <c r="D212" i="2"/>
  <c r="Z196" i="1"/>
  <c r="Y196" i="1"/>
  <c r="X196" i="1"/>
  <c r="W196" i="1"/>
  <c r="AM196" i="1"/>
  <c r="Y195" i="1"/>
  <c r="Z195" i="1"/>
  <c r="X195" i="1"/>
  <c r="W195" i="1"/>
  <c r="S196" i="1"/>
  <c r="T196" i="1" s="1"/>
  <c r="AN196" i="1"/>
  <c r="AD194" i="1"/>
  <c r="M200" i="1"/>
  <c r="N199" i="1"/>
  <c r="AM197" i="1"/>
  <c r="AC194" i="1"/>
  <c r="R197" i="1"/>
  <c r="AF194" i="1"/>
  <c r="D201" i="1"/>
  <c r="C202" i="1"/>
  <c r="P198" i="1"/>
  <c r="I199" i="1"/>
  <c r="H200" i="1"/>
  <c r="Q211" i="2" l="1"/>
  <c r="P211" i="2"/>
  <c r="I214" i="2"/>
  <c r="J213" i="2"/>
  <c r="AF208" i="2"/>
  <c r="C214" i="2"/>
  <c r="D213" i="2"/>
  <c r="F214" i="2"/>
  <c r="G213" i="2"/>
  <c r="M212" i="2"/>
  <c r="O212" i="2" s="1"/>
  <c r="L213" i="2"/>
  <c r="AE208" i="2"/>
  <c r="AG208" i="2"/>
  <c r="AH208" i="2"/>
  <c r="AP210" i="2"/>
  <c r="X210" i="2"/>
  <c r="Z210" i="2"/>
  <c r="Y210" i="2"/>
  <c r="BM210" i="2"/>
  <c r="AQ210" i="2"/>
  <c r="R210" i="2"/>
  <c r="W209" i="2"/>
  <c r="Y209" i="2"/>
  <c r="S197" i="1"/>
  <c r="T197" i="1" s="1"/>
  <c r="AN197" i="1"/>
  <c r="P199" i="1"/>
  <c r="H201" i="1"/>
  <c r="I200" i="1"/>
  <c r="R198" i="1"/>
  <c r="Q198" i="1"/>
  <c r="AD195" i="1"/>
  <c r="AC195" i="1"/>
  <c r="AF195" i="1"/>
  <c r="M201" i="1"/>
  <c r="N200" i="1"/>
  <c r="D202" i="1"/>
  <c r="C203" i="1"/>
  <c r="AE195" i="1"/>
  <c r="S210" i="2" l="1"/>
  <c r="AF209" i="2" s="1"/>
  <c r="AD196" i="1"/>
  <c r="M213" i="2"/>
  <c r="O213" i="2" s="1"/>
  <c r="L214" i="2"/>
  <c r="P212" i="2"/>
  <c r="Q212" i="2"/>
  <c r="C215" i="2"/>
  <c r="D214" i="2"/>
  <c r="AH209" i="2"/>
  <c r="Z211" i="2"/>
  <c r="Y211" i="2"/>
  <c r="X211" i="2"/>
  <c r="W211" i="2"/>
  <c r="AP211" i="2"/>
  <c r="F215" i="2"/>
  <c r="G214" i="2"/>
  <c r="AE209" i="2"/>
  <c r="AG209" i="2"/>
  <c r="J214" i="2"/>
  <c r="I215" i="2"/>
  <c r="W210" i="2"/>
  <c r="AQ211" i="2"/>
  <c r="BM211" i="2"/>
  <c r="R211" i="2"/>
  <c r="C204" i="1"/>
  <c r="D203" i="1"/>
  <c r="P200" i="1"/>
  <c r="M202" i="1"/>
  <c r="N201" i="1"/>
  <c r="H202" i="1"/>
  <c r="I201" i="1"/>
  <c r="P201" i="1" s="1"/>
  <c r="AM198" i="1"/>
  <c r="Y197" i="1"/>
  <c r="Z197" i="1"/>
  <c r="W197" i="1"/>
  <c r="X197" i="1"/>
  <c r="R199" i="1"/>
  <c r="Q199" i="1"/>
  <c r="Y198" i="1" s="1"/>
  <c r="AN198" i="1"/>
  <c r="S198" i="1"/>
  <c r="T198" i="1" s="1"/>
  <c r="AF196" i="1"/>
  <c r="AC196" i="1"/>
  <c r="AE196" i="1"/>
  <c r="S211" i="2" l="1"/>
  <c r="AE210" i="2" s="1"/>
  <c r="AC197" i="1"/>
  <c r="AD197" i="1"/>
  <c r="AE197" i="1"/>
  <c r="AF197" i="1"/>
  <c r="G215" i="2"/>
  <c r="F216" i="2"/>
  <c r="AH210" i="2"/>
  <c r="D215" i="2"/>
  <c r="C216" i="2"/>
  <c r="M214" i="2"/>
  <c r="O214" i="2" s="1"/>
  <c r="L215" i="2"/>
  <c r="BM212" i="2"/>
  <c r="AQ212" i="2"/>
  <c r="R212" i="2"/>
  <c r="Z212" i="2"/>
  <c r="Y212" i="2"/>
  <c r="AP212" i="2"/>
  <c r="X212" i="2"/>
  <c r="W212" i="2"/>
  <c r="J215" i="2"/>
  <c r="I216" i="2"/>
  <c r="P213" i="2"/>
  <c r="Q213" i="2" s="1"/>
  <c r="AM199" i="1"/>
  <c r="X198" i="1"/>
  <c r="R200" i="1"/>
  <c r="Q200" i="1"/>
  <c r="Z198" i="1"/>
  <c r="S199" i="1"/>
  <c r="T199" i="1" s="1"/>
  <c r="AN199" i="1"/>
  <c r="W198" i="1"/>
  <c r="R201" i="1"/>
  <c r="Q201" i="1"/>
  <c r="H203" i="1"/>
  <c r="I202" i="1"/>
  <c r="P202" i="1" s="1"/>
  <c r="N202" i="1"/>
  <c r="M203" i="1"/>
  <c r="C205" i="1"/>
  <c r="D204" i="1"/>
  <c r="S212" i="2" l="1"/>
  <c r="AH211" i="2" s="1"/>
  <c r="AF210" i="2"/>
  <c r="AG210" i="2"/>
  <c r="AD198" i="1"/>
  <c r="AF198" i="1"/>
  <c r="BM213" i="2"/>
  <c r="AQ213" i="2"/>
  <c r="R213" i="2"/>
  <c r="AF211" i="2"/>
  <c r="Q214" i="2"/>
  <c r="P214" i="2"/>
  <c r="AE211" i="2"/>
  <c r="AG211" i="2"/>
  <c r="M215" i="2"/>
  <c r="O215" i="2" s="1"/>
  <c r="L216" i="2"/>
  <c r="C217" i="2"/>
  <c r="D216" i="2"/>
  <c r="Z213" i="2"/>
  <c r="Y213" i="2"/>
  <c r="AP213" i="2"/>
  <c r="X213" i="2"/>
  <c r="F217" i="2"/>
  <c r="G216" i="2"/>
  <c r="I217" i="2"/>
  <c r="J216" i="2"/>
  <c r="AN201" i="1"/>
  <c r="Y200" i="1"/>
  <c r="X200" i="1"/>
  <c r="AM200" i="1"/>
  <c r="Z200" i="1"/>
  <c r="W200" i="1"/>
  <c r="Q202" i="1"/>
  <c r="AM201" i="1"/>
  <c r="Y201" i="1"/>
  <c r="X201" i="1"/>
  <c r="W201" i="1"/>
  <c r="S200" i="1"/>
  <c r="T200" i="1" s="1"/>
  <c r="AN200" i="1"/>
  <c r="D205" i="1"/>
  <c r="C206" i="1"/>
  <c r="M204" i="1"/>
  <c r="N203" i="1"/>
  <c r="H204" i="1"/>
  <c r="I203" i="1"/>
  <c r="P203" i="1" s="1"/>
  <c r="X199" i="1"/>
  <c r="Y199" i="1"/>
  <c r="AC198" i="1"/>
  <c r="Z199" i="1"/>
  <c r="AE198" i="1"/>
  <c r="W199" i="1"/>
  <c r="S213" i="2" l="1"/>
  <c r="AD199" i="1"/>
  <c r="R214" i="2"/>
  <c r="S214" i="2" s="1"/>
  <c r="AE213" i="2" s="1"/>
  <c r="BM214" i="2"/>
  <c r="AQ214" i="2"/>
  <c r="M216" i="2"/>
  <c r="O216" i="2" s="1"/>
  <c r="L217" i="2"/>
  <c r="J217" i="2"/>
  <c r="I218" i="2"/>
  <c r="D217" i="2"/>
  <c r="C218" i="2"/>
  <c r="P215" i="2"/>
  <c r="Z214" i="2"/>
  <c r="X214" i="2"/>
  <c r="W214" i="2"/>
  <c r="AP214" i="2"/>
  <c r="G217" i="2"/>
  <c r="F218" i="2"/>
  <c r="W213" i="2"/>
  <c r="AM202" i="1"/>
  <c r="N204" i="1"/>
  <c r="M205" i="1"/>
  <c r="C207" i="1"/>
  <c r="D206" i="1"/>
  <c r="AC199" i="1"/>
  <c r="AF199" i="1"/>
  <c r="R203" i="1"/>
  <c r="Q203" i="1"/>
  <c r="H205" i="1"/>
  <c r="I204" i="1"/>
  <c r="P204" i="1" s="1"/>
  <c r="Z201" i="1"/>
  <c r="R202" i="1"/>
  <c r="AE199" i="1"/>
  <c r="S201" i="1"/>
  <c r="AH213" i="2" l="1"/>
  <c r="AF213" i="2"/>
  <c r="AF212" i="2"/>
  <c r="AE212" i="2"/>
  <c r="AG212" i="2"/>
  <c r="AG213" i="2"/>
  <c r="AH212" i="2"/>
  <c r="T201" i="1"/>
  <c r="AF200" i="1" s="1"/>
  <c r="AD200" i="1"/>
  <c r="AP215" i="2"/>
  <c r="Y214" i="2"/>
  <c r="D218" i="2"/>
  <c r="C219" i="2"/>
  <c r="I219" i="2"/>
  <c r="J218" i="2"/>
  <c r="P216" i="2"/>
  <c r="F219" i="2"/>
  <c r="G218" i="2"/>
  <c r="Q215" i="2"/>
  <c r="M217" i="2"/>
  <c r="O217" i="2" s="1"/>
  <c r="L218" i="2"/>
  <c r="AN203" i="1"/>
  <c r="H206" i="1"/>
  <c r="I205" i="1"/>
  <c r="N205" i="1"/>
  <c r="M206" i="1"/>
  <c r="AM203" i="1"/>
  <c r="C208" i="1"/>
  <c r="D207" i="1"/>
  <c r="S202" i="1"/>
  <c r="AN202" i="1"/>
  <c r="Y202" i="1"/>
  <c r="R204" i="1"/>
  <c r="Q204" i="1"/>
  <c r="W202" i="1"/>
  <c r="X202" i="1"/>
  <c r="Z202" i="1"/>
  <c r="AC200" i="1" l="1"/>
  <c r="T202" i="1"/>
  <c r="AE200" i="1"/>
  <c r="L219" i="2"/>
  <c r="M218" i="2"/>
  <c r="O218" i="2" s="1"/>
  <c r="P217" i="2"/>
  <c r="AP216" i="2"/>
  <c r="Z216" i="2"/>
  <c r="Y216" i="2"/>
  <c r="X216" i="2"/>
  <c r="W216" i="2"/>
  <c r="D219" i="2"/>
  <c r="C220" i="2"/>
  <c r="AQ215" i="2"/>
  <c r="R215" i="2"/>
  <c r="S215" i="2" s="1"/>
  <c r="BM215" i="2"/>
  <c r="Q216" i="2"/>
  <c r="J219" i="2"/>
  <c r="I220" i="2"/>
  <c r="W215" i="2"/>
  <c r="Z215" i="2"/>
  <c r="G219" i="2"/>
  <c r="F220" i="2"/>
  <c r="X215" i="2"/>
  <c r="Y215" i="2"/>
  <c r="AM204" i="1"/>
  <c r="AN204" i="1"/>
  <c r="C209" i="1"/>
  <c r="D208" i="1"/>
  <c r="Y203" i="1"/>
  <c r="W203" i="1"/>
  <c r="M207" i="1"/>
  <c r="N206" i="1"/>
  <c r="P205" i="1"/>
  <c r="S203" i="1"/>
  <c r="X203" i="1"/>
  <c r="Z203" i="1"/>
  <c r="AD201" i="1"/>
  <c r="H207" i="1"/>
  <c r="I206" i="1"/>
  <c r="T203" i="1" l="1"/>
  <c r="AD202" i="1" s="1"/>
  <c r="AF201" i="1"/>
  <c r="AE201" i="1"/>
  <c r="AC201" i="1"/>
  <c r="R216" i="2"/>
  <c r="S216" i="2" s="1"/>
  <c r="AH215" i="2" s="1"/>
  <c r="AQ216" i="2"/>
  <c r="BM216" i="2"/>
  <c r="AG215" i="2"/>
  <c r="AE215" i="2"/>
  <c r="AF214" i="2"/>
  <c r="AE214" i="2"/>
  <c r="AG214" i="2"/>
  <c r="AH214" i="2"/>
  <c r="AP217" i="2"/>
  <c r="Z217" i="2"/>
  <c r="Y217" i="2"/>
  <c r="X217" i="2"/>
  <c r="W217" i="2"/>
  <c r="I221" i="2"/>
  <c r="J220" i="2"/>
  <c r="D220" i="2"/>
  <c r="C221" i="2"/>
  <c r="Q217" i="2"/>
  <c r="Q218" i="2"/>
  <c r="P218" i="2"/>
  <c r="G220" i="2"/>
  <c r="F221" i="2"/>
  <c r="L220" i="2"/>
  <c r="M219" i="2"/>
  <c r="O219" i="2" s="1"/>
  <c r="C210" i="1"/>
  <c r="D209" i="1"/>
  <c r="N207" i="1"/>
  <c r="M208" i="1"/>
  <c r="AC202" i="1"/>
  <c r="S204" i="1"/>
  <c r="R205" i="1"/>
  <c r="Q205" i="1"/>
  <c r="AF202" i="1"/>
  <c r="AE202" i="1"/>
  <c r="P206" i="1"/>
  <c r="H208" i="1"/>
  <c r="I207" i="1"/>
  <c r="P207" i="1" s="1"/>
  <c r="AF215" i="2" l="1"/>
  <c r="T204" i="1"/>
  <c r="AF203" i="1" s="1"/>
  <c r="J221" i="2"/>
  <c r="I222" i="2"/>
  <c r="L221" i="2"/>
  <c r="M220" i="2"/>
  <c r="O220" i="2" s="1"/>
  <c r="G221" i="2"/>
  <c r="F222" i="2"/>
  <c r="BM218" i="2"/>
  <c r="AQ218" i="2"/>
  <c r="D221" i="2"/>
  <c r="C222" i="2"/>
  <c r="P219" i="2"/>
  <c r="Q219" i="2" s="1"/>
  <c r="X218" i="2"/>
  <c r="W218" i="2"/>
  <c r="AP218" i="2"/>
  <c r="Z218" i="2"/>
  <c r="Y218" i="2"/>
  <c r="R217" i="2"/>
  <c r="S217" i="2" s="1"/>
  <c r="BM217" i="2"/>
  <c r="AQ217" i="2"/>
  <c r="AM205" i="1"/>
  <c r="Z204" i="1"/>
  <c r="Y204" i="1"/>
  <c r="W204" i="1"/>
  <c r="X204" i="1"/>
  <c r="Q207" i="1"/>
  <c r="S205" i="1"/>
  <c r="AN205" i="1"/>
  <c r="R206" i="1"/>
  <c r="Q206" i="1"/>
  <c r="AD203" i="1"/>
  <c r="I208" i="1"/>
  <c r="P208" i="1" s="1"/>
  <c r="H209" i="1"/>
  <c r="N208" i="1"/>
  <c r="M209" i="1"/>
  <c r="AC203" i="1"/>
  <c r="AE203" i="1"/>
  <c r="C211" i="1"/>
  <c r="D210" i="1"/>
  <c r="T205" i="1" l="1"/>
  <c r="AQ219" i="2"/>
  <c r="BM219" i="2"/>
  <c r="D222" i="2"/>
  <c r="C223" i="2"/>
  <c r="G222" i="2"/>
  <c r="F223" i="2"/>
  <c r="P220" i="2"/>
  <c r="AG216" i="2"/>
  <c r="J222" i="2"/>
  <c r="I223" i="2"/>
  <c r="AP219" i="2"/>
  <c r="Y219" i="2"/>
  <c r="R218" i="2"/>
  <c r="AH216" i="2"/>
  <c r="AE216" i="2"/>
  <c r="AF216" i="2"/>
  <c r="M221" i="2"/>
  <c r="O221" i="2" s="1"/>
  <c r="L222" i="2"/>
  <c r="AM206" i="1"/>
  <c r="W206" i="1"/>
  <c r="Z206" i="1"/>
  <c r="Y206" i="1"/>
  <c r="X206" i="1"/>
  <c r="H210" i="1"/>
  <c r="I209" i="1"/>
  <c r="W205" i="1"/>
  <c r="S206" i="1"/>
  <c r="T206" i="1" s="1"/>
  <c r="AN206" i="1"/>
  <c r="R207" i="1"/>
  <c r="R208" i="1" s="1"/>
  <c r="C212" i="1"/>
  <c r="D211" i="1"/>
  <c r="Y205" i="1"/>
  <c r="Q208" i="1"/>
  <c r="AM207" i="1"/>
  <c r="Z207" i="1"/>
  <c r="Y207" i="1"/>
  <c r="X207" i="1"/>
  <c r="W207" i="1"/>
  <c r="N209" i="1"/>
  <c r="M210" i="1"/>
  <c r="X205" i="1"/>
  <c r="AC204" i="1"/>
  <c r="AD204" i="1"/>
  <c r="Z205" i="1"/>
  <c r="S218" i="2" l="1"/>
  <c r="AG217" i="2" s="1"/>
  <c r="R219" i="2"/>
  <c r="S219" i="2" s="1"/>
  <c r="AF218" i="2" s="1"/>
  <c r="AE204" i="1"/>
  <c r="AF204" i="1"/>
  <c r="AH217" i="2"/>
  <c r="AE217" i="2"/>
  <c r="AF217" i="2"/>
  <c r="AF205" i="1"/>
  <c r="AP220" i="2"/>
  <c r="P221" i="2"/>
  <c r="Z219" i="2"/>
  <c r="Q220" i="2"/>
  <c r="C224" i="2"/>
  <c r="D223" i="2"/>
  <c r="L223" i="2"/>
  <c r="M222" i="2"/>
  <c r="O222" i="2" s="1"/>
  <c r="G223" i="2"/>
  <c r="F224" i="2"/>
  <c r="W219" i="2"/>
  <c r="J223" i="2"/>
  <c r="I224" i="2"/>
  <c r="X219" i="2"/>
  <c r="C213" i="1"/>
  <c r="D212" i="1"/>
  <c r="AD205" i="1"/>
  <c r="P209" i="1"/>
  <c r="AN207" i="1"/>
  <c r="S207" i="1"/>
  <c r="T207" i="1" s="1"/>
  <c r="AC205" i="1"/>
  <c r="H211" i="1"/>
  <c r="I210" i="1"/>
  <c r="AN208" i="1"/>
  <c r="S208" i="1"/>
  <c r="AE205" i="1"/>
  <c r="M211" i="1"/>
  <c r="N210" i="1"/>
  <c r="AM208" i="1"/>
  <c r="T208" i="1" l="1"/>
  <c r="AC206" i="1"/>
  <c r="AD206" i="1"/>
  <c r="AH218" i="2"/>
  <c r="AG218" i="2"/>
  <c r="AE218" i="2"/>
  <c r="AE206" i="1"/>
  <c r="P222" i="2"/>
  <c r="AP221" i="2"/>
  <c r="Y221" i="2"/>
  <c r="X221" i="2"/>
  <c r="W221" i="2"/>
  <c r="Z221" i="2"/>
  <c r="G224" i="2"/>
  <c r="F225" i="2"/>
  <c r="AQ220" i="2"/>
  <c r="BM220" i="2"/>
  <c r="R220" i="2"/>
  <c r="S220" i="2" s="1"/>
  <c r="W220" i="2"/>
  <c r="Y220" i="2"/>
  <c r="M223" i="2"/>
  <c r="O223" i="2" s="1"/>
  <c r="L224" i="2"/>
  <c r="D224" i="2"/>
  <c r="C225" i="2"/>
  <c r="Q221" i="2"/>
  <c r="X220" i="2"/>
  <c r="J224" i="2"/>
  <c r="I225" i="2"/>
  <c r="Z220" i="2"/>
  <c r="H212" i="1"/>
  <c r="I211" i="1"/>
  <c r="AF207" i="1"/>
  <c r="AE207" i="1"/>
  <c r="AD207" i="1"/>
  <c r="AC207" i="1"/>
  <c r="M212" i="1"/>
  <c r="N211" i="1"/>
  <c r="AF206" i="1"/>
  <c r="R209" i="1"/>
  <c r="Q209" i="1"/>
  <c r="C214" i="1"/>
  <c r="D213" i="1"/>
  <c r="P210" i="1"/>
  <c r="C226" i="2" l="1"/>
  <c r="D225" i="2"/>
  <c r="M224" i="2"/>
  <c r="O224" i="2" s="1"/>
  <c r="L225" i="2"/>
  <c r="P223" i="2"/>
  <c r="Z222" i="2"/>
  <c r="Y222" i="2"/>
  <c r="X222" i="2"/>
  <c r="W222" i="2"/>
  <c r="AP222" i="2"/>
  <c r="BM221" i="2"/>
  <c r="AQ221" i="2"/>
  <c r="R221" i="2"/>
  <c r="S221" i="2" s="1"/>
  <c r="AF219" i="2"/>
  <c r="AH219" i="2"/>
  <c r="AG219" i="2"/>
  <c r="AE219" i="2"/>
  <c r="F226" i="2"/>
  <c r="G225" i="2"/>
  <c r="J225" i="2"/>
  <c r="I226" i="2"/>
  <c r="Q222" i="2"/>
  <c r="AM209" i="1"/>
  <c r="Z208" i="1"/>
  <c r="W208" i="1"/>
  <c r="Y208" i="1"/>
  <c r="X208" i="1"/>
  <c r="Q210" i="1"/>
  <c r="S209" i="1"/>
  <c r="T209" i="1" s="1"/>
  <c r="AN209" i="1"/>
  <c r="N212" i="1"/>
  <c r="M213" i="1"/>
  <c r="D214" i="1"/>
  <c r="C215" i="1"/>
  <c r="P211" i="1"/>
  <c r="H213" i="1"/>
  <c r="I212" i="1"/>
  <c r="AH220" i="2" l="1"/>
  <c r="AE220" i="2"/>
  <c r="AF220" i="2"/>
  <c r="Z223" i="2"/>
  <c r="Y223" i="2"/>
  <c r="X223" i="2"/>
  <c r="W223" i="2"/>
  <c r="AP223" i="2"/>
  <c r="AG220" i="2"/>
  <c r="BM222" i="2"/>
  <c r="AQ222" i="2"/>
  <c r="R222" i="2"/>
  <c r="S222" i="2" s="1"/>
  <c r="J226" i="2"/>
  <c r="I227" i="2"/>
  <c r="Q223" i="2"/>
  <c r="M225" i="2"/>
  <c r="O225" i="2" s="1"/>
  <c r="L226" i="2"/>
  <c r="G226" i="2"/>
  <c r="F227" i="2"/>
  <c r="P224" i="2"/>
  <c r="Q224" i="2"/>
  <c r="D226" i="2"/>
  <c r="C227" i="2"/>
  <c r="D215" i="1"/>
  <c r="C216" i="1"/>
  <c r="N213" i="1"/>
  <c r="M214" i="1"/>
  <c r="AM210" i="1"/>
  <c r="Z209" i="1"/>
  <c r="I213" i="1"/>
  <c r="P213" i="1" s="1"/>
  <c r="H214" i="1"/>
  <c r="R210" i="1"/>
  <c r="R211" i="1" s="1"/>
  <c r="Y209" i="1"/>
  <c r="W209" i="1"/>
  <c r="Q211" i="1"/>
  <c r="Y210" i="1" s="1"/>
  <c r="AE208" i="1"/>
  <c r="AD208" i="1"/>
  <c r="AC208" i="1"/>
  <c r="AF208" i="1"/>
  <c r="P212" i="1"/>
  <c r="X209" i="1"/>
  <c r="BM223" i="2" l="1"/>
  <c r="AQ223" i="2"/>
  <c r="R223" i="2"/>
  <c r="BM224" i="2"/>
  <c r="AQ224" i="2"/>
  <c r="R224" i="2"/>
  <c r="S224" i="2" s="1"/>
  <c r="I228" i="2"/>
  <c r="J227" i="2"/>
  <c r="AE221" i="2"/>
  <c r="AH221" i="2"/>
  <c r="Q225" i="2"/>
  <c r="P225" i="2"/>
  <c r="X224" i="2" s="1"/>
  <c r="C228" i="2"/>
  <c r="D227" i="2"/>
  <c r="Z224" i="2"/>
  <c r="Y224" i="2"/>
  <c r="AP224" i="2"/>
  <c r="F228" i="2"/>
  <c r="G227" i="2"/>
  <c r="AF221" i="2"/>
  <c r="M226" i="2"/>
  <c r="O226" i="2" s="1"/>
  <c r="L227" i="2"/>
  <c r="AG221" i="2"/>
  <c r="AN210" i="1"/>
  <c r="S210" i="1"/>
  <c r="T210" i="1" s="1"/>
  <c r="S211" i="1"/>
  <c r="AN211" i="1"/>
  <c r="X210" i="1"/>
  <c r="Z210" i="1"/>
  <c r="D216" i="1"/>
  <c r="C217" i="1"/>
  <c r="H215" i="1"/>
  <c r="I214" i="1"/>
  <c r="W210" i="1"/>
  <c r="R212" i="1"/>
  <c r="Q212" i="1"/>
  <c r="N214" i="1"/>
  <c r="M215" i="1"/>
  <c r="AM211" i="1"/>
  <c r="Z211" i="1"/>
  <c r="Y211" i="1"/>
  <c r="X211" i="1"/>
  <c r="Q213" i="1"/>
  <c r="S223" i="2" l="1"/>
  <c r="AH223" i="2" s="1"/>
  <c r="T211" i="1"/>
  <c r="R225" i="2"/>
  <c r="S225" i="2" s="1"/>
  <c r="AG224" i="2" s="1"/>
  <c r="BM225" i="2"/>
  <c r="AQ225" i="2"/>
  <c r="J228" i="2"/>
  <c r="I229" i="2"/>
  <c r="P226" i="2"/>
  <c r="D228" i="2"/>
  <c r="C229" i="2"/>
  <c r="M227" i="2"/>
  <c r="O227" i="2" s="1"/>
  <c r="L228" i="2"/>
  <c r="AH224" i="2"/>
  <c r="G228" i="2"/>
  <c r="F229" i="2"/>
  <c r="Z225" i="2"/>
  <c r="Y225" i="2"/>
  <c r="AP225" i="2"/>
  <c r="AG223" i="2"/>
  <c r="AF223" i="2"/>
  <c r="W224" i="2"/>
  <c r="AM212" i="1"/>
  <c r="Y212" i="1"/>
  <c r="Z212" i="1"/>
  <c r="X212" i="1"/>
  <c r="W212" i="1"/>
  <c r="H216" i="1"/>
  <c r="I215" i="1"/>
  <c r="AM213" i="1"/>
  <c r="N215" i="1"/>
  <c r="M216" i="1"/>
  <c r="P214" i="1"/>
  <c r="D217" i="1"/>
  <c r="C218" i="1"/>
  <c r="AF210" i="1"/>
  <c r="AE210" i="1"/>
  <c r="AD210" i="1"/>
  <c r="AC210" i="1"/>
  <c r="AD209" i="1"/>
  <c r="AC209" i="1"/>
  <c r="AF209" i="1"/>
  <c r="AE209" i="1"/>
  <c r="AN212" i="1"/>
  <c r="S212" i="1"/>
  <c r="R213" i="1"/>
  <c r="W211" i="1"/>
  <c r="AE224" i="2" l="1"/>
  <c r="AF224" i="2"/>
  <c r="AH222" i="2"/>
  <c r="AF222" i="2"/>
  <c r="AG222" i="2"/>
  <c r="AE223" i="2"/>
  <c r="AE222" i="2"/>
  <c r="T212" i="1"/>
  <c r="AF211" i="1" s="1"/>
  <c r="AD211" i="1"/>
  <c r="AE211" i="1"/>
  <c r="AP226" i="2"/>
  <c r="F230" i="2"/>
  <c r="G229" i="2"/>
  <c r="M228" i="2"/>
  <c r="O228" i="2" s="1"/>
  <c r="L229" i="2"/>
  <c r="C230" i="2"/>
  <c r="D229" i="2"/>
  <c r="Q226" i="2"/>
  <c r="W225" i="2"/>
  <c r="P227" i="2"/>
  <c r="I230" i="2"/>
  <c r="J229" i="2"/>
  <c r="X225" i="2"/>
  <c r="P215" i="1"/>
  <c r="C219" i="1"/>
  <c r="D218" i="1"/>
  <c r="AN213" i="1"/>
  <c r="S213" i="1"/>
  <c r="R214" i="1"/>
  <c r="Q214" i="1"/>
  <c r="H217" i="1"/>
  <c r="I216" i="1"/>
  <c r="P216" i="1" s="1"/>
  <c r="M217" i="1"/>
  <c r="N216" i="1"/>
  <c r="AC211" i="1" l="1"/>
  <c r="T213" i="1"/>
  <c r="AE212" i="1" s="1"/>
  <c r="AP227" i="2"/>
  <c r="Q227" i="2"/>
  <c r="P228" i="2"/>
  <c r="J230" i="2"/>
  <c r="I231" i="2"/>
  <c r="R226" i="2"/>
  <c r="S226" i="2" s="1"/>
  <c r="BM226" i="2"/>
  <c r="AQ226" i="2"/>
  <c r="D230" i="2"/>
  <c r="C231" i="2"/>
  <c r="G230" i="2"/>
  <c r="F231" i="2"/>
  <c r="L230" i="2"/>
  <c r="M229" i="2"/>
  <c r="O229" i="2" s="1"/>
  <c r="W226" i="2"/>
  <c r="X226" i="2"/>
  <c r="Z226" i="2"/>
  <c r="Y226" i="2"/>
  <c r="Q216" i="1"/>
  <c r="AM214" i="1"/>
  <c r="Z213" i="1"/>
  <c r="X213" i="1"/>
  <c r="Y213" i="1"/>
  <c r="W213" i="1"/>
  <c r="S214" i="1"/>
  <c r="AN214" i="1"/>
  <c r="N217" i="1"/>
  <c r="M218" i="1"/>
  <c r="H218" i="1"/>
  <c r="I217" i="1"/>
  <c r="P217" i="1" s="1"/>
  <c r="D219" i="1"/>
  <c r="C220" i="1"/>
  <c r="Q215" i="1"/>
  <c r="X214" i="1" s="1"/>
  <c r="T214" i="1" l="1"/>
  <c r="AF213" i="1" s="1"/>
  <c r="AF212" i="1"/>
  <c r="AD212" i="1"/>
  <c r="AC212" i="1"/>
  <c r="AH225" i="2"/>
  <c r="AG225" i="2"/>
  <c r="AF225" i="2"/>
  <c r="AE225" i="2"/>
  <c r="P229" i="2"/>
  <c r="F232" i="2"/>
  <c r="G231" i="2"/>
  <c r="AP228" i="2"/>
  <c r="Z228" i="2"/>
  <c r="Y228" i="2"/>
  <c r="X228" i="2"/>
  <c r="W228" i="2"/>
  <c r="Q228" i="2"/>
  <c r="Z227" i="2"/>
  <c r="M230" i="2"/>
  <c r="O230" i="2" s="1"/>
  <c r="L231" i="2"/>
  <c r="D231" i="2"/>
  <c r="C232" i="2"/>
  <c r="I232" i="2"/>
  <c r="J231" i="2"/>
  <c r="R227" i="2"/>
  <c r="S227" i="2" s="1"/>
  <c r="BM227" i="2"/>
  <c r="AQ227" i="2"/>
  <c r="X227" i="2"/>
  <c r="Y227" i="2"/>
  <c r="W227" i="2"/>
  <c r="Y214" i="1"/>
  <c r="I218" i="1"/>
  <c r="H219" i="1"/>
  <c r="R215" i="1"/>
  <c r="AM216" i="1"/>
  <c r="Q217" i="1"/>
  <c r="Z216" i="1" s="1"/>
  <c r="M219" i="1"/>
  <c r="N218" i="1"/>
  <c r="Z215" i="1"/>
  <c r="Y215" i="1"/>
  <c r="X215" i="1"/>
  <c r="W215" i="1"/>
  <c r="AM215" i="1"/>
  <c r="Z214" i="1"/>
  <c r="W214" i="1"/>
  <c r="D220" i="1"/>
  <c r="C221" i="1"/>
  <c r="AC213" i="1"/>
  <c r="AD213" i="1"/>
  <c r="AE213" i="1" l="1"/>
  <c r="F233" i="2"/>
  <c r="G232" i="2"/>
  <c r="AP229" i="2"/>
  <c r="AQ228" i="2"/>
  <c r="R228" i="2"/>
  <c r="S228" i="2" s="1"/>
  <c r="BM228" i="2"/>
  <c r="AG226" i="2"/>
  <c r="P230" i="2"/>
  <c r="X229" i="2" s="1"/>
  <c r="Q229" i="2"/>
  <c r="J232" i="2"/>
  <c r="I233" i="2"/>
  <c r="AE226" i="2"/>
  <c r="C233" i="2"/>
  <c r="D232" i="2"/>
  <c r="AF226" i="2"/>
  <c r="L232" i="2"/>
  <c r="M231" i="2"/>
  <c r="O231" i="2" s="1"/>
  <c r="AH226" i="2"/>
  <c r="AN215" i="1"/>
  <c r="S215" i="1"/>
  <c r="T215" i="1" s="1"/>
  <c r="R216" i="1"/>
  <c r="W216" i="1"/>
  <c r="X216" i="1"/>
  <c r="I219" i="1"/>
  <c r="H220" i="1"/>
  <c r="AM217" i="1"/>
  <c r="Y216" i="1"/>
  <c r="P218" i="1"/>
  <c r="M220" i="1"/>
  <c r="N219" i="1"/>
  <c r="D221" i="1"/>
  <c r="C222" i="1"/>
  <c r="R229" i="2" l="1"/>
  <c r="S229" i="2" s="1"/>
  <c r="AH228" i="2" s="1"/>
  <c r="BM229" i="2"/>
  <c r="AQ229" i="2"/>
  <c r="J233" i="2"/>
  <c r="I234" i="2"/>
  <c r="AG228" i="2"/>
  <c r="AF228" i="2"/>
  <c r="AE228" i="2"/>
  <c r="AG227" i="2"/>
  <c r="W229" i="2"/>
  <c r="Q230" i="2"/>
  <c r="AE227" i="2"/>
  <c r="AH227" i="2"/>
  <c r="C234" i="2"/>
  <c r="D233" i="2"/>
  <c r="AP230" i="2"/>
  <c r="X230" i="2"/>
  <c r="W230" i="2"/>
  <c r="Y230" i="2"/>
  <c r="AF227" i="2"/>
  <c r="Z229" i="2"/>
  <c r="P231" i="2"/>
  <c r="M232" i="2"/>
  <c r="O232" i="2" s="1"/>
  <c r="L233" i="2"/>
  <c r="Y229" i="2"/>
  <c r="F234" i="2"/>
  <c r="G233" i="2"/>
  <c r="D222" i="1"/>
  <c r="C223" i="1"/>
  <c r="M221" i="1"/>
  <c r="N220" i="1"/>
  <c r="P219" i="1"/>
  <c r="AE214" i="1"/>
  <c r="AD214" i="1"/>
  <c r="AC214" i="1"/>
  <c r="AF214" i="1"/>
  <c r="Q218" i="1"/>
  <c r="I220" i="1"/>
  <c r="P220" i="1" s="1"/>
  <c r="H221" i="1"/>
  <c r="S216" i="1"/>
  <c r="AN216" i="1"/>
  <c r="R217" i="1"/>
  <c r="T216" i="1" l="1"/>
  <c r="AF215" i="1" s="1"/>
  <c r="F235" i="2"/>
  <c r="G234" i="2"/>
  <c r="P232" i="2"/>
  <c r="C235" i="2"/>
  <c r="D234" i="2"/>
  <c r="Z231" i="2"/>
  <c r="Y231" i="2"/>
  <c r="X231" i="2"/>
  <c r="W231" i="2"/>
  <c r="AP231" i="2"/>
  <c r="M233" i="2"/>
  <c r="O233" i="2" s="1"/>
  <c r="L234" i="2"/>
  <c r="BM230" i="2"/>
  <c r="AQ230" i="2"/>
  <c r="R230" i="2"/>
  <c r="S230" i="2" s="1"/>
  <c r="I235" i="2"/>
  <c r="J234" i="2"/>
  <c r="Q231" i="2"/>
  <c r="Z230" i="2"/>
  <c r="AM218" i="1"/>
  <c r="W217" i="1"/>
  <c r="Y217" i="1"/>
  <c r="Z217" i="1"/>
  <c r="X217" i="1"/>
  <c r="I221" i="1"/>
  <c r="P221" i="1" s="1"/>
  <c r="H222" i="1"/>
  <c r="R218" i="1"/>
  <c r="AD215" i="1"/>
  <c r="C224" i="1"/>
  <c r="D223" i="1"/>
  <c r="AF216" i="1"/>
  <c r="AE216" i="1"/>
  <c r="AD216" i="1"/>
  <c r="AC216" i="1"/>
  <c r="Q220" i="1"/>
  <c r="AC215" i="1"/>
  <c r="AE215" i="1"/>
  <c r="Q219" i="1"/>
  <c r="M222" i="1"/>
  <c r="N221" i="1"/>
  <c r="S217" i="1"/>
  <c r="T217" i="1" s="1"/>
  <c r="AN217" i="1"/>
  <c r="R231" i="2" l="1"/>
  <c r="S231" i="2" s="1"/>
  <c r="AQ231" i="2"/>
  <c r="BM231" i="2"/>
  <c r="P233" i="2"/>
  <c r="AE229" i="2"/>
  <c r="J235" i="2"/>
  <c r="I236" i="2"/>
  <c r="Q232" i="2"/>
  <c r="Q233" i="2" s="1"/>
  <c r="AF229" i="2"/>
  <c r="L235" i="2"/>
  <c r="M234" i="2"/>
  <c r="O234" i="2" s="1"/>
  <c r="C236" i="2"/>
  <c r="D235" i="2"/>
  <c r="AP232" i="2"/>
  <c r="Z232" i="2"/>
  <c r="AG229" i="2"/>
  <c r="AH229" i="2"/>
  <c r="F236" i="2"/>
  <c r="G235" i="2"/>
  <c r="H223" i="1"/>
  <c r="I222" i="1"/>
  <c r="P222" i="1" s="1"/>
  <c r="AM219" i="1"/>
  <c r="Z219" i="1"/>
  <c r="Y219" i="1"/>
  <c r="X219" i="1"/>
  <c r="W219" i="1"/>
  <c r="Y218" i="1"/>
  <c r="Q221" i="1"/>
  <c r="Z220" i="1" s="1"/>
  <c r="W218" i="1"/>
  <c r="X218" i="1"/>
  <c r="Z218" i="1"/>
  <c r="D224" i="1"/>
  <c r="C225" i="1"/>
  <c r="AN218" i="1"/>
  <c r="S218" i="1"/>
  <c r="T218" i="1" s="1"/>
  <c r="N222" i="1"/>
  <c r="M223" i="1"/>
  <c r="R219" i="1"/>
  <c r="AM220" i="1"/>
  <c r="BM233" i="2" l="1"/>
  <c r="AQ233" i="2"/>
  <c r="P234" i="2"/>
  <c r="Q234" i="2"/>
  <c r="D236" i="2"/>
  <c r="C237" i="2"/>
  <c r="M235" i="2"/>
  <c r="O235" i="2" s="1"/>
  <c r="L236" i="2"/>
  <c r="BM232" i="2"/>
  <c r="AQ232" i="2"/>
  <c r="R232" i="2"/>
  <c r="AF230" i="2"/>
  <c r="I237" i="2"/>
  <c r="J236" i="2"/>
  <c r="Z233" i="2"/>
  <c r="AP233" i="2"/>
  <c r="F237" i="2"/>
  <c r="G236" i="2"/>
  <c r="AE230" i="2"/>
  <c r="W232" i="2"/>
  <c r="AG230" i="2"/>
  <c r="X232" i="2"/>
  <c r="Y232" i="2"/>
  <c r="AH230" i="2"/>
  <c r="C226" i="1"/>
  <c r="D225" i="1"/>
  <c r="Y220" i="1"/>
  <c r="AE217" i="1"/>
  <c r="AF217" i="1"/>
  <c r="W220" i="1"/>
  <c r="X220" i="1"/>
  <c r="M224" i="1"/>
  <c r="N223" i="1"/>
  <c r="AC217" i="1"/>
  <c r="I223" i="1"/>
  <c r="P223" i="1" s="1"/>
  <c r="H224" i="1"/>
  <c r="Z221" i="1"/>
  <c r="Y221" i="1"/>
  <c r="X221" i="1"/>
  <c r="AM221" i="1"/>
  <c r="AN219" i="1"/>
  <c r="S219" i="1"/>
  <c r="R220" i="1"/>
  <c r="Q222" i="1"/>
  <c r="AD217" i="1"/>
  <c r="S232" i="2" l="1"/>
  <c r="AE231" i="2" s="1"/>
  <c r="T219" i="1"/>
  <c r="AC218" i="1" s="1"/>
  <c r="AF231" i="2"/>
  <c r="AG231" i="2"/>
  <c r="L237" i="2"/>
  <c r="M236" i="2"/>
  <c r="O236" i="2" s="1"/>
  <c r="D237" i="2"/>
  <c r="C238" i="2"/>
  <c r="G237" i="2"/>
  <c r="F238" i="2"/>
  <c r="X234" i="2"/>
  <c r="W234" i="2"/>
  <c r="Z234" i="2"/>
  <c r="Y234" i="2"/>
  <c r="AP234" i="2"/>
  <c r="I238" i="2"/>
  <c r="J237" i="2"/>
  <c r="AH231" i="2"/>
  <c r="P235" i="2"/>
  <c r="R234" i="2"/>
  <c r="AQ234" i="2"/>
  <c r="BM234" i="2"/>
  <c r="W233" i="2"/>
  <c r="R233" i="2"/>
  <c r="S233" i="2" s="1"/>
  <c r="X233" i="2"/>
  <c r="Y233" i="2"/>
  <c r="AM222" i="1"/>
  <c r="D226" i="1"/>
  <c r="C227" i="1"/>
  <c r="Q223" i="1"/>
  <c r="Z222" i="1" s="1"/>
  <c r="N224" i="1"/>
  <c r="M225" i="1"/>
  <c r="AN220" i="1"/>
  <c r="S220" i="1"/>
  <c r="R221" i="1"/>
  <c r="AE218" i="1"/>
  <c r="I224" i="1"/>
  <c r="P224" i="1" s="1"/>
  <c r="H225" i="1"/>
  <c r="AF218" i="1"/>
  <c r="W221" i="1"/>
  <c r="S234" i="2" l="1"/>
  <c r="T220" i="1"/>
  <c r="AF219" i="1" s="1"/>
  <c r="AD218" i="1"/>
  <c r="I239" i="2"/>
  <c r="J238" i="2"/>
  <c r="P236" i="2"/>
  <c r="Q236" i="2" s="1"/>
  <c r="D238" i="2"/>
  <c r="C239" i="2"/>
  <c r="AE232" i="2"/>
  <c r="AF232" i="2"/>
  <c r="AG232" i="2"/>
  <c r="F239" i="2"/>
  <c r="G238" i="2"/>
  <c r="M237" i="2"/>
  <c r="O237" i="2" s="1"/>
  <c r="L238" i="2"/>
  <c r="AP235" i="2"/>
  <c r="Y235" i="2"/>
  <c r="Q235" i="2"/>
  <c r="AH232" i="2"/>
  <c r="S221" i="1"/>
  <c r="AN221" i="1"/>
  <c r="R222" i="1"/>
  <c r="Y222" i="1"/>
  <c r="AE219" i="1"/>
  <c r="I225" i="1"/>
  <c r="P225" i="1" s="1"/>
  <c r="H226" i="1"/>
  <c r="N225" i="1"/>
  <c r="M226" i="1"/>
  <c r="C228" i="1"/>
  <c r="D227" i="1"/>
  <c r="W222" i="1"/>
  <c r="AC219" i="1"/>
  <c r="Q224" i="1"/>
  <c r="R224" i="1"/>
  <c r="AM223" i="1"/>
  <c r="X222" i="1"/>
  <c r="AD219" i="1"/>
  <c r="T221" i="1" l="1"/>
  <c r="AF220" i="1" s="1"/>
  <c r="BM236" i="2"/>
  <c r="AQ236" i="2"/>
  <c r="L239" i="2"/>
  <c r="M238" i="2"/>
  <c r="O238" i="2" s="1"/>
  <c r="G239" i="2"/>
  <c r="F240" i="2"/>
  <c r="C240" i="2"/>
  <c r="D239" i="2"/>
  <c r="BM235" i="2"/>
  <c r="R235" i="2"/>
  <c r="AQ235" i="2"/>
  <c r="AG233" i="2"/>
  <c r="P237" i="2"/>
  <c r="X236" i="2" s="1"/>
  <c r="Q237" i="2"/>
  <c r="AP236" i="2"/>
  <c r="J239" i="2"/>
  <c r="I240" i="2"/>
  <c r="AH233" i="2"/>
  <c r="Z235" i="2"/>
  <c r="AE233" i="2"/>
  <c r="W235" i="2"/>
  <c r="X235" i="2"/>
  <c r="AF233" i="2"/>
  <c r="S224" i="1"/>
  <c r="AN224" i="1"/>
  <c r="C229" i="1"/>
  <c r="D228" i="1"/>
  <c r="I226" i="1"/>
  <c r="P226" i="1" s="1"/>
  <c r="H227" i="1"/>
  <c r="AM224" i="1"/>
  <c r="Q225" i="1"/>
  <c r="R225" i="1"/>
  <c r="AN222" i="1"/>
  <c r="S222" i="1"/>
  <c r="R223" i="1"/>
  <c r="X223" i="1"/>
  <c r="Y223" i="1"/>
  <c r="Z223" i="1"/>
  <c r="M227" i="1"/>
  <c r="N226" i="1"/>
  <c r="W223" i="1"/>
  <c r="S235" i="2" l="1"/>
  <c r="AH234" i="2" s="1"/>
  <c r="T222" i="1"/>
  <c r="AD221" i="1" s="1"/>
  <c r="AE220" i="1"/>
  <c r="AD220" i="1"/>
  <c r="AC220" i="1"/>
  <c r="BM237" i="2"/>
  <c r="AQ237" i="2"/>
  <c r="C241" i="2"/>
  <c r="D240" i="2"/>
  <c r="AG234" i="2"/>
  <c r="AE234" i="2"/>
  <c r="I241" i="2"/>
  <c r="J240" i="2"/>
  <c r="AP237" i="2"/>
  <c r="Z237" i="2"/>
  <c r="Y237" i="2"/>
  <c r="X237" i="2"/>
  <c r="W237" i="2"/>
  <c r="AF234" i="2"/>
  <c r="F241" i="2"/>
  <c r="G240" i="2"/>
  <c r="P238" i="2"/>
  <c r="L240" i="2"/>
  <c r="M239" i="2"/>
  <c r="O239" i="2" s="1"/>
  <c r="Y236" i="2"/>
  <c r="W236" i="2"/>
  <c r="Z236" i="2"/>
  <c r="R236" i="2"/>
  <c r="AM225" i="1"/>
  <c r="AE221" i="1"/>
  <c r="AN225" i="1"/>
  <c r="S225" i="1"/>
  <c r="T225" i="1" s="1"/>
  <c r="W224" i="1"/>
  <c r="H228" i="1"/>
  <c r="I227" i="1"/>
  <c r="P227" i="1" s="1"/>
  <c r="AF222" i="1"/>
  <c r="AE222" i="1"/>
  <c r="AD222" i="1"/>
  <c r="AC222" i="1"/>
  <c r="Z224" i="1"/>
  <c r="X224" i="1"/>
  <c r="C230" i="1"/>
  <c r="D229" i="1"/>
  <c r="AN223" i="1"/>
  <c r="S223" i="1"/>
  <c r="T223" i="1" s="1"/>
  <c r="Y224" i="1"/>
  <c r="R226" i="1"/>
  <c r="Q226" i="1"/>
  <c r="N227" i="1"/>
  <c r="M228" i="1"/>
  <c r="S236" i="2" l="1"/>
  <c r="AH235" i="2" s="1"/>
  <c r="AC221" i="1"/>
  <c r="AF221" i="1"/>
  <c r="T224" i="1"/>
  <c r="AF224" i="1" s="1"/>
  <c r="J241" i="2"/>
  <c r="I242" i="2"/>
  <c r="AF235" i="2"/>
  <c r="AG235" i="2"/>
  <c r="L241" i="2"/>
  <c r="M240" i="2"/>
  <c r="O240" i="2" s="1"/>
  <c r="AE235" i="2"/>
  <c r="P239" i="2"/>
  <c r="X238" i="2"/>
  <c r="Z238" i="2"/>
  <c r="Y238" i="2"/>
  <c r="AP238" i="2"/>
  <c r="F242" i="2"/>
  <c r="G241" i="2"/>
  <c r="C242" i="2"/>
  <c r="D241" i="2"/>
  <c r="R237" i="2"/>
  <c r="S237" i="2" s="1"/>
  <c r="AH236" i="2" s="1"/>
  <c r="Q238" i="2"/>
  <c r="Q227" i="1"/>
  <c r="M229" i="1"/>
  <c r="N228" i="1"/>
  <c r="X226" i="1"/>
  <c r="W226" i="1"/>
  <c r="AM226" i="1"/>
  <c r="Y226" i="1"/>
  <c r="Z226" i="1"/>
  <c r="AD223" i="1"/>
  <c r="AC223" i="1"/>
  <c r="X225" i="1"/>
  <c r="Y225" i="1"/>
  <c r="I228" i="1"/>
  <c r="H229" i="1"/>
  <c r="S226" i="1"/>
  <c r="T226" i="1" s="1"/>
  <c r="AN226" i="1"/>
  <c r="W225" i="1"/>
  <c r="D230" i="1"/>
  <c r="C231" i="1"/>
  <c r="Z225" i="1"/>
  <c r="AF223" i="1" l="1"/>
  <c r="AE223" i="1"/>
  <c r="AE236" i="2"/>
  <c r="AF236" i="2"/>
  <c r="AG236" i="2"/>
  <c r="AP239" i="2"/>
  <c r="R238" i="2"/>
  <c r="BM238" i="2"/>
  <c r="AQ238" i="2"/>
  <c r="W238" i="2"/>
  <c r="P240" i="2"/>
  <c r="I243" i="2"/>
  <c r="J242" i="2"/>
  <c r="F243" i="2"/>
  <c r="G242" i="2"/>
  <c r="Q239" i="2"/>
  <c r="M241" i="2"/>
  <c r="O241" i="2" s="1"/>
  <c r="L242" i="2"/>
  <c r="D242" i="2"/>
  <c r="C243" i="2"/>
  <c r="D231" i="1"/>
  <c r="C232" i="1"/>
  <c r="AE224" i="1"/>
  <c r="N229" i="1"/>
  <c r="M230" i="1"/>
  <c r="AD224" i="1"/>
  <c r="I229" i="1"/>
  <c r="P229" i="1" s="1"/>
  <c r="H230" i="1"/>
  <c r="AM227" i="1"/>
  <c r="AC224" i="1"/>
  <c r="AD225" i="1"/>
  <c r="P228" i="1"/>
  <c r="R227" i="1"/>
  <c r="S238" i="2" l="1"/>
  <c r="AE237" i="2" s="1"/>
  <c r="AG237" i="2"/>
  <c r="F244" i="2"/>
  <c r="G243" i="2"/>
  <c r="AP240" i="2"/>
  <c r="AQ239" i="2"/>
  <c r="R239" i="2"/>
  <c r="BM239" i="2"/>
  <c r="I244" i="2"/>
  <c r="J243" i="2"/>
  <c r="Q240" i="2"/>
  <c r="C244" i="2"/>
  <c r="D243" i="2"/>
  <c r="Y239" i="2"/>
  <c r="W239" i="2"/>
  <c r="X239" i="2"/>
  <c r="Z239" i="2"/>
  <c r="L243" i="2"/>
  <c r="M242" i="2"/>
  <c r="O242" i="2" s="1"/>
  <c r="P241" i="2"/>
  <c r="Q229" i="1"/>
  <c r="H231" i="1"/>
  <c r="I230" i="1"/>
  <c r="M231" i="1"/>
  <c r="N230" i="1"/>
  <c r="AC225" i="1"/>
  <c r="S227" i="1"/>
  <c r="AN227" i="1"/>
  <c r="C233" i="1"/>
  <c r="D232" i="1"/>
  <c r="AE225" i="1"/>
  <c r="AF225" i="1"/>
  <c r="R228" i="1"/>
  <c r="Q228" i="1"/>
  <c r="S239" i="2" l="1"/>
  <c r="AH238" i="2" s="1"/>
  <c r="AF237" i="2"/>
  <c r="AH237" i="2"/>
  <c r="T227" i="1"/>
  <c r="AD226" i="1" s="1"/>
  <c r="BM240" i="2"/>
  <c r="AQ240" i="2"/>
  <c r="R240" i="2"/>
  <c r="I245" i="2"/>
  <c r="J244" i="2"/>
  <c r="AP241" i="2"/>
  <c r="Z241" i="2"/>
  <c r="Y241" i="2"/>
  <c r="X241" i="2"/>
  <c r="W241" i="2"/>
  <c r="D244" i="2"/>
  <c r="C245" i="2"/>
  <c r="AE238" i="2"/>
  <c r="W240" i="2"/>
  <c r="M243" i="2"/>
  <c r="O243" i="2" s="1"/>
  <c r="L244" i="2"/>
  <c r="Q241" i="2"/>
  <c r="X240" i="2"/>
  <c r="AG238" i="2"/>
  <c r="P242" i="2"/>
  <c r="Y240" i="2"/>
  <c r="Z240" i="2"/>
  <c r="G244" i="2"/>
  <c r="F245" i="2"/>
  <c r="C234" i="1"/>
  <c r="D233" i="1"/>
  <c r="AN228" i="1"/>
  <c r="S228" i="1"/>
  <c r="T228" i="1" s="1"/>
  <c r="M232" i="1"/>
  <c r="N231" i="1"/>
  <c r="AM229" i="1"/>
  <c r="AM228" i="1"/>
  <c r="Z228" i="1"/>
  <c r="Y228" i="1"/>
  <c r="X228" i="1"/>
  <c r="W228" i="1"/>
  <c r="Z227" i="1"/>
  <c r="Y227" i="1"/>
  <c r="W227" i="1"/>
  <c r="X227" i="1"/>
  <c r="P230" i="1"/>
  <c r="H232" i="1"/>
  <c r="I231" i="1"/>
  <c r="P231" i="1" s="1"/>
  <c r="R229" i="1"/>
  <c r="AF226" i="1" l="1"/>
  <c r="S240" i="2"/>
  <c r="AG239" i="2" s="1"/>
  <c r="AF238" i="2"/>
  <c r="AE239" i="2"/>
  <c r="AE226" i="1"/>
  <c r="AC226" i="1"/>
  <c r="AF239" i="2"/>
  <c r="AH239" i="2"/>
  <c r="AE227" i="1"/>
  <c r="F246" i="2"/>
  <c r="G245" i="2"/>
  <c r="P243" i="2"/>
  <c r="Z242" i="2"/>
  <c r="Y242" i="2"/>
  <c r="X242" i="2"/>
  <c r="AP242" i="2"/>
  <c r="W242" i="2"/>
  <c r="L245" i="2"/>
  <c r="M244" i="2"/>
  <c r="O244" i="2" s="1"/>
  <c r="Q242" i="2"/>
  <c r="C246" i="2"/>
  <c r="D245" i="2"/>
  <c r="J245" i="2"/>
  <c r="I246" i="2"/>
  <c r="BM241" i="2"/>
  <c r="AQ241" i="2"/>
  <c r="R241" i="2"/>
  <c r="S241" i="2" s="1"/>
  <c r="AE240" i="2" s="1"/>
  <c r="N232" i="1"/>
  <c r="M233" i="1"/>
  <c r="H233" i="1"/>
  <c r="I232" i="1"/>
  <c r="P232" i="1" s="1"/>
  <c r="AC227" i="1"/>
  <c r="AN229" i="1"/>
  <c r="S229" i="1"/>
  <c r="T229" i="1" s="1"/>
  <c r="R230" i="1"/>
  <c r="Q230" i="1"/>
  <c r="Q231" i="1"/>
  <c r="R231" i="1" s="1"/>
  <c r="AD227" i="1"/>
  <c r="AF227" i="1"/>
  <c r="C235" i="1"/>
  <c r="D234" i="1"/>
  <c r="AF240" i="2" l="1"/>
  <c r="AG240" i="2"/>
  <c r="AH240" i="2"/>
  <c r="AC228" i="1"/>
  <c r="AE228" i="1"/>
  <c r="D246" i="2"/>
  <c r="C247" i="2"/>
  <c r="M245" i="2"/>
  <c r="O245" i="2" s="1"/>
  <c r="L246" i="2"/>
  <c r="I247" i="2"/>
  <c r="J246" i="2"/>
  <c r="Q244" i="2"/>
  <c r="P244" i="2"/>
  <c r="AQ242" i="2"/>
  <c r="R242" i="2"/>
  <c r="BM242" i="2"/>
  <c r="Z243" i="2"/>
  <c r="X243" i="2"/>
  <c r="AP243" i="2"/>
  <c r="Y243" i="2"/>
  <c r="W243" i="2"/>
  <c r="Q243" i="2"/>
  <c r="G246" i="2"/>
  <c r="F247" i="2"/>
  <c r="S231" i="1"/>
  <c r="AN231" i="1"/>
  <c r="D235" i="1"/>
  <c r="C236" i="1"/>
  <c r="AD228" i="1"/>
  <c r="S230" i="1"/>
  <c r="T230" i="1" s="1"/>
  <c r="AN230" i="1"/>
  <c r="M234" i="1"/>
  <c r="N233" i="1"/>
  <c r="AM231" i="1"/>
  <c r="Z231" i="1"/>
  <c r="Y231" i="1"/>
  <c r="X231" i="1"/>
  <c r="W231" i="1"/>
  <c r="AF228" i="1"/>
  <c r="Z230" i="1"/>
  <c r="Y230" i="1"/>
  <c r="X230" i="1"/>
  <c r="W230" i="1"/>
  <c r="AM230" i="1"/>
  <c r="Z229" i="1"/>
  <c r="W229" i="1"/>
  <c r="X229" i="1"/>
  <c r="Y229" i="1"/>
  <c r="Q232" i="1"/>
  <c r="R232" i="1" s="1"/>
  <c r="I233" i="1"/>
  <c r="H234" i="1"/>
  <c r="S242" i="2" l="1"/>
  <c r="AE241" i="2" s="1"/>
  <c r="T231" i="1"/>
  <c r="AF241" i="2"/>
  <c r="BM244" i="2"/>
  <c r="AQ244" i="2"/>
  <c r="AH241" i="2"/>
  <c r="L247" i="2"/>
  <c r="M246" i="2"/>
  <c r="O246" i="2" s="1"/>
  <c r="F248" i="2"/>
  <c r="G247" i="2"/>
  <c r="C248" i="2"/>
  <c r="D247" i="2"/>
  <c r="AG241" i="2"/>
  <c r="Z244" i="2"/>
  <c r="Y244" i="2"/>
  <c r="X244" i="2"/>
  <c r="W244" i="2"/>
  <c r="AP244" i="2"/>
  <c r="I248" i="2"/>
  <c r="J247" i="2"/>
  <c r="P245" i="2"/>
  <c r="Q245" i="2" s="1"/>
  <c r="BM243" i="2"/>
  <c r="R243" i="2"/>
  <c r="S243" i="2" s="1"/>
  <c r="AQ243" i="2"/>
  <c r="AN232" i="1"/>
  <c r="S232" i="1"/>
  <c r="T232" i="1" s="1"/>
  <c r="AE229" i="1"/>
  <c r="I234" i="1"/>
  <c r="H235" i="1"/>
  <c r="AF229" i="1"/>
  <c r="P233" i="1"/>
  <c r="AC229" i="1"/>
  <c r="N234" i="1"/>
  <c r="M235" i="1"/>
  <c r="AM232" i="1"/>
  <c r="AD229" i="1"/>
  <c r="D236" i="1"/>
  <c r="C237" i="1"/>
  <c r="AF230" i="1"/>
  <c r="AQ245" i="2" l="1"/>
  <c r="BM245" i="2"/>
  <c r="D248" i="2"/>
  <c r="C249" i="2"/>
  <c r="P246" i="2"/>
  <c r="AF242" i="2"/>
  <c r="W245" i="2"/>
  <c r="AP245" i="2"/>
  <c r="Z245" i="2"/>
  <c r="R244" i="2"/>
  <c r="S244" i="2" s="1"/>
  <c r="G248" i="2"/>
  <c r="F249" i="2"/>
  <c r="L248" i="2"/>
  <c r="M247" i="2"/>
  <c r="O247" i="2" s="1"/>
  <c r="AG242" i="2"/>
  <c r="AH242" i="2"/>
  <c r="AE242" i="2"/>
  <c r="J248" i="2"/>
  <c r="I249" i="2"/>
  <c r="P234" i="1"/>
  <c r="AD230" i="1"/>
  <c r="M236" i="1"/>
  <c r="N235" i="1"/>
  <c r="H236" i="1"/>
  <c r="I235" i="1"/>
  <c r="P235" i="1" s="1"/>
  <c r="C238" i="1"/>
  <c r="D237" i="1"/>
  <c r="AF231" i="1"/>
  <c r="R233" i="1"/>
  <c r="Q233" i="1"/>
  <c r="AE230" i="1"/>
  <c r="AC230" i="1"/>
  <c r="AE243" i="2" l="1"/>
  <c r="AP246" i="2"/>
  <c r="Z246" i="2"/>
  <c r="Y246" i="2"/>
  <c r="X246" i="2"/>
  <c r="W246" i="2"/>
  <c r="F250" i="2"/>
  <c r="G249" i="2"/>
  <c r="X245" i="2"/>
  <c r="AF243" i="2"/>
  <c r="I250" i="2"/>
  <c r="J249" i="2"/>
  <c r="AH243" i="2"/>
  <c r="D249" i="2"/>
  <c r="C250" i="2"/>
  <c r="Y245" i="2"/>
  <c r="Q246" i="2"/>
  <c r="AG243" i="2"/>
  <c r="Q247" i="2"/>
  <c r="P247" i="2"/>
  <c r="L249" i="2"/>
  <c r="M248" i="2"/>
  <c r="O248" i="2" s="1"/>
  <c r="R245" i="2"/>
  <c r="S245" i="2" s="1"/>
  <c r="AN233" i="1"/>
  <c r="S233" i="1"/>
  <c r="T233" i="1" s="1"/>
  <c r="AE231" i="1"/>
  <c r="AM233" i="1"/>
  <c r="Z232" i="1"/>
  <c r="W232" i="1"/>
  <c r="X232" i="1"/>
  <c r="Y232" i="1"/>
  <c r="C239" i="1"/>
  <c r="D238" i="1"/>
  <c r="AC231" i="1"/>
  <c r="AF232" i="1"/>
  <c r="AE232" i="1"/>
  <c r="AD232" i="1"/>
  <c r="AC232" i="1"/>
  <c r="AD231" i="1"/>
  <c r="Q235" i="1"/>
  <c r="H237" i="1"/>
  <c r="I236" i="1"/>
  <c r="M237" i="1"/>
  <c r="N236" i="1"/>
  <c r="Q234" i="1"/>
  <c r="X233" i="1" s="1"/>
  <c r="C251" i="2" l="1"/>
  <c r="D250" i="2"/>
  <c r="AE244" i="2"/>
  <c r="J250" i="2"/>
  <c r="I251" i="2"/>
  <c r="P248" i="2"/>
  <c r="Q248" i="2" s="1"/>
  <c r="L250" i="2"/>
  <c r="M249" i="2"/>
  <c r="O249" i="2" s="1"/>
  <c r="AH244" i="2"/>
  <c r="AF244" i="2"/>
  <c r="G250" i="2"/>
  <c r="F251" i="2"/>
  <c r="W247" i="2"/>
  <c r="AP247" i="2"/>
  <c r="Z247" i="2"/>
  <c r="BM247" i="2"/>
  <c r="AQ247" i="2"/>
  <c r="R246" i="2"/>
  <c r="AQ246" i="2"/>
  <c r="BM246" i="2"/>
  <c r="AG244" i="2"/>
  <c r="R234" i="1"/>
  <c r="N237" i="1"/>
  <c r="M238" i="1"/>
  <c r="D239" i="1"/>
  <c r="C240" i="1"/>
  <c r="P236" i="1"/>
  <c r="Z234" i="1"/>
  <c r="Y234" i="1"/>
  <c r="X234" i="1"/>
  <c r="AM234" i="1"/>
  <c r="W234" i="1"/>
  <c r="Z233" i="1"/>
  <c r="W233" i="1"/>
  <c r="Y233" i="1"/>
  <c r="H238" i="1"/>
  <c r="I237" i="1"/>
  <c r="P237" i="1" s="1"/>
  <c r="AM235" i="1"/>
  <c r="R235" i="1"/>
  <c r="S246" i="2" l="1"/>
  <c r="AH245" i="2" s="1"/>
  <c r="AQ248" i="2"/>
  <c r="BM248" i="2"/>
  <c r="R248" i="2"/>
  <c r="Q249" i="2"/>
  <c r="P249" i="2"/>
  <c r="F252" i="2"/>
  <c r="G251" i="2"/>
  <c r="AP248" i="2"/>
  <c r="Z248" i="2"/>
  <c r="Y248" i="2"/>
  <c r="X248" i="2"/>
  <c r="W248" i="2"/>
  <c r="I252" i="2"/>
  <c r="J251" i="2"/>
  <c r="R247" i="2"/>
  <c r="M250" i="2"/>
  <c r="O250" i="2" s="1"/>
  <c r="L251" i="2"/>
  <c r="AF245" i="2"/>
  <c r="X247" i="2"/>
  <c r="Y247" i="2"/>
  <c r="C252" i="2"/>
  <c r="D251" i="2"/>
  <c r="I238" i="1"/>
  <c r="H239" i="1"/>
  <c r="Q236" i="1"/>
  <c r="R236" i="1" s="1"/>
  <c r="M239" i="1"/>
  <c r="N238" i="1"/>
  <c r="S235" i="1"/>
  <c r="AN235" i="1"/>
  <c r="D240" i="1"/>
  <c r="C241" i="1"/>
  <c r="Q237" i="1"/>
  <c r="AN234" i="1"/>
  <c r="S234" i="1"/>
  <c r="T234" i="1" s="1"/>
  <c r="S248" i="2" l="1"/>
  <c r="S247" i="2"/>
  <c r="AE246" i="2" s="1"/>
  <c r="AG245" i="2"/>
  <c r="AE245" i="2"/>
  <c r="T235" i="1"/>
  <c r="L252" i="2"/>
  <c r="M251" i="2"/>
  <c r="O251" i="2" s="1"/>
  <c r="J252" i="2"/>
  <c r="I253" i="2"/>
  <c r="C253" i="2"/>
  <c r="D252" i="2"/>
  <c r="F253" i="2"/>
  <c r="G252" i="2"/>
  <c r="AF246" i="2"/>
  <c r="AQ249" i="2"/>
  <c r="R249" i="2"/>
  <c r="S249" i="2" s="1"/>
  <c r="BM249" i="2"/>
  <c r="P250" i="2"/>
  <c r="Z249" i="2" s="1"/>
  <c r="AP249" i="2"/>
  <c r="S236" i="1"/>
  <c r="T236" i="1" s="1"/>
  <c r="AN236" i="1"/>
  <c r="AD233" i="1"/>
  <c r="AF233" i="1"/>
  <c r="AE233" i="1"/>
  <c r="AC233" i="1"/>
  <c r="D241" i="1"/>
  <c r="C242" i="1"/>
  <c r="AM237" i="1"/>
  <c r="M240" i="1"/>
  <c r="N239" i="1"/>
  <c r="R237" i="1"/>
  <c r="I239" i="1"/>
  <c r="H240" i="1"/>
  <c r="Z236" i="1"/>
  <c r="Y236" i="1"/>
  <c r="X236" i="1"/>
  <c r="W236" i="1"/>
  <c r="AM236" i="1"/>
  <c r="Y235" i="1"/>
  <c r="Z235" i="1"/>
  <c r="W235" i="1"/>
  <c r="X235" i="1"/>
  <c r="P238" i="1"/>
  <c r="AG246" i="2" l="1"/>
  <c r="AH246" i="2"/>
  <c r="AH248" i="2"/>
  <c r="Q250" i="2"/>
  <c r="F254" i="2"/>
  <c r="G253" i="2"/>
  <c r="C254" i="2"/>
  <c r="D253" i="2"/>
  <c r="W249" i="2"/>
  <c r="AE247" i="2"/>
  <c r="AP250" i="2"/>
  <c r="Z250" i="2"/>
  <c r="Y250" i="2"/>
  <c r="X250" i="2"/>
  <c r="W250" i="2"/>
  <c r="I254" i="2"/>
  <c r="J253" i="2"/>
  <c r="Q251" i="2"/>
  <c r="P251" i="2"/>
  <c r="M252" i="2"/>
  <c r="O252" i="2" s="1"/>
  <c r="L253" i="2"/>
  <c r="AG247" i="2"/>
  <c r="AH247" i="2"/>
  <c r="X249" i="2"/>
  <c r="Y249" i="2"/>
  <c r="AF247" i="2"/>
  <c r="AD234" i="1"/>
  <c r="AF234" i="1"/>
  <c r="M241" i="1"/>
  <c r="N240" i="1"/>
  <c r="Q238" i="1"/>
  <c r="R238" i="1" s="1"/>
  <c r="P239" i="1"/>
  <c r="C243" i="1"/>
  <c r="D242" i="1"/>
  <c r="AC234" i="1"/>
  <c r="AE234" i="1"/>
  <c r="H241" i="1"/>
  <c r="I240" i="1"/>
  <c r="P240" i="1" s="1"/>
  <c r="AN237" i="1"/>
  <c r="S237" i="1"/>
  <c r="T237" i="1" s="1"/>
  <c r="AF235" i="1"/>
  <c r="AE248" i="2" l="1"/>
  <c r="AF248" i="2"/>
  <c r="AG248" i="2"/>
  <c r="AC235" i="1"/>
  <c r="AE235" i="1"/>
  <c r="C255" i="2"/>
  <c r="D254" i="2"/>
  <c r="M253" i="2"/>
  <c r="O253" i="2" s="1"/>
  <c r="L254" i="2"/>
  <c r="F255" i="2"/>
  <c r="G254" i="2"/>
  <c r="P252" i="2"/>
  <c r="Q252" i="2"/>
  <c r="Y251" i="2"/>
  <c r="X251" i="2"/>
  <c r="W251" i="2"/>
  <c r="AP251" i="2"/>
  <c r="R251" i="2"/>
  <c r="S251" i="2" s="1"/>
  <c r="BM251" i="2"/>
  <c r="AQ251" i="2"/>
  <c r="I255" i="2"/>
  <c r="J254" i="2"/>
  <c r="BM250" i="2"/>
  <c r="AQ250" i="2"/>
  <c r="R250" i="2"/>
  <c r="S250" i="2" s="1"/>
  <c r="AN238" i="1"/>
  <c r="S238" i="1"/>
  <c r="T238" i="1" s="1"/>
  <c r="AC237" i="1" s="1"/>
  <c r="Q240" i="1"/>
  <c r="Q239" i="1"/>
  <c r="R239" i="1"/>
  <c r="AF237" i="1"/>
  <c r="AD237" i="1"/>
  <c r="C244" i="1"/>
  <c r="D243" i="1"/>
  <c r="H242" i="1"/>
  <c r="I241" i="1"/>
  <c r="P241" i="1" s="1"/>
  <c r="AM238" i="1"/>
  <c r="Y238" i="1"/>
  <c r="W238" i="1"/>
  <c r="Z238" i="1"/>
  <c r="X238" i="1"/>
  <c r="Y237" i="1"/>
  <c r="Z237" i="1"/>
  <c r="W237" i="1"/>
  <c r="X237" i="1"/>
  <c r="M242" i="1"/>
  <c r="N241" i="1"/>
  <c r="AF236" i="1"/>
  <c r="AE236" i="1"/>
  <c r="AD236" i="1"/>
  <c r="AC236" i="1"/>
  <c r="AD235" i="1"/>
  <c r="AE237" i="1" l="1"/>
  <c r="I256" i="2"/>
  <c r="J255" i="2"/>
  <c r="AP252" i="2"/>
  <c r="BM252" i="2"/>
  <c r="AQ252" i="2"/>
  <c r="R252" i="2"/>
  <c r="P253" i="2"/>
  <c r="Q253" i="2"/>
  <c r="Z251" i="2"/>
  <c r="G255" i="2"/>
  <c r="F256" i="2"/>
  <c r="M254" i="2"/>
  <c r="O254" i="2" s="1"/>
  <c r="L255" i="2"/>
  <c r="AG250" i="2"/>
  <c r="AF250" i="2"/>
  <c r="AE250" i="2"/>
  <c r="AH250" i="2"/>
  <c r="AE249" i="2"/>
  <c r="AH249" i="2"/>
  <c r="AF249" i="2"/>
  <c r="AG249" i="2"/>
  <c r="D255" i="2"/>
  <c r="C256" i="2"/>
  <c r="Q241" i="1"/>
  <c r="S239" i="1"/>
  <c r="AN239" i="1"/>
  <c r="R240" i="1"/>
  <c r="H243" i="1"/>
  <c r="I242" i="1"/>
  <c r="D244" i="1"/>
  <c r="C245" i="1"/>
  <c r="Z239" i="1"/>
  <c r="Y239" i="1"/>
  <c r="X239" i="1"/>
  <c r="W239" i="1"/>
  <c r="AM239" i="1"/>
  <c r="N242" i="1"/>
  <c r="M243" i="1"/>
  <c r="Z240" i="1"/>
  <c r="Y240" i="1"/>
  <c r="X240" i="1"/>
  <c r="W240" i="1"/>
  <c r="AM240" i="1"/>
  <c r="S252" i="2" l="1"/>
  <c r="AH251" i="2" s="1"/>
  <c r="T239" i="1"/>
  <c r="AF251" i="2"/>
  <c r="AG251" i="2"/>
  <c r="AE251" i="2"/>
  <c r="AC238" i="1"/>
  <c r="AD238" i="1"/>
  <c r="AE238" i="1"/>
  <c r="BM253" i="2"/>
  <c r="AQ253" i="2"/>
  <c r="R253" i="2"/>
  <c r="F257" i="2"/>
  <c r="G256" i="2"/>
  <c r="AP253" i="2"/>
  <c r="Q254" i="2"/>
  <c r="P254" i="2"/>
  <c r="C257" i="2"/>
  <c r="D256" i="2"/>
  <c r="Y252" i="2"/>
  <c r="Z252" i="2"/>
  <c r="W252" i="2"/>
  <c r="X252" i="2"/>
  <c r="L256" i="2"/>
  <c r="M255" i="2"/>
  <c r="O255" i="2" s="1"/>
  <c r="I257" i="2"/>
  <c r="J256" i="2"/>
  <c r="I243" i="1"/>
  <c r="H244" i="1"/>
  <c r="P242" i="1"/>
  <c r="S240" i="1"/>
  <c r="AN240" i="1"/>
  <c r="AM241" i="1"/>
  <c r="C246" i="1"/>
  <c r="D245" i="1"/>
  <c r="N243" i="1"/>
  <c r="M244" i="1"/>
  <c r="R241" i="1"/>
  <c r="S253" i="2" l="1"/>
  <c r="T240" i="1"/>
  <c r="AC239" i="1" s="1"/>
  <c r="AF238" i="1"/>
  <c r="AP254" i="2"/>
  <c r="R254" i="2"/>
  <c r="BM254" i="2"/>
  <c r="AQ254" i="2"/>
  <c r="Q255" i="2"/>
  <c r="P255" i="2"/>
  <c r="M256" i="2"/>
  <c r="O256" i="2" s="1"/>
  <c r="L257" i="2"/>
  <c r="W253" i="2"/>
  <c r="Z253" i="2"/>
  <c r="I258" i="2"/>
  <c r="J257" i="2"/>
  <c r="G257" i="2"/>
  <c r="F258" i="2"/>
  <c r="D257" i="2"/>
  <c r="C258" i="2"/>
  <c r="X253" i="2"/>
  <c r="Y253" i="2"/>
  <c r="M245" i="1"/>
  <c r="N244" i="1"/>
  <c r="C247" i="1"/>
  <c r="D246" i="1"/>
  <c r="AF239" i="1"/>
  <c r="H245" i="1"/>
  <c r="I244" i="1"/>
  <c r="P244" i="1" s="1"/>
  <c r="S241" i="1"/>
  <c r="AN241" i="1"/>
  <c r="R242" i="1"/>
  <c r="Q242" i="1"/>
  <c r="AD239" i="1"/>
  <c r="AE239" i="1"/>
  <c r="P243" i="1"/>
  <c r="S254" i="2" l="1"/>
  <c r="AF253" i="2" s="1"/>
  <c r="AE252" i="2"/>
  <c r="AH252" i="2"/>
  <c r="AF252" i="2"/>
  <c r="AG252" i="2"/>
  <c r="T241" i="1"/>
  <c r="AD240" i="1" s="1"/>
  <c r="Q256" i="2"/>
  <c r="P256" i="2"/>
  <c r="F259" i="2"/>
  <c r="G258" i="2"/>
  <c r="I259" i="2"/>
  <c r="J258" i="2"/>
  <c r="L258" i="2"/>
  <c r="M257" i="2"/>
  <c r="O257" i="2" s="1"/>
  <c r="AP255" i="2"/>
  <c r="Z255" i="2"/>
  <c r="Y255" i="2"/>
  <c r="X255" i="2"/>
  <c r="W255" i="2"/>
  <c r="C259" i="2"/>
  <c r="D258" i="2"/>
  <c r="W254" i="2"/>
  <c r="X254" i="2"/>
  <c r="Z254" i="2"/>
  <c r="BM255" i="2"/>
  <c r="AQ255" i="2"/>
  <c r="R255" i="2"/>
  <c r="S255" i="2" s="1"/>
  <c r="AE254" i="2" s="1"/>
  <c r="AG253" i="2"/>
  <c r="AH253" i="2"/>
  <c r="AE253" i="2"/>
  <c r="Y254" i="2"/>
  <c r="AC240" i="1"/>
  <c r="Q243" i="1"/>
  <c r="AN242" i="1"/>
  <c r="S242" i="1"/>
  <c r="H246" i="1"/>
  <c r="I245" i="1"/>
  <c r="P245" i="1" s="1"/>
  <c r="AM242" i="1"/>
  <c r="Z242" i="1"/>
  <c r="Y242" i="1"/>
  <c r="X242" i="1"/>
  <c r="W242" i="1"/>
  <c r="Z241" i="1"/>
  <c r="Y241" i="1"/>
  <c r="W241" i="1"/>
  <c r="X241" i="1"/>
  <c r="Q244" i="1"/>
  <c r="AF240" i="1"/>
  <c r="C248" i="1"/>
  <c r="D247" i="1"/>
  <c r="M246" i="1"/>
  <c r="N245" i="1"/>
  <c r="AE240" i="1" l="1"/>
  <c r="AF254" i="2"/>
  <c r="AG254" i="2"/>
  <c r="AH254" i="2"/>
  <c r="T242" i="1"/>
  <c r="AD241" i="1" s="1"/>
  <c r="C260" i="2"/>
  <c r="D259" i="2"/>
  <c r="Q257" i="2"/>
  <c r="P257" i="2"/>
  <c r="J259" i="2"/>
  <c r="I260" i="2"/>
  <c r="Z256" i="2"/>
  <c r="Y256" i="2"/>
  <c r="X256" i="2"/>
  <c r="W256" i="2"/>
  <c r="AP256" i="2"/>
  <c r="L259" i="2"/>
  <c r="M258" i="2"/>
  <c r="O258" i="2" s="1"/>
  <c r="G259" i="2"/>
  <c r="F260" i="2"/>
  <c r="R256" i="2"/>
  <c r="S256" i="2" s="1"/>
  <c r="BM256" i="2"/>
  <c r="AQ256" i="2"/>
  <c r="H247" i="1"/>
  <c r="I246" i="1"/>
  <c r="C249" i="1"/>
  <c r="D248" i="1"/>
  <c r="Q245" i="1"/>
  <c r="Y244" i="1"/>
  <c r="X244" i="1"/>
  <c r="W244" i="1"/>
  <c r="AM244" i="1"/>
  <c r="AE241" i="1"/>
  <c r="M247" i="1"/>
  <c r="N246" i="1"/>
  <c r="AM243" i="1"/>
  <c r="Z243" i="1"/>
  <c r="Y243" i="1"/>
  <c r="X243" i="1"/>
  <c r="W243" i="1"/>
  <c r="R243" i="1"/>
  <c r="R244" i="1"/>
  <c r="AF241" i="1" l="1"/>
  <c r="AC241" i="1"/>
  <c r="AE255" i="2"/>
  <c r="AH255" i="2"/>
  <c r="F261" i="2"/>
  <c r="G260" i="2"/>
  <c r="AG255" i="2"/>
  <c r="L260" i="2"/>
  <c r="M259" i="2"/>
  <c r="O259" i="2" s="1"/>
  <c r="AP257" i="2"/>
  <c r="AF255" i="2"/>
  <c r="Q258" i="2"/>
  <c r="P258" i="2"/>
  <c r="X257" i="2" s="1"/>
  <c r="I261" i="2"/>
  <c r="J260" i="2"/>
  <c r="R257" i="2"/>
  <c r="BM257" i="2"/>
  <c r="AQ257" i="2"/>
  <c r="C261" i="2"/>
  <c r="D260" i="2"/>
  <c r="AM245" i="1"/>
  <c r="N247" i="1"/>
  <c r="M248" i="1"/>
  <c r="S244" i="1"/>
  <c r="AN244" i="1"/>
  <c r="AN243" i="1"/>
  <c r="S243" i="1"/>
  <c r="T243" i="1" s="1"/>
  <c r="P246" i="1"/>
  <c r="Z244" i="1"/>
  <c r="R245" i="1"/>
  <c r="D249" i="1"/>
  <c r="C250" i="1"/>
  <c r="H248" i="1"/>
  <c r="I247" i="1"/>
  <c r="P247" i="1" s="1"/>
  <c r="S257" i="2" l="1"/>
  <c r="AG256" i="2" s="1"/>
  <c r="T244" i="1"/>
  <c r="AF256" i="2"/>
  <c r="J261" i="2"/>
  <c r="I262" i="2"/>
  <c r="Y257" i="2"/>
  <c r="L261" i="2"/>
  <c r="M260" i="2"/>
  <c r="O260" i="2" s="1"/>
  <c r="AP258" i="2"/>
  <c r="W257" i="2"/>
  <c r="Q259" i="2"/>
  <c r="P259" i="2"/>
  <c r="Y258" i="2" s="1"/>
  <c r="F262" i="2"/>
  <c r="G261" i="2"/>
  <c r="R258" i="2"/>
  <c r="S258" i="2" s="1"/>
  <c r="BM258" i="2"/>
  <c r="AQ258" i="2"/>
  <c r="Z257" i="2"/>
  <c r="C262" i="2"/>
  <c r="D261" i="2"/>
  <c r="S245" i="1"/>
  <c r="AN245" i="1"/>
  <c r="C251" i="1"/>
  <c r="D250" i="1"/>
  <c r="R247" i="1"/>
  <c r="Q247" i="1"/>
  <c r="I248" i="1"/>
  <c r="H249" i="1"/>
  <c r="AF243" i="1"/>
  <c r="AE243" i="1"/>
  <c r="AD243" i="1"/>
  <c r="AC243" i="1"/>
  <c r="AF242" i="1"/>
  <c r="AE242" i="1"/>
  <c r="AD242" i="1"/>
  <c r="AC242" i="1"/>
  <c r="M249" i="1"/>
  <c r="N248" i="1"/>
  <c r="R246" i="1"/>
  <c r="Q246" i="1"/>
  <c r="T245" i="1" l="1"/>
  <c r="AE256" i="2"/>
  <c r="AH256" i="2"/>
  <c r="F263" i="2"/>
  <c r="G262" i="2"/>
  <c r="Q260" i="2"/>
  <c r="P260" i="2"/>
  <c r="D262" i="2"/>
  <c r="C263" i="2"/>
  <c r="AP259" i="2"/>
  <c r="W259" i="2"/>
  <c r="Z259" i="2"/>
  <c r="Y259" i="2"/>
  <c r="X259" i="2"/>
  <c r="AE257" i="2"/>
  <c r="I263" i="2"/>
  <c r="J262" i="2"/>
  <c r="AQ259" i="2"/>
  <c r="R259" i="2"/>
  <c r="BM259" i="2"/>
  <c r="Z258" i="2"/>
  <c r="W258" i="2"/>
  <c r="X258" i="2"/>
  <c r="AF257" i="2"/>
  <c r="M261" i="2"/>
  <c r="O261" i="2" s="1"/>
  <c r="L262" i="2"/>
  <c r="AG257" i="2"/>
  <c r="AH257" i="2"/>
  <c r="AN247" i="1"/>
  <c r="C252" i="1"/>
  <c r="D251" i="1"/>
  <c r="M250" i="1"/>
  <c r="N249" i="1"/>
  <c r="P248" i="1"/>
  <c r="AM246" i="1"/>
  <c r="Z246" i="1"/>
  <c r="Y246" i="1"/>
  <c r="X246" i="1"/>
  <c r="W246" i="1"/>
  <c r="Z245" i="1"/>
  <c r="X245" i="1"/>
  <c r="W245" i="1"/>
  <c r="Y245" i="1"/>
  <c r="H250" i="1"/>
  <c r="I249" i="1"/>
  <c r="AM247" i="1"/>
  <c r="S246" i="1"/>
  <c r="S247" i="1" s="1"/>
  <c r="AN246" i="1"/>
  <c r="S259" i="2" l="1"/>
  <c r="AG258" i="2" s="1"/>
  <c r="T246" i="1"/>
  <c r="T247" i="1" s="1"/>
  <c r="AF244" i="1"/>
  <c r="AP260" i="2"/>
  <c r="L263" i="2"/>
  <c r="M262" i="2"/>
  <c r="O262" i="2" s="1"/>
  <c r="C264" i="2"/>
  <c r="D263" i="2"/>
  <c r="Q261" i="2"/>
  <c r="P261" i="2"/>
  <c r="AE258" i="2"/>
  <c r="I264" i="2"/>
  <c r="J263" i="2"/>
  <c r="BM260" i="2"/>
  <c r="AQ260" i="2"/>
  <c r="R260" i="2"/>
  <c r="F264" i="2"/>
  <c r="G263" i="2"/>
  <c r="AF258" i="2"/>
  <c r="D252" i="1"/>
  <c r="P253" i="1" s="1"/>
  <c r="C253" i="1"/>
  <c r="AC244" i="1"/>
  <c r="AD244" i="1"/>
  <c r="AE244" i="1"/>
  <c r="R248" i="1"/>
  <c r="Q248" i="1"/>
  <c r="AE245" i="1"/>
  <c r="M251" i="1"/>
  <c r="N250" i="1"/>
  <c r="P249" i="1"/>
  <c r="H251" i="1"/>
  <c r="I250" i="1"/>
  <c r="P250" i="1" s="1"/>
  <c r="S260" i="2" l="1"/>
  <c r="AH259" i="2" s="1"/>
  <c r="AH258" i="2"/>
  <c r="AG259" i="2"/>
  <c r="AE259" i="2"/>
  <c r="AF259" i="2"/>
  <c r="I265" i="2"/>
  <c r="J264" i="2"/>
  <c r="BM261" i="2"/>
  <c r="AQ261" i="2"/>
  <c r="R261" i="2"/>
  <c r="S261" i="2" s="1"/>
  <c r="AP261" i="2"/>
  <c r="D264" i="2"/>
  <c r="C265" i="2"/>
  <c r="W260" i="2"/>
  <c r="F265" i="2"/>
  <c r="G264" i="2"/>
  <c r="Y260" i="2"/>
  <c r="Q262" i="2"/>
  <c r="P262" i="2"/>
  <c r="Y261" i="2" s="1"/>
  <c r="M263" i="2"/>
  <c r="O263" i="2" s="1"/>
  <c r="L264" i="2"/>
  <c r="X260" i="2"/>
  <c r="Z260" i="2"/>
  <c r="Q250" i="1"/>
  <c r="H252" i="1"/>
  <c r="I251" i="1"/>
  <c r="AN248" i="1"/>
  <c r="S248" i="1"/>
  <c r="T248" i="1" s="1"/>
  <c r="R249" i="1"/>
  <c r="Q249" i="1"/>
  <c r="W248" i="1" s="1"/>
  <c r="AD246" i="1"/>
  <c r="AC245" i="1"/>
  <c r="M252" i="1"/>
  <c r="N251" i="1"/>
  <c r="AM248" i="1"/>
  <c r="Z248" i="1"/>
  <c r="Y248" i="1"/>
  <c r="W247" i="1"/>
  <c r="Z247" i="1"/>
  <c r="Y247" i="1"/>
  <c r="X247" i="1"/>
  <c r="AD245" i="1"/>
  <c r="AF245" i="1"/>
  <c r="C254" i="1"/>
  <c r="D253" i="1"/>
  <c r="P254" i="1" s="1"/>
  <c r="AQ262" i="2" l="1"/>
  <c r="R262" i="2"/>
  <c r="S262" i="2" s="1"/>
  <c r="BM262" i="2"/>
  <c r="X261" i="2"/>
  <c r="P263" i="2"/>
  <c r="Q263" i="2" s="1"/>
  <c r="G265" i="2"/>
  <c r="F266" i="2"/>
  <c r="C266" i="2"/>
  <c r="D265" i="2"/>
  <c r="AH261" i="2"/>
  <c r="AG261" i="2"/>
  <c r="AF261" i="2"/>
  <c r="AE261" i="2"/>
  <c r="L265" i="2"/>
  <c r="M264" i="2"/>
  <c r="O264" i="2" s="1"/>
  <c r="AE260" i="2"/>
  <c r="AG260" i="2"/>
  <c r="Z262" i="2"/>
  <c r="Y262" i="2"/>
  <c r="AP262" i="2"/>
  <c r="W261" i="2"/>
  <c r="Z261" i="2"/>
  <c r="AF260" i="2"/>
  <c r="AH260" i="2"/>
  <c r="I266" i="2"/>
  <c r="J265" i="2"/>
  <c r="S249" i="1"/>
  <c r="T249" i="1" s="1"/>
  <c r="AN249" i="1"/>
  <c r="AC246" i="1"/>
  <c r="AE246" i="1"/>
  <c r="AF246" i="1"/>
  <c r="C255" i="1"/>
  <c r="D254" i="1"/>
  <c r="P255" i="1" s="1"/>
  <c r="AM250" i="1"/>
  <c r="N252" i="1"/>
  <c r="M253" i="1"/>
  <c r="Q254" i="1"/>
  <c r="R254" i="1" s="1"/>
  <c r="Z249" i="1"/>
  <c r="Y249" i="1"/>
  <c r="X249" i="1"/>
  <c r="W249" i="1"/>
  <c r="AM249" i="1"/>
  <c r="P251" i="1"/>
  <c r="I252" i="1"/>
  <c r="H253" i="1"/>
  <c r="X248" i="1"/>
  <c r="R250" i="1"/>
  <c r="AE247" i="1" l="1"/>
  <c r="BM263" i="2"/>
  <c r="R263" i="2"/>
  <c r="AQ263" i="2"/>
  <c r="M265" i="2"/>
  <c r="O265" i="2" s="1"/>
  <c r="L266" i="2"/>
  <c r="D266" i="2"/>
  <c r="C267" i="2"/>
  <c r="W262" i="2"/>
  <c r="J266" i="2"/>
  <c r="I267" i="2"/>
  <c r="Q264" i="2"/>
  <c r="P264" i="2"/>
  <c r="G266" i="2"/>
  <c r="F267" i="2"/>
  <c r="Z263" i="2"/>
  <c r="Y263" i="2"/>
  <c r="AP263" i="2"/>
  <c r="X262" i="2"/>
  <c r="S250" i="1"/>
  <c r="T250" i="1" s="1"/>
  <c r="AN250" i="1"/>
  <c r="N253" i="1"/>
  <c r="M254" i="1"/>
  <c r="C256" i="1"/>
  <c r="D255" i="1"/>
  <c r="P256" i="1" s="1"/>
  <c r="Q251" i="1"/>
  <c r="AM254" i="1"/>
  <c r="P252" i="1"/>
  <c r="AN254" i="1"/>
  <c r="I253" i="1"/>
  <c r="H254" i="1"/>
  <c r="Q255" i="1"/>
  <c r="Z254" i="1" s="1"/>
  <c r="AC247" i="1"/>
  <c r="AD247" i="1"/>
  <c r="AF247" i="1"/>
  <c r="S263" i="2" l="1"/>
  <c r="AE262" i="2" s="1"/>
  <c r="AH262" i="2"/>
  <c r="AG262" i="2"/>
  <c r="R255" i="1"/>
  <c r="AN255" i="1" s="1"/>
  <c r="F268" i="2"/>
  <c r="G267" i="2"/>
  <c r="J267" i="2"/>
  <c r="I268" i="2"/>
  <c r="R264" i="2"/>
  <c r="BM264" i="2"/>
  <c r="AQ264" i="2"/>
  <c r="C268" i="2"/>
  <c r="D267" i="2"/>
  <c r="L267" i="2"/>
  <c r="M266" i="2"/>
  <c r="O266" i="2" s="1"/>
  <c r="Z264" i="2"/>
  <c r="Y264" i="2"/>
  <c r="X264" i="2"/>
  <c r="W264" i="2"/>
  <c r="AP264" i="2"/>
  <c r="Q265" i="2"/>
  <c r="P265" i="2"/>
  <c r="W263" i="2"/>
  <c r="X263" i="2"/>
  <c r="X254" i="1"/>
  <c r="Y254" i="1"/>
  <c r="W254" i="1"/>
  <c r="AF249" i="1"/>
  <c r="AE249" i="1"/>
  <c r="AD249" i="1"/>
  <c r="AC249" i="1"/>
  <c r="Q252" i="1"/>
  <c r="R252" i="1" s="1"/>
  <c r="R253" i="1" s="1"/>
  <c r="Q253" i="1"/>
  <c r="Q256" i="1"/>
  <c r="Z255" i="1" s="1"/>
  <c r="AC248" i="1"/>
  <c r="AD248" i="1"/>
  <c r="AE248" i="1"/>
  <c r="AF248" i="1"/>
  <c r="I254" i="1"/>
  <c r="H255" i="1"/>
  <c r="AM251" i="1"/>
  <c r="Z251" i="1"/>
  <c r="Y250" i="1"/>
  <c r="Z250" i="1"/>
  <c r="W250" i="1"/>
  <c r="X250" i="1"/>
  <c r="R251" i="1"/>
  <c r="C257" i="1"/>
  <c r="D257" i="1" s="1"/>
  <c r="P258" i="1" s="1"/>
  <c r="T270" i="1" s="1"/>
  <c r="D256" i="1"/>
  <c r="P257" i="1" s="1"/>
  <c r="M255" i="1"/>
  <c r="N254" i="1"/>
  <c r="AM255" i="1"/>
  <c r="R256" i="1" l="1"/>
  <c r="T269" i="1"/>
  <c r="T267" i="1"/>
  <c r="T262" i="1"/>
  <c r="T263" i="1"/>
  <c r="T265" i="1"/>
  <c r="AF262" i="2"/>
  <c r="X255" i="1"/>
  <c r="T264" i="1"/>
  <c r="T266" i="1"/>
  <c r="AE266" i="1" s="1"/>
  <c r="T268" i="1"/>
  <c r="AF268" i="1" s="1"/>
  <c r="AE269" i="1"/>
  <c r="AF270" i="1"/>
  <c r="AE270" i="1"/>
  <c r="AD270" i="1"/>
  <c r="AC270" i="1"/>
  <c r="AF269" i="1"/>
  <c r="AD269" i="1"/>
  <c r="AC269" i="1"/>
  <c r="S264" i="2"/>
  <c r="AH263" i="2" s="1"/>
  <c r="W255" i="1"/>
  <c r="C269" i="2"/>
  <c r="D268" i="2"/>
  <c r="L268" i="2"/>
  <c r="M267" i="2"/>
  <c r="O267" i="2" s="1"/>
  <c r="J268" i="2"/>
  <c r="I269" i="2"/>
  <c r="AP265" i="2"/>
  <c r="Q266" i="2"/>
  <c r="P266" i="2"/>
  <c r="Y265" i="2" s="1"/>
  <c r="R265" i="2"/>
  <c r="S265" i="2" s="1"/>
  <c r="BM265" i="2"/>
  <c r="AQ265" i="2"/>
  <c r="F269" i="2"/>
  <c r="G268" i="2"/>
  <c r="Y255" i="1"/>
  <c r="S252" i="1"/>
  <c r="T252" i="1" s="1"/>
  <c r="AN252" i="1"/>
  <c r="I255" i="1"/>
  <c r="H256" i="1"/>
  <c r="AM253" i="1"/>
  <c r="W253" i="1"/>
  <c r="Y253" i="1"/>
  <c r="X253" i="1"/>
  <c r="Z253" i="1"/>
  <c r="Q258" i="1"/>
  <c r="R258" i="1" s="1"/>
  <c r="Q259" i="1"/>
  <c r="R259" i="1" s="1"/>
  <c r="R260" i="1" s="1"/>
  <c r="AN260" i="1" s="1"/>
  <c r="Q257" i="1"/>
  <c r="R257" i="1" s="1"/>
  <c r="AM252" i="1"/>
  <c r="Z252" i="1"/>
  <c r="X252" i="1"/>
  <c r="W252" i="1"/>
  <c r="Y252" i="1"/>
  <c r="W251" i="1"/>
  <c r="AN256" i="1"/>
  <c r="AM256" i="1"/>
  <c r="S251" i="1"/>
  <c r="T251" i="1" s="1"/>
  <c r="AN251" i="1"/>
  <c r="X251" i="1"/>
  <c r="M256" i="1"/>
  <c r="N255" i="1"/>
  <c r="AN253" i="1"/>
  <c r="Y251" i="1"/>
  <c r="AE268" i="1" l="1"/>
  <c r="AC268" i="1"/>
  <c r="AG263" i="2"/>
  <c r="AF263" i="2"/>
  <c r="AD266" i="1"/>
  <c r="AC266" i="1"/>
  <c r="AF266" i="1"/>
  <c r="AE267" i="1"/>
  <c r="AF267" i="1"/>
  <c r="AD267" i="1"/>
  <c r="AC267" i="1"/>
  <c r="AD268" i="1"/>
  <c r="AE263" i="2"/>
  <c r="S253" i="1"/>
  <c r="T253" i="1" s="1"/>
  <c r="AF264" i="2"/>
  <c r="W266" i="2"/>
  <c r="AP266" i="2"/>
  <c r="Z266" i="2"/>
  <c r="Y266" i="2"/>
  <c r="X266" i="2"/>
  <c r="Z265" i="2"/>
  <c r="I270" i="2"/>
  <c r="J269" i="2"/>
  <c r="AE264" i="2"/>
  <c r="AG264" i="2"/>
  <c r="AQ266" i="2"/>
  <c r="R266" i="2"/>
  <c r="S266" i="2" s="1"/>
  <c r="BM266" i="2"/>
  <c r="X265" i="2"/>
  <c r="W265" i="2"/>
  <c r="AH264" i="2"/>
  <c r="P267" i="2"/>
  <c r="Q267" i="2"/>
  <c r="M268" i="2"/>
  <c r="O268" i="2" s="1"/>
  <c r="L269" i="2"/>
  <c r="F270" i="2"/>
  <c r="G269" i="2"/>
  <c r="D269" i="2"/>
  <c r="C270" i="2"/>
  <c r="AM257" i="1"/>
  <c r="Y257" i="1"/>
  <c r="W257" i="1"/>
  <c r="Z257" i="1"/>
  <c r="X257" i="1"/>
  <c r="W258" i="1"/>
  <c r="AM258" i="1"/>
  <c r="Y258" i="1"/>
  <c r="Z258" i="1"/>
  <c r="X258" i="1"/>
  <c r="S259" i="1"/>
  <c r="S260" i="1" s="1"/>
  <c r="AN259" i="1"/>
  <c r="AC250" i="1"/>
  <c r="AD250" i="1"/>
  <c r="AE250" i="1"/>
  <c r="AF250" i="1"/>
  <c r="X256" i="1"/>
  <c r="Z256" i="1"/>
  <c r="M257" i="1"/>
  <c r="N257" i="1" s="1"/>
  <c r="N256" i="1"/>
  <c r="S258" i="1"/>
  <c r="AN258" i="1"/>
  <c r="W256" i="1"/>
  <c r="H257" i="1"/>
  <c r="I257" i="1" s="1"/>
  <c r="I256" i="1"/>
  <c r="AN257" i="1"/>
  <c r="Z259" i="1"/>
  <c r="W259" i="1"/>
  <c r="AM259" i="1"/>
  <c r="X259" i="1"/>
  <c r="Y259" i="1"/>
  <c r="Y256" i="1"/>
  <c r="AE251" i="1"/>
  <c r="S254" i="1" l="1"/>
  <c r="T259" i="1"/>
  <c r="T260" i="1"/>
  <c r="T261" i="1"/>
  <c r="S255" i="1"/>
  <c r="T255" i="1" s="1"/>
  <c r="T254" i="1"/>
  <c r="AE253" i="1" s="1"/>
  <c r="C271" i="2"/>
  <c r="D270" i="2"/>
  <c r="M269" i="2"/>
  <c r="O269" i="2" s="1"/>
  <c r="L270" i="2"/>
  <c r="AF265" i="2"/>
  <c r="F271" i="2"/>
  <c r="G270" i="2"/>
  <c r="Q268" i="2"/>
  <c r="P268" i="2"/>
  <c r="AE265" i="2"/>
  <c r="AG265" i="2"/>
  <c r="I271" i="2"/>
  <c r="J270" i="2"/>
  <c r="AQ267" i="2"/>
  <c r="BM267" i="2"/>
  <c r="R267" i="2"/>
  <c r="S267" i="2" s="1"/>
  <c r="AP267" i="2"/>
  <c r="AH265" i="2"/>
  <c r="AD251" i="1"/>
  <c r="AF252" i="1"/>
  <c r="AE252" i="1"/>
  <c r="AD252" i="1"/>
  <c r="AC252" i="1"/>
  <c r="AC251" i="1"/>
  <c r="AF251" i="1"/>
  <c r="AE259" i="1" l="1"/>
  <c r="S256" i="1"/>
  <c r="T256" i="1" s="1"/>
  <c r="AE255" i="1" s="1"/>
  <c r="AF253" i="1"/>
  <c r="AE254" i="1"/>
  <c r="AD253" i="1"/>
  <c r="AC253" i="1"/>
  <c r="AF259" i="1"/>
  <c r="AD259" i="1"/>
  <c r="AD254" i="1"/>
  <c r="AC259" i="1"/>
  <c r="AC254" i="1"/>
  <c r="AF254" i="1"/>
  <c r="AP268" i="2"/>
  <c r="L271" i="2"/>
  <c r="M270" i="2"/>
  <c r="O270" i="2" s="1"/>
  <c r="J271" i="2"/>
  <c r="I272" i="2"/>
  <c r="Q269" i="2"/>
  <c r="P269" i="2"/>
  <c r="Z268" i="2" s="1"/>
  <c r="W267" i="2"/>
  <c r="AG266" i="2"/>
  <c r="BM268" i="2"/>
  <c r="AQ268" i="2"/>
  <c r="R268" i="2"/>
  <c r="F272" i="2"/>
  <c r="G271" i="2"/>
  <c r="C272" i="2"/>
  <c r="D271" i="2"/>
  <c r="AE266" i="2"/>
  <c r="X267" i="2"/>
  <c r="AF266" i="2"/>
  <c r="Y267" i="2"/>
  <c r="Z267" i="2"/>
  <c r="AH266" i="2"/>
  <c r="S257" i="1"/>
  <c r="AE261" i="1"/>
  <c r="AF260" i="1"/>
  <c r="AD260" i="1"/>
  <c r="AC260" i="1"/>
  <c r="AE260" i="1"/>
  <c r="S268" i="2" l="1"/>
  <c r="AG267" i="2" s="1"/>
  <c r="T257" i="1"/>
  <c r="AF256" i="1" s="1"/>
  <c r="T258" i="1"/>
  <c r="BM269" i="2"/>
  <c r="AQ269" i="2"/>
  <c r="R269" i="2"/>
  <c r="S269" i="2" s="1"/>
  <c r="W268" i="2"/>
  <c r="I273" i="2"/>
  <c r="J272" i="2"/>
  <c r="X268" i="2"/>
  <c r="P270" i="2"/>
  <c r="Q270" i="2" s="1"/>
  <c r="M271" i="2"/>
  <c r="O271" i="2" s="1"/>
  <c r="L272" i="2"/>
  <c r="AP269" i="2"/>
  <c r="Z269" i="2"/>
  <c r="Y269" i="2"/>
  <c r="X269" i="2"/>
  <c r="W269" i="2"/>
  <c r="Y268" i="2"/>
  <c r="C273" i="2"/>
  <c r="D272" i="2"/>
  <c r="F273" i="2"/>
  <c r="G272" i="2"/>
  <c r="AD255" i="1"/>
  <c r="AC255" i="1"/>
  <c r="AF255" i="1"/>
  <c r="AE262" i="1"/>
  <c r="AD261" i="1"/>
  <c r="AC261" i="1"/>
  <c r="AF261" i="1"/>
  <c r="AE256" i="1" l="1"/>
  <c r="AD256" i="1"/>
  <c r="AC256" i="1"/>
  <c r="AE268" i="2"/>
  <c r="AG268" i="2"/>
  <c r="AH267" i="2"/>
  <c r="AH268" i="2"/>
  <c r="AF267" i="2"/>
  <c r="AE267" i="2"/>
  <c r="AF268" i="2"/>
  <c r="BM270" i="2"/>
  <c r="AQ270" i="2"/>
  <c r="R270" i="2"/>
  <c r="M272" i="2"/>
  <c r="O272" i="2" s="1"/>
  <c r="L273" i="2"/>
  <c r="AP270" i="2"/>
  <c r="F274" i="2"/>
  <c r="G273" i="2"/>
  <c r="C274" i="2"/>
  <c r="D273" i="2"/>
  <c r="P271" i="2"/>
  <c r="Z270" i="2" s="1"/>
  <c r="Q271" i="2"/>
  <c r="I274" i="2"/>
  <c r="J273" i="2"/>
  <c r="AF258" i="1"/>
  <c r="AC258" i="1"/>
  <c r="AD258" i="1"/>
  <c r="AE258" i="1"/>
  <c r="AE257" i="1"/>
  <c r="AC257" i="1"/>
  <c r="AF257" i="1"/>
  <c r="AD257" i="1"/>
  <c r="AC263" i="1"/>
  <c r="AC262" i="1"/>
  <c r="AD262" i="1"/>
  <c r="AF262" i="1"/>
  <c r="S270" i="2" l="1"/>
  <c r="AG269" i="2" s="1"/>
  <c r="J274" i="2"/>
  <c r="I275" i="2"/>
  <c r="X270" i="2"/>
  <c r="M273" i="2"/>
  <c r="O273" i="2" s="1"/>
  <c r="L274" i="2"/>
  <c r="BM271" i="2"/>
  <c r="AQ271" i="2"/>
  <c r="R271" i="2"/>
  <c r="D274" i="2"/>
  <c r="C275" i="2"/>
  <c r="P272" i="2"/>
  <c r="X271" i="2" s="1"/>
  <c r="Q272" i="2"/>
  <c r="W271" i="2"/>
  <c r="AP271" i="2"/>
  <c r="Z271" i="2"/>
  <c r="Y271" i="2"/>
  <c r="G274" i="2"/>
  <c r="F275" i="2"/>
  <c r="W270" i="2"/>
  <c r="Y270" i="2"/>
  <c r="AF269" i="2"/>
  <c r="AE263" i="1"/>
  <c r="AD263" i="1"/>
  <c r="AF263" i="1"/>
  <c r="S271" i="2" l="1"/>
  <c r="AG270" i="2" s="1"/>
  <c r="AE269" i="2"/>
  <c r="AH269" i="2"/>
  <c r="AP272" i="2"/>
  <c r="X272" i="2"/>
  <c r="W272" i="2"/>
  <c r="F276" i="2"/>
  <c r="G275" i="2"/>
  <c r="AF270" i="2"/>
  <c r="I276" i="2"/>
  <c r="J275" i="2"/>
  <c r="R272" i="2"/>
  <c r="BM272" i="2"/>
  <c r="AQ272" i="2"/>
  <c r="C276" i="2"/>
  <c r="D275" i="2"/>
  <c r="M274" i="2"/>
  <c r="O274" i="2" s="1"/>
  <c r="L275" i="2"/>
  <c r="Q273" i="2"/>
  <c r="P273" i="2"/>
  <c r="AF265" i="1"/>
  <c r="AE265" i="1"/>
  <c r="AD265" i="1"/>
  <c r="AC265" i="1"/>
  <c r="AC264" i="1"/>
  <c r="AD264" i="1"/>
  <c r="AE264" i="1"/>
  <c r="AF264" i="1"/>
  <c r="S272" i="2" l="1"/>
  <c r="AG271" i="2" s="1"/>
  <c r="AE270" i="2"/>
  <c r="AH270" i="2"/>
  <c r="Q274" i="2"/>
  <c r="P274" i="2"/>
  <c r="J276" i="2"/>
  <c r="I277" i="2"/>
  <c r="AH271" i="2"/>
  <c r="D276" i="2"/>
  <c r="C277" i="2"/>
  <c r="AE271" i="2"/>
  <c r="AP273" i="2"/>
  <c r="Z273" i="2"/>
  <c r="Y273" i="2"/>
  <c r="X273" i="2"/>
  <c r="W273" i="2"/>
  <c r="Y272" i="2"/>
  <c r="AF272" i="2"/>
  <c r="AE272" i="2"/>
  <c r="AF271" i="2"/>
  <c r="G276" i="2"/>
  <c r="F277" i="2"/>
  <c r="R273" i="2"/>
  <c r="S273" i="2" s="1"/>
  <c r="BM273" i="2"/>
  <c r="AQ273" i="2"/>
  <c r="M275" i="2"/>
  <c r="O275" i="2" s="1"/>
  <c r="L276" i="2"/>
  <c r="Z272" i="2"/>
  <c r="AH272" i="2" l="1"/>
  <c r="AG272" i="2"/>
  <c r="M276" i="2"/>
  <c r="O276" i="2" s="1"/>
  <c r="L277" i="2"/>
  <c r="AP274" i="2"/>
  <c r="D277" i="2"/>
  <c r="C278" i="2"/>
  <c r="Q275" i="2"/>
  <c r="P275" i="2"/>
  <c r="I278" i="2"/>
  <c r="J277" i="2"/>
  <c r="F278" i="2"/>
  <c r="G277" i="2"/>
  <c r="BM274" i="2"/>
  <c r="AQ274" i="2"/>
  <c r="R274" i="2"/>
  <c r="S274" i="2" l="1"/>
  <c r="AH273" i="2" s="1"/>
  <c r="AF273" i="2"/>
  <c r="AG273" i="2"/>
  <c r="G278" i="2"/>
  <c r="F279" i="2"/>
  <c r="AP275" i="2"/>
  <c r="Y274" i="2"/>
  <c r="R275" i="2"/>
  <c r="S275" i="2" s="1"/>
  <c r="BM275" i="2"/>
  <c r="AQ275" i="2"/>
  <c r="X274" i="2"/>
  <c r="L278" i="2"/>
  <c r="M277" i="2"/>
  <c r="O277" i="2" s="1"/>
  <c r="J278" i="2"/>
  <c r="I279" i="2"/>
  <c r="D278" i="2"/>
  <c r="C279" i="2"/>
  <c r="W274" i="2"/>
  <c r="Z274" i="2"/>
  <c r="P276" i="2"/>
  <c r="AE273" i="2" l="1"/>
  <c r="I280" i="2"/>
  <c r="J279" i="2"/>
  <c r="L279" i="2"/>
  <c r="M278" i="2"/>
  <c r="O278" i="2" s="1"/>
  <c r="AP276" i="2"/>
  <c r="Z276" i="2"/>
  <c r="Y276" i="2"/>
  <c r="X276" i="2"/>
  <c r="W276" i="2"/>
  <c r="C280" i="2"/>
  <c r="D279" i="2"/>
  <c r="W275" i="2"/>
  <c r="X275" i="2"/>
  <c r="F280" i="2"/>
  <c r="G279" i="2"/>
  <c r="Q277" i="2"/>
  <c r="P277" i="2"/>
  <c r="Q276" i="2"/>
  <c r="Z275" i="2"/>
  <c r="AE274" i="2"/>
  <c r="AF274" i="2"/>
  <c r="Y275" i="2"/>
  <c r="AG274" i="2"/>
  <c r="AH274" i="2"/>
  <c r="F281" i="2" l="1"/>
  <c r="G280" i="2"/>
  <c r="R277" i="2"/>
  <c r="AQ277" i="2"/>
  <c r="BM277" i="2"/>
  <c r="Q278" i="2"/>
  <c r="P278" i="2"/>
  <c r="C281" i="2"/>
  <c r="D280" i="2"/>
  <c r="L280" i="2"/>
  <c r="M279" i="2"/>
  <c r="O279" i="2" s="1"/>
  <c r="BM276" i="2"/>
  <c r="AQ276" i="2"/>
  <c r="R276" i="2"/>
  <c r="S276" i="2" s="1"/>
  <c r="X277" i="2"/>
  <c r="W277" i="2"/>
  <c r="Z277" i="2"/>
  <c r="Y277" i="2"/>
  <c r="AP277" i="2"/>
  <c r="J280" i="2"/>
  <c r="I281" i="2"/>
  <c r="S277" i="2" l="1"/>
  <c r="P279" i="2"/>
  <c r="D281" i="2"/>
  <c r="C282" i="2"/>
  <c r="AP278" i="2"/>
  <c r="W278" i="2"/>
  <c r="Z278" i="2"/>
  <c r="Y278" i="2"/>
  <c r="X278" i="2"/>
  <c r="AF275" i="2"/>
  <c r="AH275" i="2"/>
  <c r="AE275" i="2"/>
  <c r="AG275" i="2"/>
  <c r="M280" i="2"/>
  <c r="O280" i="2" s="1"/>
  <c r="L281" i="2"/>
  <c r="AQ278" i="2"/>
  <c r="R278" i="2"/>
  <c r="S278" i="2" s="1"/>
  <c r="BM278" i="2"/>
  <c r="AH276" i="2"/>
  <c r="I282" i="2"/>
  <c r="J281" i="2"/>
  <c r="G281" i="2"/>
  <c r="F282" i="2"/>
  <c r="AE276" i="2" l="1"/>
  <c r="AF276" i="2"/>
  <c r="AG276" i="2"/>
  <c r="P280" i="2"/>
  <c r="L282" i="2"/>
  <c r="M281" i="2"/>
  <c r="O281" i="2" s="1"/>
  <c r="C283" i="2"/>
  <c r="D282" i="2"/>
  <c r="G282" i="2"/>
  <c r="F283" i="2"/>
  <c r="I283" i="2"/>
  <c r="J282" i="2"/>
  <c r="Z279" i="2"/>
  <c r="Y279" i="2"/>
  <c r="X279" i="2"/>
  <c r="W279" i="2"/>
  <c r="AP279" i="2"/>
  <c r="AH277" i="2"/>
  <c r="Q279" i="2"/>
  <c r="AF277" i="2" l="1"/>
  <c r="AE277" i="2"/>
  <c r="I284" i="2"/>
  <c r="J283" i="2"/>
  <c r="D283" i="2"/>
  <c r="C284" i="2"/>
  <c r="AP280" i="2"/>
  <c r="AG277" i="2"/>
  <c r="F284" i="2"/>
  <c r="G283" i="2"/>
  <c r="P281" i="2"/>
  <c r="Z280" i="2" s="1"/>
  <c r="M282" i="2"/>
  <c r="O282" i="2" s="1"/>
  <c r="L283" i="2"/>
  <c r="BM279" i="2"/>
  <c r="AQ279" i="2"/>
  <c r="R279" i="2"/>
  <c r="Q280" i="2"/>
  <c r="Q281" i="2" s="1"/>
  <c r="S279" i="2" l="1"/>
  <c r="AH278" i="2" s="1"/>
  <c r="AQ281" i="2"/>
  <c r="R281" i="2"/>
  <c r="BM281" i="2"/>
  <c r="X280" i="2"/>
  <c r="BM280" i="2"/>
  <c r="AQ280" i="2"/>
  <c r="R280" i="2"/>
  <c r="G284" i="2"/>
  <c r="F285" i="2"/>
  <c r="Z281" i="2"/>
  <c r="Y281" i="2"/>
  <c r="X281" i="2"/>
  <c r="AP281" i="2"/>
  <c r="W281" i="2"/>
  <c r="W280" i="2"/>
  <c r="Y280" i="2"/>
  <c r="C285" i="2"/>
  <c r="D284" i="2"/>
  <c r="J284" i="2"/>
  <c r="I285" i="2"/>
  <c r="L284" i="2"/>
  <c r="M283" i="2"/>
  <c r="O283" i="2" s="1"/>
  <c r="Q282" i="2"/>
  <c r="P282" i="2"/>
  <c r="S280" i="2" l="1"/>
  <c r="S281" i="2"/>
  <c r="AG278" i="2"/>
  <c r="AF278" i="2"/>
  <c r="AE278" i="2"/>
  <c r="AF279" i="2"/>
  <c r="AP282" i="2"/>
  <c r="F286" i="2"/>
  <c r="G285" i="2"/>
  <c r="BM282" i="2"/>
  <c r="R282" i="2"/>
  <c r="S282" i="2" s="1"/>
  <c r="AQ282" i="2"/>
  <c r="P283" i="2"/>
  <c r="Q283" i="2"/>
  <c r="L285" i="2"/>
  <c r="M284" i="2"/>
  <c r="O284" i="2" s="1"/>
  <c r="J285" i="2"/>
  <c r="I286" i="2"/>
  <c r="AH280" i="2"/>
  <c r="C286" i="2"/>
  <c r="D285" i="2"/>
  <c r="AH279" i="2" l="1"/>
  <c r="AG279" i="2"/>
  <c r="AE279" i="2"/>
  <c r="AG280" i="2"/>
  <c r="AE280" i="2"/>
  <c r="AF280" i="2"/>
  <c r="AE281" i="2"/>
  <c r="M285" i="2"/>
  <c r="O285" i="2" s="1"/>
  <c r="L286" i="2"/>
  <c r="Q284" i="2"/>
  <c r="P284" i="2"/>
  <c r="Z283" i="2"/>
  <c r="Y283" i="2"/>
  <c r="X283" i="2"/>
  <c r="W283" i="2"/>
  <c r="AP283" i="2"/>
  <c r="W282" i="2"/>
  <c r="G286" i="2"/>
  <c r="F287" i="2"/>
  <c r="X282" i="2"/>
  <c r="J286" i="2"/>
  <c r="I287" i="2"/>
  <c r="R283" i="2"/>
  <c r="S283" i="2" s="1"/>
  <c r="AQ283" i="2"/>
  <c r="Y282" i="2"/>
  <c r="D286" i="2"/>
  <c r="C287" i="2"/>
  <c r="AH281" i="2"/>
  <c r="AG281" i="2"/>
  <c r="AF281" i="2"/>
  <c r="Z282" i="2"/>
  <c r="AE282" i="2" l="1"/>
  <c r="J287" i="2"/>
  <c r="I288" i="2"/>
  <c r="G287" i="2"/>
  <c r="F288" i="2"/>
  <c r="AH282" i="2"/>
  <c r="AF282" i="2"/>
  <c r="C288" i="2"/>
  <c r="D287" i="2"/>
  <c r="L287" i="2"/>
  <c r="M286" i="2"/>
  <c r="O286" i="2" s="1"/>
  <c r="AG282" i="2"/>
  <c r="X284" i="2"/>
  <c r="W284" i="2"/>
  <c r="Z284" i="2"/>
  <c r="Y284" i="2"/>
  <c r="AP284" i="2"/>
  <c r="R284" i="2"/>
  <c r="AQ284" i="2"/>
  <c r="P285" i="2"/>
  <c r="Q285" i="2"/>
  <c r="S284" i="2" l="1"/>
  <c r="AG283" i="2" s="1"/>
  <c r="I289" i="2"/>
  <c r="J288" i="2"/>
  <c r="P286" i="2"/>
  <c r="Q286" i="2"/>
  <c r="F289" i="2"/>
  <c r="G288" i="2"/>
  <c r="AE283" i="2"/>
  <c r="M287" i="2"/>
  <c r="O287" i="2" s="1"/>
  <c r="L288" i="2"/>
  <c r="C289" i="2"/>
  <c r="D288" i="2"/>
  <c r="AQ285" i="2"/>
  <c r="R285" i="2"/>
  <c r="Z285" i="2"/>
  <c r="Y285" i="2"/>
  <c r="X285" i="2"/>
  <c r="W285" i="2"/>
  <c r="AP285" i="2"/>
  <c r="AH283" i="2" l="1"/>
  <c r="S285" i="2"/>
  <c r="AG284" i="2" s="1"/>
  <c r="AF283" i="2"/>
  <c r="AH284" i="2"/>
  <c r="D289" i="2"/>
  <c r="C290" i="2"/>
  <c r="M288" i="2"/>
  <c r="O288" i="2" s="1"/>
  <c r="L289" i="2"/>
  <c r="Q287" i="2"/>
  <c r="P287" i="2"/>
  <c r="R286" i="2"/>
  <c r="S286" i="2" s="1"/>
  <c r="AQ286" i="2"/>
  <c r="G289" i="2"/>
  <c r="F290" i="2"/>
  <c r="Y286" i="2"/>
  <c r="X286" i="2"/>
  <c r="W286" i="2"/>
  <c r="AP286" i="2"/>
  <c r="Z286" i="2"/>
  <c r="AE284" i="2"/>
  <c r="J289" i="2"/>
  <c r="I290" i="2"/>
  <c r="AF284" i="2" l="1"/>
  <c r="AP287" i="2"/>
  <c r="C291" i="2"/>
  <c r="D290" i="2"/>
  <c r="Q288" i="2"/>
  <c r="P288" i="2"/>
  <c r="AE285" i="2"/>
  <c r="AG285" i="2"/>
  <c r="F291" i="2"/>
  <c r="G290" i="2"/>
  <c r="R287" i="2"/>
  <c r="AQ287" i="2"/>
  <c r="M289" i="2"/>
  <c r="O289" i="2" s="1"/>
  <c r="L290" i="2"/>
  <c r="I291" i="2"/>
  <c r="J290" i="2"/>
  <c r="AF285" i="2"/>
  <c r="AH285" i="2"/>
  <c r="S287" i="2" l="1"/>
  <c r="P289" i="2"/>
  <c r="Q289" i="2"/>
  <c r="Z288" i="2"/>
  <c r="Y288" i="2"/>
  <c r="X288" i="2"/>
  <c r="W288" i="2"/>
  <c r="AP288" i="2"/>
  <c r="AF286" i="2"/>
  <c r="G291" i="2"/>
  <c r="F292" i="2"/>
  <c r="AE286" i="2"/>
  <c r="C292" i="2"/>
  <c r="D291" i="2"/>
  <c r="W287" i="2"/>
  <c r="I292" i="2"/>
  <c r="J291" i="2"/>
  <c r="R288" i="2"/>
  <c r="AQ288" i="2"/>
  <c r="AG286" i="2"/>
  <c r="X287" i="2"/>
  <c r="Y287" i="2"/>
  <c r="M290" i="2"/>
  <c r="O290" i="2" s="1"/>
  <c r="L291" i="2"/>
  <c r="Z287" i="2"/>
  <c r="S288" i="2" l="1"/>
  <c r="AE287" i="2" s="1"/>
  <c r="AH286" i="2"/>
  <c r="G292" i="2"/>
  <c r="F293" i="2"/>
  <c r="Q290" i="2"/>
  <c r="P290" i="2"/>
  <c r="L292" i="2"/>
  <c r="M291" i="2"/>
  <c r="O291" i="2" s="1"/>
  <c r="AQ289" i="2"/>
  <c r="R289" i="2"/>
  <c r="J292" i="2"/>
  <c r="I293" i="2"/>
  <c r="C293" i="2"/>
  <c r="D292" i="2"/>
  <c r="AP289" i="2"/>
  <c r="Y289" i="2"/>
  <c r="X289" i="2"/>
  <c r="W289" i="2"/>
  <c r="S289" i="2" l="1"/>
  <c r="AG287" i="2"/>
  <c r="AF287" i="2"/>
  <c r="AH287" i="2"/>
  <c r="AH288" i="2"/>
  <c r="D293" i="2"/>
  <c r="C294" i="2"/>
  <c r="I294" i="2"/>
  <c r="J293" i="2"/>
  <c r="M292" i="2"/>
  <c r="O292" i="2" s="1"/>
  <c r="L293" i="2"/>
  <c r="AP290" i="2"/>
  <c r="AG288" i="2"/>
  <c r="Q291" i="2"/>
  <c r="P291" i="2"/>
  <c r="R290" i="2"/>
  <c r="AQ290" i="2"/>
  <c r="G293" i="2"/>
  <c r="F294" i="2"/>
  <c r="Z289" i="2"/>
  <c r="S290" i="2" l="1"/>
  <c r="AF289" i="2" s="1"/>
  <c r="AE288" i="2"/>
  <c r="AF288" i="2"/>
  <c r="AP291" i="2"/>
  <c r="Z291" i="2"/>
  <c r="Y290" i="2"/>
  <c r="L294" i="2"/>
  <c r="M293" i="2"/>
  <c r="O293" i="2" s="1"/>
  <c r="C295" i="2"/>
  <c r="D294" i="2"/>
  <c r="X290" i="2"/>
  <c r="Z290" i="2"/>
  <c r="AG289" i="2"/>
  <c r="R291" i="2"/>
  <c r="AQ291" i="2"/>
  <c r="W290" i="2"/>
  <c r="P292" i="2"/>
  <c r="X291" i="2" s="1"/>
  <c r="I295" i="2"/>
  <c r="J294" i="2"/>
  <c r="AE289" i="2"/>
  <c r="F295" i="2"/>
  <c r="G294" i="2"/>
  <c r="AH289" i="2"/>
  <c r="S291" i="2" l="1"/>
  <c r="AH290" i="2" s="1"/>
  <c r="D295" i="2"/>
  <c r="C296" i="2"/>
  <c r="AG290" i="2"/>
  <c r="F296" i="2"/>
  <c r="G295" i="2"/>
  <c r="AE290" i="2"/>
  <c r="Q293" i="2"/>
  <c r="P293" i="2"/>
  <c r="W291" i="2"/>
  <c r="AF290" i="2"/>
  <c r="M294" i="2"/>
  <c r="O294" i="2" s="1"/>
  <c r="L295" i="2"/>
  <c r="I296" i="2"/>
  <c r="J295" i="2"/>
  <c r="AP292" i="2"/>
  <c r="Q292" i="2"/>
  <c r="Y291" i="2"/>
  <c r="L296" i="2" l="1"/>
  <c r="M295" i="2"/>
  <c r="O295" i="2" s="1"/>
  <c r="F297" i="2"/>
  <c r="G296" i="2"/>
  <c r="C297" i="2"/>
  <c r="D296" i="2"/>
  <c r="Q294" i="2"/>
  <c r="P294" i="2"/>
  <c r="AQ293" i="2"/>
  <c r="I297" i="2"/>
  <c r="J296" i="2"/>
  <c r="Z293" i="2"/>
  <c r="AP293" i="2"/>
  <c r="Y293" i="2"/>
  <c r="X293" i="2"/>
  <c r="W293" i="2"/>
  <c r="AQ292" i="2"/>
  <c r="R292" i="2"/>
  <c r="S292" i="2" s="1"/>
  <c r="Y292" i="2"/>
  <c r="Z292" i="2"/>
  <c r="W292" i="2"/>
  <c r="X292" i="2"/>
  <c r="R293" i="2" l="1"/>
  <c r="S293" i="2" s="1"/>
  <c r="AP294" i="2"/>
  <c r="C298" i="2"/>
  <c r="D297" i="2"/>
  <c r="Q295" i="2"/>
  <c r="P295" i="2"/>
  <c r="AH292" i="2"/>
  <c r="AG292" i="2"/>
  <c r="AF292" i="2"/>
  <c r="AE292" i="2"/>
  <c r="AH291" i="2"/>
  <c r="AF291" i="2"/>
  <c r="AE291" i="2"/>
  <c r="AG291" i="2"/>
  <c r="J297" i="2"/>
  <c r="I298" i="2"/>
  <c r="R294" i="2"/>
  <c r="S294" i="2" s="1"/>
  <c r="AQ294" i="2"/>
  <c r="F298" i="2"/>
  <c r="G297" i="2"/>
  <c r="M296" i="2"/>
  <c r="O296" i="2" s="1"/>
  <c r="L297" i="2"/>
  <c r="D298" i="2" l="1"/>
  <c r="C299" i="2"/>
  <c r="AP295" i="2"/>
  <c r="M297" i="2"/>
  <c r="O297" i="2" s="1"/>
  <c r="L298" i="2"/>
  <c r="X294" i="2"/>
  <c r="I299" i="2"/>
  <c r="J298" i="2"/>
  <c r="Z294" i="2"/>
  <c r="G298" i="2"/>
  <c r="F299" i="2"/>
  <c r="Y294" i="2"/>
  <c r="R295" i="2"/>
  <c r="S295" i="2" s="1"/>
  <c r="AQ295" i="2"/>
  <c r="Q296" i="2"/>
  <c r="P296" i="2"/>
  <c r="W294" i="2"/>
  <c r="AG293" i="2"/>
  <c r="AF293" i="2"/>
  <c r="AE293" i="2"/>
  <c r="AH293" i="2"/>
  <c r="F300" i="2" l="1"/>
  <c r="G299" i="2"/>
  <c r="I300" i="2"/>
  <c r="J299" i="2"/>
  <c r="L299" i="2"/>
  <c r="M298" i="2"/>
  <c r="O298" i="2" s="1"/>
  <c r="R296" i="2"/>
  <c r="S296" i="2" s="1"/>
  <c r="AQ296" i="2"/>
  <c r="AE294" i="2"/>
  <c r="X296" i="2"/>
  <c r="W296" i="2"/>
  <c r="Z296" i="2"/>
  <c r="Y296" i="2"/>
  <c r="AP296" i="2"/>
  <c r="W295" i="2"/>
  <c r="Y295" i="2"/>
  <c r="AH294" i="2"/>
  <c r="C300" i="2"/>
  <c r="D299" i="2"/>
  <c r="P297" i="2"/>
  <c r="Q297" i="2"/>
  <c r="X295" i="2"/>
  <c r="AF294" i="2"/>
  <c r="AG294" i="2"/>
  <c r="Z295" i="2"/>
  <c r="L300" i="2" l="1"/>
  <c r="M299" i="2"/>
  <c r="O299" i="2" s="1"/>
  <c r="I301" i="2"/>
  <c r="J300" i="2"/>
  <c r="AP297" i="2"/>
  <c r="G300" i="2"/>
  <c r="F301" i="2"/>
  <c r="AF295" i="2"/>
  <c r="Q298" i="2"/>
  <c r="P298" i="2"/>
  <c r="X297" i="2" s="1"/>
  <c r="AQ297" i="2"/>
  <c r="R297" i="2"/>
  <c r="AE295" i="2"/>
  <c r="AH295" i="2"/>
  <c r="C301" i="2"/>
  <c r="D300" i="2"/>
  <c r="AG295" i="2"/>
  <c r="S297" i="2" l="1"/>
  <c r="AE296" i="2" s="1"/>
  <c r="AQ298" i="2"/>
  <c r="R298" i="2"/>
  <c r="P299" i="2"/>
  <c r="Q299" i="2"/>
  <c r="AP298" i="2"/>
  <c r="Z298" i="2"/>
  <c r="Y298" i="2"/>
  <c r="W298" i="2"/>
  <c r="X298" i="2"/>
  <c r="G301" i="2"/>
  <c r="F302" i="2"/>
  <c r="Y297" i="2"/>
  <c r="J301" i="2"/>
  <c r="I302" i="2"/>
  <c r="M300" i="2"/>
  <c r="O300" i="2" s="1"/>
  <c r="L301" i="2"/>
  <c r="C302" i="2"/>
  <c r="D301" i="2"/>
  <c r="W297" i="2"/>
  <c r="Z297" i="2"/>
  <c r="AF296" i="2" l="1"/>
  <c r="AH296" i="2"/>
  <c r="AG296" i="2"/>
  <c r="S298" i="2"/>
  <c r="AH297" i="2" s="1"/>
  <c r="Q300" i="2"/>
  <c r="P300" i="2"/>
  <c r="L302" i="2"/>
  <c r="M301" i="2"/>
  <c r="O301" i="2" s="1"/>
  <c r="F303" i="2"/>
  <c r="G302" i="2"/>
  <c r="C303" i="2"/>
  <c r="D302" i="2"/>
  <c r="J302" i="2"/>
  <c r="I303" i="2"/>
  <c r="AQ299" i="2"/>
  <c r="R299" i="2"/>
  <c r="S299" i="2" s="1"/>
  <c r="Z299" i="2"/>
  <c r="Y299" i="2"/>
  <c r="X299" i="2"/>
  <c r="W299" i="2"/>
  <c r="AP299" i="2"/>
  <c r="AG297" i="2" l="1"/>
  <c r="AF297" i="2"/>
  <c r="AE297" i="2"/>
  <c r="AE298" i="2"/>
  <c r="Q301" i="2"/>
  <c r="P301" i="2"/>
  <c r="I304" i="2"/>
  <c r="J303" i="2"/>
  <c r="D303" i="2"/>
  <c r="C304" i="2"/>
  <c r="AG298" i="2"/>
  <c r="X300" i="2"/>
  <c r="W300" i="2"/>
  <c r="AP300" i="2"/>
  <c r="Z300" i="2"/>
  <c r="Y300" i="2"/>
  <c r="AF298" i="2"/>
  <c r="AH298" i="2"/>
  <c r="F304" i="2"/>
  <c r="G303" i="2"/>
  <c r="M302" i="2"/>
  <c r="O302" i="2" s="1"/>
  <c r="L303" i="2"/>
  <c r="R300" i="2"/>
  <c r="S300" i="2" s="1"/>
  <c r="AQ300" i="2"/>
  <c r="G304" i="2" l="1"/>
  <c r="F305" i="2"/>
  <c r="J304" i="2"/>
  <c r="I305" i="2"/>
  <c r="AP301" i="2"/>
  <c r="X301" i="2"/>
  <c r="W301" i="2"/>
  <c r="Z301" i="2"/>
  <c r="Y301" i="2"/>
  <c r="L304" i="2"/>
  <c r="M303" i="2"/>
  <c r="O303" i="2" s="1"/>
  <c r="AH299" i="2"/>
  <c r="C305" i="2"/>
  <c r="D304" i="2"/>
  <c r="AQ301" i="2"/>
  <c r="R301" i="2"/>
  <c r="AF299" i="2"/>
  <c r="AG299" i="2"/>
  <c r="Q302" i="2"/>
  <c r="P302" i="2"/>
  <c r="AE299" i="2"/>
  <c r="S301" i="2" l="1"/>
  <c r="AF300" i="2" s="1"/>
  <c r="AG300" i="2"/>
  <c r="AP302" i="2"/>
  <c r="D305" i="2"/>
  <c r="C306" i="2"/>
  <c r="AE300" i="2"/>
  <c r="AQ302" i="2"/>
  <c r="R302" i="2"/>
  <c r="G305" i="2"/>
  <c r="F306" i="2"/>
  <c r="P303" i="2"/>
  <c r="M304" i="2"/>
  <c r="O304" i="2" s="1"/>
  <c r="L305" i="2"/>
  <c r="AH300" i="2"/>
  <c r="I306" i="2"/>
  <c r="J305" i="2"/>
  <c r="S302" i="2" l="1"/>
  <c r="AF301" i="2" s="1"/>
  <c r="Q304" i="2"/>
  <c r="P304" i="2"/>
  <c r="G306" i="2"/>
  <c r="F307" i="2"/>
  <c r="AP303" i="2"/>
  <c r="Z303" i="2"/>
  <c r="Y303" i="2"/>
  <c r="X303" i="2"/>
  <c r="W303" i="2"/>
  <c r="Q303" i="2"/>
  <c r="X302" i="2"/>
  <c r="C307" i="2"/>
  <c r="D306" i="2"/>
  <c r="Z302" i="2"/>
  <c r="W302" i="2"/>
  <c r="Y302" i="2"/>
  <c r="AE301" i="2"/>
  <c r="I307" i="2"/>
  <c r="J306" i="2"/>
  <c r="M305" i="2"/>
  <c r="O305" i="2" s="1"/>
  <c r="L306" i="2"/>
  <c r="AH301" i="2"/>
  <c r="AG301" i="2" l="1"/>
  <c r="Q305" i="2"/>
  <c r="P305" i="2"/>
  <c r="C308" i="2"/>
  <c r="D307" i="2"/>
  <c r="L307" i="2"/>
  <c r="M306" i="2"/>
  <c r="O306" i="2" s="1"/>
  <c r="F308" i="2"/>
  <c r="G307" i="2"/>
  <c r="R303" i="2"/>
  <c r="S303" i="2" s="1"/>
  <c r="AQ303" i="2"/>
  <c r="I308" i="2"/>
  <c r="J307" i="2"/>
  <c r="Z304" i="2"/>
  <c r="Y304" i="2"/>
  <c r="X304" i="2"/>
  <c r="AP304" i="2"/>
  <c r="W304" i="2"/>
  <c r="R304" i="2"/>
  <c r="S304" i="2" s="1"/>
  <c r="AQ304" i="2"/>
  <c r="J308" i="2" l="1"/>
  <c r="I309" i="2"/>
  <c r="G308" i="2"/>
  <c r="F309" i="2"/>
  <c r="M307" i="2"/>
  <c r="O307" i="2" s="1"/>
  <c r="L308" i="2"/>
  <c r="X305" i="2"/>
  <c r="W305" i="2"/>
  <c r="Z305" i="2"/>
  <c r="Y305" i="2"/>
  <c r="AP305" i="2"/>
  <c r="AH303" i="2"/>
  <c r="AG303" i="2"/>
  <c r="AF303" i="2"/>
  <c r="AE303" i="2"/>
  <c r="AH302" i="2"/>
  <c r="AF302" i="2"/>
  <c r="AE302" i="2"/>
  <c r="AG302" i="2"/>
  <c r="Q306" i="2"/>
  <c r="P306" i="2"/>
  <c r="C309" i="2"/>
  <c r="D308" i="2"/>
  <c r="R305" i="2"/>
  <c r="AQ305" i="2"/>
  <c r="S305" i="2" l="1"/>
  <c r="AG304" i="2" s="1"/>
  <c r="M308" i="2"/>
  <c r="O308" i="2" s="1"/>
  <c r="L309" i="2"/>
  <c r="G309" i="2"/>
  <c r="F310" i="2"/>
  <c r="R306" i="2"/>
  <c r="S306" i="2" s="1"/>
  <c r="AG305" i="2" s="1"/>
  <c r="AQ306" i="2"/>
  <c r="P307" i="2"/>
  <c r="Q307" i="2"/>
  <c r="C310" i="2"/>
  <c r="D309" i="2"/>
  <c r="X306" i="2"/>
  <c r="W306" i="2"/>
  <c r="AP306" i="2"/>
  <c r="Z306" i="2"/>
  <c r="Y306" i="2"/>
  <c r="J309" i="2"/>
  <c r="I310" i="2"/>
  <c r="AF304" i="2"/>
  <c r="AE304" i="2"/>
  <c r="AH305" i="2" l="1"/>
  <c r="AH304" i="2"/>
  <c r="AF305" i="2"/>
  <c r="AE305" i="2"/>
  <c r="AQ307" i="2"/>
  <c r="R307" i="2"/>
  <c r="AP307" i="2"/>
  <c r="Z307" i="2"/>
  <c r="Y307" i="2"/>
  <c r="X307" i="2"/>
  <c r="W307" i="2"/>
  <c r="M309" i="2"/>
  <c r="O309" i="2" s="1"/>
  <c r="L310" i="2"/>
  <c r="D310" i="2"/>
  <c r="C311" i="2"/>
  <c r="F311" i="2"/>
  <c r="G310" i="2"/>
  <c r="I311" i="2"/>
  <c r="J310" i="2"/>
  <c r="Q308" i="2"/>
  <c r="P308" i="2"/>
  <c r="S307" i="2" l="1"/>
  <c r="AE306" i="2" s="1"/>
  <c r="F312" i="2"/>
  <c r="G311" i="2"/>
  <c r="AQ308" i="2"/>
  <c r="R308" i="2"/>
  <c r="J311" i="2"/>
  <c r="I312" i="2"/>
  <c r="M310" i="2"/>
  <c r="O310" i="2" s="1"/>
  <c r="L311" i="2"/>
  <c r="D311" i="2"/>
  <c r="C312" i="2"/>
  <c r="Q309" i="2"/>
  <c r="P309" i="2"/>
  <c r="AP308" i="2"/>
  <c r="Y308" i="2"/>
  <c r="X308" i="2"/>
  <c r="AG306" i="2" l="1"/>
  <c r="AF306" i="2"/>
  <c r="S308" i="2"/>
  <c r="AF307" i="2" s="1"/>
  <c r="AH306" i="2"/>
  <c r="AP309" i="2"/>
  <c r="L312" i="2"/>
  <c r="M311" i="2"/>
  <c r="O311" i="2" s="1"/>
  <c r="Z308" i="2"/>
  <c r="C313" i="2"/>
  <c r="D312" i="2"/>
  <c r="AQ309" i="2"/>
  <c r="R309" i="2"/>
  <c r="AG307" i="2"/>
  <c r="AH307" i="2"/>
  <c r="Q310" i="2"/>
  <c r="P310" i="2"/>
  <c r="I313" i="2"/>
  <c r="J312" i="2"/>
  <c r="W308" i="2"/>
  <c r="F313" i="2"/>
  <c r="G312" i="2"/>
  <c r="AE307" i="2" l="1"/>
  <c r="S309" i="2"/>
  <c r="AF308" i="2" s="1"/>
  <c r="R310" i="2"/>
  <c r="S310" i="2" s="1"/>
  <c r="AQ310" i="2"/>
  <c r="AP310" i="2"/>
  <c r="Q311" i="2"/>
  <c r="P311" i="2"/>
  <c r="G313" i="2"/>
  <c r="F314" i="2"/>
  <c r="AE309" i="2"/>
  <c r="AG308" i="2"/>
  <c r="AE308" i="2"/>
  <c r="AH308" i="2"/>
  <c r="C314" i="2"/>
  <c r="D313" i="2"/>
  <c r="M312" i="2"/>
  <c r="O312" i="2" s="1"/>
  <c r="L313" i="2"/>
  <c r="W309" i="2"/>
  <c r="X309" i="2"/>
  <c r="Y309" i="2"/>
  <c r="J313" i="2"/>
  <c r="I314" i="2"/>
  <c r="Z309" i="2"/>
  <c r="AH309" i="2" l="1"/>
  <c r="AF309" i="2"/>
  <c r="AG309" i="2"/>
  <c r="AP311" i="2"/>
  <c r="W311" i="2"/>
  <c r="Z311" i="2"/>
  <c r="Y311" i="2"/>
  <c r="X311" i="2"/>
  <c r="C315" i="2"/>
  <c r="D314" i="2"/>
  <c r="G314" i="2"/>
  <c r="F315" i="2"/>
  <c r="J314" i="2"/>
  <c r="I315" i="2"/>
  <c r="W310" i="2"/>
  <c r="Z310" i="2"/>
  <c r="L314" i="2"/>
  <c r="M313" i="2"/>
  <c r="O313" i="2" s="1"/>
  <c r="AQ311" i="2"/>
  <c r="R311" i="2"/>
  <c r="X310" i="2"/>
  <c r="Y310" i="2"/>
  <c r="Q312" i="2"/>
  <c r="P312" i="2"/>
  <c r="S311" i="2" l="1"/>
  <c r="AG310" i="2" s="1"/>
  <c r="R312" i="2"/>
  <c r="S312" i="2" s="1"/>
  <c r="AH311" i="2" s="1"/>
  <c r="AQ312" i="2"/>
  <c r="M314" i="2"/>
  <c r="O314" i="2" s="1"/>
  <c r="L315" i="2"/>
  <c r="J315" i="2"/>
  <c r="I316" i="2"/>
  <c r="G315" i="2"/>
  <c r="F316" i="2"/>
  <c r="D315" i="2"/>
  <c r="C316" i="2"/>
  <c r="AE310" i="2"/>
  <c r="AF311" i="2"/>
  <c r="AE311" i="2"/>
  <c r="AG311" i="2"/>
  <c r="Q313" i="2"/>
  <c r="P313" i="2"/>
  <c r="AF310" i="2"/>
  <c r="AP312" i="2"/>
  <c r="AH310" i="2" l="1"/>
  <c r="AP313" i="2"/>
  <c r="X312" i="2"/>
  <c r="AQ313" i="2"/>
  <c r="R313" i="2"/>
  <c r="F317" i="2"/>
  <c r="G316" i="2"/>
  <c r="I317" i="2"/>
  <c r="J316" i="2"/>
  <c r="W312" i="2"/>
  <c r="M315" i="2"/>
  <c r="O315" i="2" s="1"/>
  <c r="L316" i="2"/>
  <c r="Y312" i="2"/>
  <c r="D316" i="2"/>
  <c r="C317" i="2"/>
  <c r="Q314" i="2"/>
  <c r="P314" i="2"/>
  <c r="Y313" i="2" s="1"/>
  <c r="Z312" i="2"/>
  <c r="S313" i="2" l="1"/>
  <c r="AH312" i="2" s="1"/>
  <c r="L317" i="2"/>
  <c r="M316" i="2"/>
  <c r="O316" i="2" s="1"/>
  <c r="R314" i="2"/>
  <c r="AQ314" i="2"/>
  <c r="D317" i="2"/>
  <c r="C318" i="2"/>
  <c r="I318" i="2"/>
  <c r="J317" i="2"/>
  <c r="F318" i="2"/>
  <c r="G317" i="2"/>
  <c r="Z313" i="2"/>
  <c r="AG312" i="2"/>
  <c r="AP314" i="2"/>
  <c r="P315" i="2"/>
  <c r="AF312" i="2"/>
  <c r="W313" i="2"/>
  <c r="X313" i="2"/>
  <c r="AE312" i="2"/>
  <c r="S314" i="2" l="1"/>
  <c r="AE313" i="2" s="1"/>
  <c r="AP315" i="2"/>
  <c r="W314" i="2"/>
  <c r="X314" i="2"/>
  <c r="G318" i="2"/>
  <c r="F319" i="2"/>
  <c r="P316" i="2"/>
  <c r="Q315" i="2"/>
  <c r="Q316" i="2" s="1"/>
  <c r="Y314" i="2"/>
  <c r="Z314" i="2"/>
  <c r="J318" i="2"/>
  <c r="I319" i="2"/>
  <c r="C319" i="2"/>
  <c r="D318" i="2"/>
  <c r="AG313" i="2"/>
  <c r="L318" i="2"/>
  <c r="M317" i="2"/>
  <c r="O317" i="2" s="1"/>
  <c r="AF313" i="2" l="1"/>
  <c r="AH313" i="2"/>
  <c r="AQ316" i="2"/>
  <c r="C320" i="2"/>
  <c r="D319" i="2"/>
  <c r="AP316" i="2"/>
  <c r="M318" i="2"/>
  <c r="O318" i="2" s="1"/>
  <c r="L319" i="2"/>
  <c r="I320" i="2"/>
  <c r="J319" i="2"/>
  <c r="G319" i="2"/>
  <c r="F320" i="2"/>
  <c r="P317" i="2"/>
  <c r="Y316" i="2" s="1"/>
  <c r="Q317" i="2"/>
  <c r="Y315" i="2"/>
  <c r="R315" i="2"/>
  <c r="S315" i="2" s="1"/>
  <c r="AQ315" i="2"/>
  <c r="W315" i="2"/>
  <c r="X315" i="2"/>
  <c r="Z315" i="2"/>
  <c r="AQ317" i="2" l="1"/>
  <c r="M319" i="2"/>
  <c r="O319" i="2" s="1"/>
  <c r="L320" i="2"/>
  <c r="W316" i="2"/>
  <c r="Q318" i="2"/>
  <c r="P318" i="2"/>
  <c r="AG314" i="2"/>
  <c r="AF314" i="2"/>
  <c r="AE314" i="2"/>
  <c r="AH314" i="2"/>
  <c r="AP317" i="2"/>
  <c r="Z317" i="2"/>
  <c r="Y317" i="2"/>
  <c r="X317" i="2"/>
  <c r="W317" i="2"/>
  <c r="F321" i="2"/>
  <c r="G320" i="2"/>
  <c r="I321" i="2"/>
  <c r="J320" i="2"/>
  <c r="Z316" i="2"/>
  <c r="X316" i="2"/>
  <c r="D320" i="2"/>
  <c r="C321" i="2"/>
  <c r="R316" i="2"/>
  <c r="S316" i="2" l="1"/>
  <c r="AE315" i="2" s="1"/>
  <c r="C322" i="2"/>
  <c r="D321" i="2"/>
  <c r="AP318" i="2"/>
  <c r="X318" i="2"/>
  <c r="W318" i="2"/>
  <c r="Z318" i="2"/>
  <c r="Y318" i="2"/>
  <c r="L321" i="2"/>
  <c r="M320" i="2"/>
  <c r="O320" i="2" s="1"/>
  <c r="I322" i="2"/>
  <c r="J321" i="2"/>
  <c r="AG315" i="2"/>
  <c r="AQ318" i="2"/>
  <c r="R318" i="2"/>
  <c r="S318" i="2" s="1"/>
  <c r="Q319" i="2"/>
  <c r="P319" i="2"/>
  <c r="G321" i="2"/>
  <c r="F322" i="2"/>
  <c r="R317" i="2"/>
  <c r="AH315" i="2" l="1"/>
  <c r="S317" i="2"/>
  <c r="AG316" i="2" s="1"/>
  <c r="AF315" i="2"/>
  <c r="AE316" i="2"/>
  <c r="AF316" i="2"/>
  <c r="J322" i="2"/>
  <c r="I323" i="2"/>
  <c r="AP319" i="2"/>
  <c r="D322" i="2"/>
  <c r="C323" i="2"/>
  <c r="Q320" i="2"/>
  <c r="P320" i="2"/>
  <c r="Z319" i="2" s="1"/>
  <c r="M321" i="2"/>
  <c r="O321" i="2" s="1"/>
  <c r="L322" i="2"/>
  <c r="AH317" i="2"/>
  <c r="AG317" i="2"/>
  <c r="AF317" i="2"/>
  <c r="AE317" i="2"/>
  <c r="F323" i="2"/>
  <c r="G322" i="2"/>
  <c r="AQ319" i="2"/>
  <c r="R319" i="2"/>
  <c r="S319" i="2" l="1"/>
  <c r="AG318" i="2" s="1"/>
  <c r="AH316" i="2"/>
  <c r="L323" i="2"/>
  <c r="M322" i="2"/>
  <c r="O322" i="2" s="1"/>
  <c r="P321" i="2"/>
  <c r="Q321" i="2"/>
  <c r="Y319" i="2"/>
  <c r="R320" i="2"/>
  <c r="AQ320" i="2"/>
  <c r="W319" i="2"/>
  <c r="I324" i="2"/>
  <c r="J323" i="2"/>
  <c r="AE318" i="2"/>
  <c r="Z320" i="2"/>
  <c r="AP320" i="2"/>
  <c r="Y320" i="2"/>
  <c r="X320" i="2"/>
  <c r="W320" i="2"/>
  <c r="D323" i="2"/>
  <c r="C324" i="2"/>
  <c r="X319" i="2"/>
  <c r="AF318" i="2"/>
  <c r="F324" i="2"/>
  <c r="G323" i="2"/>
  <c r="AH318" i="2"/>
  <c r="S320" i="2" l="1"/>
  <c r="AH319" i="2" s="1"/>
  <c r="C325" i="2"/>
  <c r="D324" i="2"/>
  <c r="P322" i="2"/>
  <c r="I325" i="2"/>
  <c r="J324" i="2"/>
  <c r="F325" i="2"/>
  <c r="G324" i="2"/>
  <c r="R321" i="2"/>
  <c r="AQ321" i="2"/>
  <c r="Z321" i="2"/>
  <c r="X321" i="2"/>
  <c r="AP321" i="2"/>
  <c r="Y321" i="2"/>
  <c r="W321" i="2"/>
  <c r="L324" i="2"/>
  <c r="M323" i="2"/>
  <c r="O323" i="2" s="1"/>
  <c r="AF319" i="2" l="1"/>
  <c r="AG319" i="2"/>
  <c r="AE319" i="2"/>
  <c r="S321" i="2"/>
  <c r="AG320" i="2" s="1"/>
  <c r="J325" i="2"/>
  <c r="I326" i="2"/>
  <c r="F326" i="2"/>
  <c r="G325" i="2"/>
  <c r="AP322" i="2"/>
  <c r="L325" i="2"/>
  <c r="M324" i="2"/>
  <c r="O324" i="2" s="1"/>
  <c r="Q322" i="2"/>
  <c r="P323" i="2"/>
  <c r="Z322" i="2" s="1"/>
  <c r="C326" i="2"/>
  <c r="D325" i="2"/>
  <c r="AH320" i="2" l="1"/>
  <c r="AE320" i="2"/>
  <c r="AF320" i="2"/>
  <c r="AQ322" i="2"/>
  <c r="R322" i="2"/>
  <c r="S322" i="2" s="1"/>
  <c r="AP323" i="2"/>
  <c r="M325" i="2"/>
  <c r="O325" i="2" s="1"/>
  <c r="L326" i="2"/>
  <c r="W322" i="2"/>
  <c r="F327" i="2"/>
  <c r="G326" i="2"/>
  <c r="I327" i="2"/>
  <c r="J326" i="2"/>
  <c r="Q323" i="2"/>
  <c r="P324" i="2"/>
  <c r="X322" i="2"/>
  <c r="Y322" i="2"/>
  <c r="D326" i="2"/>
  <c r="C327" i="2"/>
  <c r="AP324" i="2" l="1"/>
  <c r="I328" i="2"/>
  <c r="J327" i="2"/>
  <c r="AQ323" i="2"/>
  <c r="R323" i="2"/>
  <c r="S323" i="2" s="1"/>
  <c r="Q324" i="2"/>
  <c r="P325" i="2"/>
  <c r="Q325" i="2" s="1"/>
  <c r="X323" i="2"/>
  <c r="Y323" i="2"/>
  <c r="Z323" i="2"/>
  <c r="F328" i="2"/>
  <c r="G327" i="2"/>
  <c r="M326" i="2"/>
  <c r="O326" i="2" s="1"/>
  <c r="L327" i="2"/>
  <c r="W323" i="2"/>
  <c r="AE321" i="2"/>
  <c r="AF321" i="2"/>
  <c r="AG321" i="2"/>
  <c r="AH321" i="2"/>
  <c r="D327" i="2"/>
  <c r="C328" i="2"/>
  <c r="AQ325" i="2" l="1"/>
  <c r="R325" i="2"/>
  <c r="L328" i="2"/>
  <c r="M327" i="2"/>
  <c r="O327" i="2" s="1"/>
  <c r="R324" i="2"/>
  <c r="S324" i="2" s="1"/>
  <c r="AE323" i="2" s="1"/>
  <c r="AQ324" i="2"/>
  <c r="F329" i="2"/>
  <c r="G328" i="2"/>
  <c r="AG323" i="2"/>
  <c r="I329" i="2"/>
  <c r="J328" i="2"/>
  <c r="P326" i="2"/>
  <c r="AE322" i="2"/>
  <c r="Y325" i="2"/>
  <c r="W325" i="2"/>
  <c r="AP325" i="2"/>
  <c r="D328" i="2"/>
  <c r="C329" i="2"/>
  <c r="Z324" i="2"/>
  <c r="AF322" i="2"/>
  <c r="X324" i="2"/>
  <c r="AG322" i="2"/>
  <c r="Y324" i="2"/>
  <c r="AH322" i="2"/>
  <c r="W324" i="2"/>
  <c r="AH323" i="2" l="1"/>
  <c r="AF323" i="2"/>
  <c r="S325" i="2"/>
  <c r="AG324" i="2" s="1"/>
  <c r="I330" i="2"/>
  <c r="J329" i="2"/>
  <c r="AP326" i="2"/>
  <c r="G329" i="2"/>
  <c r="F330" i="2"/>
  <c r="Q326" i="2"/>
  <c r="Q327" i="2" s="1"/>
  <c r="D329" i="2"/>
  <c r="C330" i="2"/>
  <c r="X325" i="2"/>
  <c r="Z325" i="2"/>
  <c r="P327" i="2"/>
  <c r="Y326" i="2" s="1"/>
  <c r="M328" i="2"/>
  <c r="O328" i="2" s="1"/>
  <c r="L329" i="2"/>
  <c r="AH324" i="2" l="1"/>
  <c r="AE324" i="2"/>
  <c r="AF324" i="2"/>
  <c r="AQ327" i="2"/>
  <c r="X326" i="2"/>
  <c r="R326" i="2"/>
  <c r="AQ326" i="2"/>
  <c r="W326" i="2"/>
  <c r="Y327" i="2"/>
  <c r="X327" i="2"/>
  <c r="W327" i="2"/>
  <c r="AP327" i="2"/>
  <c r="Z327" i="2"/>
  <c r="C331" i="2"/>
  <c r="D330" i="2"/>
  <c r="F331" i="2"/>
  <c r="G330" i="2"/>
  <c r="Z326" i="2"/>
  <c r="M329" i="2"/>
  <c r="O329" i="2" s="1"/>
  <c r="L330" i="2"/>
  <c r="Q328" i="2"/>
  <c r="P328" i="2"/>
  <c r="J330" i="2"/>
  <c r="I331" i="2"/>
  <c r="S326" i="2" l="1"/>
  <c r="AF325" i="2" s="1"/>
  <c r="AG325" i="2"/>
  <c r="AH325" i="2"/>
  <c r="I332" i="2"/>
  <c r="J331" i="2"/>
  <c r="Z328" i="2"/>
  <c r="Y328" i="2"/>
  <c r="X328" i="2"/>
  <c r="W328" i="2"/>
  <c r="AP328" i="2"/>
  <c r="F332" i="2"/>
  <c r="G331" i="2"/>
  <c r="R327" i="2"/>
  <c r="C332" i="2"/>
  <c r="D331" i="2"/>
  <c r="AQ328" i="2"/>
  <c r="R328" i="2"/>
  <c r="M330" i="2"/>
  <c r="O330" i="2" s="1"/>
  <c r="L331" i="2"/>
  <c r="P329" i="2"/>
  <c r="S327" i="2" l="1"/>
  <c r="S328" i="2" s="1"/>
  <c r="AE325" i="2"/>
  <c r="AE326" i="2"/>
  <c r="L332" i="2"/>
  <c r="M331" i="2"/>
  <c r="O331" i="2" s="1"/>
  <c r="AF326" i="2"/>
  <c r="C333" i="2"/>
  <c r="D332" i="2"/>
  <c r="P330" i="2"/>
  <c r="Q330" i="2" s="1"/>
  <c r="AG327" i="2"/>
  <c r="AH327" i="2"/>
  <c r="AF327" i="2"/>
  <c r="AE327" i="2"/>
  <c r="AH326" i="2"/>
  <c r="G332" i="2"/>
  <c r="F333" i="2"/>
  <c r="AP329" i="2"/>
  <c r="Q329" i="2"/>
  <c r="J332" i="2"/>
  <c r="I333" i="2"/>
  <c r="AG326" i="2" l="1"/>
  <c r="AQ330" i="2"/>
  <c r="G333" i="2"/>
  <c r="F334" i="2"/>
  <c r="D333" i="2"/>
  <c r="C334" i="2"/>
  <c r="J333" i="2"/>
  <c r="I334" i="2"/>
  <c r="Z330" i="2"/>
  <c r="Y330" i="2"/>
  <c r="X330" i="2"/>
  <c r="AP330" i="2"/>
  <c r="W330" i="2"/>
  <c r="W329" i="2"/>
  <c r="X329" i="2"/>
  <c r="M332" i="2"/>
  <c r="O332" i="2" s="1"/>
  <c r="L333" i="2"/>
  <c r="R329" i="2"/>
  <c r="S329" i="2" s="1"/>
  <c r="AQ329" i="2"/>
  <c r="Q331" i="2"/>
  <c r="P331" i="2"/>
  <c r="Y329" i="2"/>
  <c r="Z329" i="2"/>
  <c r="M333" i="2" l="1"/>
  <c r="O333" i="2" s="1"/>
  <c r="L334" i="2"/>
  <c r="AG328" i="2"/>
  <c r="AH328" i="2"/>
  <c r="AE328" i="2"/>
  <c r="AF328" i="2"/>
  <c r="AQ331" i="2"/>
  <c r="Q332" i="2"/>
  <c r="P332" i="2"/>
  <c r="Y331" i="2" s="1"/>
  <c r="J334" i="2"/>
  <c r="I335" i="2"/>
  <c r="D334" i="2"/>
  <c r="C335" i="2"/>
  <c r="G334" i="2"/>
  <c r="F335" i="2"/>
  <c r="AP331" i="2"/>
  <c r="R330" i="2"/>
  <c r="S330" i="2" l="1"/>
  <c r="AF329" i="2" s="1"/>
  <c r="R331" i="2"/>
  <c r="S331" i="2" s="1"/>
  <c r="S332" i="2" s="1"/>
  <c r="F336" i="2"/>
  <c r="G335" i="2"/>
  <c r="C336" i="2"/>
  <c r="D335" i="2"/>
  <c r="J335" i="2"/>
  <c r="I336" i="2"/>
  <c r="AQ332" i="2"/>
  <c r="R332" i="2"/>
  <c r="L335" i="2"/>
  <c r="M334" i="2"/>
  <c r="O334" i="2" s="1"/>
  <c r="AP332" i="2"/>
  <c r="Z332" i="2"/>
  <c r="Y332" i="2"/>
  <c r="X332" i="2"/>
  <c r="W332" i="2"/>
  <c r="Z331" i="2"/>
  <c r="AE329" i="2"/>
  <c r="AH329" i="2"/>
  <c r="W331" i="2"/>
  <c r="X331" i="2"/>
  <c r="Q333" i="2"/>
  <c r="P333" i="2"/>
  <c r="AH330" i="2" l="1"/>
  <c r="AE331" i="2"/>
  <c r="AG329" i="2"/>
  <c r="AE330" i="2"/>
  <c r="AG330" i="2"/>
  <c r="AF330" i="2"/>
  <c r="M335" i="2"/>
  <c r="O335" i="2" s="1"/>
  <c r="L336" i="2"/>
  <c r="Q334" i="2"/>
  <c r="P334" i="2"/>
  <c r="R333" i="2"/>
  <c r="S333" i="2" s="1"/>
  <c r="AQ333" i="2"/>
  <c r="AH331" i="2"/>
  <c r="AG331" i="2"/>
  <c r="I337" i="2"/>
  <c r="J336" i="2"/>
  <c r="Z333" i="2"/>
  <c r="AP333" i="2"/>
  <c r="Y333" i="2"/>
  <c r="W333" i="2"/>
  <c r="X333" i="2"/>
  <c r="AF331" i="2"/>
  <c r="D336" i="2"/>
  <c r="C337" i="2"/>
  <c r="F337" i="2"/>
  <c r="G336" i="2"/>
  <c r="AG332" i="2" l="1"/>
  <c r="AE332" i="2"/>
  <c r="Y334" i="2"/>
  <c r="Z334" i="2"/>
  <c r="X334" i="2"/>
  <c r="AP334" i="2"/>
  <c r="G337" i="2"/>
  <c r="F338" i="2"/>
  <c r="M336" i="2"/>
  <c r="O336" i="2" s="1"/>
  <c r="L337" i="2"/>
  <c r="I338" i="2"/>
  <c r="J337" i="2"/>
  <c r="AF332" i="2"/>
  <c r="AH332" i="2"/>
  <c r="R334" i="2"/>
  <c r="AQ334" i="2"/>
  <c r="D337" i="2"/>
  <c r="C338" i="2"/>
  <c r="Q335" i="2"/>
  <c r="P335" i="2"/>
  <c r="S334" i="2" l="1"/>
  <c r="AE333" i="2" s="1"/>
  <c r="M337" i="2"/>
  <c r="O337" i="2" s="1"/>
  <c r="L338" i="2"/>
  <c r="AP335" i="2"/>
  <c r="Q336" i="2"/>
  <c r="P336" i="2"/>
  <c r="W334" i="2"/>
  <c r="I339" i="2"/>
  <c r="J338" i="2"/>
  <c r="F339" i="2"/>
  <c r="G338" i="2"/>
  <c r="AQ335" i="2"/>
  <c r="R335" i="2"/>
  <c r="AG333" i="2"/>
  <c r="D338" i="2"/>
  <c r="C339" i="2"/>
  <c r="AH333" i="2"/>
  <c r="AF333" i="2"/>
  <c r="S335" i="2" l="1"/>
  <c r="AH334" i="2" s="1"/>
  <c r="AQ336" i="2"/>
  <c r="R336" i="2"/>
  <c r="D339" i="2"/>
  <c r="C340" i="2"/>
  <c r="M338" i="2"/>
  <c r="O338" i="2" s="1"/>
  <c r="L339" i="2"/>
  <c r="G339" i="2"/>
  <c r="F340" i="2"/>
  <c r="I340" i="2"/>
  <c r="J339" i="2"/>
  <c r="AE334" i="2"/>
  <c r="AF334" i="2"/>
  <c r="Z336" i="2"/>
  <c r="Y336" i="2"/>
  <c r="AP336" i="2"/>
  <c r="X335" i="2"/>
  <c r="Y335" i="2"/>
  <c r="Z335" i="2"/>
  <c r="W335" i="2"/>
  <c r="P337" i="2"/>
  <c r="S336" i="2" l="1"/>
  <c r="AF335" i="2" s="1"/>
  <c r="AG334" i="2"/>
  <c r="AP337" i="2"/>
  <c r="P338" i="2"/>
  <c r="X337" i="2" s="1"/>
  <c r="F341" i="2"/>
  <c r="G340" i="2"/>
  <c r="L340" i="2"/>
  <c r="M339" i="2"/>
  <c r="O339" i="2" s="1"/>
  <c r="AE335" i="2"/>
  <c r="I341" i="2"/>
  <c r="J340" i="2"/>
  <c r="D340" i="2"/>
  <c r="C341" i="2"/>
  <c r="Q337" i="2"/>
  <c r="Q338" i="2" s="1"/>
  <c r="AG335" i="2"/>
  <c r="AH335" i="2"/>
  <c r="X336" i="2"/>
  <c r="W336" i="2"/>
  <c r="C342" i="2" l="1"/>
  <c r="D341" i="2"/>
  <c r="P339" i="2"/>
  <c r="Q339" i="2"/>
  <c r="F342" i="2"/>
  <c r="G341" i="2"/>
  <c r="Z337" i="2"/>
  <c r="J341" i="2"/>
  <c r="I342" i="2"/>
  <c r="R338" i="2"/>
  <c r="S338" i="2" s="1"/>
  <c r="AQ338" i="2"/>
  <c r="L341" i="2"/>
  <c r="M340" i="2"/>
  <c r="O340" i="2" s="1"/>
  <c r="Y338" i="2"/>
  <c r="X338" i="2"/>
  <c r="W338" i="2"/>
  <c r="Z338" i="2"/>
  <c r="AP338" i="2"/>
  <c r="W337" i="2"/>
  <c r="AQ337" i="2"/>
  <c r="R337" i="2"/>
  <c r="S337" i="2" s="1"/>
  <c r="Y337" i="2"/>
  <c r="F343" i="2" l="1"/>
  <c r="G342" i="2"/>
  <c r="Q340" i="2"/>
  <c r="P340" i="2"/>
  <c r="M341" i="2"/>
  <c r="O341" i="2" s="1"/>
  <c r="L342" i="2"/>
  <c r="I343" i="2"/>
  <c r="J342" i="2"/>
  <c r="R339" i="2"/>
  <c r="S339" i="2" s="1"/>
  <c r="AQ339" i="2"/>
  <c r="AP339" i="2"/>
  <c r="W339" i="2"/>
  <c r="X339" i="2"/>
  <c r="Z339" i="2"/>
  <c r="Y339" i="2"/>
  <c r="AF337" i="2"/>
  <c r="AE337" i="2"/>
  <c r="AH337" i="2"/>
  <c r="AG337" i="2"/>
  <c r="AH336" i="2"/>
  <c r="AE336" i="2"/>
  <c r="AG336" i="2"/>
  <c r="AF336" i="2"/>
  <c r="D342" i="2"/>
  <c r="C343" i="2"/>
  <c r="J343" i="2" l="1"/>
  <c r="I344" i="2"/>
  <c r="C344" i="2"/>
  <c r="D343" i="2"/>
  <c r="G343" i="2"/>
  <c r="F344" i="2"/>
  <c r="L343" i="2"/>
  <c r="M342" i="2"/>
  <c r="O342" i="2" s="1"/>
  <c r="R340" i="2"/>
  <c r="S340" i="2" s="1"/>
  <c r="AQ340" i="2"/>
  <c r="AG338" i="2"/>
  <c r="Q341" i="2"/>
  <c r="P341" i="2"/>
  <c r="Y340" i="2"/>
  <c r="AP340" i="2"/>
  <c r="AE338" i="2"/>
  <c r="AF338" i="2"/>
  <c r="AH338" i="2"/>
  <c r="AQ341" i="2" l="1"/>
  <c r="R341" i="2"/>
  <c r="L344" i="2"/>
  <c r="M343" i="2"/>
  <c r="O343" i="2" s="1"/>
  <c r="AH339" i="2"/>
  <c r="AP341" i="2"/>
  <c r="Q342" i="2"/>
  <c r="P342" i="2"/>
  <c r="W341" i="2" s="1"/>
  <c r="AF339" i="2"/>
  <c r="J344" i="2"/>
  <c r="I345" i="2"/>
  <c r="X340" i="2"/>
  <c r="Z340" i="2"/>
  <c r="AE339" i="2"/>
  <c r="AG339" i="2"/>
  <c r="G344" i="2"/>
  <c r="F345" i="2"/>
  <c r="C345" i="2"/>
  <c r="D344" i="2"/>
  <c r="W340" i="2"/>
  <c r="S341" i="2" l="1"/>
  <c r="R342" i="2"/>
  <c r="S342" i="2" s="1"/>
  <c r="AH341" i="2" s="1"/>
  <c r="AQ342" i="2"/>
  <c r="W342" i="2"/>
  <c r="Z342" i="2"/>
  <c r="Y342" i="2"/>
  <c r="X342" i="2"/>
  <c r="AP342" i="2"/>
  <c r="Y341" i="2"/>
  <c r="X341" i="2"/>
  <c r="D345" i="2"/>
  <c r="C346" i="2"/>
  <c r="I346" i="2"/>
  <c r="J345" i="2"/>
  <c r="Z341" i="2"/>
  <c r="F346" i="2"/>
  <c r="G345" i="2"/>
  <c r="Q343" i="2"/>
  <c r="P343" i="2"/>
  <c r="M344" i="2"/>
  <c r="O344" i="2" s="1"/>
  <c r="L345" i="2"/>
  <c r="AE341" i="2" l="1"/>
  <c r="AG341" i="2"/>
  <c r="AF341" i="2"/>
  <c r="AE340" i="2"/>
  <c r="AH340" i="2"/>
  <c r="AF340" i="2"/>
  <c r="AG340" i="2"/>
  <c r="G346" i="2"/>
  <c r="F347" i="2"/>
  <c r="P344" i="2"/>
  <c r="Q344" i="2"/>
  <c r="C347" i="2"/>
  <c r="D346" i="2"/>
  <c r="I347" i="2"/>
  <c r="J346" i="2"/>
  <c r="L346" i="2"/>
  <c r="M345" i="2"/>
  <c r="O345" i="2" s="1"/>
  <c r="AP343" i="2"/>
  <c r="W343" i="2"/>
  <c r="Y343" i="2"/>
  <c r="X343" i="2"/>
  <c r="Z343" i="2"/>
  <c r="AQ343" i="2"/>
  <c r="R343" i="2"/>
  <c r="S343" i="2" s="1"/>
  <c r="AE342" i="2" l="1"/>
  <c r="R344" i="2"/>
  <c r="S344" i="2" s="1"/>
  <c r="AQ344" i="2"/>
  <c r="F348" i="2"/>
  <c r="G347" i="2"/>
  <c r="AG342" i="2"/>
  <c r="AH342" i="2"/>
  <c r="Q345" i="2"/>
  <c r="P345" i="2"/>
  <c r="L347" i="2"/>
  <c r="M346" i="2"/>
  <c r="O346" i="2" s="1"/>
  <c r="J347" i="2"/>
  <c r="I348" i="2"/>
  <c r="D347" i="2"/>
  <c r="C348" i="2"/>
  <c r="W344" i="2"/>
  <c r="AP344" i="2"/>
  <c r="AF342" i="2"/>
  <c r="P346" i="2" l="1"/>
  <c r="L348" i="2"/>
  <c r="M347" i="2"/>
  <c r="O347" i="2" s="1"/>
  <c r="C349" i="2"/>
  <c r="D348" i="2"/>
  <c r="I349" i="2"/>
  <c r="J348" i="2"/>
  <c r="R345" i="2"/>
  <c r="AQ345" i="2"/>
  <c r="G348" i="2"/>
  <c r="F349" i="2"/>
  <c r="AE343" i="2"/>
  <c r="AG343" i="2"/>
  <c r="Z345" i="2"/>
  <c r="Y345" i="2"/>
  <c r="AP345" i="2"/>
  <c r="X345" i="2"/>
  <c r="W345" i="2"/>
  <c r="X344" i="2"/>
  <c r="Y344" i="2"/>
  <c r="AF343" i="2"/>
  <c r="Z344" i="2"/>
  <c r="AH343" i="2"/>
  <c r="S345" i="2" l="1"/>
  <c r="AE344" i="2" s="1"/>
  <c r="J349" i="2"/>
  <c r="I350" i="2"/>
  <c r="G349" i="2"/>
  <c r="F350" i="2"/>
  <c r="P347" i="2"/>
  <c r="Z346" i="2"/>
  <c r="Y346" i="2"/>
  <c r="AP346" i="2"/>
  <c r="C350" i="2"/>
  <c r="D349" i="2"/>
  <c r="AG344" i="2"/>
  <c r="AH344" i="2"/>
  <c r="M348" i="2"/>
  <c r="O348" i="2" s="1"/>
  <c r="L349" i="2"/>
  <c r="Q346" i="2"/>
  <c r="Q347" i="2" s="1"/>
  <c r="AF344" i="2" l="1"/>
  <c r="AP347" i="2"/>
  <c r="X346" i="2"/>
  <c r="R346" i="2"/>
  <c r="S346" i="2" s="1"/>
  <c r="AQ346" i="2"/>
  <c r="I351" i="2"/>
  <c r="J350" i="2"/>
  <c r="C351" i="2"/>
  <c r="D350" i="2"/>
  <c r="W346" i="2"/>
  <c r="R347" i="2"/>
  <c r="S347" i="2" s="1"/>
  <c r="AQ347" i="2"/>
  <c r="G350" i="2"/>
  <c r="F351" i="2"/>
  <c r="M349" i="2"/>
  <c r="O349" i="2" s="1"/>
  <c r="L350" i="2"/>
  <c r="P348" i="2"/>
  <c r="AP348" i="2" l="1"/>
  <c r="M350" i="2"/>
  <c r="O350" i="2" s="1"/>
  <c r="L351" i="2"/>
  <c r="D351" i="2"/>
  <c r="C352" i="2"/>
  <c r="J351" i="2"/>
  <c r="I352" i="2"/>
  <c r="P349" i="2"/>
  <c r="G351" i="2"/>
  <c r="F352" i="2"/>
  <c r="AH346" i="2"/>
  <c r="AG346" i="2"/>
  <c r="AF346" i="2"/>
  <c r="AE346" i="2"/>
  <c r="AE345" i="2"/>
  <c r="AF345" i="2"/>
  <c r="AH345" i="2"/>
  <c r="AG345" i="2"/>
  <c r="X347" i="2"/>
  <c r="Z347" i="2"/>
  <c r="W347" i="2"/>
  <c r="Q348" i="2"/>
  <c r="Q349" i="2" s="1"/>
  <c r="Y347" i="2"/>
  <c r="AQ349" i="2" l="1"/>
  <c r="AP349" i="2"/>
  <c r="F353" i="2"/>
  <c r="G352" i="2"/>
  <c r="J352" i="2"/>
  <c r="I353" i="2"/>
  <c r="D352" i="2"/>
  <c r="C353" i="2"/>
  <c r="M351" i="2"/>
  <c r="O351" i="2" s="1"/>
  <c r="L352" i="2"/>
  <c r="X348" i="2"/>
  <c r="R348" i="2"/>
  <c r="S348" i="2" s="1"/>
  <c r="AQ348" i="2"/>
  <c r="P350" i="2"/>
  <c r="Q350" i="2" s="1"/>
  <c r="Z348" i="2"/>
  <c r="W348" i="2"/>
  <c r="Y348" i="2"/>
  <c r="AQ350" i="2" l="1"/>
  <c r="C354" i="2"/>
  <c r="D353" i="2"/>
  <c r="Q351" i="2"/>
  <c r="P351" i="2"/>
  <c r="I354" i="2"/>
  <c r="J353" i="2"/>
  <c r="Y350" i="2"/>
  <c r="X350" i="2"/>
  <c r="W350" i="2"/>
  <c r="AP350" i="2"/>
  <c r="Z350" i="2"/>
  <c r="W349" i="2"/>
  <c r="R349" i="2"/>
  <c r="AE347" i="2"/>
  <c r="AH347" i="2"/>
  <c r="AG347" i="2"/>
  <c r="AF347" i="2"/>
  <c r="L353" i="2"/>
  <c r="M352" i="2"/>
  <c r="O352" i="2" s="1"/>
  <c r="F354" i="2"/>
  <c r="G353" i="2"/>
  <c r="X349" i="2"/>
  <c r="Y349" i="2"/>
  <c r="Z349" i="2"/>
  <c r="S349" i="2" l="1"/>
  <c r="AF348" i="2" s="1"/>
  <c r="AG348" i="2"/>
  <c r="AP351" i="2"/>
  <c r="L354" i="2"/>
  <c r="M353" i="2"/>
  <c r="O353" i="2" s="1"/>
  <c r="F355" i="2"/>
  <c r="G354" i="2"/>
  <c r="Q352" i="2"/>
  <c r="P352" i="2"/>
  <c r="AH348" i="2"/>
  <c r="J354" i="2"/>
  <c r="I355" i="2"/>
  <c r="AQ351" i="2"/>
  <c r="C355" i="2"/>
  <c r="D354" i="2"/>
  <c r="R350" i="2"/>
  <c r="AE348" i="2" l="1"/>
  <c r="S350" i="2"/>
  <c r="AE349" i="2" s="1"/>
  <c r="AQ352" i="2"/>
  <c r="W352" i="2"/>
  <c r="Z352" i="2"/>
  <c r="Y352" i="2"/>
  <c r="X352" i="2"/>
  <c r="AP352" i="2"/>
  <c r="G355" i="2"/>
  <c r="F356" i="2"/>
  <c r="M354" i="2"/>
  <c r="O354" i="2" s="1"/>
  <c r="L355" i="2"/>
  <c r="X351" i="2"/>
  <c r="Z351" i="2"/>
  <c r="J355" i="2"/>
  <c r="I356" i="2"/>
  <c r="P353" i="2"/>
  <c r="Q353" i="2"/>
  <c r="W351" i="2"/>
  <c r="Y351" i="2"/>
  <c r="D355" i="2"/>
  <c r="C356" i="2"/>
  <c r="R351" i="2"/>
  <c r="S351" i="2" s="1"/>
  <c r="AG349" i="2" l="1"/>
  <c r="AH349" i="2"/>
  <c r="AF349" i="2"/>
  <c r="M355" i="2"/>
  <c r="O355" i="2" s="1"/>
  <c r="L356" i="2"/>
  <c r="Q354" i="2"/>
  <c r="P354" i="2"/>
  <c r="D356" i="2"/>
  <c r="C357" i="2"/>
  <c r="R353" i="2"/>
  <c r="S353" i="2" s="1"/>
  <c r="AQ353" i="2"/>
  <c r="G356" i="2"/>
  <c r="F357" i="2"/>
  <c r="Z353" i="2"/>
  <c r="Y353" i="2"/>
  <c r="X353" i="2"/>
  <c r="W353" i="2"/>
  <c r="AP353" i="2"/>
  <c r="AE350" i="2"/>
  <c r="AF350" i="2"/>
  <c r="AG350" i="2"/>
  <c r="AH350" i="2"/>
  <c r="I357" i="2"/>
  <c r="J356" i="2"/>
  <c r="R352" i="2"/>
  <c r="S352" i="2" l="1"/>
  <c r="AG351" i="2" s="1"/>
  <c r="AE351" i="2"/>
  <c r="AF351" i="2"/>
  <c r="AH351" i="2"/>
  <c r="J357" i="2"/>
  <c r="I358" i="2"/>
  <c r="L357" i="2"/>
  <c r="M356" i="2"/>
  <c r="O356" i="2" s="1"/>
  <c r="F358" i="2"/>
  <c r="G357" i="2"/>
  <c r="AE352" i="2"/>
  <c r="AH352" i="2"/>
  <c r="AG352" i="2"/>
  <c r="AF352" i="2"/>
  <c r="C358" i="2"/>
  <c r="D357" i="2"/>
  <c r="AP354" i="2"/>
  <c r="Z354" i="2"/>
  <c r="Y354" i="2"/>
  <c r="X354" i="2"/>
  <c r="AQ354" i="2"/>
  <c r="R354" i="2"/>
  <c r="Q355" i="2"/>
  <c r="P355" i="2"/>
  <c r="S354" i="2" l="1"/>
  <c r="AE353" i="2" s="1"/>
  <c r="G358" i="2"/>
  <c r="F359" i="2"/>
  <c r="AQ355" i="2"/>
  <c r="R355" i="2"/>
  <c r="D358" i="2"/>
  <c r="C359" i="2"/>
  <c r="M357" i="2"/>
  <c r="O357" i="2" s="1"/>
  <c r="L358" i="2"/>
  <c r="AP355" i="2"/>
  <c r="Q356" i="2"/>
  <c r="P356" i="2"/>
  <c r="I359" i="2"/>
  <c r="J358" i="2"/>
  <c r="AF353" i="2"/>
  <c r="AG353" i="2"/>
  <c r="W354" i="2"/>
  <c r="AH353" i="2"/>
  <c r="S355" i="2" l="1"/>
  <c r="AH354" i="2" s="1"/>
  <c r="AF354" i="2"/>
  <c r="AP356" i="2"/>
  <c r="Z356" i="2"/>
  <c r="Y356" i="2"/>
  <c r="Z355" i="2"/>
  <c r="R356" i="2"/>
  <c r="AQ356" i="2"/>
  <c r="L359" i="2"/>
  <c r="M358" i="2"/>
  <c r="O358" i="2" s="1"/>
  <c r="D359" i="2"/>
  <c r="C360" i="2"/>
  <c r="J359" i="2"/>
  <c r="I360" i="2"/>
  <c r="W355" i="2"/>
  <c r="X355" i="2"/>
  <c r="Y355" i="2"/>
  <c r="P357" i="2"/>
  <c r="W356" i="2" s="1"/>
  <c r="Q357" i="2"/>
  <c r="G359" i="2"/>
  <c r="F360" i="2"/>
  <c r="AE354" i="2"/>
  <c r="AG354" i="2" l="1"/>
  <c r="S356" i="2"/>
  <c r="I361" i="2"/>
  <c r="J360" i="2"/>
  <c r="D360" i="2"/>
  <c r="C361" i="2"/>
  <c r="M359" i="2"/>
  <c r="O359" i="2" s="1"/>
  <c r="L360" i="2"/>
  <c r="Q358" i="2"/>
  <c r="P358" i="2"/>
  <c r="F361" i="2"/>
  <c r="G360" i="2"/>
  <c r="AQ357" i="2"/>
  <c r="R357" i="2"/>
  <c r="S357" i="2" s="1"/>
  <c r="AP357" i="2"/>
  <c r="Z357" i="2"/>
  <c r="Y357" i="2"/>
  <c r="X357" i="2"/>
  <c r="X356" i="2"/>
  <c r="AF355" i="2" l="1"/>
  <c r="AH355" i="2"/>
  <c r="AE355" i="2"/>
  <c r="AG355" i="2"/>
  <c r="G361" i="2"/>
  <c r="F362" i="2"/>
  <c r="Z358" i="2"/>
  <c r="Y358" i="2"/>
  <c r="AP358" i="2"/>
  <c r="X358" i="2"/>
  <c r="W358" i="2"/>
  <c r="AE356" i="2"/>
  <c r="AG356" i="2"/>
  <c r="AH356" i="2"/>
  <c r="L361" i="2"/>
  <c r="M360" i="2"/>
  <c r="O360" i="2" s="1"/>
  <c r="AF356" i="2"/>
  <c r="AQ358" i="2"/>
  <c r="R358" i="2"/>
  <c r="S358" i="2" s="1"/>
  <c r="Q359" i="2"/>
  <c r="P359" i="2"/>
  <c r="D361" i="2"/>
  <c r="C362" i="2"/>
  <c r="W357" i="2"/>
  <c r="J361" i="2"/>
  <c r="I362" i="2"/>
  <c r="M361" i="2" l="1"/>
  <c r="O361" i="2" s="1"/>
  <c r="L362" i="2"/>
  <c r="G362" i="2"/>
  <c r="F363" i="2"/>
  <c r="AH357" i="2"/>
  <c r="AF357" i="2"/>
  <c r="AQ359" i="2"/>
  <c r="R359" i="2"/>
  <c r="Q360" i="2"/>
  <c r="P360" i="2"/>
  <c r="J362" i="2"/>
  <c r="I363" i="2"/>
  <c r="D362" i="2"/>
  <c r="C363" i="2"/>
  <c r="AE357" i="2"/>
  <c r="Z359" i="2"/>
  <c r="AP359" i="2"/>
  <c r="AG357" i="2"/>
  <c r="S359" i="2" l="1"/>
  <c r="AG358" i="2" s="1"/>
  <c r="R360" i="2"/>
  <c r="S360" i="2" s="1"/>
  <c r="AF359" i="2" s="1"/>
  <c r="AQ360" i="2"/>
  <c r="D363" i="2"/>
  <c r="C364" i="2"/>
  <c r="I364" i="2"/>
  <c r="J363" i="2"/>
  <c r="AP360" i="2"/>
  <c r="G363" i="2"/>
  <c r="F364" i="2"/>
  <c r="Q361" i="2"/>
  <c r="P361" i="2"/>
  <c r="Y360" i="2" s="1"/>
  <c r="M362" i="2"/>
  <c r="O362" i="2" s="1"/>
  <c r="L363" i="2"/>
  <c r="AE358" i="2"/>
  <c r="W359" i="2"/>
  <c r="X359" i="2"/>
  <c r="Y359" i="2"/>
  <c r="AH358" i="2"/>
  <c r="AH359" i="2" l="1"/>
  <c r="AG359" i="2"/>
  <c r="AE359" i="2"/>
  <c r="AF358" i="2"/>
  <c r="Q362" i="2"/>
  <c r="P362" i="2"/>
  <c r="X360" i="2"/>
  <c r="AQ361" i="2"/>
  <c r="R361" i="2"/>
  <c r="AP361" i="2"/>
  <c r="Y361" i="2"/>
  <c r="X361" i="2"/>
  <c r="W361" i="2"/>
  <c r="Z361" i="2"/>
  <c r="G364" i="2"/>
  <c r="F365" i="2"/>
  <c r="W360" i="2"/>
  <c r="Z360" i="2"/>
  <c r="J364" i="2"/>
  <c r="I365" i="2"/>
  <c r="C365" i="2"/>
  <c r="D364" i="2"/>
  <c r="L364" i="2"/>
  <c r="M363" i="2"/>
  <c r="O363" i="2" s="1"/>
  <c r="S361" i="2" l="1"/>
  <c r="AF360" i="2" s="1"/>
  <c r="M364" i="2"/>
  <c r="O364" i="2" s="1"/>
  <c r="L365" i="2"/>
  <c r="Q363" i="2"/>
  <c r="P363" i="2"/>
  <c r="I366" i="2"/>
  <c r="J365" i="2"/>
  <c r="F366" i="2"/>
  <c r="G365" i="2"/>
  <c r="D365" i="2"/>
  <c r="C366" i="2"/>
  <c r="AG360" i="2"/>
  <c r="Z362" i="2"/>
  <c r="Y362" i="2"/>
  <c r="AP362" i="2"/>
  <c r="X362" i="2"/>
  <c r="W362" i="2"/>
  <c r="AH360" i="2"/>
  <c r="AE360" i="2"/>
  <c r="R362" i="2"/>
  <c r="AQ362" i="2"/>
  <c r="S362" i="2" l="1"/>
  <c r="AH361" i="2" s="1"/>
  <c r="AE361" i="2"/>
  <c r="AG361" i="2"/>
  <c r="AF361" i="2"/>
  <c r="W363" i="2"/>
  <c r="AP363" i="2"/>
  <c r="Z363" i="2"/>
  <c r="Y363" i="2"/>
  <c r="X363" i="2"/>
  <c r="L366" i="2"/>
  <c r="M365" i="2"/>
  <c r="O365" i="2" s="1"/>
  <c r="C367" i="2"/>
  <c r="D366" i="2"/>
  <c r="F367" i="2"/>
  <c r="G366" i="2"/>
  <c r="J366" i="2"/>
  <c r="I367" i="2"/>
  <c r="R363" i="2"/>
  <c r="S363" i="2" s="1"/>
  <c r="AQ363" i="2"/>
  <c r="Q364" i="2"/>
  <c r="P364" i="2"/>
  <c r="AQ364" i="2" l="1"/>
  <c r="R364" i="2"/>
  <c r="S364" i="2" s="1"/>
  <c r="AH363" i="2" s="1"/>
  <c r="I368" i="2"/>
  <c r="J367" i="2"/>
  <c r="AE363" i="2"/>
  <c r="F368" i="2"/>
  <c r="G367" i="2"/>
  <c r="C368" i="2"/>
  <c r="D367" i="2"/>
  <c r="L367" i="2"/>
  <c r="M366" i="2"/>
  <c r="O366" i="2" s="1"/>
  <c r="AG362" i="2"/>
  <c r="P365" i="2"/>
  <c r="AF362" i="2"/>
  <c r="AH362" i="2"/>
  <c r="AP364" i="2"/>
  <c r="AE362" i="2"/>
  <c r="AF363" i="2" l="1"/>
  <c r="AG363" i="2"/>
  <c r="AP365" i="2"/>
  <c r="P366" i="2"/>
  <c r="Y365" i="2" s="1"/>
  <c r="W364" i="2"/>
  <c r="Q365" i="2"/>
  <c r="M367" i="2"/>
  <c r="O367" i="2" s="1"/>
  <c r="L368" i="2"/>
  <c r="D368" i="2"/>
  <c r="C369" i="2"/>
  <c r="G368" i="2"/>
  <c r="F369" i="2"/>
  <c r="X364" i="2"/>
  <c r="J368" i="2"/>
  <c r="I369" i="2"/>
  <c r="Y364" i="2"/>
  <c r="Z364" i="2"/>
  <c r="G369" i="2" l="1"/>
  <c r="F370" i="2"/>
  <c r="P367" i="2"/>
  <c r="Q367" i="2"/>
  <c r="Q366" i="2"/>
  <c r="C370" i="2"/>
  <c r="D369" i="2"/>
  <c r="M368" i="2"/>
  <c r="O368" i="2" s="1"/>
  <c r="L369" i="2"/>
  <c r="W365" i="2"/>
  <c r="R365" i="2"/>
  <c r="S365" i="2" s="1"/>
  <c r="AQ365" i="2"/>
  <c r="X366" i="2"/>
  <c r="W366" i="2"/>
  <c r="AP366" i="2"/>
  <c r="Z366" i="2"/>
  <c r="Y366" i="2"/>
  <c r="X365" i="2"/>
  <c r="J369" i="2"/>
  <c r="I370" i="2"/>
  <c r="Z365" i="2"/>
  <c r="M369" i="2" l="1"/>
  <c r="O369" i="2" s="1"/>
  <c r="L370" i="2"/>
  <c r="I371" i="2"/>
  <c r="J370" i="2"/>
  <c r="AQ367" i="2"/>
  <c r="AG364" i="2"/>
  <c r="AF364" i="2"/>
  <c r="AH364" i="2"/>
  <c r="AE364" i="2"/>
  <c r="P368" i="2"/>
  <c r="D370" i="2"/>
  <c r="C371" i="2"/>
  <c r="AQ366" i="2"/>
  <c r="R366" i="2"/>
  <c r="AP367" i="2"/>
  <c r="F371" i="2"/>
  <c r="G370" i="2"/>
  <c r="S366" i="2" l="1"/>
  <c r="AE365" i="2" s="1"/>
  <c r="AP368" i="2"/>
  <c r="AH365" i="2"/>
  <c r="Q368" i="2"/>
  <c r="AF365" i="2"/>
  <c r="G371" i="2"/>
  <c r="F372" i="2"/>
  <c r="Z367" i="2"/>
  <c r="M370" i="2"/>
  <c r="O370" i="2" s="1"/>
  <c r="L371" i="2"/>
  <c r="C372" i="2"/>
  <c r="D371" i="2"/>
  <c r="AG365" i="2"/>
  <c r="R367" i="2"/>
  <c r="W367" i="2"/>
  <c r="X367" i="2"/>
  <c r="Y367" i="2"/>
  <c r="J371" i="2"/>
  <c r="I372" i="2"/>
  <c r="P369" i="2"/>
  <c r="S367" i="2" l="1"/>
  <c r="AF366" i="2" s="1"/>
  <c r="AG366" i="2"/>
  <c r="AH366" i="2"/>
  <c r="AE366" i="2"/>
  <c r="P370" i="2"/>
  <c r="Z369" i="2"/>
  <c r="Y369" i="2"/>
  <c r="X369" i="2"/>
  <c r="W369" i="2"/>
  <c r="AP369" i="2"/>
  <c r="AQ368" i="2"/>
  <c r="R368" i="2"/>
  <c r="X368" i="2"/>
  <c r="M371" i="2"/>
  <c r="O371" i="2" s="1"/>
  <c r="L372" i="2"/>
  <c r="I373" i="2"/>
  <c r="J372" i="2"/>
  <c r="Z368" i="2"/>
  <c r="C373" i="2"/>
  <c r="D372" i="2"/>
  <c r="F373" i="2"/>
  <c r="G372" i="2"/>
  <c r="Q369" i="2"/>
  <c r="W368" i="2"/>
  <c r="Y368" i="2"/>
  <c r="S368" i="2" l="1"/>
  <c r="AH367" i="2" s="1"/>
  <c r="AQ369" i="2"/>
  <c r="R369" i="2"/>
  <c r="S369" i="2" s="1"/>
  <c r="F374" i="2"/>
  <c r="G373" i="2"/>
  <c r="Q371" i="2"/>
  <c r="P371" i="2"/>
  <c r="AG367" i="2"/>
  <c r="I374" i="2"/>
  <c r="J373" i="2"/>
  <c r="M372" i="2"/>
  <c r="O372" i="2" s="1"/>
  <c r="L373" i="2"/>
  <c r="AP370" i="2"/>
  <c r="Z370" i="2"/>
  <c r="Y370" i="2"/>
  <c r="X370" i="2"/>
  <c r="W370" i="2"/>
  <c r="D373" i="2"/>
  <c r="C374" i="2"/>
  <c r="AE367" i="2"/>
  <c r="AF367" i="2"/>
  <c r="Q370" i="2"/>
  <c r="AG368" i="2" l="1"/>
  <c r="AH368" i="2"/>
  <c r="C375" i="2"/>
  <c r="D374" i="2"/>
  <c r="AQ371" i="2"/>
  <c r="R371" i="2"/>
  <c r="Q372" i="2"/>
  <c r="P372" i="2"/>
  <c r="R370" i="2"/>
  <c r="AQ370" i="2"/>
  <c r="L374" i="2"/>
  <c r="M373" i="2"/>
  <c r="O373" i="2" s="1"/>
  <c r="J374" i="2"/>
  <c r="I375" i="2"/>
  <c r="AP371" i="2"/>
  <c r="Z371" i="2"/>
  <c r="Y371" i="2"/>
  <c r="X371" i="2"/>
  <c r="F375" i="2"/>
  <c r="G374" i="2"/>
  <c r="AE368" i="2"/>
  <c r="AF368" i="2"/>
  <c r="S370" i="2" l="1"/>
  <c r="AH369" i="2" s="1"/>
  <c r="S371" i="2"/>
  <c r="J375" i="2"/>
  <c r="I376" i="2"/>
  <c r="M374" i="2"/>
  <c r="O374" i="2" s="1"/>
  <c r="L375" i="2"/>
  <c r="AP372" i="2"/>
  <c r="Q373" i="2"/>
  <c r="P373" i="2"/>
  <c r="AQ372" i="2"/>
  <c r="R372" i="2"/>
  <c r="S372" i="2" s="1"/>
  <c r="AG370" i="2"/>
  <c r="G375" i="2"/>
  <c r="F376" i="2"/>
  <c r="W371" i="2"/>
  <c r="D375" i="2"/>
  <c r="C376" i="2"/>
  <c r="AG369" i="2" l="1"/>
  <c r="AF369" i="2"/>
  <c r="AE369" i="2"/>
  <c r="G376" i="2"/>
  <c r="F377" i="2"/>
  <c r="AP373" i="2"/>
  <c r="X372" i="2"/>
  <c r="R373" i="2"/>
  <c r="S373" i="2" s="1"/>
  <c r="AQ373" i="2"/>
  <c r="Y372" i="2"/>
  <c r="M375" i="2"/>
  <c r="O375" i="2" s="1"/>
  <c r="L376" i="2"/>
  <c r="D376" i="2"/>
  <c r="C377" i="2"/>
  <c r="J376" i="2"/>
  <c r="I377" i="2"/>
  <c r="AH371" i="2"/>
  <c r="AG371" i="2"/>
  <c r="AE370" i="2"/>
  <c r="AF370" i="2"/>
  <c r="AH370" i="2"/>
  <c r="W372" i="2"/>
  <c r="Z372" i="2"/>
  <c r="P374" i="2"/>
  <c r="J377" i="2" l="1"/>
  <c r="I378" i="2"/>
  <c r="L377" i="2"/>
  <c r="M376" i="2"/>
  <c r="O376" i="2" s="1"/>
  <c r="AE372" i="2"/>
  <c r="AH372" i="2"/>
  <c r="AG372" i="2"/>
  <c r="AF372" i="2"/>
  <c r="Q375" i="2"/>
  <c r="P375" i="2"/>
  <c r="AP374" i="2"/>
  <c r="Z374" i="2"/>
  <c r="Y374" i="2"/>
  <c r="X374" i="2"/>
  <c r="W374" i="2"/>
  <c r="X373" i="2"/>
  <c r="Y373" i="2"/>
  <c r="AE371" i="2"/>
  <c r="C378" i="2"/>
  <c r="D377" i="2"/>
  <c r="Q374" i="2"/>
  <c r="W373" i="2"/>
  <c r="Z373" i="2"/>
  <c r="F378" i="2"/>
  <c r="G377" i="2"/>
  <c r="AF371" i="2"/>
  <c r="G378" i="2" l="1"/>
  <c r="F379" i="2"/>
  <c r="AQ374" i="2"/>
  <c r="R374" i="2"/>
  <c r="S374" i="2" s="1"/>
  <c r="R375" i="2"/>
  <c r="S375" i="2" s="1"/>
  <c r="AQ375" i="2"/>
  <c r="J378" i="2"/>
  <c r="I379" i="2"/>
  <c r="AP375" i="2"/>
  <c r="P376" i="2"/>
  <c r="M377" i="2"/>
  <c r="O377" i="2" s="1"/>
  <c r="L378" i="2"/>
  <c r="D378" i="2"/>
  <c r="C379" i="2"/>
  <c r="L379" i="2" l="1"/>
  <c r="M378" i="2"/>
  <c r="O378" i="2" s="1"/>
  <c r="P377" i="2"/>
  <c r="Q377" i="2"/>
  <c r="I380" i="2"/>
  <c r="J379" i="2"/>
  <c r="X376" i="2"/>
  <c r="W376" i="2"/>
  <c r="Y376" i="2"/>
  <c r="AP376" i="2"/>
  <c r="Z376" i="2"/>
  <c r="Y375" i="2"/>
  <c r="W375" i="2"/>
  <c r="C380" i="2"/>
  <c r="D379" i="2"/>
  <c r="Q376" i="2"/>
  <c r="Z375" i="2"/>
  <c r="X375" i="2"/>
  <c r="AH374" i="2"/>
  <c r="AG374" i="2"/>
  <c r="AF374" i="2"/>
  <c r="AE374" i="2"/>
  <c r="AE373" i="2"/>
  <c r="AG373" i="2"/>
  <c r="AF373" i="2"/>
  <c r="AH373" i="2"/>
  <c r="F380" i="2"/>
  <c r="G379" i="2"/>
  <c r="D380" i="2" l="1"/>
  <c r="C381" i="2"/>
  <c r="R376" i="2"/>
  <c r="S376" i="2" s="1"/>
  <c r="AQ376" i="2"/>
  <c r="P378" i="2"/>
  <c r="F381" i="2"/>
  <c r="G380" i="2"/>
  <c r="I381" i="2"/>
  <c r="J380" i="2"/>
  <c r="AQ377" i="2"/>
  <c r="R377" i="2"/>
  <c r="S377" i="2" s="1"/>
  <c r="Z377" i="2"/>
  <c r="Y377" i="2"/>
  <c r="X377" i="2"/>
  <c r="W377" i="2"/>
  <c r="AP377" i="2"/>
  <c r="L380" i="2"/>
  <c r="M379" i="2"/>
  <c r="O379" i="2" s="1"/>
  <c r="AP378" i="2" l="1"/>
  <c r="P379" i="2"/>
  <c r="Z378" i="2" s="1"/>
  <c r="M380" i="2"/>
  <c r="O380" i="2" s="1"/>
  <c r="L381" i="2"/>
  <c r="J381" i="2"/>
  <c r="I382" i="2"/>
  <c r="G381" i="2"/>
  <c r="F382" i="2"/>
  <c r="Q378" i="2"/>
  <c r="AH376" i="2"/>
  <c r="AG376" i="2"/>
  <c r="AF376" i="2"/>
  <c r="AE376" i="2"/>
  <c r="AH375" i="2"/>
  <c r="AG375" i="2"/>
  <c r="AF375" i="2"/>
  <c r="AE375" i="2"/>
  <c r="D381" i="2"/>
  <c r="C382" i="2"/>
  <c r="C383" i="2" l="1"/>
  <c r="D382" i="2"/>
  <c r="P380" i="2"/>
  <c r="Z379" i="2" s="1"/>
  <c r="G382" i="2"/>
  <c r="F383" i="2"/>
  <c r="I383" i="2"/>
  <c r="J382" i="2"/>
  <c r="L382" i="2"/>
  <c r="M381" i="2"/>
  <c r="O381" i="2" s="1"/>
  <c r="Q379" i="2"/>
  <c r="W378" i="2"/>
  <c r="X378" i="2"/>
  <c r="R378" i="2"/>
  <c r="S378" i="2" s="1"/>
  <c r="AQ378" i="2"/>
  <c r="Y379" i="2"/>
  <c r="W379" i="2"/>
  <c r="AP379" i="2"/>
  <c r="Y378" i="2"/>
  <c r="AQ379" i="2" l="1"/>
  <c r="R379" i="2"/>
  <c r="S379" i="2" s="1"/>
  <c r="F384" i="2"/>
  <c r="G383" i="2"/>
  <c r="X379" i="2"/>
  <c r="AH378" i="2"/>
  <c r="AG378" i="2"/>
  <c r="AF378" i="2"/>
  <c r="AE378" i="2"/>
  <c r="AH377" i="2"/>
  <c r="AG377" i="2"/>
  <c r="AE377" i="2"/>
  <c r="AF377" i="2"/>
  <c r="P381" i="2"/>
  <c r="L383" i="2"/>
  <c r="M382" i="2"/>
  <c r="O382" i="2" s="1"/>
  <c r="I384" i="2"/>
  <c r="J383" i="2"/>
  <c r="W380" i="2"/>
  <c r="AP380" i="2"/>
  <c r="Q380" i="2"/>
  <c r="D383" i="2"/>
  <c r="C384" i="2"/>
  <c r="J384" i="2" l="1"/>
  <c r="I385" i="2"/>
  <c r="C385" i="2"/>
  <c r="D384" i="2"/>
  <c r="R380" i="2"/>
  <c r="AQ380" i="2"/>
  <c r="P382" i="2"/>
  <c r="L384" i="2"/>
  <c r="M383" i="2"/>
  <c r="O383" i="2" s="1"/>
  <c r="AP381" i="2"/>
  <c r="Z381" i="2"/>
  <c r="Y381" i="2"/>
  <c r="X381" i="2"/>
  <c r="W381" i="2"/>
  <c r="Q381" i="2"/>
  <c r="Q382" i="2" s="1"/>
  <c r="X380" i="2"/>
  <c r="Y380" i="2"/>
  <c r="G384" i="2"/>
  <c r="F385" i="2"/>
  <c r="Z380" i="2"/>
  <c r="S380" i="2" l="1"/>
  <c r="AG379" i="2" s="1"/>
  <c r="AQ382" i="2"/>
  <c r="P383" i="2"/>
  <c r="M384" i="2"/>
  <c r="O384" i="2" s="1"/>
  <c r="L385" i="2"/>
  <c r="AF379" i="2"/>
  <c r="D385" i="2"/>
  <c r="C386" i="2"/>
  <c r="AH379" i="2"/>
  <c r="I386" i="2"/>
  <c r="J385" i="2"/>
  <c r="F386" i="2"/>
  <c r="G385" i="2"/>
  <c r="AQ381" i="2"/>
  <c r="R381" i="2"/>
  <c r="AP382" i="2"/>
  <c r="W382" i="2"/>
  <c r="AE379" i="2"/>
  <c r="S381" i="2" l="1"/>
  <c r="AG380" i="2" s="1"/>
  <c r="P384" i="2"/>
  <c r="L386" i="2"/>
  <c r="M385" i="2"/>
  <c r="O385" i="2" s="1"/>
  <c r="AP383" i="2"/>
  <c r="W383" i="2"/>
  <c r="Z383" i="2"/>
  <c r="Y383" i="2"/>
  <c r="X383" i="2"/>
  <c r="X382" i="2"/>
  <c r="R382" i="2"/>
  <c r="F387" i="2"/>
  <c r="G386" i="2"/>
  <c r="I387" i="2"/>
  <c r="J386" i="2"/>
  <c r="C387" i="2"/>
  <c r="D386" i="2"/>
  <c r="AE380" i="2"/>
  <c r="AF380" i="2"/>
  <c r="Q383" i="2"/>
  <c r="Y382" i="2"/>
  <c r="Z382" i="2"/>
  <c r="S382" i="2" l="1"/>
  <c r="AH381" i="2" s="1"/>
  <c r="AH380" i="2"/>
  <c r="AF381" i="2"/>
  <c r="AE381" i="2"/>
  <c r="AG381" i="2"/>
  <c r="F388" i="2"/>
  <c r="G387" i="2"/>
  <c r="J387" i="2"/>
  <c r="I388" i="2"/>
  <c r="C388" i="2"/>
  <c r="D387" i="2"/>
  <c r="P385" i="2"/>
  <c r="Q385" i="2"/>
  <c r="AP384" i="2"/>
  <c r="Z384" i="2"/>
  <c r="Y384" i="2"/>
  <c r="X384" i="2"/>
  <c r="W384" i="2"/>
  <c r="R383" i="2"/>
  <c r="AQ383" i="2"/>
  <c r="L387" i="2"/>
  <c r="M386" i="2"/>
  <c r="O386" i="2" s="1"/>
  <c r="Q384" i="2"/>
  <c r="S383" i="2" l="1"/>
  <c r="AE382" i="2" s="1"/>
  <c r="AG382" i="2"/>
  <c r="AQ385" i="2"/>
  <c r="R385" i="2"/>
  <c r="AF382" i="2"/>
  <c r="M387" i="2"/>
  <c r="O387" i="2" s="1"/>
  <c r="L388" i="2"/>
  <c r="AH383" i="2"/>
  <c r="AG383" i="2"/>
  <c r="AF383" i="2"/>
  <c r="AE383" i="2"/>
  <c r="AH382" i="2"/>
  <c r="Z385" i="2"/>
  <c r="AP385" i="2"/>
  <c r="Y385" i="2"/>
  <c r="X385" i="2"/>
  <c r="W385" i="2"/>
  <c r="D388" i="2"/>
  <c r="C389" i="2"/>
  <c r="I389" i="2"/>
  <c r="J388" i="2"/>
  <c r="AQ384" i="2"/>
  <c r="R384" i="2"/>
  <c r="S384" i="2" s="1"/>
  <c r="P386" i="2"/>
  <c r="Q386" i="2"/>
  <c r="G388" i="2"/>
  <c r="F389" i="2"/>
  <c r="S385" i="2" l="1"/>
  <c r="R386" i="2"/>
  <c r="S386" i="2" s="1"/>
  <c r="AQ386" i="2"/>
  <c r="C390" i="2"/>
  <c r="D389" i="2"/>
  <c r="AG385" i="2"/>
  <c r="AF385" i="2"/>
  <c r="AE385" i="2"/>
  <c r="AH385" i="2"/>
  <c r="I390" i="2"/>
  <c r="J389" i="2"/>
  <c r="F390" i="2"/>
  <c r="G389" i="2"/>
  <c r="L389" i="2"/>
  <c r="M388" i="2"/>
  <c r="O388" i="2" s="1"/>
  <c r="P387" i="2"/>
  <c r="Q387" i="2"/>
  <c r="X386" i="2"/>
  <c r="W386" i="2"/>
  <c r="AP386" i="2"/>
  <c r="Z386" i="2"/>
  <c r="AE384" i="2"/>
  <c r="AH384" i="2"/>
  <c r="AG384" i="2"/>
  <c r="AF384" i="2"/>
  <c r="AQ387" i="2" l="1"/>
  <c r="R387" i="2"/>
  <c r="S387" i="2" s="1"/>
  <c r="P388" i="2"/>
  <c r="Q388" i="2"/>
  <c r="F391" i="2"/>
  <c r="G390" i="2"/>
  <c r="I391" i="2"/>
  <c r="J390" i="2"/>
  <c r="AP387" i="2"/>
  <c r="Z387" i="2"/>
  <c r="Y387" i="2"/>
  <c r="X387" i="2"/>
  <c r="W387" i="2"/>
  <c r="M389" i="2"/>
  <c r="O389" i="2" s="1"/>
  <c r="L390" i="2"/>
  <c r="D390" i="2"/>
  <c r="C391" i="2"/>
  <c r="Y386" i="2"/>
  <c r="AE386" i="2"/>
  <c r="AH386" i="2"/>
  <c r="D391" i="2" l="1"/>
  <c r="C392" i="2"/>
  <c r="G391" i="2"/>
  <c r="F392" i="2"/>
  <c r="P389" i="2"/>
  <c r="M390" i="2"/>
  <c r="O390" i="2" s="1"/>
  <c r="L391" i="2"/>
  <c r="J391" i="2"/>
  <c r="I392" i="2"/>
  <c r="AQ388" i="2"/>
  <c r="R388" i="2"/>
  <c r="S388" i="2" s="1"/>
  <c r="Z388" i="2"/>
  <c r="AP388" i="2"/>
  <c r="Y388" i="2"/>
  <c r="X388" i="2"/>
  <c r="AF386" i="2"/>
  <c r="AG386" i="2"/>
  <c r="I393" i="2" l="1"/>
  <c r="J392" i="2"/>
  <c r="P390" i="2"/>
  <c r="Z389" i="2"/>
  <c r="Y389" i="2"/>
  <c r="X389" i="2"/>
  <c r="W389" i="2"/>
  <c r="AP389" i="2"/>
  <c r="C393" i="2"/>
  <c r="D392" i="2"/>
  <c r="L392" i="2"/>
  <c r="M391" i="2"/>
  <c r="O391" i="2" s="1"/>
  <c r="AE387" i="2"/>
  <c r="AF387" i="2"/>
  <c r="AG387" i="2"/>
  <c r="AH387" i="2"/>
  <c r="Q389" i="2"/>
  <c r="F393" i="2"/>
  <c r="G392" i="2"/>
  <c r="W388" i="2"/>
  <c r="P391" i="2" l="1"/>
  <c r="C394" i="2"/>
  <c r="D393" i="2"/>
  <c r="AP390" i="2"/>
  <c r="Z390" i="2"/>
  <c r="Y390" i="2"/>
  <c r="X390" i="2"/>
  <c r="W390" i="2"/>
  <c r="AQ389" i="2"/>
  <c r="R389" i="2"/>
  <c r="S389" i="2" s="1"/>
  <c r="L393" i="2"/>
  <c r="M392" i="2"/>
  <c r="O392" i="2" s="1"/>
  <c r="Q390" i="2"/>
  <c r="I394" i="2"/>
  <c r="J393" i="2"/>
  <c r="G393" i="2"/>
  <c r="F394" i="2"/>
  <c r="G394" i="2" l="1"/>
  <c r="F395" i="2"/>
  <c r="R390" i="2"/>
  <c r="AQ390" i="2"/>
  <c r="P392" i="2"/>
  <c r="L394" i="2"/>
  <c r="M393" i="2"/>
  <c r="O393" i="2" s="1"/>
  <c r="AP391" i="2"/>
  <c r="Z391" i="2"/>
  <c r="Y391" i="2"/>
  <c r="X391" i="2"/>
  <c r="W391" i="2"/>
  <c r="J394" i="2"/>
  <c r="I395" i="2"/>
  <c r="AH388" i="2"/>
  <c r="AF388" i="2"/>
  <c r="AE388" i="2"/>
  <c r="AG388" i="2"/>
  <c r="C395" i="2"/>
  <c r="D394" i="2"/>
  <c r="Q391" i="2"/>
  <c r="S390" i="2" l="1"/>
  <c r="M394" i="2"/>
  <c r="O394" i="2" s="1"/>
  <c r="L395" i="2"/>
  <c r="P393" i="2"/>
  <c r="Z392" i="2"/>
  <c r="Y392" i="2"/>
  <c r="X392" i="2"/>
  <c r="AP392" i="2"/>
  <c r="W392" i="2"/>
  <c r="D395" i="2"/>
  <c r="C396" i="2"/>
  <c r="F396" i="2"/>
  <c r="G395" i="2"/>
  <c r="I396" i="2"/>
  <c r="J395" i="2"/>
  <c r="AQ391" i="2"/>
  <c r="R391" i="2"/>
  <c r="S391" i="2" s="1"/>
  <c r="Q392" i="2"/>
  <c r="AH389" i="2" l="1"/>
  <c r="AG389" i="2"/>
  <c r="AE389" i="2"/>
  <c r="AF389" i="2"/>
  <c r="AQ392" i="2"/>
  <c r="R392" i="2"/>
  <c r="J396" i="2"/>
  <c r="I397" i="2"/>
  <c r="Q393" i="2"/>
  <c r="AE390" i="2"/>
  <c r="C397" i="2"/>
  <c r="D396" i="2"/>
  <c r="AP393" i="2"/>
  <c r="Z393" i="2"/>
  <c r="Y393" i="2"/>
  <c r="X393" i="2"/>
  <c r="W393" i="2"/>
  <c r="AF390" i="2"/>
  <c r="L396" i="2"/>
  <c r="M395" i="2"/>
  <c r="O395" i="2" s="1"/>
  <c r="AH390" i="2"/>
  <c r="F397" i="2"/>
  <c r="G396" i="2"/>
  <c r="AG390" i="2"/>
  <c r="P394" i="2"/>
  <c r="S392" i="2" l="1"/>
  <c r="AG391" i="2" s="1"/>
  <c r="AE391" i="2"/>
  <c r="C398" i="2"/>
  <c r="D397" i="2"/>
  <c r="J397" i="2"/>
  <c r="I398" i="2"/>
  <c r="P395" i="2"/>
  <c r="Q395" i="2" s="1"/>
  <c r="R393" i="2"/>
  <c r="AQ393" i="2"/>
  <c r="Q394" i="2"/>
  <c r="L397" i="2"/>
  <c r="M396" i="2"/>
  <c r="O396" i="2" s="1"/>
  <c r="AP394" i="2"/>
  <c r="Z394" i="2"/>
  <c r="X394" i="2"/>
  <c r="Y394" i="2"/>
  <c r="W394" i="2"/>
  <c r="AH391" i="2"/>
  <c r="F398" i="2"/>
  <c r="G397" i="2"/>
  <c r="AF391" i="2" l="1"/>
  <c r="S393" i="2"/>
  <c r="AG392" i="2" s="1"/>
  <c r="R395" i="2"/>
  <c r="AQ395" i="2"/>
  <c r="P396" i="2"/>
  <c r="AQ394" i="2"/>
  <c r="R394" i="2"/>
  <c r="I399" i="2"/>
  <c r="J398" i="2"/>
  <c r="M397" i="2"/>
  <c r="O397" i="2" s="1"/>
  <c r="L398" i="2"/>
  <c r="Z395" i="2"/>
  <c r="W395" i="2"/>
  <c r="AP395" i="2"/>
  <c r="Y395" i="2"/>
  <c r="X395" i="2"/>
  <c r="G398" i="2"/>
  <c r="F399" i="2"/>
  <c r="D398" i="2"/>
  <c r="C399" i="2"/>
  <c r="S394" i="2" l="1"/>
  <c r="AH393" i="2" s="1"/>
  <c r="S395" i="2"/>
  <c r="AF392" i="2"/>
  <c r="AH392" i="2"/>
  <c r="AE392" i="2"/>
  <c r="P397" i="2"/>
  <c r="Q397" i="2"/>
  <c r="C400" i="2"/>
  <c r="D399" i="2"/>
  <c r="I400" i="2"/>
  <c r="J399" i="2"/>
  <c r="X396" i="2"/>
  <c r="W396" i="2"/>
  <c r="AP396" i="2"/>
  <c r="Y396" i="2"/>
  <c r="Z396" i="2"/>
  <c r="L399" i="2"/>
  <c r="M398" i="2"/>
  <c r="O398" i="2" s="1"/>
  <c r="AG394" i="2"/>
  <c r="AF393" i="2"/>
  <c r="AG393" i="2"/>
  <c r="Q396" i="2"/>
  <c r="F400" i="2"/>
  <c r="G399" i="2"/>
  <c r="AF394" i="2"/>
  <c r="AE393" i="2" l="1"/>
  <c r="AE394" i="2"/>
  <c r="AH394" i="2"/>
  <c r="Q398" i="2"/>
  <c r="P398" i="2"/>
  <c r="I401" i="2"/>
  <c r="J400" i="2"/>
  <c r="M399" i="2"/>
  <c r="O399" i="2" s="1"/>
  <c r="L400" i="2"/>
  <c r="D400" i="2"/>
  <c r="C401" i="2"/>
  <c r="AQ397" i="2"/>
  <c r="F401" i="2"/>
  <c r="G400" i="2"/>
  <c r="R396" i="2"/>
  <c r="AQ396" i="2"/>
  <c r="X397" i="2"/>
  <c r="W397" i="2"/>
  <c r="AP397" i="2"/>
  <c r="Z397" i="2"/>
  <c r="Y397" i="2"/>
  <c r="S396" i="2" l="1"/>
  <c r="AE395" i="2" s="1"/>
  <c r="G401" i="2"/>
  <c r="F402" i="2"/>
  <c r="D401" i="2"/>
  <c r="C402" i="2"/>
  <c r="M400" i="2"/>
  <c r="O400" i="2" s="1"/>
  <c r="L401" i="2"/>
  <c r="J401" i="2"/>
  <c r="I402" i="2"/>
  <c r="R397" i="2"/>
  <c r="S397" i="2" s="1"/>
  <c r="P399" i="2"/>
  <c r="Q399" i="2" s="1"/>
  <c r="X398" i="2"/>
  <c r="W398" i="2"/>
  <c r="AP398" i="2"/>
  <c r="AQ398" i="2"/>
  <c r="AH395" i="2" l="1"/>
  <c r="AF395" i="2"/>
  <c r="AG395" i="2"/>
  <c r="R399" i="2"/>
  <c r="AQ399" i="2"/>
  <c r="Y398" i="2"/>
  <c r="I403" i="2"/>
  <c r="J402" i="2"/>
  <c r="M401" i="2"/>
  <c r="O401" i="2" s="1"/>
  <c r="L402" i="2"/>
  <c r="C403" i="2"/>
  <c r="D402" i="2"/>
  <c r="AF396" i="2"/>
  <c r="AG396" i="2"/>
  <c r="Z399" i="2"/>
  <c r="Y399" i="2"/>
  <c r="X399" i="2"/>
  <c r="W399" i="2"/>
  <c r="AP399" i="2"/>
  <c r="Q400" i="2"/>
  <c r="P400" i="2"/>
  <c r="F403" i="2"/>
  <c r="G402" i="2"/>
  <c r="R398" i="2"/>
  <c r="AE396" i="2"/>
  <c r="Z398" i="2"/>
  <c r="AH396" i="2"/>
  <c r="S398" i="2" l="1"/>
  <c r="AE397" i="2" s="1"/>
  <c r="S399" i="2"/>
  <c r="AH398" i="2" s="1"/>
  <c r="L403" i="2"/>
  <c r="M402" i="2"/>
  <c r="O402" i="2" s="1"/>
  <c r="I404" i="2"/>
  <c r="J403" i="2"/>
  <c r="AF397" i="2"/>
  <c r="G403" i="2"/>
  <c r="F404" i="2"/>
  <c r="P401" i="2"/>
  <c r="AP400" i="2"/>
  <c r="Z400" i="2"/>
  <c r="Y400" i="2"/>
  <c r="X400" i="2"/>
  <c r="W400" i="2"/>
  <c r="C404" i="2"/>
  <c r="D403" i="2"/>
  <c r="AG398" i="2"/>
  <c r="R400" i="2"/>
  <c r="S400" i="2" s="1"/>
  <c r="AQ400" i="2"/>
  <c r="AH397" i="2" l="1"/>
  <c r="AE398" i="2"/>
  <c r="AF398" i="2"/>
  <c r="AG397" i="2"/>
  <c r="C405" i="2"/>
  <c r="D404" i="2"/>
  <c r="AP401" i="2"/>
  <c r="G404" i="2"/>
  <c r="F405" i="2"/>
  <c r="J404" i="2"/>
  <c r="I405" i="2"/>
  <c r="P402" i="2"/>
  <c r="W401" i="2" s="1"/>
  <c r="Q401" i="2"/>
  <c r="Q402" i="2" s="1"/>
  <c r="L404" i="2"/>
  <c r="M403" i="2"/>
  <c r="O403" i="2" s="1"/>
  <c r="AQ402" i="2" l="1"/>
  <c r="AQ401" i="2"/>
  <c r="R401" i="2"/>
  <c r="S401" i="2" s="1"/>
  <c r="I406" i="2"/>
  <c r="J405" i="2"/>
  <c r="X401" i="2"/>
  <c r="AG400" i="2"/>
  <c r="AE400" i="2"/>
  <c r="AH400" i="2"/>
  <c r="AF400" i="2"/>
  <c r="AH399" i="2"/>
  <c r="M404" i="2"/>
  <c r="O404" i="2" s="1"/>
  <c r="L405" i="2"/>
  <c r="Z402" i="2"/>
  <c r="Y402" i="2"/>
  <c r="X402" i="2"/>
  <c r="AP402" i="2"/>
  <c r="W402" i="2"/>
  <c r="F406" i="2"/>
  <c r="G405" i="2"/>
  <c r="Y401" i="2"/>
  <c r="Z401" i="2"/>
  <c r="AF399" i="2"/>
  <c r="AG399" i="2"/>
  <c r="AE399" i="2"/>
  <c r="Q403" i="2"/>
  <c r="P403" i="2"/>
  <c r="D405" i="2"/>
  <c r="C406" i="2"/>
  <c r="Q404" i="2" l="1"/>
  <c r="P404" i="2"/>
  <c r="F407" i="2"/>
  <c r="G406" i="2"/>
  <c r="AQ403" i="2"/>
  <c r="C407" i="2"/>
  <c r="D406" i="2"/>
  <c r="AP403" i="2"/>
  <c r="Z403" i="2"/>
  <c r="Y403" i="2"/>
  <c r="X403" i="2"/>
  <c r="W403" i="2"/>
  <c r="J406" i="2"/>
  <c r="I407" i="2"/>
  <c r="M405" i="2"/>
  <c r="O405" i="2" s="1"/>
  <c r="L406" i="2"/>
  <c r="R402" i="2"/>
  <c r="S402" i="2" s="1"/>
  <c r="AH401" i="2" s="1"/>
  <c r="AE401" i="2" l="1"/>
  <c r="AF401" i="2"/>
  <c r="AG401" i="2"/>
  <c r="R403" i="2"/>
  <c r="S403" i="2" s="1"/>
  <c r="AE402" i="2" s="1"/>
  <c r="P405" i="2"/>
  <c r="J407" i="2"/>
  <c r="I408" i="2"/>
  <c r="F408" i="2"/>
  <c r="G407" i="2"/>
  <c r="AP404" i="2"/>
  <c r="Z404" i="2"/>
  <c r="Y404" i="2"/>
  <c r="X404" i="2"/>
  <c r="W404" i="2"/>
  <c r="C408" i="2"/>
  <c r="D407" i="2"/>
  <c r="L407" i="2"/>
  <c r="M406" i="2"/>
  <c r="O406" i="2" s="1"/>
  <c r="AQ404" i="2"/>
  <c r="R404" i="2"/>
  <c r="AF402" i="2" l="1"/>
  <c r="AH402" i="2"/>
  <c r="AG402" i="2"/>
  <c r="S404" i="2"/>
  <c r="AH403" i="2" s="1"/>
  <c r="D408" i="2"/>
  <c r="C409" i="2"/>
  <c r="Q406" i="2"/>
  <c r="P406" i="2"/>
  <c r="G408" i="2"/>
  <c r="F409" i="2"/>
  <c r="I409" i="2"/>
  <c r="J408" i="2"/>
  <c r="M407" i="2"/>
  <c r="O407" i="2" s="1"/>
  <c r="L408" i="2"/>
  <c r="Z405" i="2"/>
  <c r="W405" i="2"/>
  <c r="AP405" i="2"/>
  <c r="Y405" i="2"/>
  <c r="X405" i="2"/>
  <c r="Q405" i="2"/>
  <c r="AG403" i="2" l="1"/>
  <c r="AE403" i="2"/>
  <c r="AF403" i="2"/>
  <c r="P407" i="2"/>
  <c r="Q407" i="2"/>
  <c r="I410" i="2"/>
  <c r="J409" i="2"/>
  <c r="X406" i="2"/>
  <c r="W406" i="2"/>
  <c r="AP406" i="2"/>
  <c r="Z406" i="2"/>
  <c r="Y406" i="2"/>
  <c r="C410" i="2"/>
  <c r="D409" i="2"/>
  <c r="L409" i="2"/>
  <c r="M408" i="2"/>
  <c r="O408" i="2" s="1"/>
  <c r="F410" i="2"/>
  <c r="G409" i="2"/>
  <c r="AQ406" i="2"/>
  <c r="R405" i="2"/>
  <c r="S405" i="2" s="1"/>
  <c r="AQ405" i="2"/>
  <c r="R406" i="2" l="1"/>
  <c r="S406" i="2" s="1"/>
  <c r="AG405" i="2" s="1"/>
  <c r="F411" i="2"/>
  <c r="G410" i="2"/>
  <c r="AH405" i="2"/>
  <c r="AF404" i="2"/>
  <c r="AH404" i="2"/>
  <c r="AE404" i="2"/>
  <c r="AG404" i="2"/>
  <c r="M409" i="2"/>
  <c r="O409" i="2" s="1"/>
  <c r="L410" i="2"/>
  <c r="C411" i="2"/>
  <c r="D410" i="2"/>
  <c r="I411" i="2"/>
  <c r="J410" i="2"/>
  <c r="P408" i="2"/>
  <c r="AQ407" i="2"/>
  <c r="R407" i="2"/>
  <c r="Z407" i="2"/>
  <c r="Y407" i="2"/>
  <c r="AP407" i="2"/>
  <c r="X407" i="2"/>
  <c r="W407" i="2"/>
  <c r="AE405" i="2" l="1"/>
  <c r="AF405" i="2"/>
  <c r="S407" i="2"/>
  <c r="AG406" i="2" s="1"/>
  <c r="P409" i="2"/>
  <c r="C412" i="2"/>
  <c r="D411" i="2"/>
  <c r="F412" i="2"/>
  <c r="G411" i="2"/>
  <c r="M410" i="2"/>
  <c r="O410" i="2" s="1"/>
  <c r="L411" i="2"/>
  <c r="I412" i="2"/>
  <c r="J411" i="2"/>
  <c r="Y408" i="2"/>
  <c r="X408" i="2"/>
  <c r="AP408" i="2"/>
  <c r="Z408" i="2"/>
  <c r="Q408" i="2"/>
  <c r="AH406" i="2" l="1"/>
  <c r="AF406" i="2"/>
  <c r="AE406" i="2"/>
  <c r="L412" i="2"/>
  <c r="M411" i="2"/>
  <c r="O411" i="2" s="1"/>
  <c r="G412" i="2"/>
  <c r="F413" i="2"/>
  <c r="P410" i="2"/>
  <c r="D412" i="2"/>
  <c r="C413" i="2"/>
  <c r="Z409" i="2"/>
  <c r="Y409" i="2"/>
  <c r="X409" i="2"/>
  <c r="W409" i="2"/>
  <c r="AP409" i="2"/>
  <c r="I413" i="2"/>
  <c r="J412" i="2"/>
  <c r="R408" i="2"/>
  <c r="S408" i="2" s="1"/>
  <c r="AQ408" i="2"/>
  <c r="W408" i="2"/>
  <c r="Q409" i="2"/>
  <c r="AG407" i="2" l="1"/>
  <c r="AE407" i="2"/>
  <c r="AF407" i="2"/>
  <c r="AH407" i="2"/>
  <c r="I414" i="2"/>
  <c r="J413" i="2"/>
  <c r="AP410" i="2"/>
  <c r="X410" i="2"/>
  <c r="W410" i="2"/>
  <c r="Z410" i="2"/>
  <c r="Y410" i="2"/>
  <c r="G413" i="2"/>
  <c r="F414" i="2"/>
  <c r="AQ409" i="2"/>
  <c r="R409" i="2"/>
  <c r="C414" i="2"/>
  <c r="D413" i="2"/>
  <c r="Q410" i="2"/>
  <c r="Q411" i="2"/>
  <c r="P411" i="2"/>
  <c r="L413" i="2"/>
  <c r="M412" i="2"/>
  <c r="O412" i="2" s="1"/>
  <c r="S409" i="2" l="1"/>
  <c r="AG408" i="2" s="1"/>
  <c r="C415" i="2"/>
  <c r="D414" i="2"/>
  <c r="G414" i="2"/>
  <c r="F415" i="2"/>
  <c r="I415" i="2"/>
  <c r="J414" i="2"/>
  <c r="P412" i="2"/>
  <c r="Q412" i="2"/>
  <c r="AP411" i="2"/>
  <c r="Z411" i="2"/>
  <c r="Y411" i="2"/>
  <c r="X411" i="2"/>
  <c r="W411" i="2"/>
  <c r="AF408" i="2"/>
  <c r="AH409" i="2"/>
  <c r="AG409" i="2"/>
  <c r="AF409" i="2"/>
  <c r="AE409" i="2"/>
  <c r="L414" i="2"/>
  <c r="M413" i="2"/>
  <c r="O413" i="2" s="1"/>
  <c r="AQ411" i="2"/>
  <c r="R410" i="2"/>
  <c r="S410" i="2" s="1"/>
  <c r="AQ410" i="2"/>
  <c r="AH408" i="2"/>
  <c r="AE408" i="2" l="1"/>
  <c r="M414" i="2"/>
  <c r="O414" i="2" s="1"/>
  <c r="L415" i="2"/>
  <c r="P413" i="2"/>
  <c r="R412" i="2"/>
  <c r="AQ412" i="2"/>
  <c r="I416" i="2"/>
  <c r="J416" i="2" s="1"/>
  <c r="J415" i="2"/>
  <c r="R411" i="2"/>
  <c r="Y412" i="2"/>
  <c r="X412" i="2"/>
  <c r="Z412" i="2"/>
  <c r="W412" i="2"/>
  <c r="AP412" i="2"/>
  <c r="F416" i="2"/>
  <c r="G416" i="2" s="1"/>
  <c r="O417" i="2" s="1"/>
  <c r="G415" i="2"/>
  <c r="D415" i="2"/>
  <c r="C416" i="2"/>
  <c r="D416" i="2" s="1"/>
  <c r="S412" i="2" l="1"/>
  <c r="S411" i="2"/>
  <c r="P418" i="2"/>
  <c r="AP413" i="2"/>
  <c r="L416" i="2"/>
  <c r="M416" i="2" s="1"/>
  <c r="O416" i="2" s="1"/>
  <c r="M415" i="2"/>
  <c r="O415" i="2" s="1"/>
  <c r="Q413" i="2"/>
  <c r="Q414" i="2"/>
  <c r="P414" i="2"/>
  <c r="W413" i="2" s="1"/>
  <c r="AE410" i="2" l="1"/>
  <c r="AH410" i="2"/>
  <c r="AF410" i="2"/>
  <c r="AG410" i="2"/>
  <c r="Q415" i="2"/>
  <c r="P415" i="2"/>
  <c r="AG411" i="2"/>
  <c r="P416" i="2"/>
  <c r="X413" i="2"/>
  <c r="AE411" i="2"/>
  <c r="AH411" i="2"/>
  <c r="P417" i="2"/>
  <c r="AP414" i="2"/>
  <c r="Z414" i="2"/>
  <c r="X414" i="2"/>
  <c r="W414" i="2"/>
  <c r="Y414" i="2"/>
  <c r="AQ414" i="2"/>
  <c r="AQ413" i="2"/>
  <c r="R413" i="2"/>
  <c r="Y413" i="2"/>
  <c r="Z413" i="2"/>
  <c r="AF411" i="2"/>
  <c r="AP418" i="2"/>
  <c r="X418" i="2"/>
  <c r="Z418" i="2"/>
  <c r="W418" i="2"/>
  <c r="Y418" i="2"/>
  <c r="S413" i="2" l="1"/>
  <c r="AG412" i="2" s="1"/>
  <c r="AP417" i="2"/>
  <c r="X417" i="2"/>
  <c r="W417" i="2"/>
  <c r="Z417" i="2"/>
  <c r="Y417" i="2"/>
  <c r="Q417" i="2"/>
  <c r="R415" i="2"/>
  <c r="S415" i="2" s="1"/>
  <c r="AQ415" i="2"/>
  <c r="W416" i="2"/>
  <c r="Y416" i="2"/>
  <c r="AP416" i="2"/>
  <c r="X416" i="2"/>
  <c r="Z416" i="2"/>
  <c r="AF412" i="2"/>
  <c r="Q416" i="2"/>
  <c r="AP415" i="2"/>
  <c r="Y415" i="2"/>
  <c r="X415" i="2"/>
  <c r="W415" i="2"/>
  <c r="Z415" i="2"/>
  <c r="R414" i="2"/>
  <c r="S414" i="2" s="1"/>
  <c r="AE412" i="2"/>
  <c r="AH412" i="2" l="1"/>
  <c r="Z2" i="2"/>
  <c r="R416" i="2"/>
  <c r="S416" i="2" s="1"/>
  <c r="AQ416" i="2"/>
  <c r="AH414" i="2"/>
  <c r="AG414" i="2"/>
  <c r="AF414" i="2"/>
  <c r="AE414" i="2"/>
  <c r="AH413" i="2"/>
  <c r="AQ417" i="2"/>
  <c r="R417" i="2"/>
  <c r="S417" i="2" s="1"/>
  <c r="Q418" i="2"/>
  <c r="AF413" i="2"/>
  <c r="AE413" i="2"/>
  <c r="AG413" i="2"/>
  <c r="AB2" i="2" l="1"/>
  <c r="AQ418" i="2"/>
  <c r="R418" i="2"/>
  <c r="S418" i="2" s="1"/>
  <c r="Q419" i="2"/>
  <c r="Q420" i="2" s="1"/>
  <c r="AG416" i="2"/>
  <c r="AH416" i="2"/>
  <c r="AF416" i="2"/>
  <c r="AE416" i="2"/>
  <c r="AA2" i="2"/>
  <c r="AG415" i="2"/>
  <c r="AH415" i="2"/>
  <c r="AE415" i="2"/>
  <c r="AF415" i="2"/>
  <c r="R420" i="2" l="1"/>
  <c r="AC2" i="2"/>
  <c r="AQ419" i="2"/>
  <c r="R419" i="2"/>
  <c r="S419" i="2" s="1"/>
  <c r="AE417" i="2"/>
  <c r="AF417" i="2"/>
  <c r="AH417" i="2"/>
  <c r="AG417" i="2"/>
  <c r="S420" i="2" l="1"/>
  <c r="AF2" i="2" s="1"/>
  <c r="AE2" i="2"/>
  <c r="AE419" i="2"/>
  <c r="AH419" i="2"/>
  <c r="AG419" i="2"/>
  <c r="AF419" i="2"/>
  <c r="AD2" i="2"/>
  <c r="AE418" i="2"/>
  <c r="AH418" i="2"/>
  <c r="AF418" i="2"/>
  <c r="AG418" i="2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<sst xmlns="http://schemas.openxmlformats.org/spreadsheetml/2006/main" count="278" uniqueCount="56">
  <si>
    <t>OECD</t>
  </si>
  <si>
    <t>PMI US</t>
  </si>
  <si>
    <t xml:space="preserve">ADS BCI Index </t>
  </si>
  <si>
    <t xml:space="preserve">CFNAI Index </t>
  </si>
  <si>
    <t>BFCIEU Index</t>
  </si>
  <si>
    <t>OE4EKLAC Index</t>
  </si>
  <si>
    <t>NAPMPMI Index</t>
  </si>
  <si>
    <t>ADS BCI Index</t>
  </si>
  <si>
    <t>CFNAI Index</t>
  </si>
  <si>
    <t>Date</t>
  </si>
  <si>
    <t>OECD Europe CLI</t>
  </si>
  <si>
    <t>OECD Europe CLI EWMA -100</t>
  </si>
  <si>
    <t>OECD norm</t>
  </si>
  <si>
    <t>PMI US EWMA -50</t>
  </si>
  <si>
    <t>ADS BCI Cap EWMA</t>
  </si>
  <si>
    <t>ADS BCI Cap EWMA norm</t>
  </si>
  <si>
    <t>CFNAI Index  (R2)</t>
  </si>
  <si>
    <t>CFNAI Index Cap EWMA</t>
  </si>
  <si>
    <t>BFCIEU Index EWMA</t>
  </si>
  <si>
    <t>#N/A N/A</t>
  </si>
  <si>
    <t>Signal multi quantitatif</t>
  </si>
  <si>
    <t>Moyenne</t>
  </si>
  <si>
    <t>Cycle</t>
  </si>
  <si>
    <t>SD</t>
  </si>
  <si>
    <t>Smoothing parameter</t>
  </si>
  <si>
    <t>CESIEUR Index</t>
  </si>
  <si>
    <t>E</t>
  </si>
  <si>
    <t>C</t>
  </si>
  <si>
    <t>R</t>
  </si>
  <si>
    <t>US Fed SF Daily News Economic Sent</t>
  </si>
  <si>
    <t>Conference Board US Leading Index</t>
  </si>
  <si>
    <t>BFCIUS Index</t>
  </si>
  <si>
    <t>Signal macro</t>
  </si>
  <si>
    <t>SFFRNEWS Index</t>
  </si>
  <si>
    <t>LEI YOY Index</t>
  </si>
  <si>
    <t>Eco Sent</t>
  </si>
  <si>
    <t>Eco Sent EWMA</t>
  </si>
  <si>
    <t>Eco Sent norm</t>
  </si>
  <si>
    <t>ConfBoard</t>
  </si>
  <si>
    <t>ConfBoard EWMA</t>
  </si>
  <si>
    <t>ConfBoard norm</t>
  </si>
  <si>
    <t>ADS BCI Index  (R3)</t>
  </si>
  <si>
    <t>BFCIUS Index EWMA</t>
  </si>
  <si>
    <t>Ligne de référence</t>
  </si>
  <si>
    <t>CESIUSD Index</t>
  </si>
  <si>
    <t>GSUSFCI Index</t>
  </si>
  <si>
    <t>Cycle macro</t>
  </si>
  <si>
    <t>Cycle av Seuil</t>
  </si>
  <si>
    <t>avec seuil</t>
  </si>
  <si>
    <t>Check avec et sans seuil</t>
  </si>
  <si>
    <t>sans seuil</t>
  </si>
  <si>
    <t>Cycle avec seuil</t>
  </si>
  <si>
    <t>Seuil</t>
  </si>
  <si>
    <t>New Cycle</t>
  </si>
  <si>
    <t>Seuil (incrément)</t>
  </si>
  <si>
    <t>Seuil (MD)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</si>
</sst>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yyyy/m/d"/>
  </numFmts>
  <fonts count="1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Apercu Light"/>
      <family val="3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 tint="-4.9989318521683403E-2"/>
      <name val="Apercu Light"/>
      <family val="3"/>
    </font>
    <font>
      <b/>
      <sz val="11"/>
      <color theme="0" tint="-4.9989318521683403E-2"/>
      <name val="Apercu Light"/>
      <family val="3"/>
    </font>
    <font>
      <b/>
      <sz val="10"/>
      <color theme="0" tint="-4.9989318521683403E-2"/>
      <name val="Apercu Light"/>
      <family val="3"/>
    </font>
    <font>
      <sz val="11"/>
      <color theme="1"/>
      <name val="Apercu Light"/>
      <family val="3"/>
    </font>
  </fonts>
  <fills count="10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2" fontId="0" fillId="3" borderId="0" xfId="0" applyNumberFormat="1" applyFill="1" applyAlignment="1">
      <alignment horizontal="center" vertical="center" wrapText="1"/>
    </xf>
    <xf numFmtId="2" fontId="0" fillId="4" borderId="0" xfId="0" applyNumberFormat="1" applyFill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2" fontId="0" fillId="4" borderId="0" xfId="0" applyNumberFormat="1" applyFill="1" applyAlignment="1">
      <alignment horizontal="center"/>
    </xf>
    <xf numFmtId="4" fontId="0" fillId="4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/>
    <xf numFmtId="2" fontId="0" fillId="0" borderId="0" xfId="0" applyNumberFormat="1"/>
    <xf numFmtId="10" fontId="4" fillId="7" borderId="0" xfId="0" applyNumberFormat="1" applyFont="1" applyFill="1" applyAlignment="1">
      <alignment horizontal="center" vertical="center"/>
    </xf>
    <xf numFmtId="10" fontId="0" fillId="0" borderId="0" xfId="1" applyNumberFormat="1" applyFont="1"/>
    <xf numFmtId="20" fontId="0" fillId="0" borderId="0" xfId="0" applyNumberFormat="1" applyAlignment="1">
      <alignment horizontal="center" vertical="center" wrapText="1"/>
    </xf>
    <xf numFmtId="4" fontId="6" fillId="5" borderId="0" xfId="0" applyNumberFormat="1" applyFont="1" applyFill="1" applyAlignment="1">
      <alignment horizontal="center"/>
    </xf>
    <xf numFmtId="14" fontId="9" fillId="8" borderId="6" xfId="0" applyNumberFormat="1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14" fontId="10" fillId="7" borderId="0" xfId="0" applyNumberFormat="1" applyFont="1" applyFill="1"/>
    <xf numFmtId="164" fontId="3" fillId="0" borderId="0" xfId="0" applyNumberFormat="1" applyFont="1" applyAlignment="1">
      <alignment horizontal="center"/>
    </xf>
    <xf numFmtId="164" fontId="0" fillId="3" borderId="1" xfId="0" applyNumberForma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10" fontId="0" fillId="0" borderId="0" xfId="0" applyNumberFormat="1"/>
    <xf numFmtId="0" fontId="0" fillId="9" borderId="0" xfId="0" applyFill="1" applyAlignment="1">
      <alignment horizontal="center"/>
    </xf>
    <xf numFmtId="4" fontId="0" fillId="5" borderId="0" xfId="0" applyNumberFormat="1" applyFill="1" applyAlignment="1">
      <alignment horizontal="center"/>
    </xf>
    <xf numFmtId="0" fontId="2" fillId="4" borderId="0" xfId="0" applyFont="1" applyFill="1" applyAlignment="1">
      <alignment horizontal="center" vertical="center" wrapText="1"/>
    </xf>
    <xf numFmtId="9" fontId="0" fillId="0" borderId="0" xfId="1" applyFont="1"/>
    <xf numFmtId="0" fontId="2" fillId="9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4" borderId="8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165" fontId="0" fillId="0" borderId="0" xfId="0" applyNumberFormat="1"/>
  </cellXfs>
  <cellStyles count="2">
    <cellStyle name="百分比" xfId="1" builtinId="5"/>
    <cellStyle name="常规" xfId="0" builtinId="0"/>
  </cellStyles>
  <dxfs count="8"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8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8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BDH|11576021947238505756</stp>
        <tr r="E286" s="1"/>
      </tp>
      <tp t="s">
        <v>#N/A N/A</v>
        <stp/>
        <stp>BDH|12075413371023435842</stp>
        <tr r="J271" s="1"/>
      </tp>
      <tp t="s">
        <v>#N/A N/A</v>
        <stp/>
        <stp>BDH|10867181513183397893</stp>
        <tr r="B432" s="2"/>
      </tp>
      <tp t="s">
        <v>#N/A N/A</v>
        <stp/>
        <stp>BDH|17532772866834823973</stp>
        <tr r="L296" s="1"/>
      </tp>
      <tp t="s">
        <v>#N/A N/A</v>
        <stp/>
        <stp>BDH|14531850753922727080</stp>
        <tr r="E278" s="1"/>
      </tp>
      <tp t="s">
        <v>#N/A N/A</v>
        <stp/>
        <stp>BDH|12956172195877347587</stp>
        <tr r="K439" s="2"/>
      </tp>
      <tp t="s">
        <v>#N/A N/A</v>
        <stp/>
        <stp>BDH|10291738011839194731</stp>
        <tr r="J267" s="1"/>
      </tp>
      <tp t="s">
        <v>#N/A N/A</v>
        <stp/>
        <stp>BDH|17173283871339675391</stp>
        <tr r="J284" s="1"/>
      </tp>
      <tp t="s">
        <v>#N/A N/A</v>
        <stp/>
        <stp>BDH|13811917013160640364</stp>
        <tr r="E288" s="1"/>
      </tp>
      <tp t="s">
        <v>#N/A N/A</v>
        <stp/>
        <stp>BDH|16720637082010318089</stp>
        <tr r="J303" s="1"/>
      </tp>
      <tp t="s">
        <v>#N/A N/A</v>
        <stp/>
        <stp>BDH|14688171341971814852</stp>
        <tr r="L301" s="1"/>
      </tp>
      <tp t="s">
        <v>#N/A N/A</v>
        <stp/>
        <stp>BDH|17428900644750862253</stp>
        <tr r="E432" s="2"/>
      </tp>
      <tp t="s">
        <v>#N/A N/A</v>
        <stp/>
        <stp>BDH|11873525224678692665</stp>
        <tr r="B433" s="2"/>
      </tp>
      <tp t="s">
        <v>#N/A Requesting Data...2848162562</v>
        <stp/>
        <stp>BDH|11279275611808011377</stp>
        <tr r="E259" s="1"/>
      </tp>
      <tp t="s">
        <v>#N/A N/A</v>
        <stp/>
        <stp>BDH|11906944970251796726</stp>
        <tr r="B293" s="1"/>
      </tp>
      <tp t="s">
        <v>#N/A Requesting Data...2594631958</v>
        <stp/>
        <stp>BDH|13452822786022242891</stp>
        <tr r="V289" s="1"/>
      </tp>
      <tp t="s">
        <v>#N/A Requesting Data...3457601213</v>
        <stp/>
        <stp>BDH|16316677943989979445</stp>
        <tr r="AB422" s="2"/>
      </tp>
      <tp t="s">
        <v>#N/A N/A</v>
        <stp/>
        <stp>BDH|11134705192443851514</stp>
        <tr r="E439" s="2"/>
      </tp>
      <tp t="s">
        <v>#N/A N/A</v>
        <stp/>
        <stp>BDH|13910367589307939613</stp>
        <tr r="E285" s="1"/>
      </tp>
      <tp t="s">
        <v>#N/A N/A</v>
        <stp/>
        <stp>BDH|11925685794314370450</stp>
        <tr r="H425" s="2"/>
        <tr r="G292" s="1"/>
      </tp>
      <tp t="s">
        <v>#N/A N/A</v>
        <stp/>
        <stp>BDH|18206115124673549658</stp>
        <tr r="E296" s="1"/>
      </tp>
      <tp t="s">
        <v>#N/A N/A</v>
        <stp/>
        <stp>BDH|16422525040370746979</stp>
        <tr r="E306" s="1"/>
      </tp>
      <tp t="s">
        <v>#N/A N/A</v>
        <stp/>
        <stp>BDH|16294674839498677536</stp>
        <tr r="B426" s="2"/>
      </tp>
      <tp t="s">
        <v>#N/A N/A</v>
        <stp/>
        <stp>BDH|13545581342524547853</stp>
        <tr r="B300" s="1"/>
      </tp>
      <tp t="s">
        <v>#N/A N/A</v>
        <stp/>
        <stp>BDH|12318781207848523204</stp>
        <tr r="J259" s="1"/>
      </tp>
      <tp t="s">
        <v>#N/A N/A</v>
        <stp/>
        <stp>BDH|10094054596634160293</stp>
        <tr r="J295" s="1"/>
      </tp>
      <tp t="s">
        <v>#N/A N/A</v>
        <stp/>
        <stp>BDH|17801959560425862280</stp>
        <tr r="H431" s="2"/>
        <tr r="G298" s="1"/>
      </tp>
      <tp t="s">
        <v>#N/A N/A</v>
        <stp/>
        <stp>BDH|15313980588881710968</stp>
        <tr r="E289" s="1"/>
      </tp>
      <tp t="s">
        <v>#N/A N/A</v>
        <stp/>
        <stp>BDH|14751044418238879148</stp>
        <tr r="B430" s="2"/>
      </tp>
      <tp t="s">
        <v>#N/A N/A</v>
        <stp/>
        <stp>BDH|15012866156134242043</stp>
        <tr r="H436" s="2"/>
        <tr r="G303" s="1"/>
      </tp>
      <tp t="s">
        <v>#N/A N/A</v>
        <stp/>
        <stp>BDH|11100094658651568931</stp>
        <tr r="B294" s="1"/>
      </tp>
      <tp t="s">
        <v>#N/A N/A</v>
        <stp/>
        <stp>BDH|11968177371613326855</stp>
        <tr r="E270" s="1"/>
      </tp>
      <tp t="s">
        <v>#N/A N/A</v>
        <stp/>
        <stp>BDH|14599990653122014658</stp>
        <tr r="H438" s="2"/>
        <tr r="G305" s="1"/>
      </tp>
      <tp t="s">
        <v>#N/A Requesting Data...3095500904</v>
        <stp/>
        <stp>BDH|10073642091034395678</stp>
        <tr r="V286" s="1"/>
      </tp>
      <tp t="s">
        <v>#N/A Requesting Data...2299954149</v>
        <stp/>
        <stp>BDH|18262825680375164029</stp>
        <tr r="AB411" s="2"/>
      </tp>
      <tp t="s">
        <v>#N/A N/A</v>
        <stp/>
        <stp>BDH|16209861225444232577</stp>
        <tr r="E435" s="2"/>
      </tp>
      <tp t="s">
        <v>#N/A N/A</v>
        <stp/>
        <stp>BDH|13346483178311047311</stp>
        <tr r="J264" s="1"/>
      </tp>
      <tp t="s">
        <v>#N/A N/A</v>
        <stp/>
        <stp>BDH|15038367865676090441</stp>
        <tr r="H434" s="2"/>
        <tr r="G301" s="1"/>
      </tp>
      <tp t="s">
        <v>#N/A N/A</v>
        <stp/>
        <stp>BDH|13673885981933779257</stp>
        <tr r="E291" s="1"/>
      </tp>
      <tp t="s">
        <v>#N/A N/A</v>
        <stp/>
        <stp>BDH|10254551052722213161</stp>
        <tr r="J280" s="1"/>
      </tp>
      <tp t="s">
        <v>#N/A Requesting Data...3479679996</v>
        <stp/>
        <stp>BDH|14905642810404300453</stp>
        <tr r="AB419" s="2"/>
      </tp>
      <tp t="s">
        <v>#N/A N/A</v>
        <stp/>
        <stp>BDH|10364547213405133287</stp>
        <tr r="H426" s="2"/>
        <tr r="G293" s="1"/>
      </tp>
      <tp t="s">
        <v>#N/A N/A</v>
        <stp/>
        <stp>BDH|18298583524559761551</stp>
        <tr r="J261" s="1"/>
      </tp>
      <tp t="s">
        <v>#N/A N/A</v>
        <stp/>
        <stp>BDH|17457310961187650503</stp>
        <tr r="J299" s="1"/>
      </tp>
      <tp t="s">
        <v>#N/A N/A</v>
        <stp/>
        <stp>BDH|11217825524672218915</stp>
        <tr r="J302" s="1"/>
      </tp>
      <tp t="s">
        <v>#N/A N/A</v>
        <stp/>
        <stp>BDH|10009388421314400547</stp>
        <tr r="J274" s="1"/>
      </tp>
      <tp t="s">
        <v>#N/A N/A</v>
        <stp/>
        <stp>BDH|16782534970966933245</stp>
        <tr r="B437" s="2"/>
      </tp>
      <tp t="s">
        <v>#N/A N/A</v>
        <stp/>
        <stp>BDH|10299346597782942802</stp>
        <tr r="B428" s="2"/>
      </tp>
      <tp t="s">
        <v>#N/A N/A</v>
        <stp/>
        <stp>BDH|11257497763204786723</stp>
        <tr r="J277" s="1"/>
      </tp>
      <tp t="s">
        <v>#N/A N/A</v>
        <stp/>
        <stp>BDH|17818334373804463702</stp>
        <tr r="J300" s="1"/>
      </tp>
      <tp t="s">
        <v>#N/A N/A</v>
        <stp/>
        <stp>BDH|15846546015771037181</stp>
        <tr r="L294" s="1"/>
      </tp>
      <tp t="s">
        <v>#N/A Requesting Data...3787879990</v>
        <stp/>
        <stp>BDH|14996517544790875442</stp>
        <tr r="AB417" s="2"/>
      </tp>
      <tp t="s">
        <v>#N/A N/A</v>
        <stp/>
        <stp>BDH|12228356050790142518</stp>
        <tr r="J279" s="1"/>
      </tp>
      <tp t="s">
        <v>#N/A N/A</v>
        <stp/>
        <stp>BDH|11512091354904070108</stp>
        <tr r="E281" s="1"/>
      </tp>
      <tp t="s">
        <v>#N/A N/A</v>
        <stp/>
        <stp>BDH|14070873719378763428</stp>
        <tr r="B438" s="2"/>
      </tp>
      <tp t="s">
        <v>#N/A N/A</v>
        <stp/>
        <stp>BDH|15413300228331839490</stp>
        <tr r="E275" s="1"/>
      </tp>
      <tp t="s">
        <v>#N/A N/A</v>
        <stp/>
        <stp>BDH|14635675423741818070</stp>
        <tr r="E262" s="1"/>
      </tp>
      <tp t="s">
        <v>#N/A N/A</v>
        <stp/>
        <stp>BDH|16418002457210462281</stp>
        <tr r="J304" s="1"/>
      </tp>
      <tp t="s">
        <v>#N/A N/A</v>
        <stp/>
        <stp>BDH|17916634620875626722</stp>
        <tr r="J278" s="1"/>
      </tp>
      <tp t="s">
        <v>#N/A N/A</v>
        <stp/>
        <stp>BDH|16672778552632303007</stp>
        <tr r="J268" s="1"/>
      </tp>
      <tp t="s">
        <v>#N/A N/A</v>
        <stp/>
        <stp>BDH|13674841018729623588</stp>
        <tr r="J301" s="1"/>
      </tp>
      <tp t="s">
        <v>#N/A N/A</v>
        <stp/>
        <stp>BDH|18271253431576593976</stp>
        <tr r="H432" s="2"/>
        <tr r="G299" s="1"/>
      </tp>
      <tp t="s">
        <v>#N/A Requesting Data...4242028090</v>
        <stp/>
        <stp>BDH|13300126884235732944</stp>
        <tr r="H424" s="2"/>
        <tr r="G291" s="1"/>
      </tp>
      <tp t="s">
        <v>#N/A N/A</v>
        <stp/>
        <stp>BDH|14439551028111938461</stp>
        <tr r="E425" s="2"/>
      </tp>
      <tp t="s">
        <v>#N/A Requesting Data...2308609294</v>
        <stp/>
        <stp>BDH|10253715531697537513</stp>
        <tr r="L291" s="1"/>
      </tp>
      <tp t="s">
        <v>#N/A N/A</v>
        <stp/>
        <stp>BDH|14193496652895768653</stp>
        <tr r="L299" s="1"/>
      </tp>
      <tp t="s">
        <v>#N/A N/A</v>
        <stp/>
        <stp>BDH|12833148102505625055</stp>
        <tr r="L306" s="1"/>
      </tp>
      <tp t="s">
        <v>#N/A N/A</v>
        <stp/>
        <stp>BDH|12925059630206113111</stp>
        <tr r="E426" s="2"/>
      </tp>
      <tp t="s">
        <v>#N/A N/A</v>
        <stp/>
        <stp>BDH|16220973273206895810</stp>
        <tr r="B304" s="1"/>
      </tp>
      <tp t="s">
        <v>#N/A N/A</v>
        <stp/>
        <stp>BDH|17040553974180519259</stp>
        <tr r="J287" s="1"/>
      </tp>
      <tp t="s">
        <v>#N/A Requesting Data...3063848263</v>
        <stp/>
        <stp>BDH|18029915163277184706</stp>
        <tr r="V284" s="1"/>
      </tp>
      <tp t="s">
        <v>#N/A N/A</v>
        <stp/>
        <stp>BDH|12648906797790470510</stp>
        <tr r="J297" s="1"/>
      </tp>
      <tp t="s">
        <v>#N/A N/A</v>
        <stp/>
        <stp>BDH|13667368616637448141</stp>
        <tr r="J298" s="1"/>
      </tp>
      <tp t="s">
        <v>#N/A Requesting Data...1638380944</v>
        <stp/>
        <stp>BDH|11515153401776930103</stp>
        <tr r="AB423" s="2"/>
      </tp>
      <tp t="s">
        <v>#N/A N/A</v>
        <stp/>
        <stp>BDH|16373073361990799798</stp>
        <tr r="E283" s="1"/>
      </tp>
      <tp t="s">
        <v>#N/A N/A</v>
        <stp/>
        <stp>BDH|16738745041190842211</stp>
        <tr r="K427" s="2"/>
      </tp>
      <tp t="s">
        <v>#N/A N/A</v>
        <stp/>
        <stp>BDH|16135042948783008604</stp>
        <tr r="E274" s="1"/>
      </tp>
      <tp t="s">
        <v>#N/A N/A</v>
        <stp/>
        <stp>BDH|15598040848531243777</stp>
        <tr r="L298" s="1"/>
      </tp>
      <tp t="s">
        <v>#N/A N/A</v>
        <stp/>
        <stp>BDH|14368406550440445298</stp>
        <tr r="J269" s="1"/>
      </tp>
      <tp t="s">
        <v>#N/A N/A</v>
        <stp/>
        <stp>BDH|13324601612462930160</stp>
        <tr r="J262" s="1"/>
      </tp>
      <tp t="s">
        <v>#N/A N/A</v>
        <stp/>
        <stp>BDH|11141070731090377649</stp>
        <tr r="J282" s="1"/>
      </tp>
      <tp t="s">
        <v>#N/A Requesting Data...3315198734</v>
        <stp/>
        <stp>BDH|10201167346856788709</stp>
        <tr r="B291" s="1"/>
      </tp>
      <tp t="s">
        <v>#N/A N/A</v>
        <stp/>
        <stp>BDH|14631436304912005651</stp>
        <tr r="J305" s="1"/>
      </tp>
      <tp t="s">
        <v>#N/A N/A</v>
        <stp/>
        <stp>BDH|15747234224157260699</stp>
        <tr r="E284" s="1"/>
      </tp>
      <tp t="s">
        <v>#N/A N/A</v>
        <stp/>
        <stp>BDH|11937089146402841327</stp>
        <tr r="J270" s="1"/>
      </tp>
      <tp t="s">
        <v>#N/A Requesting Data...4010598538</v>
        <stp/>
        <stp>BDH|17184141268446588249</stp>
        <tr r="B424" s="2"/>
      </tp>
      <tp t="s">
        <v>#N/A Requesting Data...3777513557</v>
        <stp/>
        <stp>BDH|12284623450923161711</stp>
        <tr r="AB418" s="2"/>
      </tp>
      <tp t="s">
        <v>#N/A N/A</v>
        <stp/>
        <stp>BDH|17576575100725871296</stp>
        <tr r="J260" s="1"/>
      </tp>
      <tp t="s">
        <v>#N/A N/A</v>
        <stp/>
        <stp>BDH|16420448408683969446</stp>
        <tr r="E429" s="2"/>
      </tp>
      <tp t="s">
        <v>#N/A N/A</v>
        <stp/>
        <stp>BDH|14654775142343046151</stp>
        <tr r="B296" s="1"/>
      </tp>
      <tp t="s">
        <v>#N/A N/A</v>
        <stp/>
        <stp>BDH|11517627762832924653</stp>
        <tr r="J288" s="1"/>
      </tp>
      <tp t="s">
        <v>#N/A N/A</v>
        <stp/>
        <stp>BDH|10481517020351852371</stp>
        <tr r="J272" s="1"/>
      </tp>
      <tp t="s">
        <v>#N/A N/A</v>
        <stp/>
        <stp>BDH|15992785457706077496</stp>
        <tr r="L297" s="1"/>
      </tp>
    </main>
    <main first="bofaddin.rtdserver">
      <tp t="s">
        <v>#N/A N/A</v>
        <stp/>
        <stp>BDH|3288892218801190794</stp>
        <tr r="B303" s="1"/>
      </tp>
      <tp t="s">
        <v>#N/A N/A</v>
        <stp/>
        <stp>BDH|8123633307811995345</stp>
        <tr r="B427" s="2"/>
      </tp>
      <tp t="s">
        <v>#N/A N/A</v>
        <stp/>
        <stp>BDH|1876953808297813343</stp>
        <tr r="E282" s="1"/>
      </tp>
      <tp t="s">
        <v>#N/A N/A</v>
        <stp/>
        <stp>BDH|9635589895908277172</stp>
        <tr r="E279" s="1"/>
      </tp>
      <tp t="s">
        <v>#N/A N/A</v>
        <stp/>
        <stp>BDH|4062658186060487630</stp>
        <tr r="K432" s="2"/>
      </tp>
      <tp t="s">
        <v>#N/A N/A</v>
        <stp/>
        <stp>BDH|4619867115713475381</stp>
        <tr r="K436" s="2"/>
      </tp>
      <tp t="s">
        <v>#N/A N/A</v>
        <stp/>
        <stp>BDH|8241342083628957600</stp>
        <tr r="H435" s="2"/>
        <tr r="G302" s="1"/>
      </tp>
      <tp t="s">
        <v>#N/A N/A</v>
        <stp/>
        <stp>BDH|7585260299279716811</stp>
        <tr r="E430" s="2"/>
      </tp>
      <tp t="s">
        <v>#N/A N/A</v>
        <stp/>
        <stp>BDH|3268332521649106605</stp>
        <tr r="L304" s="1"/>
      </tp>
      <tp t="s">
        <v>#N/A N/A</v>
        <stp/>
        <stp>BDH|8059015066707672477</stp>
        <tr r="L300" s="1"/>
      </tp>
      <tp t="s">
        <v>#N/A N/A</v>
        <stp/>
        <stp>BDH|7722315366617177867</stp>
        <tr r="J290" s="1"/>
      </tp>
      <tp t="s">
        <v>#N/A Requesting Data...1579090298</v>
        <stp/>
        <stp>BDH|7782764629937894876</stp>
        <tr r="B252" s="1"/>
      </tp>
      <tp t="s">
        <v>#N/A Requesting Data...2240544803</v>
        <stp/>
        <stp>BDH|3143340006767288992</stp>
        <tr r="E424" s="2"/>
      </tp>
      <tp t="s">
        <v>#N/A N/A</v>
        <stp/>
        <stp>BDH|9495541439348077962</stp>
        <tr r="B295" s="1"/>
      </tp>
      <tp t="s">
        <v>#N/A N/A</v>
        <stp/>
        <stp>BDH|2799874320156950042</stp>
        <tr r="E305" s="1"/>
      </tp>
      <tp t="s">
        <v>#N/A N/A</v>
        <stp/>
        <stp>BDH|9581430623465609592</stp>
        <tr r="E261" s="1"/>
      </tp>
      <tp t="s">
        <v>#N/A N/A</v>
        <stp/>
        <stp>BDH|4060048772984421812</stp>
        <tr r="E263" s="1"/>
      </tp>
      <tp t="s">
        <v>#N/A Requesting Data...3187998124</v>
        <stp/>
        <stp>BDH|9442204786879462555</stp>
        <tr r="V285" s="1"/>
      </tp>
      <tp t="s">
        <v>#N/A N/A</v>
        <stp/>
        <stp>BDH|2749601673164411872</stp>
        <tr r="K437" s="2"/>
      </tp>
      <tp t="s">
        <v>#N/A N/A</v>
        <stp/>
        <stp>BDH|4726071494627487280</stp>
        <tr r="H2" s="3"/>
      </tp>
      <tp t="s">
        <v>#N/A N/A</v>
        <stp/>
        <stp>BDH|1252716141728368289</stp>
        <tr r="K433" s="2"/>
      </tp>
      <tp t="s">
        <v>#N/A N/A</v>
        <stp/>
        <stp>BDH|7231139830988518543</stp>
        <tr r="L292" s="1"/>
      </tp>
      <tp t="s">
        <v>#N/A N/A</v>
        <stp/>
        <stp>BDH|6788849927153175740</stp>
        <tr r="E297" s="1"/>
      </tp>
      <tp t="s">
        <v>#N/A N/A</v>
        <stp/>
        <stp>BDH|7886646676959312780</stp>
        <tr r="E260" s="1"/>
      </tp>
      <tp t="s">
        <v>#N/A N/A</v>
        <stp/>
        <stp>BDH|5884033488383794628</stp>
        <tr r="J306" s="1"/>
      </tp>
      <tp t="s">
        <v>#N/A N/A</v>
        <stp/>
        <stp>BDH|7736244566608149306</stp>
        <tr r="E433" s="2"/>
      </tp>
      <tp t="s">
        <v>#N/A N/A</v>
        <stp/>
        <stp>BDH|3726985095039608374</stp>
        <tr r="L305" s="1"/>
      </tp>
      <tp t="s">
        <v>#N/A N/A</v>
        <stp/>
        <stp>BDH|9796793723467788263</stp>
        <tr r="J263" s="1"/>
      </tp>
      <tp t="s">
        <v>#N/A N/A</v>
        <stp/>
        <stp>BDH|9464670963629178934</stp>
        <tr r="L295" s="1"/>
      </tp>
      <tp t="s">
        <v>#N/A N/A</v>
        <stp/>
        <stp>BDH|3318909174637625369</stp>
        <tr r="K426" s="2"/>
      </tp>
      <tp t="s">
        <v>#N/A N/A</v>
        <stp/>
        <stp>BDH|5491320908538327445</stp>
        <tr r="E269" s="1"/>
      </tp>
      <tp t="s">
        <v>#N/A N/A</v>
        <stp/>
        <stp>BDH|3739988719181251081</stp>
        <tr r="E272" s="1"/>
      </tp>
      <tp t="s">
        <v>#N/A N/A</v>
        <stp/>
        <stp>BDH|7360841393055547938</stp>
        <tr r="J293" s="1"/>
      </tp>
      <tp t="s">
        <v>#N/A N/A</v>
        <stp/>
        <stp>BDH|8723233562214293252</stp>
        <tr r="E300" s="1"/>
      </tp>
      <tp t="s">
        <v>#N/A N/A</v>
        <stp/>
        <stp>BDH|3498676182614345378</stp>
        <tr r="E295" s="1"/>
      </tp>
      <tp t="s">
        <v>#N/A N/A</v>
        <stp/>
        <stp>BDH|2245464237059708616</stp>
        <tr r="J265" s="1"/>
      </tp>
      <tp t="s">
        <v>#N/A N/A</v>
        <stp/>
        <stp>BDH|6673525392434541596</stp>
        <tr r="B425" s="2"/>
      </tp>
      <tp t="s">
        <v>#N/A N/A</v>
        <stp/>
        <stp>BDH|3510870807781479181</stp>
        <tr r="L302" s="1"/>
      </tp>
      <tp t="s">
        <v>#N/A N/A</v>
        <stp/>
        <stp>BDH|5978957808760457790</stp>
        <tr r="B305" s="1"/>
      </tp>
      <tp t="s">
        <v>#N/A N/A</v>
        <stp/>
        <stp>BDH|9104850199152207136</stp>
        <tr r="E280" s="1"/>
      </tp>
      <tp t="s">
        <v>#N/A N/A</v>
        <stp/>
        <stp>BDH|1396858527683329344</stp>
        <tr r="B301" s="1"/>
      </tp>
      <tp t="s">
        <v>#N/A N/A</v>
        <stp/>
        <stp>BDH|4815894062066278778</stp>
        <tr r="E292" s="1"/>
      </tp>
      <tp t="s">
        <v>#N/A N/A</v>
        <stp/>
        <stp>BDH|2857040691321210199</stp>
        <tr r="E436" s="2"/>
      </tp>
      <tp t="s">
        <v>#N/A N/A</v>
        <stp/>
        <stp>BDH|6043967667862154077</stp>
        <tr r="K429" s="2"/>
      </tp>
      <tp t="s">
        <v>#N/A N/A</v>
        <stp/>
        <stp>BDH|5186757091225689561</stp>
        <tr r="H433" s="2"/>
        <tr r="G300" s="1"/>
      </tp>
      <tp t="s">
        <v>#N/A N/A</v>
        <stp/>
        <stp>BDH|7661148470851385494</stp>
        <tr r="J276" s="1"/>
      </tp>
      <tp t="s">
        <v>#N/A N/A</v>
        <stp/>
        <stp>BDH|8248345828979498440</stp>
        <tr r="B292" s="1"/>
      </tp>
      <tp t="s">
        <v>#N/A N/A</v>
        <stp/>
        <stp>BDH|7028281560072569525</stp>
        <tr r="E276" s="1"/>
      </tp>
      <tp t="s">
        <v>#N/A N/A</v>
        <stp/>
        <stp>BDH|9328204841459750235</stp>
        <tr r="J296" s="1"/>
      </tp>
      <tp t="s">
        <v>#N/A N/A</v>
        <stp/>
        <stp>BDH|5652753854020570360</stp>
        <tr r="L293" s="1"/>
      </tp>
      <tp t="s">
        <v>#N/A N/A</v>
        <stp/>
        <stp>BDH|1567112687175086960</stp>
        <tr r="H437" s="2"/>
        <tr r="G304" s="1"/>
      </tp>
      <tp t="s">
        <v>#N/A N/A</v>
        <stp/>
        <stp>BDH|3606511728102534312</stp>
        <tr r="E277" s="1"/>
      </tp>
      <tp t="s">
        <v>#N/A N/A</v>
        <stp/>
        <stp>BDH|1688160328410748779</stp>
        <tr r="J289" s="1"/>
      </tp>
      <tp t="s">
        <v>#N/A N/A</v>
        <stp/>
        <stp>BDH|4476182724323175101</stp>
        <tr r="B434" s="2"/>
      </tp>
      <tp t="s">
        <v>#N/A N/A</v>
        <stp/>
        <stp>BDH|1592342982269559668</stp>
        <tr r="K430" s="2"/>
      </tp>
      <tp t="s">
        <v>#N/A N/A</v>
        <stp/>
        <stp>BDH|5146661185818988531</stp>
        <tr r="J275" s="1"/>
      </tp>
      <tp t="s">
        <v>#N/A N/A</v>
        <stp/>
        <stp>BDH|6515380956940417673</stp>
        <tr r="J291" s="1"/>
      </tp>
      <tp t="s">
        <v>#N/A N/A</v>
        <stp/>
        <stp>BDH|5294062170936406292</stp>
        <tr r="H429" s="2"/>
        <tr r="G296" s="1"/>
      </tp>
      <tp t="s">
        <v>#N/A N/A</v>
        <stp/>
        <stp>BDH|1639083412237561160</stp>
        <tr r="J281" s="1"/>
      </tp>
      <tp t="s">
        <v>#N/A N/A</v>
        <stp/>
        <stp>BDH|6542579718230034473</stp>
        <tr r="E287" s="1"/>
      </tp>
      <tp t="s">
        <v>#N/A N/A</v>
        <stp/>
        <stp>BDH|5302513237907152291</stp>
        <tr r="E268" s="1"/>
      </tp>
      <tp t="s">
        <v>#N/A N/A</v>
        <stp/>
        <stp>BDH|4525133224745159402</stp>
        <tr r="B299" s="1"/>
      </tp>
      <tp t="s">
        <v>#N/A N/A</v>
        <stp/>
        <stp>BDH|9780475314893783948</stp>
        <tr r="E265" s="1"/>
      </tp>
      <tp t="s">
        <v>#N/A N/A</v>
        <stp/>
        <stp>BDH|3159535091451339871</stp>
        <tr r="E434" s="2"/>
      </tp>
      <tp t="s">
        <v>#N/A N/A</v>
        <stp/>
        <stp>BDH|4764535527571562435</stp>
        <tr r="E431" s="2"/>
      </tp>
      <tp t="s">
        <v>#N/A N/A</v>
        <stp/>
        <stp>BDH|2222163058016408709</stp>
        <tr r="E302" s="1"/>
      </tp>
      <tp t="s">
        <v>#N/A N/A</v>
        <stp/>
        <stp>BDH|9341711338292742849</stp>
        <tr r="K428" s="2"/>
      </tp>
      <tp t="s">
        <v>#N/A N/A</v>
        <stp/>
        <stp>BDH|4885484913594860271</stp>
        <tr r="K438" s="2"/>
      </tp>
      <tp t="s">
        <v>#N/A N/A</v>
        <stp/>
        <stp>BDH|1176680307712876240</stp>
        <tr r="B298" s="1"/>
      </tp>
      <tp t="s">
        <v>#N/A N/A</v>
        <stp/>
        <stp>BDH|8062183942183921904</stp>
        <tr r="E266" s="1"/>
      </tp>
      <tp t="s">
        <v>#N/A N/A</v>
        <stp/>
        <stp>BDH|3896294013430643741</stp>
        <tr r="H427" s="2"/>
        <tr r="G294" s="1"/>
      </tp>
      <tp t="s">
        <v>#N/A N/A</v>
        <stp/>
        <stp>BDH|7046234255614523338</stp>
        <tr r="H430" s="2"/>
        <tr r="G297" s="1"/>
      </tp>
      <tp t="s">
        <v>#N/A N/A</v>
        <stp/>
        <stp>BDH|1562394866200721390</stp>
        <tr r="B436" s="2"/>
      </tp>
      <tp t="s">
        <v>#N/A N/A</v>
        <stp/>
        <stp>BDH|1774267628015843353</stp>
        <tr r="E294" s="1"/>
      </tp>
      <tp t="s">
        <v>#N/A N/A</v>
        <stp/>
        <stp>BDH|4895085737851747148</stp>
        <tr r="E271" s="1"/>
      </tp>
      <tp t="s">
        <v>#N/A Requesting Data...3751327018</v>
        <stp/>
        <stp>BDH|5619111624520221690</stp>
        <tr r="AB424" s="2"/>
      </tp>
      <tp t="s">
        <v>#N/A N/A</v>
        <stp/>
        <stp>BDH|4781543645000672581</stp>
        <tr r="J266" s="1"/>
      </tp>
      <tp t="s">
        <v>#N/A N/A</v>
        <stp/>
        <stp>BDH|7048690032566499466</stp>
        <tr r="B297" s="1"/>
      </tp>
      <tp t="s">
        <v>#N/A N/A</v>
        <stp/>
        <stp>BDH|8446175423668898354</stp>
        <tr r="B2" s="3"/>
      </tp>
      <tp t="s">
        <v>#N/A N/A</v>
        <stp/>
        <stp>BDH|2278194057135638383</stp>
        <tr r="E264" s="1"/>
      </tp>
      <tp t="s">
        <v>#N/A N/A</v>
        <stp/>
        <stp>BDH|6284946934808553403</stp>
        <tr r="J273" s="1"/>
      </tp>
      <tp t="s">
        <v>#N/A N/A</v>
        <stp/>
        <stp>BDH|4123454170824483372</stp>
        <tr r="E437" s="2"/>
      </tp>
      <tp t="s">
        <v>#N/A N/A</v>
        <stp/>
        <stp>BDH|4475874585182090617</stp>
        <tr r="K435" s="2"/>
      </tp>
      <tp t="s">
        <v>#N/A N/A</v>
        <stp/>
        <stp>BDH|3514141545295855392</stp>
        <tr r="E298" s="1"/>
      </tp>
      <tp t="s">
        <v>#N/A N/A</v>
        <stp/>
        <stp>BDH|1683785131185056153</stp>
        <tr r="J286" s="1"/>
      </tp>
      <tp t="s">
        <v>#N/A N/A</v>
        <stp/>
        <stp>BDH|6389606449320729555</stp>
        <tr r="B302" s="1"/>
      </tp>
      <tp t="s">
        <v>#N/A N/A</v>
        <stp/>
        <stp>BDH|8754384707359699371</stp>
        <tr r="H428" s="2"/>
        <tr r="G295" s="1"/>
      </tp>
      <tp t="s">
        <v>#N/A N/A</v>
        <stp/>
        <stp>BDH|7307592865587210225</stp>
        <tr r="E304" s="1"/>
      </tp>
      <tp t="s">
        <v>#N/A N/A</v>
        <stp/>
        <stp>BDH|1719319333456926604</stp>
        <tr r="B306" s="1"/>
      </tp>
      <tp t="s">
        <v>#N/A N/A</v>
        <stp/>
        <stp>BDH|4693662841254558396</stp>
        <tr r="B431" s="2"/>
      </tp>
      <tp t="s">
        <v>#N/A N/A</v>
        <stp/>
        <stp>BDH|5493733365761984469</stp>
        <tr r="B435" s="2"/>
      </tp>
      <tp t="s">
        <v>#N/A N/A</v>
        <stp/>
        <stp>BDH|5015539633063518133</stp>
        <tr r="E290" s="1"/>
      </tp>
      <tp t="s">
        <v>#N/A N/A</v>
        <stp/>
        <stp>BDH|9683779898816952046</stp>
        <tr r="B439" s="2"/>
      </tp>
      <tp t="s">
        <v>#N/A N/A</v>
        <stp/>
        <stp>BDH|6392755775253770406</stp>
        <tr r="E428" s="2"/>
      </tp>
      <tp t="s">
        <v>#N/A N/A</v>
        <stp/>
        <stp>BDH|9954110755157686838</stp>
        <tr r="K425" s="2"/>
      </tp>
      <tp t="s">
        <v>#N/A N/A</v>
        <stp/>
        <stp>BDH|3405061258963244746</stp>
        <tr r="E267" s="1"/>
      </tp>
      <tp t="s">
        <v>#N/A N/A</v>
        <stp/>
        <stp>BDH|48765775069166620</stp>
        <tr r="K434" s="2"/>
      </tp>
      <tp t="s">
        <v>#N/A N/A</v>
        <stp/>
        <stp>BDH|7092183483119995484</stp>
        <tr r="E293" s="1"/>
      </tp>
      <tp t="s">
        <v>#N/A N/A</v>
        <stp/>
        <stp>BDH|8655767886821859546</stp>
        <tr r="E438" s="2"/>
      </tp>
      <tp t="s">
        <v>#N/A N/A</v>
        <stp/>
        <stp>BDH|9068293035823603807</stp>
        <tr r="J294" s="1"/>
      </tp>
      <tp t="s">
        <v>#N/A N/A</v>
        <stp/>
        <stp>BDH|5087778203541911051</stp>
        <tr r="L303" s="1"/>
      </tp>
      <tp t="s">
        <v>#N/A N/A</v>
        <stp/>
        <stp>BDH|6124419144971572484</stp>
        <tr r="E273" s="1"/>
      </tp>
      <tp t="s">
        <v>#N/A N/A</v>
        <stp/>
        <stp>BDH|9802120154089343736</stp>
        <tr r="E427" s="2"/>
      </tp>
      <tp t="s">
        <v>#N/A Requesting Data...2513205777</v>
        <stp/>
        <stp>BDH|2484927280147822722</stp>
        <tr r="K424" s="2"/>
      </tp>
      <tp t="s">
        <v>#N/A N/A</v>
        <stp/>
        <stp>BDH|3959333744791702643</stp>
        <tr r="J292" s="1"/>
      </tp>
      <tp t="s">
        <v>#N/A N/A</v>
        <stp/>
        <stp>BDH|5277728675981540729</stp>
        <tr r="H439" s="2"/>
        <tr r="G306" s="1"/>
      </tp>
      <tp t="s">
        <v>#N/A Requesting Data...3666381500</v>
        <stp/>
        <stp>BDH|9360811427693581309</stp>
        <tr r="V290" s="1"/>
      </tp>
      <tp t="s">
        <v>#N/A N/A</v>
        <stp/>
        <stp>BDH|3787721080039554611</stp>
        <tr r="B429" s="2"/>
      </tp>
      <tp t="s">
        <v>#N/A Requesting Data...3903139145</v>
        <stp/>
        <stp>BDH|9780053702032629807</stp>
        <tr r="V291" s="1"/>
      </tp>
      <tp t="s">
        <v>#N/A N/A</v>
        <stp/>
        <stp>BDH|6904669650343936518</stp>
        <tr r="E299" s="1"/>
      </tp>
      <tp t="s">
        <v>#N/A N/A</v>
        <stp/>
        <stp>BDH|6847182676336554540</stp>
        <tr r="J283" s="1"/>
      </tp>
      <tp t="s">
        <v>#N/A N/A</v>
        <stp/>
        <stp>BDH|7591049152866729719</stp>
        <tr r="E301" s="1"/>
      </tp>
      <tp t="s">
        <v>#N/A N/A</v>
        <stp/>
        <stp>BDH|571559093981109862</stp>
        <tr r="E303" s="1"/>
      </tp>
      <tp t="s">
        <v>#N/A N/A</v>
        <stp/>
        <stp>BDH|817165957461833373</stp>
        <tr r="K431" s="2"/>
      </tp>
      <tp t="s">
        <v>#N/A N/A</v>
        <stp/>
        <stp>BDH|373614984570756181</stp>
        <tr r="J285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volatileDependencies" Target="volatileDependenci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2000" b="1"/>
              <a:t>Macro cycle Europe sans seuil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5.2669474455227981E-2"/>
          <c:y val="0.11572657528487995"/>
          <c:w val="0.93871769517182457"/>
          <c:h val="0.62232873421712431"/>
        </c:manualLayout>
      </c:layout>
      <c:lineChart>
        <c:grouping val="standard"/>
        <c:varyColors val="0"/>
        <c:ser>
          <c:idx val="2"/>
          <c:order val="0"/>
          <c:tx>
            <c:v>Slowdown</c:v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Europe!$A$6:$A$300</c:f>
              <c:numCache>
                <c:formatCode>m/d/yyyy</c:formatCode>
                <c:ptCount val="295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45900</c:v>
                </c:pt>
                <c:pt idx="292">
                  <c:v>45930</c:v>
                </c:pt>
                <c:pt idx="293">
                  <c:v>45961</c:v>
                </c:pt>
                <c:pt idx="294">
                  <c:v>45991</c:v>
                </c:pt>
              </c:numCache>
            </c:numRef>
          </c:cat>
          <c:val>
            <c:numRef>
              <c:f>Europe!$X$6:$X$300</c:f>
              <c:numCache>
                <c:formatCode>General</c:formatCode>
                <c:ptCount val="29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0.24323223567701868</c:v>
                </c:pt>
                <c:pt idx="37">
                  <c:v>0.2212685485090683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0.47514465258647531</c:v>
                </c:pt>
                <c:pt idx="44">
                  <c:v>0.47282580159932985</c:v>
                </c:pt>
                <c:pt idx="45">
                  <c:v>0.48994219814352102</c:v>
                </c:pt>
                <c:pt idx="46">
                  <c:v>0.46113567167261743</c:v>
                </c:pt>
                <c:pt idx="47">
                  <c:v>0.45300775524592146</c:v>
                </c:pt>
                <c:pt idx="48">
                  <c:v>0.44881604500083389</c:v>
                </c:pt>
                <c:pt idx="49">
                  <c:v>#N/A</c:v>
                </c:pt>
                <c:pt idx="50">
                  <c:v>0.4784230276055515</c:v>
                </c:pt>
                <c:pt idx="51">
                  <c:v>0.41782546473796928</c:v>
                </c:pt>
                <c:pt idx="52">
                  <c:v>0.33013083228764811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0.56671032282291556</c:v>
                </c:pt>
                <c:pt idx="57">
                  <c:v>0.56220200581838486</c:v>
                </c:pt>
                <c:pt idx="58">
                  <c:v>0.54604668416014512</c:v>
                </c:pt>
                <c:pt idx="59">
                  <c:v>0.47774500417450394</c:v>
                </c:pt>
                <c:pt idx="60">
                  <c:v>0.42280555298477046</c:v>
                </c:pt>
                <c:pt idx="61">
                  <c:v>0.40666347038411099</c:v>
                </c:pt>
                <c:pt idx="62">
                  <c:v>0.38486900632463916</c:v>
                </c:pt>
                <c:pt idx="63">
                  <c:v>0.40916933952211682</c:v>
                </c:pt>
                <c:pt idx="64">
                  <c:v>0.40863657775831347</c:v>
                </c:pt>
                <c:pt idx="65">
                  <c:v>0.40785665309719404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0.7296607465845204</c:v>
                </c:pt>
                <c:pt idx="73">
                  <c:v>0.679906183807932</c:v>
                </c:pt>
                <c:pt idx="74">
                  <c:v>0.57782454642267123</c:v>
                </c:pt>
                <c:pt idx="75">
                  <c:v>0.40045492569221003</c:v>
                </c:pt>
                <c:pt idx="76">
                  <c:v>0.26570237330366281</c:v>
                </c:pt>
                <c:pt idx="77">
                  <c:v>0.21973832191211862</c:v>
                </c:pt>
                <c:pt idx="78">
                  <c:v>0.15057215016716441</c:v>
                </c:pt>
                <c:pt idx="79">
                  <c:v>8.972546236952246E-2</c:v>
                </c:pt>
                <c:pt idx="80">
                  <c:v>2.4783330594208453E-2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0.13239665585225821</c:v>
                </c:pt>
                <c:pt idx="109">
                  <c:v>7.7283358934364624E-2</c:v>
                </c:pt>
                <c:pt idx="110">
                  <c:v>6.3817101638070695E-2</c:v>
                </c:pt>
                <c:pt idx="111">
                  <c:v>4.3410977671220374E-2</c:v>
                </c:pt>
                <c:pt idx="112">
                  <c:v>3.7211474034922663E-2</c:v>
                </c:pt>
                <c:pt idx="113">
                  <c:v>5.5935078934969663E-2</c:v>
                </c:pt>
                <c:pt idx="114">
                  <c:v>4.6463081438503417E-2</c:v>
                </c:pt>
                <c:pt idx="115">
                  <c:v>#N/A</c:v>
                </c:pt>
                <c:pt idx="116">
                  <c:v>0.11144355130839893</c:v>
                </c:pt>
                <c:pt idx="117">
                  <c:v>9.8829389185505212E-2</c:v>
                </c:pt>
                <c:pt idx="118">
                  <c:v>0.15188088826763613</c:v>
                </c:pt>
                <c:pt idx="119">
                  <c:v>0.13900908511135968</c:v>
                </c:pt>
                <c:pt idx="120">
                  <c:v>0.11269624585462205</c:v>
                </c:pt>
                <c:pt idx="121">
                  <c:v>0.14259144078605471</c:v>
                </c:pt>
                <c:pt idx="122">
                  <c:v>8.709488016202889E-2</c:v>
                </c:pt>
                <c:pt idx="123">
                  <c:v>1.2284872170812977E-2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0.220736291262464</c:v>
                </c:pt>
                <c:pt idx="152">
                  <c:v>0.17682882325266172</c:v>
                </c:pt>
                <c:pt idx="153">
                  <c:v>#N/A</c:v>
                </c:pt>
                <c:pt idx="154">
                  <c:v>0.33274175016734181</c:v>
                </c:pt>
                <c:pt idx="155">
                  <c:v>0.33181310136964953</c:v>
                </c:pt>
                <c:pt idx="156">
                  <c:v>#N/A</c:v>
                </c:pt>
                <c:pt idx="157">
                  <c:v>0.39407265462269908</c:v>
                </c:pt>
                <c:pt idx="158">
                  <c:v>0.38435957305523</c:v>
                </c:pt>
                <c:pt idx="159">
                  <c:v>0.36790521973448936</c:v>
                </c:pt>
                <c:pt idx="160">
                  <c:v>0.3757483571101598</c:v>
                </c:pt>
                <c:pt idx="161">
                  <c:v>0.34921295033376443</c:v>
                </c:pt>
                <c:pt idx="162">
                  <c:v>0.37014725948864174</c:v>
                </c:pt>
                <c:pt idx="163">
                  <c:v>0.32416566553437881</c:v>
                </c:pt>
                <c:pt idx="164">
                  <c:v>0.21835970085708065</c:v>
                </c:pt>
                <c:pt idx="165">
                  <c:v>0.16323318611281248</c:v>
                </c:pt>
                <c:pt idx="166">
                  <c:v>0.12496722807066089</c:v>
                </c:pt>
                <c:pt idx="167">
                  <c:v>0.1147426930705225</c:v>
                </c:pt>
                <c:pt idx="168">
                  <c:v>7.1030525545423648E-2</c:v>
                </c:pt>
                <c:pt idx="169">
                  <c:v>3.4244950764977931E-2</c:v>
                </c:pt>
                <c:pt idx="170">
                  <c:v>0.10424951479695947</c:v>
                </c:pt>
                <c:pt idx="171">
                  <c:v>7.4714153079826026E-2</c:v>
                </c:pt>
                <c:pt idx="172">
                  <c:v>2.9488560681645282E-2</c:v>
                </c:pt>
                <c:pt idx="173">
                  <c:v>1.2845445887376331E-2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7.2167557884404862E-2</c:v>
                </c:pt>
                <c:pt idx="189">
                  <c:v>5.2989178887349497E-2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0.18403522201173675</c:v>
                </c:pt>
                <c:pt idx="195">
                  <c:v>0.1795103087383918</c:v>
                </c:pt>
                <c:pt idx="196">
                  <c:v>#N/A</c:v>
                </c:pt>
                <c:pt idx="197">
                  <c:v>#N/A</c:v>
                </c:pt>
                <c:pt idx="198">
                  <c:v>0.32518162599499595</c:v>
                </c:pt>
                <c:pt idx="199">
                  <c:v>0.32279998758642214</c:v>
                </c:pt>
                <c:pt idx="200">
                  <c:v>0.30847161612429169</c:v>
                </c:pt>
                <c:pt idx="201">
                  <c:v>0.31066945552886854</c:v>
                </c:pt>
                <c:pt idx="202">
                  <c:v>0.29212228570314114</c:v>
                </c:pt>
                <c:pt idx="203">
                  <c:v>0.31254093427774615</c:v>
                </c:pt>
                <c:pt idx="204">
                  <c:v>0.2524013930085886</c:v>
                </c:pt>
                <c:pt idx="205">
                  <c:v>0.2259553710011408</c:v>
                </c:pt>
                <c:pt idx="206">
                  <c:v>#N/A</c:v>
                </c:pt>
                <c:pt idx="207">
                  <c:v>0.2394111226650584</c:v>
                </c:pt>
                <c:pt idx="208">
                  <c:v>0.20161932770551702</c:v>
                </c:pt>
                <c:pt idx="209">
                  <c:v>9.9635560519450841E-2</c:v>
                </c:pt>
                <c:pt idx="210">
                  <c:v>5.9371550771407246E-2</c:v>
                </c:pt>
                <c:pt idx="211">
                  <c:v>1.302915880155614E-2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4.9430430338023662E-2</c:v>
                </c:pt>
                <c:pt idx="220">
                  <c:v>3.908100769168691E-2</c:v>
                </c:pt>
                <c:pt idx="221">
                  <c:v>#N/A</c:v>
                </c:pt>
                <c:pt idx="222">
                  <c:v>4.0109759407182498E-2</c:v>
                </c:pt>
                <c:pt idx="223">
                  <c:v>3.3029477976135667E-2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0.12829830689783797</c:v>
                </c:pt>
                <c:pt idx="233">
                  <c:v>0.10397641443195416</c:v>
                </c:pt>
                <c:pt idx="234">
                  <c:v>6.0829386318847135E-2</c:v>
                </c:pt>
                <c:pt idx="235">
                  <c:v>#N/A</c:v>
                </c:pt>
                <c:pt idx="236">
                  <c:v>0.11453243501545186</c:v>
                </c:pt>
                <c:pt idx="237">
                  <c:v>1.6281316036048016E-2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0.50824886138588343</c:v>
                </c:pt>
                <c:pt idx="243">
                  <c:v>0.47423443589090636</c:v>
                </c:pt>
                <c:pt idx="244">
                  <c:v>0.44831099666199808</c:v>
                </c:pt>
                <c:pt idx="245">
                  <c:v>0.53917773761332843</c:v>
                </c:pt>
                <c:pt idx="246">
                  <c:v>0.48290133239352984</c:v>
                </c:pt>
                <c:pt idx="247">
                  <c:v>0.45429407766137375</c:v>
                </c:pt>
                <c:pt idx="248">
                  <c:v>0.3785118905278822</c:v>
                </c:pt>
                <c:pt idx="249">
                  <c:v>0.25263587672743565</c:v>
                </c:pt>
                <c:pt idx="250">
                  <c:v>0.17555680888057867</c:v>
                </c:pt>
                <c:pt idx="251">
                  <c:v>6.3991618349613838E-2</c:v>
                </c:pt>
                <c:pt idx="252">
                  <c:v>0.24927889469558506</c:v>
                </c:pt>
                <c:pt idx="253">
                  <c:v>0.10184901816452858</c:v>
                </c:pt>
                <c:pt idx="254">
                  <c:v>5.0827172987637836E-2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0.29614822154461656</c:v>
                </c:pt>
                <c:pt idx="278">
                  <c:v>0.24575360340440078</c:v>
                </c:pt>
                <c:pt idx="279">
                  <c:v>#N/A</c:v>
                </c:pt>
                <c:pt idx="280">
                  <c:v>0.340481646900543</c:v>
                </c:pt>
                <c:pt idx="281">
                  <c:v>0.33301987753388845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E0-4609-8B49-B9AA8886CA35}"/>
            </c:ext>
          </c:extLst>
        </c:ser>
        <c:ser>
          <c:idx val="4"/>
          <c:order val="1"/>
          <c:tx>
            <c:v>Recovery</c:v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Europe!$A$6:$A$300</c:f>
              <c:numCache>
                <c:formatCode>m/d/yyyy</c:formatCode>
                <c:ptCount val="295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45900</c:v>
                </c:pt>
                <c:pt idx="292">
                  <c:v>45930</c:v>
                </c:pt>
                <c:pt idx="293">
                  <c:v>45961</c:v>
                </c:pt>
                <c:pt idx="294">
                  <c:v>45991</c:v>
                </c:pt>
              </c:numCache>
            </c:numRef>
          </c:cat>
          <c:val>
            <c:numRef>
              <c:f>Europe!$Z$6:$Z$300</c:f>
              <c:numCache>
                <c:formatCode>General</c:formatCode>
                <c:ptCount val="29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-0.44885952129642703</c:v>
                </c:pt>
                <c:pt idx="7">
                  <c:v>-0.40552421867913929</c:v>
                </c:pt>
                <c:pt idx="8">
                  <c:v>-0.35063819135558488</c:v>
                </c:pt>
                <c:pt idx="9">
                  <c:v>-0.3204054318192433</c:v>
                </c:pt>
                <c:pt idx="10">
                  <c:v>-0.27977950875075913</c:v>
                </c:pt>
                <c:pt idx="11">
                  <c:v>-0.22174034875679305</c:v>
                </c:pt>
                <c:pt idx="12">
                  <c:v>-0.17337384936110675</c:v>
                </c:pt>
                <c:pt idx="13">
                  <c:v>-0.16681917729319126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-0.36307067029158269</c:v>
                </c:pt>
                <c:pt idx="18">
                  <c:v>-0.33912771874204123</c:v>
                </c:pt>
                <c:pt idx="19">
                  <c:v>-0.36323154995178558</c:v>
                </c:pt>
                <c:pt idx="20">
                  <c:v>-0.3403237617880645</c:v>
                </c:pt>
                <c:pt idx="21">
                  <c:v>#N/A</c:v>
                </c:pt>
                <c:pt idx="22">
                  <c:v>-0.41250623859364532</c:v>
                </c:pt>
                <c:pt idx="23">
                  <c:v>-0.39958202104835822</c:v>
                </c:pt>
                <c:pt idx="24">
                  <c:v>-0.32646564504957637</c:v>
                </c:pt>
                <c:pt idx="25">
                  <c:v>-0.24926893621044707</c:v>
                </c:pt>
                <c:pt idx="26">
                  <c:v>-0.17128991439046959</c:v>
                </c:pt>
                <c:pt idx="27">
                  <c:v>-0.13640403878918572</c:v>
                </c:pt>
                <c:pt idx="28">
                  <c:v>-8.7059887734267719E-2</c:v>
                </c:pt>
                <c:pt idx="29">
                  <c:v>-1.6760666178734829E-2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-1.1411521291286768</c:v>
                </c:pt>
                <c:pt idx="95">
                  <c:v>-1.1207933903278009</c:v>
                </c:pt>
                <c:pt idx="96">
                  <c:v>-1.0674202731245974</c:v>
                </c:pt>
                <c:pt idx="97">
                  <c:v>-0.99838939101790547</c:v>
                </c:pt>
                <c:pt idx="98">
                  <c:v>-0.88353027855447719</c:v>
                </c:pt>
                <c:pt idx="99">
                  <c:v>-0.74474391227401426</c:v>
                </c:pt>
                <c:pt idx="100">
                  <c:v>-0.61537637806490342</c:v>
                </c:pt>
                <c:pt idx="101">
                  <c:v>-0.50222479361025296</c:v>
                </c:pt>
                <c:pt idx="102">
                  <c:v>-0.3884506141368203</c:v>
                </c:pt>
                <c:pt idx="103">
                  <c:v>-0.29819993644316467</c:v>
                </c:pt>
                <c:pt idx="104">
                  <c:v>-0.2098119545568625</c:v>
                </c:pt>
                <c:pt idx="105">
                  <c:v>-0.13815479750815693</c:v>
                </c:pt>
                <c:pt idx="106">
                  <c:v>-3.8258052183323863E-3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-0.1396580345855761</c:v>
                </c:pt>
                <c:pt idx="127">
                  <c:v>-0.12805073234541928</c:v>
                </c:pt>
                <c:pt idx="128">
                  <c:v>-0.1017745282208246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-0.31871836539456561</c:v>
                </c:pt>
                <c:pt idx="136">
                  <c:v>-0.29435618179727002</c:v>
                </c:pt>
                <c:pt idx="137">
                  <c:v>-0.23355441998504797</c:v>
                </c:pt>
                <c:pt idx="138">
                  <c:v>-0.11377003528930925</c:v>
                </c:pt>
                <c:pt idx="139">
                  <c:v>-6.82403252318559E-2</c:v>
                </c:pt>
                <c:pt idx="140">
                  <c:v>-9.6816532812717626E-2</c:v>
                </c:pt>
                <c:pt idx="141">
                  <c:v>-6.5834695961092912E-2</c:v>
                </c:pt>
                <c:pt idx="142">
                  <c:v>-6.5668057612181627E-2</c:v>
                </c:pt>
                <c:pt idx="143">
                  <c:v>-4.4143036192709685E-2</c:v>
                </c:pt>
                <c:pt idx="144">
                  <c:v>-2.7511458777874456E-3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-3.8780066301225817E-2</c:v>
                </c:pt>
                <c:pt idx="176">
                  <c:v>-1.88119974053764E-2</c:v>
                </c:pt>
                <c:pt idx="177">
                  <c:v>#N/A</c:v>
                </c:pt>
                <c:pt idx="178">
                  <c:v>#N/A</c:v>
                </c:pt>
                <c:pt idx="179">
                  <c:v>-6.8809595212097993E-2</c:v>
                </c:pt>
                <c:pt idx="180">
                  <c:v>-6.8061110576649916E-2</c:v>
                </c:pt>
                <c:pt idx="181">
                  <c:v>-4.2132444062304632E-2</c:v>
                </c:pt>
                <c:pt idx="182">
                  <c:v>-7.4244475045475433E-3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-3.5742489541674541E-2</c:v>
                </c:pt>
                <c:pt idx="214">
                  <c:v>-3.3203380022297328E-2</c:v>
                </c:pt>
                <c:pt idx="215">
                  <c:v>-5.627554171594263E-2</c:v>
                </c:pt>
                <c:pt idx="216">
                  <c:v>-4.7986637326899E-2</c:v>
                </c:pt>
                <c:pt idx="217">
                  <c:v>-1.8358090198985374E-2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-1.0370653387611293</c:v>
                </c:pt>
                <c:pt idx="229">
                  <c:v>-0.83770853506333121</c:v>
                </c:pt>
                <c:pt idx="230">
                  <c:v>-0.23046371089473769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-0.36623949204567219</c:v>
                </c:pt>
                <c:pt idx="260">
                  <c:v>-0.29086815659121695</c:v>
                </c:pt>
                <c:pt idx="261">
                  <c:v>-0.26811760696272008</c:v>
                </c:pt>
                <c:pt idx="262">
                  <c:v>-0.29285058897834504</c:v>
                </c:pt>
                <c:pt idx="263">
                  <c:v>-0.28348579611951669</c:v>
                </c:pt>
                <c:pt idx="264">
                  <c:v>-0.28914471922545443</c:v>
                </c:pt>
                <c:pt idx="265">
                  <c:v>-0.23486084924619999</c:v>
                </c:pt>
                <c:pt idx="266">
                  <c:v>-0.14033038221103303</c:v>
                </c:pt>
                <c:pt idx="267">
                  <c:v>-9.4911723280888524E-2</c:v>
                </c:pt>
                <c:pt idx="268">
                  <c:v>-8.0993257145835426E-2</c:v>
                </c:pt>
                <c:pt idx="269">
                  <c:v>-5.9892553180532056E-2</c:v>
                </c:pt>
                <c:pt idx="270">
                  <c:v>-1.1280800524080439E-2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0E0-4609-8B49-B9AA8886CA35}"/>
            </c:ext>
          </c:extLst>
        </c:ser>
        <c:ser>
          <c:idx val="1"/>
          <c:order val="2"/>
          <c:tx>
            <c:v>Reference line</c:v>
          </c:tx>
          <c:spPr>
            <a:ln w="3810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Europe!$A$6:$A$300</c:f>
              <c:numCache>
                <c:formatCode>m/d/yyyy</c:formatCode>
                <c:ptCount val="295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45900</c:v>
                </c:pt>
                <c:pt idx="292">
                  <c:v>45930</c:v>
                </c:pt>
                <c:pt idx="293">
                  <c:v>45961</c:v>
                </c:pt>
                <c:pt idx="294">
                  <c:v>45991</c:v>
                </c:pt>
              </c:numCache>
            </c:numRef>
          </c:cat>
          <c:val>
            <c:numRef>
              <c:f>Europe!$AA$6:$AA$300</c:f>
              <c:numCache>
                <c:formatCode>General</c:formatCode>
                <c:ptCount val="2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E0-4609-8B49-B9AA8886CA35}"/>
            </c:ext>
          </c:extLst>
        </c:ser>
        <c:ser>
          <c:idx val="3"/>
          <c:order val="4"/>
          <c:tx>
            <c:v>Contraction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Europe!$A$6:$A$300</c:f>
              <c:numCache>
                <c:formatCode>m/d/yyyy</c:formatCode>
                <c:ptCount val="295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45900</c:v>
                </c:pt>
                <c:pt idx="292">
                  <c:v>45930</c:v>
                </c:pt>
                <c:pt idx="293">
                  <c:v>45961</c:v>
                </c:pt>
                <c:pt idx="294">
                  <c:v>45991</c:v>
                </c:pt>
              </c:numCache>
            </c:numRef>
          </c:cat>
          <c:val>
            <c:numRef>
              <c:f>Europe!$Y$6:$Y$300</c:f>
              <c:numCache>
                <c:formatCode>General</c:formatCode>
                <c:ptCount val="295"/>
                <c:pt idx="0">
                  <c:v>-0.25577569749999984</c:v>
                </c:pt>
                <c:pt idx="1">
                  <c:v>-0.2564331484395162</c:v>
                </c:pt>
                <c:pt idx="2">
                  <c:v>-0.27809109407943727</c:v>
                </c:pt>
                <c:pt idx="3">
                  <c:v>-0.31207750726679767</c:v>
                </c:pt>
                <c:pt idx="4">
                  <c:v>-0.41716574658959232</c:v>
                </c:pt>
                <c:pt idx="5">
                  <c:v>-0.43576408431808078</c:v>
                </c:pt>
                <c:pt idx="6">
                  <c:v>-0.44885952129642703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-0.16681917729319126</c:v>
                </c:pt>
                <c:pt idx="14">
                  <c:v>-0.2457199926067184</c:v>
                </c:pt>
                <c:pt idx="15">
                  <c:v>-0.27980420962432057</c:v>
                </c:pt>
                <c:pt idx="16">
                  <c:v>-0.34433224861799117</c:v>
                </c:pt>
                <c:pt idx="17">
                  <c:v>-0.36307067029158269</c:v>
                </c:pt>
                <c:pt idx="18">
                  <c:v>-0.33912771874204123</c:v>
                </c:pt>
                <c:pt idx="19">
                  <c:v>-0.36323154995178558</c:v>
                </c:pt>
                <c:pt idx="20">
                  <c:v>-0.3403237617880645</c:v>
                </c:pt>
                <c:pt idx="21">
                  <c:v>-0.38490907255832618</c:v>
                </c:pt>
                <c:pt idx="22">
                  <c:v>-0.41250623859364532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2.4783330594208453E-2</c:v>
                </c:pt>
                <c:pt idx="81">
                  <c:v>-6.8689543625140806E-2</c:v>
                </c:pt>
                <c:pt idx="82">
                  <c:v>-0.18550332757034538</c:v>
                </c:pt>
                <c:pt idx="83">
                  <c:v>-0.24386222722854131</c:v>
                </c:pt>
                <c:pt idx="84">
                  <c:v>-0.28521641793279007</c:v>
                </c:pt>
                <c:pt idx="85">
                  <c:v>-0.32480800247482705</c:v>
                </c:pt>
                <c:pt idx="86">
                  <c:v>-0.39776400381999394</c:v>
                </c:pt>
                <c:pt idx="87">
                  <c:v>-0.49173352614960003</c:v>
                </c:pt>
                <c:pt idx="88">
                  <c:v>-0.68409405604488482</c:v>
                </c:pt>
                <c:pt idx="89">
                  <c:v>-0.79524710362382034</c:v>
                </c:pt>
                <c:pt idx="90">
                  <c:v>-0.91466973779903815</c:v>
                </c:pt>
                <c:pt idx="91">
                  <c:v>-1.0255997579014602</c:v>
                </c:pt>
                <c:pt idx="92">
                  <c:v>-1.0908556776421214</c:v>
                </c:pt>
                <c:pt idx="93">
                  <c:v>-1.118268934640622</c:v>
                </c:pt>
                <c:pt idx="94">
                  <c:v>-1.1411521291286768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1.2284872170812977E-2</c:v>
                </c:pt>
                <c:pt idx="124">
                  <c:v>-8.0072491281052094E-2</c:v>
                </c:pt>
                <c:pt idx="125">
                  <c:v>-9.160050924432972E-2</c:v>
                </c:pt>
                <c:pt idx="126">
                  <c:v>-0.1396580345855761</c:v>
                </c:pt>
                <c:pt idx="127">
                  <c:v>#N/A</c:v>
                </c:pt>
                <c:pt idx="128">
                  <c:v>-0.1017745282208246</c:v>
                </c:pt>
                <c:pt idx="129">
                  <c:v>-0.12265999486894258</c:v>
                </c:pt>
                <c:pt idx="130">
                  <c:v>-0.17253416150173059</c:v>
                </c:pt>
                <c:pt idx="131">
                  <c:v>-0.17719717769760088</c:v>
                </c:pt>
                <c:pt idx="132">
                  <c:v>-0.2136675163306784</c:v>
                </c:pt>
                <c:pt idx="133">
                  <c:v>-0.25797196951838353</c:v>
                </c:pt>
                <c:pt idx="134">
                  <c:v>-0.29323725900041137</c:v>
                </c:pt>
                <c:pt idx="135">
                  <c:v>-0.31871836539456561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-6.82403252318559E-2</c:v>
                </c:pt>
                <c:pt idx="140">
                  <c:v>-9.6816532812717626E-2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-2.7511458777874456E-3</c:v>
                </c:pt>
                <c:pt idx="145">
                  <c:v>-1.8782069302618037E-2</c:v>
                </c:pt>
                <c:pt idx="146">
                  <c:v>-1.9205179551371836E-2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1.2845445887376331E-2</c:v>
                </c:pt>
                <c:pt idx="174">
                  <c:v>-3.0361631190525845E-2</c:v>
                </c:pt>
                <c:pt idx="175">
                  <c:v>-3.8780066301225817E-2</c:v>
                </c:pt>
                <c:pt idx="176">
                  <c:v>-1.88119974053764E-2</c:v>
                </c:pt>
                <c:pt idx="177">
                  <c:v>-4.4914578144844321E-2</c:v>
                </c:pt>
                <c:pt idx="178">
                  <c:v>-6.4109923373563721E-2</c:v>
                </c:pt>
                <c:pt idx="179">
                  <c:v>-6.8809595212097993E-2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1.1264347449487816E-2</c:v>
                </c:pt>
                <c:pt idx="185">
                  <c:v>-4.0574157361621582E-4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1.302915880155614E-2</c:v>
                </c:pt>
                <c:pt idx="212">
                  <c:v>-1.8333901456887475E-2</c:v>
                </c:pt>
                <c:pt idx="213">
                  <c:v>-3.5742489541674541E-2</c:v>
                </c:pt>
                <c:pt idx="214">
                  <c:v>-3.3203380022297328E-2</c:v>
                </c:pt>
                <c:pt idx="215">
                  <c:v>-5.627554171594263E-2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3.908100769168691E-2</c:v>
                </c:pt>
                <c:pt idx="221">
                  <c:v>-1.8823295004438874E-3</c:v>
                </c:pt>
                <c:pt idx="222">
                  <c:v>#N/A</c:v>
                </c:pt>
                <c:pt idx="223">
                  <c:v>#N/A</c:v>
                </c:pt>
                <c:pt idx="224">
                  <c:v>7.2598076752937127E-2</c:v>
                </c:pt>
                <c:pt idx="225">
                  <c:v>-0.15182937512164998</c:v>
                </c:pt>
                <c:pt idx="226">
                  <c:v>-0.73743388798695164</c:v>
                </c:pt>
                <c:pt idx="227">
                  <c:v>-0.85669435491067036</c:v>
                </c:pt>
                <c:pt idx="228">
                  <c:v>-1.0370653387611293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5.0827172987637836E-2</c:v>
                </c:pt>
                <c:pt idx="255">
                  <c:v>-2.6670979764813623E-2</c:v>
                </c:pt>
                <c:pt idx="256">
                  <c:v>-0.11580965900196376</c:v>
                </c:pt>
                <c:pt idx="257">
                  <c:v>-0.22282445288554822</c:v>
                </c:pt>
                <c:pt idx="258">
                  <c:v>-0.33177048567224521</c:v>
                </c:pt>
                <c:pt idx="259">
                  <c:v>-0.36623949204567219</c:v>
                </c:pt>
                <c:pt idx="260">
                  <c:v>#N/A</c:v>
                </c:pt>
                <c:pt idx="261">
                  <c:v>-0.26811760696272008</c:v>
                </c:pt>
                <c:pt idx="262">
                  <c:v>-0.29285058897834504</c:v>
                </c:pt>
                <c:pt idx="263">
                  <c:v>-0.28348579611951669</c:v>
                </c:pt>
                <c:pt idx="264">
                  <c:v>-0.28914471922545443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E0-4609-8B49-B9AA8886CA35}"/>
            </c:ext>
          </c:extLst>
        </c:ser>
        <c:ser>
          <c:idx val="0"/>
          <c:order val="5"/>
          <c:tx>
            <c:v>Expansion</c:v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Europe!$A$6:$A$300</c:f>
              <c:numCache>
                <c:formatCode>m/d/yyyy</c:formatCode>
                <c:ptCount val="295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45900</c:v>
                </c:pt>
                <c:pt idx="292">
                  <c:v>45930</c:v>
                </c:pt>
                <c:pt idx="293">
                  <c:v>45961</c:v>
                </c:pt>
                <c:pt idx="294">
                  <c:v>45991</c:v>
                </c:pt>
              </c:numCache>
            </c:numRef>
          </c:cat>
          <c:val>
            <c:numRef>
              <c:f>Europe!$W$6:$W$300</c:f>
              <c:numCache>
                <c:formatCode>General</c:formatCode>
                <c:ptCount val="29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-1.6760666178734829E-2</c:v>
                </c:pt>
                <c:pt idx="30">
                  <c:v>5.7743748682204728E-2</c:v>
                </c:pt>
                <c:pt idx="31">
                  <c:v>8.4787280307776311E-2</c:v>
                </c:pt>
                <c:pt idx="32">
                  <c:v>9.5428530420059943E-2</c:v>
                </c:pt>
                <c:pt idx="33">
                  <c:v>0.16227189925034302</c:v>
                </c:pt>
                <c:pt idx="34">
                  <c:v>0.21102203296399533</c:v>
                </c:pt>
                <c:pt idx="35">
                  <c:v>0.22720137856925651</c:v>
                </c:pt>
                <c:pt idx="36">
                  <c:v>0.24323223567701868</c:v>
                </c:pt>
                <c:pt idx="37">
                  <c:v>0.2212685485090683</c:v>
                </c:pt>
                <c:pt idx="38">
                  <c:v>0.25412376218398386</c:v>
                </c:pt>
                <c:pt idx="39">
                  <c:v>0.27053061496154862</c:v>
                </c:pt>
                <c:pt idx="40">
                  <c:v>0.30366976469750712</c:v>
                </c:pt>
                <c:pt idx="41">
                  <c:v>0.35124725675871765</c:v>
                </c:pt>
                <c:pt idx="42">
                  <c:v>0.387975038582483</c:v>
                </c:pt>
                <c:pt idx="43">
                  <c:v>0.47514465258647531</c:v>
                </c:pt>
                <c:pt idx="44">
                  <c:v>0.47282580159932985</c:v>
                </c:pt>
                <c:pt idx="45">
                  <c:v>0.48994219814352102</c:v>
                </c:pt>
                <c:pt idx="46">
                  <c:v>#N/A</c:v>
                </c:pt>
                <c:pt idx="47">
                  <c:v>#N/A</c:v>
                </c:pt>
                <c:pt idx="48">
                  <c:v>0.44881604500083389</c:v>
                </c:pt>
                <c:pt idx="49">
                  <c:v>0.47626647217559642</c:v>
                </c:pt>
                <c:pt idx="50">
                  <c:v>0.4784230276055515</c:v>
                </c:pt>
                <c:pt idx="51">
                  <c:v>#N/A</c:v>
                </c:pt>
                <c:pt idx="52">
                  <c:v>0.33013083228764811</c:v>
                </c:pt>
                <c:pt idx="53">
                  <c:v>0.39722054508566812</c:v>
                </c:pt>
                <c:pt idx="54">
                  <c:v>0.50309218973625269</c:v>
                </c:pt>
                <c:pt idx="55">
                  <c:v>0.54433629066142064</c:v>
                </c:pt>
                <c:pt idx="56">
                  <c:v>0.56671032282291556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0.38486900632463916</c:v>
                </c:pt>
                <c:pt idx="63">
                  <c:v>0.40916933952211682</c:v>
                </c:pt>
                <c:pt idx="64">
                  <c:v>#N/A</c:v>
                </c:pt>
                <c:pt idx="65">
                  <c:v>0.40785665309719404</c:v>
                </c:pt>
                <c:pt idx="66">
                  <c:v>0.47507200696449386</c:v>
                </c:pt>
                <c:pt idx="67">
                  <c:v>0.55974160997961298</c:v>
                </c:pt>
                <c:pt idx="68">
                  <c:v>0.59316737613542314</c:v>
                </c:pt>
                <c:pt idx="69">
                  <c:v>0.64988929893682768</c:v>
                </c:pt>
                <c:pt idx="70">
                  <c:v>0.68606834873983225</c:v>
                </c:pt>
                <c:pt idx="71">
                  <c:v>0.71137586934897989</c:v>
                </c:pt>
                <c:pt idx="72">
                  <c:v>0.7296607465845204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-3.8258052183323863E-3</c:v>
                </c:pt>
                <c:pt idx="107">
                  <c:v>9.9068924268892425E-2</c:v>
                </c:pt>
                <c:pt idx="108">
                  <c:v>0.13239665585225821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3.7211474034922663E-2</c:v>
                </c:pt>
                <c:pt idx="113">
                  <c:v>5.5935078934969663E-2</c:v>
                </c:pt>
                <c:pt idx="114">
                  <c:v>4.6463081438503417E-2</c:v>
                </c:pt>
                <c:pt idx="115">
                  <c:v>8.4093603228529934E-2</c:v>
                </c:pt>
                <c:pt idx="116">
                  <c:v>0.11144355130839893</c:v>
                </c:pt>
                <c:pt idx="117">
                  <c:v>9.8829389185505212E-2</c:v>
                </c:pt>
                <c:pt idx="118">
                  <c:v>0.15188088826763613</c:v>
                </c:pt>
                <c:pt idx="119">
                  <c:v>#N/A</c:v>
                </c:pt>
                <c:pt idx="120">
                  <c:v>0.11269624585462205</c:v>
                </c:pt>
                <c:pt idx="121">
                  <c:v>0.14259144078605471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-1.9205179551371836E-2</c:v>
                </c:pt>
                <c:pt idx="147">
                  <c:v>2.7101671620769208E-2</c:v>
                </c:pt>
                <c:pt idx="148">
                  <c:v>8.2013570208850056E-2</c:v>
                </c:pt>
                <c:pt idx="149">
                  <c:v>0.13359470269932769</c:v>
                </c:pt>
                <c:pt idx="150">
                  <c:v>0.20567033743001931</c:v>
                </c:pt>
                <c:pt idx="151">
                  <c:v>0.220736291262464</c:v>
                </c:pt>
                <c:pt idx="152">
                  <c:v>0.17682882325266172</c:v>
                </c:pt>
                <c:pt idx="153">
                  <c:v>0.25726660862565304</c:v>
                </c:pt>
                <c:pt idx="154">
                  <c:v>0.33274175016734181</c:v>
                </c:pt>
                <c:pt idx="155">
                  <c:v>0.33181310136964953</c:v>
                </c:pt>
                <c:pt idx="156">
                  <c:v>0.35304899247929927</c:v>
                </c:pt>
                <c:pt idx="157">
                  <c:v>0.39407265462269908</c:v>
                </c:pt>
                <c:pt idx="158">
                  <c:v>#N/A</c:v>
                </c:pt>
                <c:pt idx="159">
                  <c:v>0.36790521973448936</c:v>
                </c:pt>
                <c:pt idx="160">
                  <c:v>0.3757483571101598</c:v>
                </c:pt>
                <c:pt idx="161">
                  <c:v>0.34921295033376443</c:v>
                </c:pt>
                <c:pt idx="162">
                  <c:v>0.37014725948864174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3.4244950764977931E-2</c:v>
                </c:pt>
                <c:pt idx="170">
                  <c:v>0.10424951479695947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-7.4244475045475433E-3</c:v>
                </c:pt>
                <c:pt idx="183">
                  <c:v>4.7163950342485701E-3</c:v>
                </c:pt>
                <c:pt idx="184">
                  <c:v>1.1264347449487816E-2</c:v>
                </c:pt>
                <c:pt idx="185">
                  <c:v>-4.0574157361621582E-4</c:v>
                </c:pt>
                <c:pt idx="186">
                  <c:v>1.8640197748644126E-3</c:v>
                </c:pt>
                <c:pt idx="187">
                  <c:v>6.0581899139027805E-2</c:v>
                </c:pt>
                <c:pt idx="188">
                  <c:v>7.2167557884404862E-2</c:v>
                </c:pt>
                <c:pt idx="189">
                  <c:v>5.2989178887349497E-2</c:v>
                </c:pt>
                <c:pt idx="190">
                  <c:v>9.3638863859964325E-2</c:v>
                </c:pt>
                <c:pt idx="191">
                  <c:v>0.1335634126598744</c:v>
                </c:pt>
                <c:pt idx="192">
                  <c:v>0.15196109005181019</c:v>
                </c:pt>
                <c:pt idx="193">
                  <c:v>0.15635642938704417</c:v>
                </c:pt>
                <c:pt idx="194">
                  <c:v>0.18403522201173675</c:v>
                </c:pt>
                <c:pt idx="195">
                  <c:v>0.1795103087383918</c:v>
                </c:pt>
                <c:pt idx="196">
                  <c:v>0.24371074574795037</c:v>
                </c:pt>
                <c:pt idx="197">
                  <c:v>0.32169318320978435</c:v>
                </c:pt>
                <c:pt idx="198">
                  <c:v>0.32518162599499595</c:v>
                </c:pt>
                <c:pt idx="199">
                  <c:v>#N/A</c:v>
                </c:pt>
                <c:pt idx="200">
                  <c:v>0.30847161612429169</c:v>
                </c:pt>
                <c:pt idx="201">
                  <c:v>0.31066945552886854</c:v>
                </c:pt>
                <c:pt idx="202">
                  <c:v>0.29212228570314114</c:v>
                </c:pt>
                <c:pt idx="203">
                  <c:v>0.31254093427774615</c:v>
                </c:pt>
                <c:pt idx="204">
                  <c:v>#N/A</c:v>
                </c:pt>
                <c:pt idx="205">
                  <c:v>0.2259553710011408</c:v>
                </c:pt>
                <c:pt idx="206">
                  <c:v>0.23820646526581582</c:v>
                </c:pt>
                <c:pt idx="207">
                  <c:v>0.2394111226650584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-1.8358090198985374E-2</c:v>
                </c:pt>
                <c:pt idx="218">
                  <c:v>7.3369655077253808E-3</c:v>
                </c:pt>
                <c:pt idx="219">
                  <c:v>4.9430430338023662E-2</c:v>
                </c:pt>
                <c:pt idx="220">
                  <c:v>#N/A</c:v>
                </c:pt>
                <c:pt idx="221">
                  <c:v>-1.8823295004438874E-3</c:v>
                </c:pt>
                <c:pt idx="222">
                  <c:v>4.0109759407182498E-2</c:v>
                </c:pt>
                <c:pt idx="223">
                  <c:v>3.3029477976135667E-2</c:v>
                </c:pt>
                <c:pt idx="224">
                  <c:v>7.2598076752937127E-2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-0.23046371089473769</c:v>
                </c:pt>
                <c:pt idx="231">
                  <c:v>3.938294671026276E-2</c:v>
                </c:pt>
                <c:pt idx="232">
                  <c:v>0.12829830689783797</c:v>
                </c:pt>
                <c:pt idx="233">
                  <c:v>#N/A</c:v>
                </c:pt>
                <c:pt idx="234">
                  <c:v>6.0829386318847135E-2</c:v>
                </c:pt>
                <c:pt idx="235">
                  <c:v>9.7169664357275379E-2</c:v>
                </c:pt>
                <c:pt idx="236">
                  <c:v>0.11453243501545186</c:v>
                </c:pt>
                <c:pt idx="237">
                  <c:v>1.6281316036048016E-2</c:v>
                </c:pt>
                <c:pt idx="238">
                  <c:v>0.26773976596577442</c:v>
                </c:pt>
                <c:pt idx="239">
                  <c:v>0.34301593266552882</c:v>
                </c:pt>
                <c:pt idx="240">
                  <c:v>0.38770176685585295</c:v>
                </c:pt>
                <c:pt idx="241">
                  <c:v>0.47426763830193486</c:v>
                </c:pt>
                <c:pt idx="242">
                  <c:v>0.50824886138588343</c:v>
                </c:pt>
                <c:pt idx="243">
                  <c:v>#N/A</c:v>
                </c:pt>
                <c:pt idx="244">
                  <c:v>0.44831099666199808</c:v>
                </c:pt>
                <c:pt idx="245">
                  <c:v>0.53917773761332843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6.3991618349613838E-2</c:v>
                </c:pt>
                <c:pt idx="252">
                  <c:v>0.24927889469558506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-1.1280800524080439E-2</c:v>
                </c:pt>
                <c:pt idx="271">
                  <c:v>9.3121026252823615E-3</c:v>
                </c:pt>
                <c:pt idx="272">
                  <c:v>9.5984033770767554E-3</c:v>
                </c:pt>
                <c:pt idx="273">
                  <c:v>0.11293510841460981</c:v>
                </c:pt>
                <c:pt idx="274">
                  <c:v>0.18545047751644592</c:v>
                </c:pt>
                <c:pt idx="275">
                  <c:v>0.2249703414242589</c:v>
                </c:pt>
                <c:pt idx="276">
                  <c:v>0.27471604411834494</c:v>
                </c:pt>
                <c:pt idx="277">
                  <c:v>0.29614822154461656</c:v>
                </c:pt>
                <c:pt idx="278">
                  <c:v>0.24575360340440078</c:v>
                </c:pt>
                <c:pt idx="279">
                  <c:v>0.29696034531544463</c:v>
                </c:pt>
                <c:pt idx="280">
                  <c:v>0.340481646900543</c:v>
                </c:pt>
                <c:pt idx="281">
                  <c:v>0.33301987753388845</c:v>
                </c:pt>
                <c:pt idx="282">
                  <c:v>0.34663008743673013</c:v>
                </c:pt>
                <c:pt idx="283">
                  <c:v>0.38775888751726195</c:v>
                </c:pt>
                <c:pt idx="284">
                  <c:v>0.48025547957484238</c:v>
                </c:pt>
                <c:pt idx="285">
                  <c:v>0.52844029289601213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E0-4609-8B49-B9AA8886C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3109552"/>
        <c:axId val="1544976816"/>
      </c:lineChart>
      <c:lineChart>
        <c:grouping val="standard"/>
        <c:varyColors val="0"/>
        <c:ser>
          <c:idx val="5"/>
          <c:order val="3"/>
          <c:tx>
            <c:v>Economic surprise</c:v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Europe!$A$6:$A$300</c:f>
              <c:numCache>
                <c:formatCode>m/d/yyyy</c:formatCode>
                <c:ptCount val="295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45900</c:v>
                </c:pt>
                <c:pt idx="292">
                  <c:v>45930</c:v>
                </c:pt>
                <c:pt idx="293">
                  <c:v>45961</c:v>
                </c:pt>
                <c:pt idx="294">
                  <c:v>45991</c:v>
                </c:pt>
              </c:numCache>
            </c:numRef>
          </c:cat>
          <c:val>
            <c:numRef>
              <c:f>Europe!$V$6:$V$300</c:f>
              <c:numCache>
                <c:formatCode>General</c:formatCode>
                <c:ptCount val="2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29.9</c:v>
                </c:pt>
                <c:pt idx="21">
                  <c:v>56.3</c:v>
                </c:pt>
                <c:pt idx="22">
                  <c:v>44.6</c:v>
                </c:pt>
                <c:pt idx="23">
                  <c:v>-30.2</c:v>
                </c:pt>
                <c:pt idx="24">
                  <c:v>-38.200000000000003</c:v>
                </c:pt>
                <c:pt idx="25">
                  <c:v>-33.299999999999997</c:v>
                </c:pt>
                <c:pt idx="26">
                  <c:v>-1.6</c:v>
                </c:pt>
                <c:pt idx="27">
                  <c:v>20.9</c:v>
                </c:pt>
                <c:pt idx="28">
                  <c:v>50.5</c:v>
                </c:pt>
                <c:pt idx="29">
                  <c:v>71.400000000000006</c:v>
                </c:pt>
                <c:pt idx="30">
                  <c:v>74.2</c:v>
                </c:pt>
                <c:pt idx="31">
                  <c:v>54.1</c:v>
                </c:pt>
                <c:pt idx="32">
                  <c:v>37.799999999999997</c:v>
                </c:pt>
                <c:pt idx="33">
                  <c:v>-3.9</c:v>
                </c:pt>
                <c:pt idx="34">
                  <c:v>-15.2</c:v>
                </c:pt>
                <c:pt idx="35">
                  <c:v>-0.8</c:v>
                </c:pt>
                <c:pt idx="36">
                  <c:v>-16.600000000000001</c:v>
                </c:pt>
                <c:pt idx="37">
                  <c:v>-33.5</c:v>
                </c:pt>
                <c:pt idx="38">
                  <c:v>27.4</c:v>
                </c:pt>
                <c:pt idx="39">
                  <c:v>6.2</c:v>
                </c:pt>
                <c:pt idx="40">
                  <c:v>27.9</c:v>
                </c:pt>
                <c:pt idx="41">
                  <c:v>-15.3</c:v>
                </c:pt>
                <c:pt idx="42">
                  <c:v>-78.8</c:v>
                </c:pt>
                <c:pt idx="43">
                  <c:v>-15.2</c:v>
                </c:pt>
                <c:pt idx="44">
                  <c:v>24.9</c:v>
                </c:pt>
                <c:pt idx="45">
                  <c:v>59.5</c:v>
                </c:pt>
                <c:pt idx="46">
                  <c:v>-4.5999999999999996</c:v>
                </c:pt>
                <c:pt idx="47">
                  <c:v>-93.5</c:v>
                </c:pt>
                <c:pt idx="48">
                  <c:v>-103.9</c:v>
                </c:pt>
                <c:pt idx="49">
                  <c:v>-44.5</c:v>
                </c:pt>
                <c:pt idx="50">
                  <c:v>65.7</c:v>
                </c:pt>
                <c:pt idx="51">
                  <c:v>116.7</c:v>
                </c:pt>
                <c:pt idx="52">
                  <c:v>159.30000000000001</c:v>
                </c:pt>
                <c:pt idx="53">
                  <c:v>121.6</c:v>
                </c:pt>
                <c:pt idx="54">
                  <c:v>54.1</c:v>
                </c:pt>
                <c:pt idx="55">
                  <c:v>69.3</c:v>
                </c:pt>
                <c:pt idx="56">
                  <c:v>83.6</c:v>
                </c:pt>
                <c:pt idx="57">
                  <c:v>84.5</c:v>
                </c:pt>
                <c:pt idx="58">
                  <c:v>90.9</c:v>
                </c:pt>
                <c:pt idx="59">
                  <c:v>112.2</c:v>
                </c:pt>
                <c:pt idx="60">
                  <c:v>77.2</c:v>
                </c:pt>
                <c:pt idx="61">
                  <c:v>67.900000000000006</c:v>
                </c:pt>
                <c:pt idx="62">
                  <c:v>-6</c:v>
                </c:pt>
                <c:pt idx="63">
                  <c:v>-40.4</c:v>
                </c:pt>
                <c:pt idx="64">
                  <c:v>-42.1</c:v>
                </c:pt>
                <c:pt idx="65">
                  <c:v>33.5</c:v>
                </c:pt>
                <c:pt idx="66">
                  <c:v>45.5</c:v>
                </c:pt>
                <c:pt idx="67">
                  <c:v>42</c:v>
                </c:pt>
                <c:pt idx="68">
                  <c:v>30.5</c:v>
                </c:pt>
                <c:pt idx="69">
                  <c:v>26.6</c:v>
                </c:pt>
                <c:pt idx="70">
                  <c:v>43.6</c:v>
                </c:pt>
                <c:pt idx="71">
                  <c:v>129.9</c:v>
                </c:pt>
                <c:pt idx="72">
                  <c:v>106</c:v>
                </c:pt>
                <c:pt idx="73">
                  <c:v>-3.1</c:v>
                </c:pt>
                <c:pt idx="74">
                  <c:v>-61.1</c:v>
                </c:pt>
                <c:pt idx="75">
                  <c:v>-8.1999999999999993</c:v>
                </c:pt>
                <c:pt idx="76">
                  <c:v>-20.399999999999999</c:v>
                </c:pt>
                <c:pt idx="77">
                  <c:v>-4.2</c:v>
                </c:pt>
                <c:pt idx="78">
                  <c:v>0.2</c:v>
                </c:pt>
                <c:pt idx="79">
                  <c:v>18.100000000000001</c:v>
                </c:pt>
                <c:pt idx="80">
                  <c:v>34.700000000000003</c:v>
                </c:pt>
                <c:pt idx="81">
                  <c:v>29.5</c:v>
                </c:pt>
                <c:pt idx="82">
                  <c:v>69.599999999999994</c:v>
                </c:pt>
                <c:pt idx="83">
                  <c:v>-18.8</c:v>
                </c:pt>
                <c:pt idx="84">
                  <c:v>-27.1</c:v>
                </c:pt>
                <c:pt idx="85">
                  <c:v>-93.9</c:v>
                </c:pt>
                <c:pt idx="86">
                  <c:v>-155.19999999999999</c:v>
                </c:pt>
                <c:pt idx="87">
                  <c:v>-162</c:v>
                </c:pt>
                <c:pt idx="88">
                  <c:v>-135</c:v>
                </c:pt>
                <c:pt idx="89">
                  <c:v>-80.2</c:v>
                </c:pt>
                <c:pt idx="90">
                  <c:v>-143.4</c:v>
                </c:pt>
                <c:pt idx="91">
                  <c:v>-120</c:v>
                </c:pt>
                <c:pt idx="92">
                  <c:v>-95.6</c:v>
                </c:pt>
                <c:pt idx="93">
                  <c:v>-92.4</c:v>
                </c:pt>
                <c:pt idx="94">
                  <c:v>-81.5</c:v>
                </c:pt>
                <c:pt idx="95">
                  <c:v>-22.3</c:v>
                </c:pt>
                <c:pt idx="96">
                  <c:v>68.599999999999994</c:v>
                </c:pt>
                <c:pt idx="97">
                  <c:v>78.099999999999994</c:v>
                </c:pt>
                <c:pt idx="98">
                  <c:v>48.7</c:v>
                </c:pt>
                <c:pt idx="99">
                  <c:v>55</c:v>
                </c:pt>
                <c:pt idx="100">
                  <c:v>61.3</c:v>
                </c:pt>
                <c:pt idx="101">
                  <c:v>43.2</c:v>
                </c:pt>
                <c:pt idx="102">
                  <c:v>25.3</c:v>
                </c:pt>
                <c:pt idx="103">
                  <c:v>-15.5</c:v>
                </c:pt>
                <c:pt idx="104">
                  <c:v>10.3</c:v>
                </c:pt>
                <c:pt idx="105">
                  <c:v>-45</c:v>
                </c:pt>
                <c:pt idx="106">
                  <c:v>7.7</c:v>
                </c:pt>
                <c:pt idx="107">
                  <c:v>64.2</c:v>
                </c:pt>
                <c:pt idx="108">
                  <c:v>70</c:v>
                </c:pt>
                <c:pt idx="109">
                  <c:v>79.5</c:v>
                </c:pt>
                <c:pt idx="110">
                  <c:v>89.8</c:v>
                </c:pt>
                <c:pt idx="111">
                  <c:v>117.2</c:v>
                </c:pt>
                <c:pt idx="112">
                  <c:v>88.1</c:v>
                </c:pt>
                <c:pt idx="113">
                  <c:v>59.1</c:v>
                </c:pt>
                <c:pt idx="114">
                  <c:v>52.1</c:v>
                </c:pt>
                <c:pt idx="115">
                  <c:v>68.099999999999994</c:v>
                </c:pt>
                <c:pt idx="116">
                  <c:v>66.5</c:v>
                </c:pt>
                <c:pt idx="117">
                  <c:v>6</c:v>
                </c:pt>
                <c:pt idx="118">
                  <c:v>0.6</c:v>
                </c:pt>
                <c:pt idx="119">
                  <c:v>-8.9</c:v>
                </c:pt>
                <c:pt idx="120">
                  <c:v>14.7</c:v>
                </c:pt>
                <c:pt idx="121">
                  <c:v>-9.3000000000000007</c:v>
                </c:pt>
                <c:pt idx="122">
                  <c:v>-3</c:v>
                </c:pt>
                <c:pt idx="123">
                  <c:v>-103.3</c:v>
                </c:pt>
                <c:pt idx="124">
                  <c:v>-81.400000000000006</c:v>
                </c:pt>
                <c:pt idx="125">
                  <c:v>-50.1</c:v>
                </c:pt>
                <c:pt idx="126">
                  <c:v>-22.2</c:v>
                </c:pt>
                <c:pt idx="127">
                  <c:v>-8.8000000000000007</c:v>
                </c:pt>
                <c:pt idx="128">
                  <c:v>13.2</c:v>
                </c:pt>
                <c:pt idx="129">
                  <c:v>25.1</c:v>
                </c:pt>
                <c:pt idx="130">
                  <c:v>13.9</c:v>
                </c:pt>
                <c:pt idx="131">
                  <c:v>-9.3000000000000007</c:v>
                </c:pt>
                <c:pt idx="132">
                  <c:v>-56.5</c:v>
                </c:pt>
                <c:pt idx="133">
                  <c:v>-89.1</c:v>
                </c:pt>
                <c:pt idx="134">
                  <c:v>-71.7</c:v>
                </c:pt>
                <c:pt idx="135">
                  <c:v>-30.7</c:v>
                </c:pt>
                <c:pt idx="136">
                  <c:v>-6.9</c:v>
                </c:pt>
                <c:pt idx="137">
                  <c:v>-19.2</c:v>
                </c:pt>
                <c:pt idx="138">
                  <c:v>-16.3</c:v>
                </c:pt>
                <c:pt idx="139">
                  <c:v>-7.1</c:v>
                </c:pt>
                <c:pt idx="140">
                  <c:v>61.6</c:v>
                </c:pt>
                <c:pt idx="141">
                  <c:v>67.8</c:v>
                </c:pt>
                <c:pt idx="142">
                  <c:v>0</c:v>
                </c:pt>
                <c:pt idx="143">
                  <c:v>-79.3</c:v>
                </c:pt>
                <c:pt idx="144">
                  <c:v>-63</c:v>
                </c:pt>
                <c:pt idx="145">
                  <c:v>2.7</c:v>
                </c:pt>
                <c:pt idx="146">
                  <c:v>33.4</c:v>
                </c:pt>
                <c:pt idx="147">
                  <c:v>55.8</c:v>
                </c:pt>
                <c:pt idx="148">
                  <c:v>47</c:v>
                </c:pt>
                <c:pt idx="149">
                  <c:v>-3.1</c:v>
                </c:pt>
                <c:pt idx="150">
                  <c:v>-0.7</c:v>
                </c:pt>
                <c:pt idx="151">
                  <c:v>6.4</c:v>
                </c:pt>
                <c:pt idx="152">
                  <c:v>18.3</c:v>
                </c:pt>
                <c:pt idx="153">
                  <c:v>8.8000000000000007</c:v>
                </c:pt>
                <c:pt idx="154">
                  <c:v>-2.8</c:v>
                </c:pt>
                <c:pt idx="155">
                  <c:v>-11.3</c:v>
                </c:pt>
                <c:pt idx="156">
                  <c:v>-28.5</c:v>
                </c:pt>
                <c:pt idx="157">
                  <c:v>-29.7</c:v>
                </c:pt>
                <c:pt idx="158">
                  <c:v>-21.9</c:v>
                </c:pt>
                <c:pt idx="159">
                  <c:v>-45.1</c:v>
                </c:pt>
                <c:pt idx="160">
                  <c:v>-43</c:v>
                </c:pt>
                <c:pt idx="161">
                  <c:v>-32.4</c:v>
                </c:pt>
                <c:pt idx="162">
                  <c:v>-21.5</c:v>
                </c:pt>
                <c:pt idx="163">
                  <c:v>10.199999999999999</c:v>
                </c:pt>
                <c:pt idx="164">
                  <c:v>10</c:v>
                </c:pt>
                <c:pt idx="165">
                  <c:v>51</c:v>
                </c:pt>
                <c:pt idx="166">
                  <c:v>58.4</c:v>
                </c:pt>
                <c:pt idx="167">
                  <c:v>11.9</c:v>
                </c:pt>
                <c:pt idx="168">
                  <c:v>-13.9</c:v>
                </c:pt>
                <c:pt idx="169">
                  <c:v>-5</c:v>
                </c:pt>
                <c:pt idx="170">
                  <c:v>7.1</c:v>
                </c:pt>
                <c:pt idx="171">
                  <c:v>16.2</c:v>
                </c:pt>
                <c:pt idx="172">
                  <c:v>33</c:v>
                </c:pt>
                <c:pt idx="173">
                  <c:v>32.700000000000003</c:v>
                </c:pt>
                <c:pt idx="174">
                  <c:v>23.1</c:v>
                </c:pt>
                <c:pt idx="175">
                  <c:v>15.4</c:v>
                </c:pt>
                <c:pt idx="176">
                  <c:v>-25.1</c:v>
                </c:pt>
                <c:pt idx="177">
                  <c:v>-71.099999999999994</c:v>
                </c:pt>
                <c:pt idx="178">
                  <c:v>-22.3</c:v>
                </c:pt>
                <c:pt idx="179">
                  <c:v>-13</c:v>
                </c:pt>
                <c:pt idx="180">
                  <c:v>4.8</c:v>
                </c:pt>
                <c:pt idx="181">
                  <c:v>5</c:v>
                </c:pt>
                <c:pt idx="182">
                  <c:v>28.3</c:v>
                </c:pt>
                <c:pt idx="183">
                  <c:v>-3.1</c:v>
                </c:pt>
                <c:pt idx="184">
                  <c:v>2.6</c:v>
                </c:pt>
                <c:pt idx="185">
                  <c:v>40.799999999999997</c:v>
                </c:pt>
                <c:pt idx="186">
                  <c:v>56.9</c:v>
                </c:pt>
                <c:pt idx="187">
                  <c:v>53.1</c:v>
                </c:pt>
                <c:pt idx="188">
                  <c:v>55.3</c:v>
                </c:pt>
                <c:pt idx="189">
                  <c:v>71.099999999999994</c:v>
                </c:pt>
                <c:pt idx="190">
                  <c:v>54.1</c:v>
                </c:pt>
                <c:pt idx="191">
                  <c:v>70.400000000000006</c:v>
                </c:pt>
                <c:pt idx="192">
                  <c:v>40.6</c:v>
                </c:pt>
                <c:pt idx="193">
                  <c:v>30.3</c:v>
                </c:pt>
                <c:pt idx="194">
                  <c:v>19.100000000000001</c:v>
                </c:pt>
                <c:pt idx="195">
                  <c:v>28</c:v>
                </c:pt>
                <c:pt idx="196">
                  <c:v>50.2</c:v>
                </c:pt>
                <c:pt idx="197">
                  <c:v>59</c:v>
                </c:pt>
                <c:pt idx="198">
                  <c:v>71.3</c:v>
                </c:pt>
                <c:pt idx="199">
                  <c:v>49.3</c:v>
                </c:pt>
                <c:pt idx="200">
                  <c:v>35.6</c:v>
                </c:pt>
                <c:pt idx="201">
                  <c:v>2.4</c:v>
                </c:pt>
                <c:pt idx="202">
                  <c:v>-40</c:v>
                </c:pt>
                <c:pt idx="203">
                  <c:v>-77.5</c:v>
                </c:pt>
                <c:pt idx="204">
                  <c:v>-91.4</c:v>
                </c:pt>
                <c:pt idx="205">
                  <c:v>-61</c:v>
                </c:pt>
                <c:pt idx="206">
                  <c:v>-25.9</c:v>
                </c:pt>
                <c:pt idx="207">
                  <c:v>1.4</c:v>
                </c:pt>
                <c:pt idx="208">
                  <c:v>-31.9</c:v>
                </c:pt>
                <c:pt idx="209">
                  <c:v>-57.6</c:v>
                </c:pt>
                <c:pt idx="210">
                  <c:v>-62.9</c:v>
                </c:pt>
                <c:pt idx="211">
                  <c:v>-71.8</c:v>
                </c:pt>
                <c:pt idx="212">
                  <c:v>-82.6</c:v>
                </c:pt>
                <c:pt idx="213">
                  <c:v>-58.8</c:v>
                </c:pt>
                <c:pt idx="214">
                  <c:v>-61</c:v>
                </c:pt>
                <c:pt idx="215">
                  <c:v>-31.1</c:v>
                </c:pt>
                <c:pt idx="216">
                  <c:v>-20.3</c:v>
                </c:pt>
                <c:pt idx="217">
                  <c:v>-4.4000000000000004</c:v>
                </c:pt>
                <c:pt idx="218">
                  <c:v>-55</c:v>
                </c:pt>
                <c:pt idx="219">
                  <c:v>-39.299999999999997</c:v>
                </c:pt>
                <c:pt idx="220">
                  <c:v>-72</c:v>
                </c:pt>
                <c:pt idx="221">
                  <c:v>-43.1</c:v>
                </c:pt>
                <c:pt idx="222">
                  <c:v>-8.9</c:v>
                </c:pt>
                <c:pt idx="223">
                  <c:v>30.4</c:v>
                </c:pt>
                <c:pt idx="224">
                  <c:v>21.1</c:v>
                </c:pt>
                <c:pt idx="225">
                  <c:v>0.4</c:v>
                </c:pt>
                <c:pt idx="226">
                  <c:v>-50.2</c:v>
                </c:pt>
                <c:pt idx="227">
                  <c:v>-268.5</c:v>
                </c:pt>
                <c:pt idx="228">
                  <c:v>-275.60000000000002</c:v>
                </c:pt>
                <c:pt idx="229">
                  <c:v>-90.2</c:v>
                </c:pt>
                <c:pt idx="230">
                  <c:v>166.3</c:v>
                </c:pt>
                <c:pt idx="231">
                  <c:v>132.6</c:v>
                </c:pt>
                <c:pt idx="232">
                  <c:v>47.8</c:v>
                </c:pt>
                <c:pt idx="233">
                  <c:v>103.2</c:v>
                </c:pt>
                <c:pt idx="234">
                  <c:v>123.7</c:v>
                </c:pt>
                <c:pt idx="235">
                  <c:v>188.5</c:v>
                </c:pt>
                <c:pt idx="236">
                  <c:v>128.19999999999999</c:v>
                </c:pt>
                <c:pt idx="237">
                  <c:v>157.30000000000001</c:v>
                </c:pt>
                <c:pt idx="238">
                  <c:v>173</c:v>
                </c:pt>
                <c:pt idx="239">
                  <c:v>164.7</c:v>
                </c:pt>
                <c:pt idx="240">
                  <c:v>130</c:v>
                </c:pt>
                <c:pt idx="241">
                  <c:v>105.2</c:v>
                </c:pt>
                <c:pt idx="242">
                  <c:v>40.4</c:v>
                </c:pt>
                <c:pt idx="243">
                  <c:v>-10.8</c:v>
                </c:pt>
                <c:pt idx="244">
                  <c:v>-58.6</c:v>
                </c:pt>
                <c:pt idx="245">
                  <c:v>-52.8</c:v>
                </c:pt>
                <c:pt idx="246">
                  <c:v>4</c:v>
                </c:pt>
                <c:pt idx="247">
                  <c:v>29.8</c:v>
                </c:pt>
                <c:pt idx="248">
                  <c:v>51.4</c:v>
                </c:pt>
                <c:pt idx="249">
                  <c:v>67.8</c:v>
                </c:pt>
                <c:pt idx="250">
                  <c:v>44.8</c:v>
                </c:pt>
                <c:pt idx="251">
                  <c:v>25</c:v>
                </c:pt>
                <c:pt idx="252">
                  <c:v>19.600000000000001</c:v>
                </c:pt>
                <c:pt idx="253">
                  <c:v>-25.3</c:v>
                </c:pt>
                <c:pt idx="254">
                  <c:v>-25</c:v>
                </c:pt>
                <c:pt idx="255">
                  <c:v>-25.4</c:v>
                </c:pt>
                <c:pt idx="256">
                  <c:v>0.2</c:v>
                </c:pt>
                <c:pt idx="257">
                  <c:v>18.2</c:v>
                </c:pt>
                <c:pt idx="258">
                  <c:v>32.5</c:v>
                </c:pt>
                <c:pt idx="259">
                  <c:v>60</c:v>
                </c:pt>
                <c:pt idx="260">
                  <c:v>97.2</c:v>
                </c:pt>
                <c:pt idx="261">
                  <c:v>61.8</c:v>
                </c:pt>
                <c:pt idx="262">
                  <c:v>50</c:v>
                </c:pt>
                <c:pt idx="263">
                  <c:v>15.2</c:v>
                </c:pt>
                <c:pt idx="264">
                  <c:v>-62.9</c:v>
                </c:pt>
                <c:pt idx="265">
                  <c:v>-144.9</c:v>
                </c:pt>
                <c:pt idx="266">
                  <c:v>-116</c:v>
                </c:pt>
                <c:pt idx="267">
                  <c:v>-58.1</c:v>
                </c:pt>
                <c:pt idx="268">
                  <c:v>-54</c:v>
                </c:pt>
                <c:pt idx="269">
                  <c:v>-40.6</c:v>
                </c:pt>
                <c:pt idx="270">
                  <c:v>-13.7</c:v>
                </c:pt>
                <c:pt idx="271">
                  <c:v>-41</c:v>
                </c:pt>
                <c:pt idx="272">
                  <c:v>-9.1999999999999993</c:v>
                </c:pt>
                <c:pt idx="273">
                  <c:v>47.1</c:v>
                </c:pt>
                <c:pt idx="274">
                  <c:v>42.8</c:v>
                </c:pt>
                <c:pt idx="275">
                  <c:v>29.9</c:v>
                </c:pt>
                <c:pt idx="276">
                  <c:v>27.5</c:v>
                </c:pt>
                <c:pt idx="277">
                  <c:v>-14.2</c:v>
                </c:pt>
                <c:pt idx="278">
                  <c:v>-49</c:v>
                </c:pt>
                <c:pt idx="279">
                  <c:v>-50.9</c:v>
                </c:pt>
                <c:pt idx="280">
                  <c:v>-56.8</c:v>
                </c:pt>
                <c:pt idx="281">
                  <c:v>4.3</c:v>
                </c:pt>
                <c:pt idx="282">
                  <c:v>-23.9</c:v>
                </c:pt>
                <c:pt idx="283">
                  <c:v>-12.1</c:v>
                </c:pt>
                <c:pt idx="284">
                  <c:v>-0.6</c:v>
                </c:pt>
                <c:pt idx="285">
                  <c:v>22.9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0E0-4609-8B49-B9AA8886C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6278704"/>
        <c:axId val="562500032"/>
      </c:lineChart>
      <c:dateAx>
        <c:axId val="1513109552"/>
        <c:scaling>
          <c:orientation val="minMax"/>
          <c:min val="43221"/>
        </c:scaling>
        <c:delete val="0"/>
        <c:axPos val="b"/>
        <c:numFmt formatCode="[$-40C]mmm\-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4976816"/>
        <c:crosses val="autoZero"/>
        <c:auto val="1"/>
        <c:lblOffset val="100"/>
        <c:baseTimeUnit val="months"/>
      </c:dateAx>
      <c:valAx>
        <c:axId val="154497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13109552"/>
        <c:crosses val="autoZero"/>
        <c:crossBetween val="between"/>
      </c:valAx>
      <c:valAx>
        <c:axId val="562500032"/>
        <c:scaling>
          <c:orientation val="minMax"/>
          <c:max val="2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6278704"/>
        <c:crosses val="max"/>
        <c:crossBetween val="between"/>
      </c:valAx>
      <c:dateAx>
        <c:axId val="56627870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562500032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3734439058750763E-2"/>
          <c:y val="0.85757002517252945"/>
          <c:w val="0.9397582370050872"/>
          <c:h val="0.142430079984356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Europe!$P$4</c:f>
              <c:strCache>
                <c:ptCount val="1"/>
                <c:pt idx="0">
                  <c:v>Moyenne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Europe!$P$4:$P$285</c:f>
              <c:numCache>
                <c:formatCode>0.0000</c:formatCode>
                <c:ptCount val="282"/>
                <c:pt idx="0">
                  <c:v>0</c:v>
                </c:pt>
                <c:pt idx="2">
                  <c:v>-0.25577569749999984</c:v>
                </c:pt>
                <c:pt idx="3">
                  <c:v>-0.2564331484395162</c:v>
                </c:pt>
                <c:pt idx="4">
                  <c:v>-0.27809109407943727</c:v>
                </c:pt>
                <c:pt idx="5">
                  <c:v>-0.31207750726679767</c:v>
                </c:pt>
                <c:pt idx="6">
                  <c:v>-0.41716574658959232</c:v>
                </c:pt>
                <c:pt idx="7">
                  <c:v>-0.43576408431808078</c:v>
                </c:pt>
                <c:pt idx="8">
                  <c:v>-0.44885952129642703</c:v>
                </c:pt>
                <c:pt idx="9">
                  <c:v>-0.40552421867913929</c:v>
                </c:pt>
                <c:pt idx="10">
                  <c:v>-0.35063819135558488</c:v>
                </c:pt>
                <c:pt idx="11">
                  <c:v>-0.3204054318192433</c:v>
                </c:pt>
                <c:pt idx="12">
                  <c:v>-0.27977950875075913</c:v>
                </c:pt>
                <c:pt idx="13">
                  <c:v>-0.22174034875679305</c:v>
                </c:pt>
                <c:pt idx="14">
                  <c:v>-0.17337384936110675</c:v>
                </c:pt>
                <c:pt idx="15">
                  <c:v>-0.16681917729319126</c:v>
                </c:pt>
                <c:pt idx="16">
                  <c:v>-0.2457199926067184</c:v>
                </c:pt>
                <c:pt idx="17">
                  <c:v>-0.27980420962432057</c:v>
                </c:pt>
                <c:pt idx="18">
                  <c:v>-0.34433224861799117</c:v>
                </c:pt>
                <c:pt idx="19">
                  <c:v>-0.36307067029158269</c:v>
                </c:pt>
                <c:pt idx="20">
                  <c:v>-0.33912771874204123</c:v>
                </c:pt>
                <c:pt idx="21">
                  <c:v>-0.36323154995178558</c:v>
                </c:pt>
                <c:pt idx="22">
                  <c:v>-0.3403237617880645</c:v>
                </c:pt>
                <c:pt idx="23">
                  <c:v>-0.38490907255832618</c:v>
                </c:pt>
                <c:pt idx="24">
                  <c:v>-0.41250623859364532</c:v>
                </c:pt>
                <c:pt idx="25">
                  <c:v>-0.39958202104835822</c:v>
                </c:pt>
                <c:pt idx="26">
                  <c:v>-0.32646564504957637</c:v>
                </c:pt>
                <c:pt idx="27">
                  <c:v>-0.24926893621044707</c:v>
                </c:pt>
                <c:pt idx="28">
                  <c:v>-0.17128991439046959</c:v>
                </c:pt>
                <c:pt idx="29">
                  <c:v>-0.13640403878918572</c:v>
                </c:pt>
                <c:pt idx="30">
                  <c:v>-8.7059887734267719E-2</c:v>
                </c:pt>
                <c:pt idx="31">
                  <c:v>-1.6760666178734829E-2</c:v>
                </c:pt>
                <c:pt idx="32">
                  <c:v>5.7743748682204728E-2</c:v>
                </c:pt>
                <c:pt idx="33">
                  <c:v>8.4787280307776311E-2</c:v>
                </c:pt>
                <c:pt idx="34">
                  <c:v>9.5428530420059943E-2</c:v>
                </c:pt>
                <c:pt idx="35">
                  <c:v>0.16227189925034302</c:v>
                </c:pt>
                <c:pt idx="36">
                  <c:v>0.21102203296399533</c:v>
                </c:pt>
                <c:pt idx="37">
                  <c:v>0.22720137856925651</c:v>
                </c:pt>
                <c:pt idx="38">
                  <c:v>0.24323223567701868</c:v>
                </c:pt>
                <c:pt idx="39">
                  <c:v>0.2212685485090683</c:v>
                </c:pt>
                <c:pt idx="40">
                  <c:v>0.25412376218398386</c:v>
                </c:pt>
                <c:pt idx="41">
                  <c:v>0.27053061496154862</c:v>
                </c:pt>
                <c:pt idx="42">
                  <c:v>0.30366976469750712</c:v>
                </c:pt>
                <c:pt idx="43">
                  <c:v>0.35124725675871765</c:v>
                </c:pt>
                <c:pt idx="44">
                  <c:v>0.387975038582483</c:v>
                </c:pt>
                <c:pt idx="45">
                  <c:v>0.47514465258647531</c:v>
                </c:pt>
                <c:pt idx="46">
                  <c:v>0.47282580159932985</c:v>
                </c:pt>
                <c:pt idx="47">
                  <c:v>0.48994219814352102</c:v>
                </c:pt>
                <c:pt idx="48">
                  <c:v>0.46113567167261743</c:v>
                </c:pt>
                <c:pt idx="49">
                  <c:v>0.45300775524592146</c:v>
                </c:pt>
                <c:pt idx="50">
                  <c:v>0.44881604500083389</c:v>
                </c:pt>
                <c:pt idx="51">
                  <c:v>0.47626647217559642</c:v>
                </c:pt>
                <c:pt idx="52">
                  <c:v>0.4784230276055515</c:v>
                </c:pt>
                <c:pt idx="53">
                  <c:v>0.41782546473796928</c:v>
                </c:pt>
                <c:pt idx="54">
                  <c:v>0.33013083228764811</c:v>
                </c:pt>
                <c:pt idx="55">
                  <c:v>0.39722054508566812</c:v>
                </c:pt>
                <c:pt idx="56">
                  <c:v>0.50309218973625269</c:v>
                </c:pt>
                <c:pt idx="57">
                  <c:v>0.54433629066142064</c:v>
                </c:pt>
                <c:pt idx="58">
                  <c:v>0.56671032282291556</c:v>
                </c:pt>
                <c:pt idx="59">
                  <c:v>0.56220200581838486</c:v>
                </c:pt>
                <c:pt idx="60">
                  <c:v>0.54604668416014512</c:v>
                </c:pt>
                <c:pt idx="61">
                  <c:v>0.47774500417450394</c:v>
                </c:pt>
                <c:pt idx="62">
                  <c:v>0.42280555298477046</c:v>
                </c:pt>
                <c:pt idx="63">
                  <c:v>0.40666347038411099</c:v>
                </c:pt>
                <c:pt idx="64">
                  <c:v>0.38486900632463916</c:v>
                </c:pt>
                <c:pt idx="65">
                  <c:v>0.40916933952211682</c:v>
                </c:pt>
                <c:pt idx="66">
                  <c:v>0.40863657775831347</c:v>
                </c:pt>
                <c:pt idx="67">
                  <c:v>0.40785665309719404</c:v>
                </c:pt>
                <c:pt idx="68">
                  <c:v>0.47507200696449386</c:v>
                </c:pt>
                <c:pt idx="69">
                  <c:v>0.55974160997961298</c:v>
                </c:pt>
                <c:pt idx="70">
                  <c:v>0.59316737613542314</c:v>
                </c:pt>
                <c:pt idx="71">
                  <c:v>0.64988929893682768</c:v>
                </c:pt>
                <c:pt idx="72">
                  <c:v>0.68606834873983225</c:v>
                </c:pt>
                <c:pt idx="73">
                  <c:v>0.71137586934897989</c:v>
                </c:pt>
                <c:pt idx="74">
                  <c:v>0.7296607465845204</c:v>
                </c:pt>
                <c:pt idx="75">
                  <c:v>0.679906183807932</c:v>
                </c:pt>
                <c:pt idx="76">
                  <c:v>0.57782454642267123</c:v>
                </c:pt>
                <c:pt idx="77">
                  <c:v>0.40045492569221003</c:v>
                </c:pt>
                <c:pt idx="78">
                  <c:v>0.26570237330366281</c:v>
                </c:pt>
                <c:pt idx="79">
                  <c:v>0.21973832191211862</c:v>
                </c:pt>
                <c:pt idx="80">
                  <c:v>0.15057215016716441</c:v>
                </c:pt>
                <c:pt idx="81">
                  <c:v>8.972546236952246E-2</c:v>
                </c:pt>
                <c:pt idx="82">
                  <c:v>2.4783330594208453E-2</c:v>
                </c:pt>
                <c:pt idx="83">
                  <c:v>-6.8689543625140806E-2</c:v>
                </c:pt>
                <c:pt idx="84">
                  <c:v>-0.18550332757034538</c:v>
                </c:pt>
                <c:pt idx="85">
                  <c:v>-0.24386222722854131</c:v>
                </c:pt>
                <c:pt idx="86">
                  <c:v>-0.28521641793279007</c:v>
                </c:pt>
                <c:pt idx="87">
                  <c:v>-0.32480800247482705</c:v>
                </c:pt>
                <c:pt idx="88">
                  <c:v>-0.39776400381999394</c:v>
                </c:pt>
                <c:pt idx="89">
                  <c:v>-0.49173352614960003</c:v>
                </c:pt>
                <c:pt idx="90">
                  <c:v>-0.68409405604488482</c:v>
                </c:pt>
                <c:pt idx="91">
                  <c:v>-0.79524710362382034</c:v>
                </c:pt>
                <c:pt idx="92">
                  <c:v>-0.91466973779903815</c:v>
                </c:pt>
                <c:pt idx="93">
                  <c:v>-1.0255997579014602</c:v>
                </c:pt>
                <c:pt idx="94">
                  <c:v>-1.0908556776421214</c:v>
                </c:pt>
                <c:pt idx="95">
                  <c:v>-1.118268934640622</c:v>
                </c:pt>
                <c:pt idx="96">
                  <c:v>-1.1411521291286768</c:v>
                </c:pt>
                <c:pt idx="97">
                  <c:v>-1.1207933903278009</c:v>
                </c:pt>
                <c:pt idx="98">
                  <c:v>-1.0674202731245974</c:v>
                </c:pt>
                <c:pt idx="99">
                  <c:v>-0.99838939101790547</c:v>
                </c:pt>
                <c:pt idx="100">
                  <c:v>-0.88353027855447719</c:v>
                </c:pt>
                <c:pt idx="101">
                  <c:v>-0.74474391227401426</c:v>
                </c:pt>
                <c:pt idx="102">
                  <c:v>-0.61537637806490342</c:v>
                </c:pt>
                <c:pt idx="103">
                  <c:v>-0.50222479361025296</c:v>
                </c:pt>
                <c:pt idx="104">
                  <c:v>-0.3884506141368203</c:v>
                </c:pt>
                <c:pt idx="105">
                  <c:v>-0.29819993644316467</c:v>
                </c:pt>
                <c:pt idx="106">
                  <c:v>-0.2098119545568625</c:v>
                </c:pt>
                <c:pt idx="107">
                  <c:v>-0.13815479750815693</c:v>
                </c:pt>
                <c:pt idx="108">
                  <c:v>-3.8258052183323863E-3</c:v>
                </c:pt>
                <c:pt idx="109">
                  <c:v>9.9068924268892425E-2</c:v>
                </c:pt>
                <c:pt idx="110">
                  <c:v>0.13239665585225821</c:v>
                </c:pt>
                <c:pt idx="111">
                  <c:v>7.7283358934364624E-2</c:v>
                </c:pt>
                <c:pt idx="112">
                  <c:v>6.3817101638070695E-2</c:v>
                </c:pt>
                <c:pt idx="113">
                  <c:v>4.3410977671220374E-2</c:v>
                </c:pt>
                <c:pt idx="114">
                  <c:v>3.7211474034922663E-2</c:v>
                </c:pt>
                <c:pt idx="115">
                  <c:v>5.5935078934969663E-2</c:v>
                </c:pt>
                <c:pt idx="116">
                  <c:v>4.6463081438503417E-2</c:v>
                </c:pt>
                <c:pt idx="117">
                  <c:v>8.4093603228529934E-2</c:v>
                </c:pt>
                <c:pt idx="118">
                  <c:v>0.11144355130839893</c:v>
                </c:pt>
                <c:pt idx="119">
                  <c:v>9.8829389185505212E-2</c:v>
                </c:pt>
                <c:pt idx="120">
                  <c:v>0.15188088826763613</c:v>
                </c:pt>
                <c:pt idx="121">
                  <c:v>0.13900908511135968</c:v>
                </c:pt>
                <c:pt idx="122">
                  <c:v>0.11269624585462205</c:v>
                </c:pt>
                <c:pt idx="123">
                  <c:v>0.14259144078605471</c:v>
                </c:pt>
                <c:pt idx="124">
                  <c:v>8.709488016202889E-2</c:v>
                </c:pt>
                <c:pt idx="125">
                  <c:v>1.2284872170812977E-2</c:v>
                </c:pt>
                <c:pt idx="126">
                  <c:v>-8.0072491281052094E-2</c:v>
                </c:pt>
                <c:pt idx="127">
                  <c:v>-9.160050924432972E-2</c:v>
                </c:pt>
                <c:pt idx="128">
                  <c:v>-0.1396580345855761</c:v>
                </c:pt>
                <c:pt idx="129">
                  <c:v>-0.12805073234541928</c:v>
                </c:pt>
                <c:pt idx="130">
                  <c:v>-0.1017745282208246</c:v>
                </c:pt>
                <c:pt idx="131">
                  <c:v>-0.12265999486894258</c:v>
                </c:pt>
                <c:pt idx="132">
                  <c:v>-0.17253416150173059</c:v>
                </c:pt>
                <c:pt idx="133">
                  <c:v>-0.17719717769760088</c:v>
                </c:pt>
                <c:pt idx="134">
                  <c:v>-0.2136675163306784</c:v>
                </c:pt>
                <c:pt idx="135">
                  <c:v>-0.25797196951838353</c:v>
                </c:pt>
                <c:pt idx="136">
                  <c:v>-0.29323725900041137</c:v>
                </c:pt>
                <c:pt idx="137">
                  <c:v>-0.31871836539456561</c:v>
                </c:pt>
                <c:pt idx="138">
                  <c:v>-0.29435618179727002</c:v>
                </c:pt>
                <c:pt idx="139">
                  <c:v>-0.23355441998504797</c:v>
                </c:pt>
                <c:pt idx="140">
                  <c:v>-0.11377003528930925</c:v>
                </c:pt>
                <c:pt idx="141">
                  <c:v>-6.82403252318559E-2</c:v>
                </c:pt>
                <c:pt idx="142">
                  <c:v>-9.6816532812717626E-2</c:v>
                </c:pt>
                <c:pt idx="143">
                  <c:v>-6.5834695961092912E-2</c:v>
                </c:pt>
                <c:pt idx="144">
                  <c:v>-6.5668057612181627E-2</c:v>
                </c:pt>
                <c:pt idx="145">
                  <c:v>-4.4143036192709685E-2</c:v>
                </c:pt>
                <c:pt idx="146">
                  <c:v>-2.7511458777874456E-3</c:v>
                </c:pt>
                <c:pt idx="147">
                  <c:v>-1.8782069302618037E-2</c:v>
                </c:pt>
                <c:pt idx="148">
                  <c:v>-1.9205179551371836E-2</c:v>
                </c:pt>
                <c:pt idx="149">
                  <c:v>2.7101671620769208E-2</c:v>
                </c:pt>
                <c:pt idx="150">
                  <c:v>8.2013570208850056E-2</c:v>
                </c:pt>
                <c:pt idx="151">
                  <c:v>0.13359470269932769</c:v>
                </c:pt>
                <c:pt idx="152">
                  <c:v>0.20567033743001931</c:v>
                </c:pt>
                <c:pt idx="153">
                  <c:v>0.220736291262464</c:v>
                </c:pt>
                <c:pt idx="154">
                  <c:v>0.17682882325266172</c:v>
                </c:pt>
                <c:pt idx="155">
                  <c:v>0.25726660862565304</c:v>
                </c:pt>
                <c:pt idx="156">
                  <c:v>0.33274175016734181</c:v>
                </c:pt>
                <c:pt idx="157">
                  <c:v>0.33181310136964953</c:v>
                </c:pt>
                <c:pt idx="158">
                  <c:v>0.35304899247929927</c:v>
                </c:pt>
                <c:pt idx="159">
                  <c:v>0.39407265462269908</c:v>
                </c:pt>
                <c:pt idx="160">
                  <c:v>0.38435957305523</c:v>
                </c:pt>
                <c:pt idx="161">
                  <c:v>0.36790521973448936</c:v>
                </c:pt>
                <c:pt idx="162">
                  <c:v>0.3757483571101598</c:v>
                </c:pt>
                <c:pt idx="163">
                  <c:v>0.34921295033376443</c:v>
                </c:pt>
                <c:pt idx="164">
                  <c:v>0.37014725948864174</c:v>
                </c:pt>
                <c:pt idx="165">
                  <c:v>0.32416566553437881</c:v>
                </c:pt>
                <c:pt idx="166">
                  <c:v>0.21835970085708065</c:v>
                </c:pt>
                <c:pt idx="167">
                  <c:v>0.16323318611281248</c:v>
                </c:pt>
                <c:pt idx="168">
                  <c:v>0.12496722807066089</c:v>
                </c:pt>
                <c:pt idx="169">
                  <c:v>0.1147426930705225</c:v>
                </c:pt>
                <c:pt idx="170">
                  <c:v>7.1030525545423648E-2</c:v>
                </c:pt>
                <c:pt idx="171">
                  <c:v>3.4244950764977931E-2</c:v>
                </c:pt>
                <c:pt idx="172">
                  <c:v>0.10424951479695947</c:v>
                </c:pt>
                <c:pt idx="173">
                  <c:v>7.4714153079826026E-2</c:v>
                </c:pt>
                <c:pt idx="174">
                  <c:v>2.9488560681645282E-2</c:v>
                </c:pt>
                <c:pt idx="175">
                  <c:v>1.2845445887376331E-2</c:v>
                </c:pt>
                <c:pt idx="176">
                  <c:v>-3.0361631190525845E-2</c:v>
                </c:pt>
                <c:pt idx="177">
                  <c:v>-3.8780066301225817E-2</c:v>
                </c:pt>
                <c:pt idx="178">
                  <c:v>-1.88119974053764E-2</c:v>
                </c:pt>
                <c:pt idx="179">
                  <c:v>-4.4914578144844321E-2</c:v>
                </c:pt>
                <c:pt idx="180">
                  <c:v>-6.4109923373563721E-2</c:v>
                </c:pt>
                <c:pt idx="181">
                  <c:v>-6.8809595212097993E-2</c:v>
                </c:pt>
                <c:pt idx="182">
                  <c:v>-6.8061110576649916E-2</c:v>
                </c:pt>
                <c:pt idx="183">
                  <c:v>-4.2132444062304632E-2</c:v>
                </c:pt>
                <c:pt idx="184">
                  <c:v>-7.4244475045475433E-3</c:v>
                </c:pt>
                <c:pt idx="185">
                  <c:v>4.7163950342485701E-3</c:v>
                </c:pt>
                <c:pt idx="186">
                  <c:v>1.1264347449487816E-2</c:v>
                </c:pt>
                <c:pt idx="187">
                  <c:v>-4.0574157361621582E-4</c:v>
                </c:pt>
                <c:pt idx="188">
                  <c:v>1.8640197748644126E-3</c:v>
                </c:pt>
                <c:pt idx="189">
                  <c:v>6.0581899139027805E-2</c:v>
                </c:pt>
                <c:pt idx="190">
                  <c:v>7.2167557884404862E-2</c:v>
                </c:pt>
                <c:pt idx="191">
                  <c:v>5.2989178887349497E-2</c:v>
                </c:pt>
                <c:pt idx="192">
                  <c:v>9.3638863859964325E-2</c:v>
                </c:pt>
                <c:pt idx="193">
                  <c:v>0.1335634126598744</c:v>
                </c:pt>
                <c:pt idx="194">
                  <c:v>0.15196109005181019</c:v>
                </c:pt>
                <c:pt idx="195">
                  <c:v>0.15635642938704417</c:v>
                </c:pt>
                <c:pt idx="196">
                  <c:v>0.18403522201173675</c:v>
                </c:pt>
                <c:pt idx="197">
                  <c:v>0.1795103087383918</c:v>
                </c:pt>
                <c:pt idx="198">
                  <c:v>0.24371074574795037</c:v>
                </c:pt>
                <c:pt idx="199">
                  <c:v>0.32169318320978435</c:v>
                </c:pt>
                <c:pt idx="200">
                  <c:v>0.32518162599499595</c:v>
                </c:pt>
                <c:pt idx="201">
                  <c:v>0.32279998758642214</c:v>
                </c:pt>
                <c:pt idx="202">
                  <c:v>0.30847161612429169</c:v>
                </c:pt>
                <c:pt idx="203">
                  <c:v>0.31066945552886854</c:v>
                </c:pt>
                <c:pt idx="204">
                  <c:v>0.29212228570314114</c:v>
                </c:pt>
                <c:pt idx="205">
                  <c:v>0.31254093427774615</c:v>
                </c:pt>
                <c:pt idx="206">
                  <c:v>0.2524013930085886</c:v>
                </c:pt>
                <c:pt idx="207">
                  <c:v>0.2259553710011408</c:v>
                </c:pt>
                <c:pt idx="208">
                  <c:v>0.23820646526581582</c:v>
                </c:pt>
                <c:pt idx="209">
                  <c:v>0.2394111226650584</c:v>
                </c:pt>
                <c:pt idx="210">
                  <c:v>0.20161932770551702</c:v>
                </c:pt>
                <c:pt idx="211">
                  <c:v>9.9635560519450841E-2</c:v>
                </c:pt>
                <c:pt idx="212">
                  <c:v>5.9371550771407246E-2</c:v>
                </c:pt>
                <c:pt idx="213">
                  <c:v>1.302915880155614E-2</c:v>
                </c:pt>
                <c:pt idx="214">
                  <c:v>-1.8333901456887475E-2</c:v>
                </c:pt>
                <c:pt idx="215">
                  <c:v>-3.5742489541674541E-2</c:v>
                </c:pt>
                <c:pt idx="216">
                  <c:v>-3.3203380022297328E-2</c:v>
                </c:pt>
                <c:pt idx="217">
                  <c:v>-5.627554171594263E-2</c:v>
                </c:pt>
                <c:pt idx="218">
                  <c:v>-4.7986637326899E-2</c:v>
                </c:pt>
                <c:pt idx="219">
                  <c:v>-1.8358090198985374E-2</c:v>
                </c:pt>
                <c:pt idx="220">
                  <c:v>7.3369655077253808E-3</c:v>
                </c:pt>
                <c:pt idx="221">
                  <c:v>4.9430430338023662E-2</c:v>
                </c:pt>
                <c:pt idx="222">
                  <c:v>3.908100769168691E-2</c:v>
                </c:pt>
                <c:pt idx="223">
                  <c:v>-1.8823295004438874E-3</c:v>
                </c:pt>
                <c:pt idx="224">
                  <c:v>4.0109759407182498E-2</c:v>
                </c:pt>
                <c:pt idx="225">
                  <c:v>3.3029477976135667E-2</c:v>
                </c:pt>
                <c:pt idx="226">
                  <c:v>7.2598076752937127E-2</c:v>
                </c:pt>
                <c:pt idx="227">
                  <c:v>-0.15182937512164998</c:v>
                </c:pt>
                <c:pt idx="228">
                  <c:v>-0.73743388798695164</c:v>
                </c:pt>
                <c:pt idx="229">
                  <c:v>-0.85669435491067036</c:v>
                </c:pt>
                <c:pt idx="230">
                  <c:v>-1.0370653387611293</c:v>
                </c:pt>
                <c:pt idx="231">
                  <c:v>-0.83770853506333121</c:v>
                </c:pt>
                <c:pt idx="232">
                  <c:v>-0.23046371089473769</c:v>
                </c:pt>
                <c:pt idx="233">
                  <c:v>3.938294671026276E-2</c:v>
                </c:pt>
                <c:pt idx="234">
                  <c:v>0.12829830689783797</c:v>
                </c:pt>
                <c:pt idx="235">
                  <c:v>0.10397641443195416</c:v>
                </c:pt>
                <c:pt idx="236">
                  <c:v>6.0829386318847135E-2</c:v>
                </c:pt>
                <c:pt idx="237">
                  <c:v>9.7169664357275379E-2</c:v>
                </c:pt>
                <c:pt idx="238">
                  <c:v>0.11453243501545186</c:v>
                </c:pt>
                <c:pt idx="239">
                  <c:v>1.6281316036048016E-2</c:v>
                </c:pt>
                <c:pt idx="240">
                  <c:v>0.26773976596577442</c:v>
                </c:pt>
                <c:pt idx="241">
                  <c:v>0.34301593266552882</c:v>
                </c:pt>
                <c:pt idx="242">
                  <c:v>0.38770176685585295</c:v>
                </c:pt>
                <c:pt idx="243">
                  <c:v>0.47426763830193486</c:v>
                </c:pt>
                <c:pt idx="244">
                  <c:v>0.50824886138588343</c:v>
                </c:pt>
                <c:pt idx="245">
                  <c:v>0.47423443589090636</c:v>
                </c:pt>
                <c:pt idx="246">
                  <c:v>0.44831099666199808</c:v>
                </c:pt>
                <c:pt idx="247">
                  <c:v>0.53917773761332843</c:v>
                </c:pt>
                <c:pt idx="248">
                  <c:v>0.48290133239352984</c:v>
                </c:pt>
                <c:pt idx="249">
                  <c:v>0.45429407766137375</c:v>
                </c:pt>
                <c:pt idx="250">
                  <c:v>0.3785118905278822</c:v>
                </c:pt>
                <c:pt idx="251">
                  <c:v>0.25263587672743565</c:v>
                </c:pt>
                <c:pt idx="252">
                  <c:v>0.17555680888057867</c:v>
                </c:pt>
                <c:pt idx="253">
                  <c:v>6.3991618349613838E-2</c:v>
                </c:pt>
                <c:pt idx="254">
                  <c:v>0.24927889469558506</c:v>
                </c:pt>
                <c:pt idx="255">
                  <c:v>0.10184901816452858</c:v>
                </c:pt>
                <c:pt idx="256">
                  <c:v>5.0827172987637836E-2</c:v>
                </c:pt>
                <c:pt idx="257">
                  <c:v>-2.6670979764813623E-2</c:v>
                </c:pt>
                <c:pt idx="258">
                  <c:v>-0.11580965900196376</c:v>
                </c:pt>
                <c:pt idx="259">
                  <c:v>-0.22282445288554822</c:v>
                </c:pt>
                <c:pt idx="260">
                  <c:v>-0.33177048567224521</c:v>
                </c:pt>
                <c:pt idx="261">
                  <c:v>-0.36623949204567219</c:v>
                </c:pt>
                <c:pt idx="262">
                  <c:v>-0.29086815659121695</c:v>
                </c:pt>
                <c:pt idx="263">
                  <c:v>-0.26811760696272008</c:v>
                </c:pt>
                <c:pt idx="264">
                  <c:v>-0.29285058897834504</c:v>
                </c:pt>
                <c:pt idx="265">
                  <c:v>-0.28348579611951669</c:v>
                </c:pt>
                <c:pt idx="266">
                  <c:v>-0.28914471922545443</c:v>
                </c:pt>
                <c:pt idx="267">
                  <c:v>-0.23486084924619999</c:v>
                </c:pt>
                <c:pt idx="268">
                  <c:v>-0.14033038221103303</c:v>
                </c:pt>
                <c:pt idx="269">
                  <c:v>-9.4911723280888524E-2</c:v>
                </c:pt>
                <c:pt idx="270">
                  <c:v>-8.0993257145835426E-2</c:v>
                </c:pt>
                <c:pt idx="271">
                  <c:v>-5.9892553180532056E-2</c:v>
                </c:pt>
                <c:pt idx="272">
                  <c:v>-1.1280800524080439E-2</c:v>
                </c:pt>
                <c:pt idx="273">
                  <c:v>9.3121026252823615E-3</c:v>
                </c:pt>
                <c:pt idx="274">
                  <c:v>9.5984033770767554E-3</c:v>
                </c:pt>
                <c:pt idx="275">
                  <c:v>0.11293510841460981</c:v>
                </c:pt>
                <c:pt idx="276">
                  <c:v>0.18545047751644592</c:v>
                </c:pt>
                <c:pt idx="277">
                  <c:v>0.2249703414242589</c:v>
                </c:pt>
                <c:pt idx="278">
                  <c:v>0.27471604411834494</c:v>
                </c:pt>
                <c:pt idx="279">
                  <c:v>0.29614822154461656</c:v>
                </c:pt>
                <c:pt idx="280">
                  <c:v>0.24575360340440078</c:v>
                </c:pt>
                <c:pt idx="281">
                  <c:v>0.29696034531544463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62-48B9-8CC8-A3DB621F3EAA}"/>
            </c:ext>
          </c:extLst>
        </c:ser>
        <c:ser>
          <c:idx val="3"/>
          <c:order val="1"/>
          <c:tx>
            <c:strRef>
              <c:f>Europe!$J$3</c:f>
              <c:strCache>
                <c:ptCount val="1"/>
                <c:pt idx="0">
                  <c:v>CFNAI Index  (R2)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Europe!$J$4:$J$143</c:f>
              <c:numCache>
                <c:formatCode>General</c:formatCode>
                <c:ptCount val="140"/>
                <c:pt idx="0">
                  <c:v>-0.68</c:v>
                </c:pt>
                <c:pt idx="1">
                  <c:v>-0.85</c:v>
                </c:pt>
                <c:pt idx="2">
                  <c:v>-0.46</c:v>
                </c:pt>
                <c:pt idx="3">
                  <c:v>-0.9</c:v>
                </c:pt>
                <c:pt idx="4">
                  <c:v>-0.5</c:v>
                </c:pt>
                <c:pt idx="5">
                  <c:v>-0.44</c:v>
                </c:pt>
                <c:pt idx="6">
                  <c:v>-1.04</c:v>
                </c:pt>
                <c:pt idx="7">
                  <c:v>-0.22</c:v>
                </c:pt>
                <c:pt idx="8">
                  <c:v>-0.77</c:v>
                </c:pt>
                <c:pt idx="9">
                  <c:v>-0.3</c:v>
                </c:pt>
                <c:pt idx="10">
                  <c:v>-7.0000000000000007E-2</c:v>
                </c:pt>
                <c:pt idx="11">
                  <c:v>-0.11</c:v>
                </c:pt>
                <c:pt idx="12">
                  <c:v>-0.01</c:v>
                </c:pt>
                <c:pt idx="13">
                  <c:v>0.17</c:v>
                </c:pt>
                <c:pt idx="14">
                  <c:v>0.03</c:v>
                </c:pt>
                <c:pt idx="15">
                  <c:v>0.28999999999999998</c:v>
                </c:pt>
                <c:pt idx="16">
                  <c:v>-0.28000000000000003</c:v>
                </c:pt>
                <c:pt idx="17">
                  <c:v>-0.06</c:v>
                </c:pt>
                <c:pt idx="18">
                  <c:v>-0.32</c:v>
                </c:pt>
                <c:pt idx="19">
                  <c:v>-0.39</c:v>
                </c:pt>
                <c:pt idx="20">
                  <c:v>0.14000000000000001</c:v>
                </c:pt>
                <c:pt idx="21">
                  <c:v>-0.59</c:v>
                </c:pt>
                <c:pt idx="22">
                  <c:v>0.35</c:v>
                </c:pt>
                <c:pt idx="23">
                  <c:v>-0.46</c:v>
                </c:pt>
                <c:pt idx="24">
                  <c:v>-0.19</c:v>
                </c:pt>
                <c:pt idx="25">
                  <c:v>-0.65</c:v>
                </c:pt>
                <c:pt idx="26">
                  <c:v>0</c:v>
                </c:pt>
                <c:pt idx="27">
                  <c:v>0.12</c:v>
                </c:pt>
                <c:pt idx="28">
                  <c:v>0.1</c:v>
                </c:pt>
                <c:pt idx="29">
                  <c:v>-0.15</c:v>
                </c:pt>
                <c:pt idx="30">
                  <c:v>0.33</c:v>
                </c:pt>
                <c:pt idx="31">
                  <c:v>0.12</c:v>
                </c:pt>
                <c:pt idx="32">
                  <c:v>0.47</c:v>
                </c:pt>
                <c:pt idx="33">
                  <c:v>0.02</c:v>
                </c:pt>
                <c:pt idx="34">
                  <c:v>0.05</c:v>
                </c:pt>
                <c:pt idx="35">
                  <c:v>0.43</c:v>
                </c:pt>
                <c:pt idx="36">
                  <c:v>0.51</c:v>
                </c:pt>
                <c:pt idx="37">
                  <c:v>7.0000000000000007E-2</c:v>
                </c:pt>
                <c:pt idx="38">
                  <c:v>0.54</c:v>
                </c:pt>
                <c:pt idx="39">
                  <c:v>-0.3</c:v>
                </c:pt>
                <c:pt idx="40">
                  <c:v>0.44</c:v>
                </c:pt>
                <c:pt idx="41">
                  <c:v>0.3</c:v>
                </c:pt>
                <c:pt idx="42">
                  <c:v>0.13</c:v>
                </c:pt>
                <c:pt idx="43">
                  <c:v>0.45</c:v>
                </c:pt>
                <c:pt idx="44">
                  <c:v>0.01</c:v>
                </c:pt>
                <c:pt idx="45">
                  <c:v>0.79</c:v>
                </c:pt>
                <c:pt idx="46">
                  <c:v>0.18</c:v>
                </c:pt>
                <c:pt idx="47">
                  <c:v>0.38</c:v>
                </c:pt>
                <c:pt idx="48">
                  <c:v>-0.28999999999999998</c:v>
                </c:pt>
                <c:pt idx="49">
                  <c:v>0.53</c:v>
                </c:pt>
                <c:pt idx="50">
                  <c:v>-0.02</c:v>
                </c:pt>
                <c:pt idx="51">
                  <c:v>0.36</c:v>
                </c:pt>
                <c:pt idx="52">
                  <c:v>-0.05</c:v>
                </c:pt>
                <c:pt idx="53">
                  <c:v>0.22</c:v>
                </c:pt>
                <c:pt idx="54">
                  <c:v>-0.57999999999999996</c:v>
                </c:pt>
                <c:pt idx="55">
                  <c:v>0.59</c:v>
                </c:pt>
                <c:pt idx="56">
                  <c:v>0.68</c:v>
                </c:pt>
                <c:pt idx="57">
                  <c:v>0.31</c:v>
                </c:pt>
                <c:pt idx="58">
                  <c:v>0.45</c:v>
                </c:pt>
                <c:pt idx="59">
                  <c:v>0.08</c:v>
                </c:pt>
                <c:pt idx="60">
                  <c:v>0.21</c:v>
                </c:pt>
                <c:pt idx="61">
                  <c:v>-0.1</c:v>
                </c:pt>
                <c:pt idx="62">
                  <c:v>0.01</c:v>
                </c:pt>
                <c:pt idx="63">
                  <c:v>0</c:v>
                </c:pt>
                <c:pt idx="64">
                  <c:v>-0.28000000000000003</c:v>
                </c:pt>
                <c:pt idx="65">
                  <c:v>0.18</c:v>
                </c:pt>
                <c:pt idx="66">
                  <c:v>-0.02</c:v>
                </c:pt>
                <c:pt idx="67">
                  <c:v>-0.27</c:v>
                </c:pt>
                <c:pt idx="68">
                  <c:v>-0.14000000000000001</c:v>
                </c:pt>
                <c:pt idx="69">
                  <c:v>0.74</c:v>
                </c:pt>
                <c:pt idx="70">
                  <c:v>-0.49</c:v>
                </c:pt>
                <c:pt idx="71">
                  <c:v>0.18</c:v>
                </c:pt>
                <c:pt idx="72">
                  <c:v>0.24</c:v>
                </c:pt>
                <c:pt idx="73">
                  <c:v>-0.1</c:v>
                </c:pt>
                <c:pt idx="74">
                  <c:v>0.04</c:v>
                </c:pt>
                <c:pt idx="75">
                  <c:v>-0.05</c:v>
                </c:pt>
                <c:pt idx="76">
                  <c:v>-0.4</c:v>
                </c:pt>
                <c:pt idx="77">
                  <c:v>-7.0000000000000007E-2</c:v>
                </c:pt>
                <c:pt idx="78">
                  <c:v>-0.08</c:v>
                </c:pt>
                <c:pt idx="79">
                  <c:v>-0.27</c:v>
                </c:pt>
                <c:pt idx="80">
                  <c:v>-7.0000000000000007E-2</c:v>
                </c:pt>
                <c:pt idx="81">
                  <c:v>-0.46</c:v>
                </c:pt>
                <c:pt idx="82">
                  <c:v>-0.24</c:v>
                </c:pt>
                <c:pt idx="83">
                  <c:v>-0.77</c:v>
                </c:pt>
                <c:pt idx="84">
                  <c:v>-0.79</c:v>
                </c:pt>
                <c:pt idx="85">
                  <c:v>-0.66</c:v>
                </c:pt>
                <c:pt idx="86">
                  <c:v>-0.8</c:v>
                </c:pt>
                <c:pt idx="87">
                  <c:v>-0.69</c:v>
                </c:pt>
                <c:pt idx="88">
                  <c:v>-1.22</c:v>
                </c:pt>
                <c:pt idx="89">
                  <c:v>-1.21</c:v>
                </c:pt>
                <c:pt idx="90">
                  <c:v>-2.4500000000000002</c:v>
                </c:pt>
                <c:pt idx="91">
                  <c:v>-1.1100000000000001</c:v>
                </c:pt>
                <c:pt idx="92">
                  <c:v>-2.2799999999999998</c:v>
                </c:pt>
                <c:pt idx="93">
                  <c:v>-2.58</c:v>
                </c:pt>
                <c:pt idx="94">
                  <c:v>-2.93</c:v>
                </c:pt>
                <c:pt idx="95">
                  <c:v>-1.2</c:v>
                </c:pt>
                <c:pt idx="96">
                  <c:v>-2.2599999999999998</c:v>
                </c:pt>
                <c:pt idx="97">
                  <c:v>-1.56</c:v>
                </c:pt>
                <c:pt idx="98">
                  <c:v>-1.1299999999999999</c:v>
                </c:pt>
                <c:pt idx="99">
                  <c:v>-0.88</c:v>
                </c:pt>
                <c:pt idx="100">
                  <c:v>0.14000000000000001</c:v>
                </c:pt>
                <c:pt idx="101">
                  <c:v>0</c:v>
                </c:pt>
                <c:pt idx="102">
                  <c:v>-0.24</c:v>
                </c:pt>
                <c:pt idx="103">
                  <c:v>-0.28999999999999998</c:v>
                </c:pt>
                <c:pt idx="104">
                  <c:v>0.05</c:v>
                </c:pt>
                <c:pt idx="105">
                  <c:v>-0.32</c:v>
                </c:pt>
                <c:pt idx="106">
                  <c:v>0.16</c:v>
                </c:pt>
                <c:pt idx="107">
                  <c:v>-0.36</c:v>
                </c:pt>
                <c:pt idx="108">
                  <c:v>0.47</c:v>
                </c:pt>
                <c:pt idx="109">
                  <c:v>0.37</c:v>
                </c:pt>
                <c:pt idx="110">
                  <c:v>0.3</c:v>
                </c:pt>
                <c:pt idx="111">
                  <c:v>-0.16</c:v>
                </c:pt>
                <c:pt idx="112">
                  <c:v>0.16</c:v>
                </c:pt>
                <c:pt idx="113">
                  <c:v>-0.18</c:v>
                </c:pt>
                <c:pt idx="114">
                  <c:v>-0.22</c:v>
                </c:pt>
                <c:pt idx="115">
                  <c:v>-0.12</c:v>
                </c:pt>
                <c:pt idx="116">
                  <c:v>-0.2</c:v>
                </c:pt>
                <c:pt idx="117">
                  <c:v>0.06</c:v>
                </c:pt>
                <c:pt idx="118">
                  <c:v>0.03</c:v>
                </c:pt>
                <c:pt idx="119">
                  <c:v>-0.39</c:v>
                </c:pt>
                <c:pt idx="120">
                  <c:v>0.38</c:v>
                </c:pt>
                <c:pt idx="121">
                  <c:v>-0.48</c:v>
                </c:pt>
                <c:pt idx="122">
                  <c:v>-0.33</c:v>
                </c:pt>
                <c:pt idx="123">
                  <c:v>-0.01</c:v>
                </c:pt>
                <c:pt idx="124">
                  <c:v>0.16</c:v>
                </c:pt>
                <c:pt idx="125">
                  <c:v>-0.03</c:v>
                </c:pt>
                <c:pt idx="126">
                  <c:v>-0.27</c:v>
                </c:pt>
                <c:pt idx="127">
                  <c:v>0.15</c:v>
                </c:pt>
                <c:pt idx="128">
                  <c:v>-0.34</c:v>
                </c:pt>
                <c:pt idx="129">
                  <c:v>0.26</c:v>
                </c:pt>
                <c:pt idx="130">
                  <c:v>0.32</c:v>
                </c:pt>
                <c:pt idx="131">
                  <c:v>-0.02</c:v>
                </c:pt>
                <c:pt idx="132">
                  <c:v>-0.38</c:v>
                </c:pt>
                <c:pt idx="133">
                  <c:v>7.0000000000000007E-2</c:v>
                </c:pt>
                <c:pt idx="134">
                  <c:v>-0.19</c:v>
                </c:pt>
                <c:pt idx="135">
                  <c:v>-0.34</c:v>
                </c:pt>
                <c:pt idx="136">
                  <c:v>-0.28000000000000003</c:v>
                </c:pt>
                <c:pt idx="137">
                  <c:v>-0.44</c:v>
                </c:pt>
                <c:pt idx="138">
                  <c:v>-0.11</c:v>
                </c:pt>
                <c:pt idx="139">
                  <c:v>-0.27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62-48B9-8CC8-A3DB621F3EAA}"/>
            </c:ext>
          </c:extLst>
        </c:ser>
        <c:ser>
          <c:idx val="4"/>
          <c:order val="2"/>
          <c:tx>
            <c:strRef>
              <c:f>Europe!$K$3</c:f>
              <c:strCache>
                <c:ptCount val="1"/>
                <c:pt idx="0">
                  <c:v>CFNAI Index Cap EWMA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Europe!$K$4:$K$143</c:f>
              <c:numCache>
                <c:formatCode>#,##0.00</c:formatCode>
                <c:ptCount val="140"/>
                <c:pt idx="0">
                  <c:v>-0.68</c:v>
                </c:pt>
                <c:pt idx="1">
                  <c:v>-0.72845000000000004</c:v>
                </c:pt>
                <c:pt idx="2">
                  <c:v>-0.65194174999999999</c:v>
                </c:pt>
                <c:pt idx="3">
                  <c:v>-0.72263835125000009</c:v>
                </c:pt>
                <c:pt idx="4">
                  <c:v>-0.65918642114375015</c:v>
                </c:pt>
                <c:pt idx="5">
                  <c:v>-0.5967182911177813</c:v>
                </c:pt>
                <c:pt idx="6">
                  <c:v>-0.72305357814921367</c:v>
                </c:pt>
                <c:pt idx="7">
                  <c:v>-0.57968330837668769</c:v>
                </c:pt>
                <c:pt idx="8">
                  <c:v>-0.63392356548933171</c:v>
                </c:pt>
                <c:pt idx="9">
                  <c:v>-0.53875534932487212</c:v>
                </c:pt>
                <c:pt idx="10">
                  <c:v>-0.40516007476728355</c:v>
                </c:pt>
                <c:pt idx="11">
                  <c:v>-0.32103945345860774</c:v>
                </c:pt>
                <c:pt idx="12">
                  <c:v>-0.23239320922290452</c:v>
                </c:pt>
                <c:pt idx="13">
                  <c:v>-0.11771114459437672</c:v>
                </c:pt>
                <c:pt idx="14">
                  <c:v>-7.5613468384979343E-2</c:v>
                </c:pt>
                <c:pt idx="15">
                  <c:v>2.8586370104739772E-2</c:v>
                </c:pt>
                <c:pt idx="16">
                  <c:v>-5.9360745375111074E-2</c:v>
                </c:pt>
                <c:pt idx="17">
                  <c:v>-5.954293294320441E-2</c:v>
                </c:pt>
                <c:pt idx="18">
                  <c:v>-0.13377319705439117</c:v>
                </c:pt>
                <c:pt idx="19">
                  <c:v>-0.2067978358938897</c:v>
                </c:pt>
                <c:pt idx="20">
                  <c:v>-0.10796045266413111</c:v>
                </c:pt>
                <c:pt idx="21">
                  <c:v>-0.24534172365485377</c:v>
                </c:pt>
                <c:pt idx="22">
                  <c:v>-7.5669332413220436E-2</c:v>
                </c:pt>
                <c:pt idx="23">
                  <c:v>-0.18520357267545262</c:v>
                </c:pt>
                <c:pt idx="24">
                  <c:v>-0.18657055446294862</c:v>
                </c:pt>
                <c:pt idx="25">
                  <c:v>-0.31864794644100825</c:v>
                </c:pt>
                <c:pt idx="26">
                  <c:v>-0.22783328170532088</c:v>
                </c:pt>
                <c:pt idx="27">
                  <c:v>-0.1287007964193044</c:v>
                </c:pt>
                <c:pt idx="28">
                  <c:v>-6.3521069439802652E-2</c:v>
                </c:pt>
                <c:pt idx="29">
                  <c:v>-8.8167564649458907E-2</c:v>
                </c:pt>
                <c:pt idx="30">
                  <c:v>3.1010191275636895E-2</c:v>
                </c:pt>
                <c:pt idx="31">
                  <c:v>5.6372286762080379E-2</c:v>
                </c:pt>
                <c:pt idx="32">
                  <c:v>0.17425618503488749</c:v>
                </c:pt>
                <c:pt idx="33">
                  <c:v>0.13029317229994455</c:v>
                </c:pt>
                <c:pt idx="34">
                  <c:v>0.10740961819446035</c:v>
                </c:pt>
                <c:pt idx="35">
                  <c:v>0.19934787700903916</c:v>
                </c:pt>
                <c:pt idx="36">
                  <c:v>0.287883732061463</c:v>
                </c:pt>
                <c:pt idx="37">
                  <c:v>0.22578686842394605</c:v>
                </c:pt>
                <c:pt idx="38">
                  <c:v>0.31533761092312146</c:v>
                </c:pt>
                <c:pt idx="39">
                  <c:v>0.13996639181003184</c:v>
                </c:pt>
                <c:pt idx="40">
                  <c:v>0.22547597014417275</c:v>
                </c:pt>
                <c:pt idx="41">
                  <c:v>0.24671531865308349</c:v>
                </c:pt>
                <c:pt idx="42">
                  <c:v>0.21345145283695469</c:v>
                </c:pt>
                <c:pt idx="43">
                  <c:v>0.28086778877842261</c:v>
                </c:pt>
                <c:pt idx="44">
                  <c:v>0.20367046897657215</c:v>
                </c:pt>
                <c:pt idx="45">
                  <c:v>0.37077438531824913</c:v>
                </c:pt>
                <c:pt idx="46">
                  <c:v>0.3164036855025481</c:v>
                </c:pt>
                <c:pt idx="47">
                  <c:v>0.33452863513432191</c:v>
                </c:pt>
                <c:pt idx="48">
                  <c:v>0.15653797412104015</c:v>
                </c:pt>
                <c:pt idx="49">
                  <c:v>0.2629746514965437</c:v>
                </c:pt>
                <c:pt idx="50">
                  <c:v>0.18232687582002874</c:v>
                </c:pt>
                <c:pt idx="51">
                  <c:v>0.23296371621132056</c:v>
                </c:pt>
                <c:pt idx="52">
                  <c:v>0.15231905709109417</c:v>
                </c:pt>
                <c:pt idx="53">
                  <c:v>0.17160812582013235</c:v>
                </c:pt>
                <c:pt idx="54">
                  <c:v>-4.2600190038605379E-2</c:v>
                </c:pt>
                <c:pt idx="55">
                  <c:v>0.13769086412239717</c:v>
                </c:pt>
                <c:pt idx="56">
                  <c:v>0.29224896784751397</c:v>
                </c:pt>
                <c:pt idx="57">
                  <c:v>0.29730801201097246</c:v>
                </c:pt>
                <c:pt idx="58">
                  <c:v>0.34082522858784536</c:v>
                </c:pt>
                <c:pt idx="59">
                  <c:v>0.26649003844030944</c:v>
                </c:pt>
                <c:pt idx="60">
                  <c:v>0.25039037748482124</c:v>
                </c:pt>
                <c:pt idx="61">
                  <c:v>0.15052911990164719</c:v>
                </c:pt>
                <c:pt idx="62">
                  <c:v>0.11047832072967774</c:v>
                </c:pt>
                <c:pt idx="63">
                  <c:v>7.8991999321719575E-2</c:v>
                </c:pt>
                <c:pt idx="64">
                  <c:v>-2.3320720484970518E-2</c:v>
                </c:pt>
                <c:pt idx="65">
                  <c:v>3.4625684853246089E-2</c:v>
                </c:pt>
                <c:pt idx="66">
                  <c:v>1.9057364670070954E-2</c:v>
                </c:pt>
                <c:pt idx="67">
                  <c:v>-6.3323984260899288E-2</c:v>
                </c:pt>
                <c:pt idx="68">
                  <c:v>-8.5176648746542988E-2</c:v>
                </c:pt>
                <c:pt idx="69">
                  <c:v>0.1499986961462218</c:v>
                </c:pt>
                <c:pt idx="70">
                  <c:v>-3.2400932255451445E-2</c:v>
                </c:pt>
                <c:pt idx="71">
                  <c:v>2.8133333437352224E-2</c:v>
                </c:pt>
                <c:pt idx="72">
                  <c:v>8.8515333407706842E-2</c:v>
                </c:pt>
                <c:pt idx="73">
                  <c:v>3.4788463386510392E-2</c:v>
                </c:pt>
                <c:pt idx="74">
                  <c:v>3.6273751321354929E-2</c:v>
                </c:pt>
                <c:pt idx="75">
                  <c:v>1.1685732194768771E-2</c:v>
                </c:pt>
                <c:pt idx="76">
                  <c:v>-0.10564470148074034</c:v>
                </c:pt>
                <c:pt idx="77">
                  <c:v>-9.5485961558729349E-2</c:v>
                </c:pt>
                <c:pt idx="78">
                  <c:v>-9.1072462514491484E-2</c:v>
                </c:pt>
                <c:pt idx="79">
                  <c:v>-0.14206681069786142</c:v>
                </c:pt>
                <c:pt idx="80">
                  <c:v>-0.12152776964897091</c:v>
                </c:pt>
                <c:pt idx="81">
                  <c:v>-0.21799235529901423</c:v>
                </c:pt>
                <c:pt idx="82">
                  <c:v>-0.22426453403879515</c:v>
                </c:pt>
                <c:pt idx="83">
                  <c:v>-0.37979914183773855</c:v>
                </c:pt>
                <c:pt idx="84">
                  <c:v>-0.49670638641398313</c:v>
                </c:pt>
                <c:pt idx="85">
                  <c:v>-0.54324506628599789</c:v>
                </c:pt>
                <c:pt idx="86">
                  <c:v>-0.61642022239448857</c:v>
                </c:pt>
                <c:pt idx="87">
                  <c:v>-0.63739045901205937</c:v>
                </c:pt>
                <c:pt idx="88">
                  <c:v>-0.80343417819362251</c:v>
                </c:pt>
                <c:pt idx="89">
                  <c:v>-0.91930543740844017</c:v>
                </c:pt>
                <c:pt idx="90">
                  <c:v>-1.3555533877470349</c:v>
                </c:pt>
                <c:pt idx="91">
                  <c:v>-1.28557067223913</c:v>
                </c:pt>
                <c:pt idx="92">
                  <c:v>-1.568983030650978</c:v>
                </c:pt>
                <c:pt idx="93">
                  <c:v>-1.8571228669154494</c:v>
                </c:pt>
                <c:pt idx="94">
                  <c:v>-2.1628928498445466</c:v>
                </c:pt>
                <c:pt idx="95">
                  <c:v>-1.8884683876388508</c:v>
                </c:pt>
                <c:pt idx="96">
                  <c:v>-1.9943548971617782</c:v>
                </c:pt>
                <c:pt idx="97">
                  <c:v>-1.8705637514706714</c:v>
                </c:pt>
                <c:pt idx="98">
                  <c:v>-1.65950308230153</c:v>
                </c:pt>
                <c:pt idx="99">
                  <c:v>-1.4373447038455938</c:v>
                </c:pt>
                <c:pt idx="100">
                  <c:v>-0.9878014632495995</c:v>
                </c:pt>
                <c:pt idx="101">
                  <c:v>-0.70627804622346357</c:v>
                </c:pt>
                <c:pt idx="102">
                  <c:v>-0.57338880304977646</c:v>
                </c:pt>
                <c:pt idx="103">
                  <c:v>-0.49262299418059013</c:v>
                </c:pt>
                <c:pt idx="104">
                  <c:v>-0.33797544083912195</c:v>
                </c:pt>
                <c:pt idx="105">
                  <c:v>-0.33285244019997218</c:v>
                </c:pt>
                <c:pt idx="106">
                  <c:v>-0.19238949474298009</c:v>
                </c:pt>
                <c:pt idx="107">
                  <c:v>-0.24015848874123075</c:v>
                </c:pt>
                <c:pt idx="108">
                  <c:v>-3.776331944997996E-2</c:v>
                </c:pt>
                <c:pt idx="109">
                  <c:v>7.8449226593264337E-2</c:v>
                </c:pt>
                <c:pt idx="110">
                  <c:v>0.14159119701418399</c:v>
                </c:pt>
                <c:pt idx="111">
                  <c:v>5.5637705865141544E-2</c:v>
                </c:pt>
                <c:pt idx="112">
                  <c:v>8.5380959693576203E-2</c:v>
                </c:pt>
                <c:pt idx="113">
                  <c:v>9.7473861809069737E-3</c:v>
                </c:pt>
                <c:pt idx="114">
                  <c:v>-5.573061888065152E-2</c:v>
                </c:pt>
                <c:pt idx="115">
                  <c:v>-7.4047392499665826E-2</c:v>
                </c:pt>
                <c:pt idx="116">
                  <c:v>-0.10994388563726107</c:v>
                </c:pt>
                <c:pt idx="117">
                  <c:v>-6.1509878230641662E-2</c:v>
                </c:pt>
                <c:pt idx="118">
                  <c:v>-3.5429562934908787E-2</c:v>
                </c:pt>
                <c:pt idx="119">
                  <c:v>-0.1364821374984598</c:v>
                </c:pt>
                <c:pt idx="120">
                  <c:v>1.0715271688601258E-2</c:v>
                </c:pt>
                <c:pt idx="121">
                  <c:v>-0.12913858074265011</c:v>
                </c:pt>
                <c:pt idx="122">
                  <c:v>-0.18638408523099484</c:v>
                </c:pt>
                <c:pt idx="123">
                  <c:v>-0.1361146209401613</c:v>
                </c:pt>
                <c:pt idx="124">
                  <c:v>-5.1721953972215316E-2</c:v>
                </c:pt>
                <c:pt idx="125">
                  <c:v>-4.5531197090133951E-2</c:v>
                </c:pt>
                <c:pt idx="126">
                  <c:v>-0.10950480591944579</c:v>
                </c:pt>
                <c:pt idx="127">
                  <c:v>-3.5545936232403742E-2</c:v>
                </c:pt>
                <c:pt idx="128">
                  <c:v>-0.12231534440616869</c:v>
                </c:pt>
                <c:pt idx="129">
                  <c:v>-1.3355471250410589E-2</c:v>
                </c:pt>
                <c:pt idx="130">
                  <c:v>8.1650838055956451E-2</c:v>
                </c:pt>
                <c:pt idx="131">
                  <c:v>5.2680349210008859E-2</c:v>
                </c:pt>
                <c:pt idx="132">
                  <c:v>-7.0633550314843668E-2</c:v>
                </c:pt>
                <c:pt idx="133">
                  <c:v>-3.0552988475113216E-2</c:v>
                </c:pt>
                <c:pt idx="134">
                  <c:v>-7.5995386759705949E-2</c:v>
                </c:pt>
                <c:pt idx="135">
                  <c:v>-0.15123670153318977</c:v>
                </c:pt>
                <c:pt idx="136">
                  <c:v>-0.18793424159623068</c:v>
                </c:pt>
                <c:pt idx="137">
                  <c:v>-0.25977298274130495</c:v>
                </c:pt>
                <c:pt idx="138">
                  <c:v>-0.21708768266003303</c:v>
                </c:pt>
                <c:pt idx="139">
                  <c:v>-0.23216769310192362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962-48B9-8CC8-A3DB621F3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7088191"/>
        <c:axId val="2007088671"/>
      </c:lineChart>
      <c:catAx>
        <c:axId val="20070881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7088671"/>
        <c:crosses val="autoZero"/>
        <c:auto val="1"/>
        <c:lblAlgn val="ctr"/>
        <c:lblOffset val="100"/>
        <c:noMultiLvlLbl val="0"/>
      </c:catAx>
      <c:valAx>
        <c:axId val="200708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7088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2000" b="1"/>
              <a:t>Macro cycle Europe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5.0232882494958171E-2"/>
          <c:y val="0.12516045164165801"/>
          <c:w val="0.93871769517182457"/>
          <c:h val="0.62232873421712431"/>
        </c:manualLayout>
      </c:layout>
      <c:lineChart>
        <c:grouping val="standard"/>
        <c:varyColors val="0"/>
        <c:ser>
          <c:idx val="2"/>
          <c:order val="0"/>
          <c:tx>
            <c:strRef>
              <c:f>Europe!$AD$5</c:f>
              <c:strCache>
                <c:ptCount val="1"/>
                <c:pt idx="0">
                  <c:v>SD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Europe!$A$6:$A$300</c:f>
              <c:numCache>
                <c:formatCode>m/d/yyyy</c:formatCode>
                <c:ptCount val="295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45900</c:v>
                </c:pt>
                <c:pt idx="292">
                  <c:v>45930</c:v>
                </c:pt>
                <c:pt idx="293">
                  <c:v>45961</c:v>
                </c:pt>
                <c:pt idx="294">
                  <c:v>45991</c:v>
                </c:pt>
              </c:numCache>
            </c:numRef>
          </c:cat>
          <c:val>
            <c:numRef>
              <c:f>Europe!$AD$6:$AD$300</c:f>
              <c:numCache>
                <c:formatCode>General</c:formatCode>
                <c:ptCount val="29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0.4784230276055515</c:v>
                </c:pt>
                <c:pt idx="51">
                  <c:v>0.41782546473796928</c:v>
                </c:pt>
                <c:pt idx="52">
                  <c:v>0.33013083228764811</c:v>
                </c:pt>
                <c:pt idx="53">
                  <c:v>0.39722054508566812</c:v>
                </c:pt>
                <c:pt idx="54">
                  <c:v>0.50309218973625269</c:v>
                </c:pt>
                <c:pt idx="55">
                  <c:v>0.54433629066142064</c:v>
                </c:pt>
                <c:pt idx="56">
                  <c:v>0.56671032282291556</c:v>
                </c:pt>
                <c:pt idx="57">
                  <c:v>0.56220200581838486</c:v>
                </c:pt>
                <c:pt idx="58">
                  <c:v>0.54604668416014512</c:v>
                </c:pt>
                <c:pt idx="59">
                  <c:v>0.47774500417450394</c:v>
                </c:pt>
                <c:pt idx="60">
                  <c:v>0.42280555298477046</c:v>
                </c:pt>
                <c:pt idx="61">
                  <c:v>0.40666347038411099</c:v>
                </c:pt>
                <c:pt idx="62">
                  <c:v>0.38486900632463916</c:v>
                </c:pt>
                <c:pt idx="63">
                  <c:v>0.40916933952211682</c:v>
                </c:pt>
                <c:pt idx="64">
                  <c:v>0.40863657775831347</c:v>
                </c:pt>
                <c:pt idx="65">
                  <c:v>0.40785665309719404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0.679906183807932</c:v>
                </c:pt>
                <c:pt idx="74">
                  <c:v>0.57782454642267123</c:v>
                </c:pt>
                <c:pt idx="75">
                  <c:v>0.40045492569221003</c:v>
                </c:pt>
                <c:pt idx="76">
                  <c:v>0.26570237330366281</c:v>
                </c:pt>
                <c:pt idx="77">
                  <c:v>0.21973832191211862</c:v>
                </c:pt>
                <c:pt idx="78">
                  <c:v>0.15057215016716441</c:v>
                </c:pt>
                <c:pt idx="79">
                  <c:v>8.972546236952246E-2</c:v>
                </c:pt>
                <c:pt idx="80">
                  <c:v>2.4783330594208453E-2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0.14259144078605471</c:v>
                </c:pt>
                <c:pt idx="122">
                  <c:v>8.709488016202889E-2</c:v>
                </c:pt>
                <c:pt idx="123">
                  <c:v>1.2284872170812977E-2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0.32416566553437881</c:v>
                </c:pt>
                <c:pt idx="164">
                  <c:v>0.21835970085708065</c:v>
                </c:pt>
                <c:pt idx="165">
                  <c:v>0.16323318611281248</c:v>
                </c:pt>
                <c:pt idx="166">
                  <c:v>0.12496722807066089</c:v>
                </c:pt>
                <c:pt idx="167">
                  <c:v>0.1147426930705225</c:v>
                </c:pt>
                <c:pt idx="168">
                  <c:v>7.1030525545423648E-2</c:v>
                </c:pt>
                <c:pt idx="169">
                  <c:v>3.4244950764977931E-2</c:v>
                </c:pt>
                <c:pt idx="170">
                  <c:v>0.10424951479695947</c:v>
                </c:pt>
                <c:pt idx="171">
                  <c:v>7.4714153079826026E-2</c:v>
                </c:pt>
                <c:pt idx="172">
                  <c:v>2.9488560681645282E-2</c:v>
                </c:pt>
                <c:pt idx="173">
                  <c:v>1.2845445887376331E-2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0.32279998758642214</c:v>
                </c:pt>
                <c:pt idx="200">
                  <c:v>0.30847161612429169</c:v>
                </c:pt>
                <c:pt idx="201">
                  <c:v>0.31066945552886854</c:v>
                </c:pt>
                <c:pt idx="202">
                  <c:v>0.29212228570314114</c:v>
                </c:pt>
                <c:pt idx="203">
                  <c:v>0.31254093427774615</c:v>
                </c:pt>
                <c:pt idx="204">
                  <c:v>0.2524013930085886</c:v>
                </c:pt>
                <c:pt idx="205">
                  <c:v>0.2259553710011408</c:v>
                </c:pt>
                <c:pt idx="206">
                  <c:v>0.23820646526581582</c:v>
                </c:pt>
                <c:pt idx="207">
                  <c:v>0.2394111226650584</c:v>
                </c:pt>
                <c:pt idx="208">
                  <c:v>0.20161932770551702</c:v>
                </c:pt>
                <c:pt idx="209">
                  <c:v>9.9635560519450841E-2</c:v>
                </c:pt>
                <c:pt idx="210">
                  <c:v>5.9371550771407246E-2</c:v>
                </c:pt>
                <c:pt idx="211">
                  <c:v>1.302915880155614E-2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4.9430430338023662E-2</c:v>
                </c:pt>
                <c:pt idx="220">
                  <c:v>3.908100769168691E-2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0.11453243501545186</c:v>
                </c:pt>
                <c:pt idx="237">
                  <c:v>1.6281316036048016E-2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0.47423443589090636</c:v>
                </c:pt>
                <c:pt idx="244">
                  <c:v>0.44831099666199808</c:v>
                </c:pt>
                <c:pt idx="245">
                  <c:v>0.53917773761332843</c:v>
                </c:pt>
                <c:pt idx="246">
                  <c:v>0.48290133239352984</c:v>
                </c:pt>
                <c:pt idx="247">
                  <c:v>0.45429407766137375</c:v>
                </c:pt>
                <c:pt idx="248">
                  <c:v>0.3785118905278822</c:v>
                </c:pt>
                <c:pt idx="249">
                  <c:v>0.25263587672743565</c:v>
                </c:pt>
                <c:pt idx="250">
                  <c:v>0.17555680888057867</c:v>
                </c:pt>
                <c:pt idx="251">
                  <c:v>6.3991618349613838E-2</c:v>
                </c:pt>
                <c:pt idx="252">
                  <c:v>0.24927889469558506</c:v>
                </c:pt>
                <c:pt idx="253">
                  <c:v>0.10184901816452858</c:v>
                </c:pt>
                <c:pt idx="254">
                  <c:v>5.0827172987637836E-2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0.29614822154461656</c:v>
                </c:pt>
                <c:pt idx="278">
                  <c:v>0.24575360340440078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E8-4A60-A994-CB83539E653C}"/>
            </c:ext>
          </c:extLst>
        </c:ser>
        <c:ser>
          <c:idx val="4"/>
          <c:order val="1"/>
          <c:tx>
            <c:strRef>
              <c:f>Europe!$AF$5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Europe!$A$6:$A$300</c:f>
              <c:numCache>
                <c:formatCode>m/d/yyyy</c:formatCode>
                <c:ptCount val="295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45900</c:v>
                </c:pt>
                <c:pt idx="292">
                  <c:v>45930</c:v>
                </c:pt>
                <c:pt idx="293">
                  <c:v>45961</c:v>
                </c:pt>
                <c:pt idx="294">
                  <c:v>45991</c:v>
                </c:pt>
              </c:numCache>
            </c:numRef>
          </c:cat>
          <c:val>
            <c:numRef>
              <c:f>Europe!$AF$6:$AF$300</c:f>
              <c:numCache>
                <c:formatCode>General</c:formatCode>
                <c:ptCount val="29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-0.36307067029158269</c:v>
                </c:pt>
                <c:pt idx="18">
                  <c:v>-0.33912771874204123</c:v>
                </c:pt>
                <c:pt idx="19">
                  <c:v>-0.36323154995178558</c:v>
                </c:pt>
                <c:pt idx="20">
                  <c:v>-0.3403237617880645</c:v>
                </c:pt>
                <c:pt idx="21">
                  <c:v>#N/A</c:v>
                </c:pt>
                <c:pt idx="22">
                  <c:v>-0.41250623859364532</c:v>
                </c:pt>
                <c:pt idx="23">
                  <c:v>-0.39958202104835822</c:v>
                </c:pt>
                <c:pt idx="24">
                  <c:v>-0.32646564504957637</c:v>
                </c:pt>
                <c:pt idx="25">
                  <c:v>-0.24926893621044707</c:v>
                </c:pt>
                <c:pt idx="26">
                  <c:v>-0.17128991439046959</c:v>
                </c:pt>
                <c:pt idx="27">
                  <c:v>-0.13640403878918572</c:v>
                </c:pt>
                <c:pt idx="28">
                  <c:v>-8.7059887734267719E-2</c:v>
                </c:pt>
                <c:pt idx="29">
                  <c:v>-1.6760666178734829E-2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-1.1411521291286768</c:v>
                </c:pt>
                <c:pt idx="95">
                  <c:v>-1.1207933903278009</c:v>
                </c:pt>
                <c:pt idx="96">
                  <c:v>-1.0674202731245974</c:v>
                </c:pt>
                <c:pt idx="97">
                  <c:v>-0.99838939101790547</c:v>
                </c:pt>
                <c:pt idx="98">
                  <c:v>-0.88353027855447719</c:v>
                </c:pt>
                <c:pt idx="99">
                  <c:v>-0.74474391227401426</c:v>
                </c:pt>
                <c:pt idx="100">
                  <c:v>-0.61537637806490342</c:v>
                </c:pt>
                <c:pt idx="101">
                  <c:v>-0.50222479361025296</c:v>
                </c:pt>
                <c:pt idx="102">
                  <c:v>-0.3884506141368203</c:v>
                </c:pt>
                <c:pt idx="103">
                  <c:v>-0.29819993644316467</c:v>
                </c:pt>
                <c:pt idx="104">
                  <c:v>-0.2098119545568625</c:v>
                </c:pt>
                <c:pt idx="105">
                  <c:v>-0.13815479750815693</c:v>
                </c:pt>
                <c:pt idx="106">
                  <c:v>-3.8258052183323863E-3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-0.1396580345855761</c:v>
                </c:pt>
                <c:pt idx="127">
                  <c:v>-0.12805073234541928</c:v>
                </c:pt>
                <c:pt idx="128">
                  <c:v>-0.1017745282208246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-0.31871836539456561</c:v>
                </c:pt>
                <c:pt idx="136">
                  <c:v>-0.29435618179727002</c:v>
                </c:pt>
                <c:pt idx="137">
                  <c:v>-0.23355441998504797</c:v>
                </c:pt>
                <c:pt idx="138">
                  <c:v>-0.11377003528930925</c:v>
                </c:pt>
                <c:pt idx="139">
                  <c:v>-6.82403252318559E-2</c:v>
                </c:pt>
                <c:pt idx="140">
                  <c:v>-9.6816532812717626E-2</c:v>
                </c:pt>
                <c:pt idx="141">
                  <c:v>-6.5834695961092912E-2</c:v>
                </c:pt>
                <c:pt idx="142">
                  <c:v>-6.5668057612181627E-2</c:v>
                </c:pt>
                <c:pt idx="143">
                  <c:v>-4.4143036192709685E-2</c:v>
                </c:pt>
                <c:pt idx="144">
                  <c:v>-2.7511458777874456E-3</c:v>
                </c:pt>
                <c:pt idx="145">
                  <c:v>-1.8782069302618037E-2</c:v>
                </c:pt>
                <c:pt idx="146">
                  <c:v>-1.9205179551371836E-2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-3.8780066301225817E-2</c:v>
                </c:pt>
                <c:pt idx="176">
                  <c:v>-1.88119974053764E-2</c:v>
                </c:pt>
                <c:pt idx="177">
                  <c:v>#N/A</c:v>
                </c:pt>
                <c:pt idx="178">
                  <c:v>#N/A</c:v>
                </c:pt>
                <c:pt idx="179">
                  <c:v>-6.8809595212097993E-2</c:v>
                </c:pt>
                <c:pt idx="180">
                  <c:v>-6.8061110576649916E-2</c:v>
                </c:pt>
                <c:pt idx="181">
                  <c:v>-4.2132444062304632E-2</c:v>
                </c:pt>
                <c:pt idx="182">
                  <c:v>-7.4244475045475433E-3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-3.5742489541674541E-2</c:v>
                </c:pt>
                <c:pt idx="214">
                  <c:v>-3.3203380022297328E-2</c:v>
                </c:pt>
                <c:pt idx="215">
                  <c:v>-5.627554171594263E-2</c:v>
                </c:pt>
                <c:pt idx="216">
                  <c:v>-4.7986637326899E-2</c:v>
                </c:pt>
                <c:pt idx="217">
                  <c:v>-1.8358090198985374E-2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-1.0370653387611293</c:v>
                </c:pt>
                <c:pt idx="229">
                  <c:v>-0.83770853506333121</c:v>
                </c:pt>
                <c:pt idx="230">
                  <c:v>-0.23046371089473769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-0.36623949204567219</c:v>
                </c:pt>
                <c:pt idx="260">
                  <c:v>-0.29086815659121695</c:v>
                </c:pt>
                <c:pt idx="261">
                  <c:v>-0.26811760696272008</c:v>
                </c:pt>
                <c:pt idx="262">
                  <c:v>-0.29285058897834504</c:v>
                </c:pt>
                <c:pt idx="263">
                  <c:v>-0.28348579611951669</c:v>
                </c:pt>
                <c:pt idx="264">
                  <c:v>-0.28914471922545443</c:v>
                </c:pt>
                <c:pt idx="265">
                  <c:v>-0.23486084924619999</c:v>
                </c:pt>
                <c:pt idx="266">
                  <c:v>-0.14033038221103303</c:v>
                </c:pt>
                <c:pt idx="267">
                  <c:v>-9.4911723280888524E-2</c:v>
                </c:pt>
                <c:pt idx="268">
                  <c:v>-8.0993257145835426E-2</c:v>
                </c:pt>
                <c:pt idx="269">
                  <c:v>-5.9892553180532056E-2</c:v>
                </c:pt>
                <c:pt idx="270">
                  <c:v>-1.1280800524080439E-2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E8-4A60-A994-CB83539E653C}"/>
            </c:ext>
          </c:extLst>
        </c:ser>
        <c:ser>
          <c:idx val="1"/>
          <c:order val="2"/>
          <c:tx>
            <c:v>Reference line</c:v>
          </c:tx>
          <c:spPr>
            <a:ln w="3810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Europe!$A$6:$A$300</c:f>
              <c:numCache>
                <c:formatCode>m/d/yyyy</c:formatCode>
                <c:ptCount val="295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45900</c:v>
                </c:pt>
                <c:pt idx="292">
                  <c:v>45930</c:v>
                </c:pt>
                <c:pt idx="293">
                  <c:v>45961</c:v>
                </c:pt>
                <c:pt idx="294">
                  <c:v>45991</c:v>
                </c:pt>
              </c:numCache>
            </c:numRef>
          </c:cat>
          <c:val>
            <c:numRef>
              <c:f>Europe!$AA$6:$AA$300</c:f>
              <c:numCache>
                <c:formatCode>General</c:formatCode>
                <c:ptCount val="2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E8-4A60-A994-CB83539E653C}"/>
            </c:ext>
          </c:extLst>
        </c:ser>
        <c:ser>
          <c:idx val="3"/>
          <c:order val="4"/>
          <c:tx>
            <c:strRef>
              <c:f>Europe!$AE$5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Europe!$A$6:$A$300</c:f>
              <c:numCache>
                <c:formatCode>m/d/yyyy</c:formatCode>
                <c:ptCount val="295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45900</c:v>
                </c:pt>
                <c:pt idx="292">
                  <c:v>45930</c:v>
                </c:pt>
                <c:pt idx="293">
                  <c:v>45961</c:v>
                </c:pt>
                <c:pt idx="294">
                  <c:v>45991</c:v>
                </c:pt>
              </c:numCache>
            </c:numRef>
          </c:cat>
          <c:val>
            <c:numRef>
              <c:f>Europe!$AE$6:$AE$300</c:f>
              <c:numCache>
                <c:formatCode>General</c:formatCode>
                <c:ptCount val="295"/>
                <c:pt idx="0">
                  <c:v>-0.25577569749999984</c:v>
                </c:pt>
                <c:pt idx="1">
                  <c:v>-0.2564331484395162</c:v>
                </c:pt>
                <c:pt idx="2">
                  <c:v>-0.27809109407943727</c:v>
                </c:pt>
                <c:pt idx="3">
                  <c:v>-0.31207750726679767</c:v>
                </c:pt>
                <c:pt idx="4">
                  <c:v>-0.41716574658959232</c:v>
                </c:pt>
                <c:pt idx="5">
                  <c:v>-0.43576408431808078</c:v>
                </c:pt>
                <c:pt idx="6">
                  <c:v>-0.44885952129642703</c:v>
                </c:pt>
                <c:pt idx="7">
                  <c:v>-0.40552421867913929</c:v>
                </c:pt>
                <c:pt idx="8">
                  <c:v>-0.35063819135558488</c:v>
                </c:pt>
                <c:pt idx="9">
                  <c:v>-0.3204054318192433</c:v>
                </c:pt>
                <c:pt idx="10">
                  <c:v>-0.27977950875075913</c:v>
                </c:pt>
                <c:pt idx="11">
                  <c:v>-0.22174034875679305</c:v>
                </c:pt>
                <c:pt idx="12">
                  <c:v>-0.17337384936110675</c:v>
                </c:pt>
                <c:pt idx="13">
                  <c:v>-0.16681917729319126</c:v>
                </c:pt>
                <c:pt idx="14">
                  <c:v>-0.2457199926067184</c:v>
                </c:pt>
                <c:pt idx="15">
                  <c:v>-0.27980420962432057</c:v>
                </c:pt>
                <c:pt idx="16">
                  <c:v>-0.34433224861799117</c:v>
                </c:pt>
                <c:pt idx="17">
                  <c:v>-0.36307067029158269</c:v>
                </c:pt>
                <c:pt idx="18">
                  <c:v>-0.33912771874204123</c:v>
                </c:pt>
                <c:pt idx="19">
                  <c:v>-0.36323154995178558</c:v>
                </c:pt>
                <c:pt idx="20">
                  <c:v>-0.3403237617880645</c:v>
                </c:pt>
                <c:pt idx="21">
                  <c:v>-0.38490907255832618</c:v>
                </c:pt>
                <c:pt idx="22">
                  <c:v>-0.41250623859364532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2.4783330594208453E-2</c:v>
                </c:pt>
                <c:pt idx="81">
                  <c:v>-6.8689543625140806E-2</c:v>
                </c:pt>
                <c:pt idx="82">
                  <c:v>-0.18550332757034538</c:v>
                </c:pt>
                <c:pt idx="83">
                  <c:v>-0.24386222722854131</c:v>
                </c:pt>
                <c:pt idx="84">
                  <c:v>-0.28521641793279007</c:v>
                </c:pt>
                <c:pt idx="85">
                  <c:v>-0.32480800247482705</c:v>
                </c:pt>
                <c:pt idx="86">
                  <c:v>-0.39776400381999394</c:v>
                </c:pt>
                <c:pt idx="87">
                  <c:v>-0.49173352614960003</c:v>
                </c:pt>
                <c:pt idx="88">
                  <c:v>-0.68409405604488482</c:v>
                </c:pt>
                <c:pt idx="89">
                  <c:v>-0.79524710362382034</c:v>
                </c:pt>
                <c:pt idx="90">
                  <c:v>-0.91466973779903815</c:v>
                </c:pt>
                <c:pt idx="91">
                  <c:v>-1.0255997579014602</c:v>
                </c:pt>
                <c:pt idx="92">
                  <c:v>-1.0908556776421214</c:v>
                </c:pt>
                <c:pt idx="93">
                  <c:v>-1.118268934640622</c:v>
                </c:pt>
                <c:pt idx="94">
                  <c:v>-1.1411521291286768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1.2284872170812977E-2</c:v>
                </c:pt>
                <c:pt idx="124">
                  <c:v>-8.0072491281052094E-2</c:v>
                </c:pt>
                <c:pt idx="125">
                  <c:v>-9.160050924432972E-2</c:v>
                </c:pt>
                <c:pt idx="126">
                  <c:v>-0.1396580345855761</c:v>
                </c:pt>
                <c:pt idx="127">
                  <c:v>#N/A</c:v>
                </c:pt>
                <c:pt idx="128">
                  <c:v>-0.1017745282208246</c:v>
                </c:pt>
                <c:pt idx="129">
                  <c:v>-0.12265999486894258</c:v>
                </c:pt>
                <c:pt idx="130">
                  <c:v>-0.17253416150173059</c:v>
                </c:pt>
                <c:pt idx="131">
                  <c:v>-0.17719717769760088</c:v>
                </c:pt>
                <c:pt idx="132">
                  <c:v>-0.2136675163306784</c:v>
                </c:pt>
                <c:pt idx="133">
                  <c:v>-0.25797196951838353</c:v>
                </c:pt>
                <c:pt idx="134">
                  <c:v>-0.29323725900041137</c:v>
                </c:pt>
                <c:pt idx="135">
                  <c:v>-0.31871836539456561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1.2845445887376331E-2</c:v>
                </c:pt>
                <c:pt idx="174">
                  <c:v>-3.0361631190525845E-2</c:v>
                </c:pt>
                <c:pt idx="175">
                  <c:v>-3.8780066301225817E-2</c:v>
                </c:pt>
                <c:pt idx="176">
                  <c:v>-1.88119974053764E-2</c:v>
                </c:pt>
                <c:pt idx="177">
                  <c:v>-4.4914578144844321E-2</c:v>
                </c:pt>
                <c:pt idx="178">
                  <c:v>-6.4109923373563721E-2</c:v>
                </c:pt>
                <c:pt idx="179">
                  <c:v>-6.8809595212097993E-2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1.1264347449487816E-2</c:v>
                </c:pt>
                <c:pt idx="185">
                  <c:v>-4.0574157361621582E-4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1.302915880155614E-2</c:v>
                </c:pt>
                <c:pt idx="212">
                  <c:v>-1.8333901456887475E-2</c:v>
                </c:pt>
                <c:pt idx="213">
                  <c:v>-3.5742489541674541E-2</c:v>
                </c:pt>
                <c:pt idx="214">
                  <c:v>-3.3203380022297328E-2</c:v>
                </c:pt>
                <c:pt idx="215">
                  <c:v>-5.627554171594263E-2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3.908100769168691E-2</c:v>
                </c:pt>
                <c:pt idx="221">
                  <c:v>-1.8823295004438874E-3</c:v>
                </c:pt>
                <c:pt idx="222">
                  <c:v>#N/A</c:v>
                </c:pt>
                <c:pt idx="223">
                  <c:v>#N/A</c:v>
                </c:pt>
                <c:pt idx="224">
                  <c:v>7.2598076752937127E-2</c:v>
                </c:pt>
                <c:pt idx="225">
                  <c:v>-0.15182937512164998</c:v>
                </c:pt>
                <c:pt idx="226">
                  <c:v>-0.73743388798695164</c:v>
                </c:pt>
                <c:pt idx="227">
                  <c:v>-0.85669435491067036</c:v>
                </c:pt>
                <c:pt idx="228">
                  <c:v>-1.0370653387611293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5.0827172987637836E-2</c:v>
                </c:pt>
                <c:pt idx="255">
                  <c:v>-2.6670979764813623E-2</c:v>
                </c:pt>
                <c:pt idx="256">
                  <c:v>-0.11580965900196376</c:v>
                </c:pt>
                <c:pt idx="257">
                  <c:v>-0.22282445288554822</c:v>
                </c:pt>
                <c:pt idx="258">
                  <c:v>-0.33177048567224521</c:v>
                </c:pt>
                <c:pt idx="259">
                  <c:v>-0.36623949204567219</c:v>
                </c:pt>
                <c:pt idx="260">
                  <c:v>#N/A</c:v>
                </c:pt>
                <c:pt idx="261">
                  <c:v>-0.26811760696272008</c:v>
                </c:pt>
                <c:pt idx="262">
                  <c:v>-0.29285058897834504</c:v>
                </c:pt>
                <c:pt idx="263">
                  <c:v>-0.28348579611951669</c:v>
                </c:pt>
                <c:pt idx="264">
                  <c:v>-0.28914471922545443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E8-4A60-A994-CB83539E653C}"/>
            </c:ext>
          </c:extLst>
        </c:ser>
        <c:ser>
          <c:idx val="0"/>
          <c:order val="5"/>
          <c:tx>
            <c:strRef>
              <c:f>Europe!$AC$5</c:f>
              <c:strCache>
                <c:ptCount val="1"/>
                <c:pt idx="0">
                  <c:v>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Europe!$A$6:$A$300</c:f>
              <c:numCache>
                <c:formatCode>m/d/yyyy</c:formatCode>
                <c:ptCount val="295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45900</c:v>
                </c:pt>
                <c:pt idx="292">
                  <c:v>45930</c:v>
                </c:pt>
                <c:pt idx="293">
                  <c:v>45961</c:v>
                </c:pt>
                <c:pt idx="294">
                  <c:v>45991</c:v>
                </c:pt>
              </c:numCache>
            </c:numRef>
          </c:cat>
          <c:val>
            <c:numRef>
              <c:f>Europe!$AC$6:$AC$300</c:f>
              <c:numCache>
                <c:formatCode>General</c:formatCode>
                <c:ptCount val="29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-1.6760666178734829E-2</c:v>
                </c:pt>
                <c:pt idx="30">
                  <c:v>5.7743748682204728E-2</c:v>
                </c:pt>
                <c:pt idx="31">
                  <c:v>8.4787280307776311E-2</c:v>
                </c:pt>
                <c:pt idx="32">
                  <c:v>9.5428530420059943E-2</c:v>
                </c:pt>
                <c:pt idx="33">
                  <c:v>0.16227189925034302</c:v>
                </c:pt>
                <c:pt idx="34">
                  <c:v>0.21102203296399533</c:v>
                </c:pt>
                <c:pt idx="35">
                  <c:v>0.22720137856925651</c:v>
                </c:pt>
                <c:pt idx="36">
                  <c:v>0.24323223567701868</c:v>
                </c:pt>
                <c:pt idx="37">
                  <c:v>0.2212685485090683</c:v>
                </c:pt>
                <c:pt idx="38">
                  <c:v>0.25412376218398386</c:v>
                </c:pt>
                <c:pt idx="39">
                  <c:v>0.27053061496154862</c:v>
                </c:pt>
                <c:pt idx="40">
                  <c:v>0.30366976469750712</c:v>
                </c:pt>
                <c:pt idx="41">
                  <c:v>0.35124725675871765</c:v>
                </c:pt>
                <c:pt idx="42">
                  <c:v>0.387975038582483</c:v>
                </c:pt>
                <c:pt idx="43">
                  <c:v>0.47514465258647531</c:v>
                </c:pt>
                <c:pt idx="44">
                  <c:v>0.47282580159932985</c:v>
                </c:pt>
                <c:pt idx="45">
                  <c:v>0.48994219814352102</c:v>
                </c:pt>
                <c:pt idx="46">
                  <c:v>0.46113567167261743</c:v>
                </c:pt>
                <c:pt idx="47">
                  <c:v>0.45300775524592146</c:v>
                </c:pt>
                <c:pt idx="48">
                  <c:v>0.44881604500083389</c:v>
                </c:pt>
                <c:pt idx="49">
                  <c:v>0.47626647217559642</c:v>
                </c:pt>
                <c:pt idx="50">
                  <c:v>0.4784230276055515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0.38486900632463916</c:v>
                </c:pt>
                <c:pt idx="63">
                  <c:v>0.40916933952211682</c:v>
                </c:pt>
                <c:pt idx="64">
                  <c:v>#N/A</c:v>
                </c:pt>
                <c:pt idx="65">
                  <c:v>0.40785665309719404</c:v>
                </c:pt>
                <c:pt idx="66">
                  <c:v>0.47507200696449386</c:v>
                </c:pt>
                <c:pt idx="67">
                  <c:v>0.55974160997961298</c:v>
                </c:pt>
                <c:pt idx="68">
                  <c:v>0.59316737613542314</c:v>
                </c:pt>
                <c:pt idx="69">
                  <c:v>0.64988929893682768</c:v>
                </c:pt>
                <c:pt idx="70">
                  <c:v>0.68606834873983225</c:v>
                </c:pt>
                <c:pt idx="71">
                  <c:v>0.71137586934897989</c:v>
                </c:pt>
                <c:pt idx="72">
                  <c:v>0.7296607465845204</c:v>
                </c:pt>
                <c:pt idx="73">
                  <c:v>0.679906183807932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-3.8258052183323863E-3</c:v>
                </c:pt>
                <c:pt idx="107">
                  <c:v>9.9068924268892425E-2</c:v>
                </c:pt>
                <c:pt idx="108">
                  <c:v>0.13239665585225821</c:v>
                </c:pt>
                <c:pt idx="109">
                  <c:v>7.7283358934364624E-2</c:v>
                </c:pt>
                <c:pt idx="110">
                  <c:v>6.3817101638070695E-2</c:v>
                </c:pt>
                <c:pt idx="111">
                  <c:v>4.3410977671220374E-2</c:v>
                </c:pt>
                <c:pt idx="112">
                  <c:v>3.7211474034922663E-2</c:v>
                </c:pt>
                <c:pt idx="113">
                  <c:v>5.5935078934969663E-2</c:v>
                </c:pt>
                <c:pt idx="114">
                  <c:v>4.6463081438503417E-2</c:v>
                </c:pt>
                <c:pt idx="115">
                  <c:v>8.4093603228529934E-2</c:v>
                </c:pt>
                <c:pt idx="116">
                  <c:v>0.11144355130839893</c:v>
                </c:pt>
                <c:pt idx="117">
                  <c:v>9.8829389185505212E-2</c:v>
                </c:pt>
                <c:pt idx="118">
                  <c:v>0.15188088826763613</c:v>
                </c:pt>
                <c:pt idx="119">
                  <c:v>0.13900908511135968</c:v>
                </c:pt>
                <c:pt idx="120">
                  <c:v>0.11269624585462205</c:v>
                </c:pt>
                <c:pt idx="121">
                  <c:v>0.14259144078605471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-1.9205179551371836E-2</c:v>
                </c:pt>
                <c:pt idx="147">
                  <c:v>2.7101671620769208E-2</c:v>
                </c:pt>
                <c:pt idx="148">
                  <c:v>8.2013570208850056E-2</c:v>
                </c:pt>
                <c:pt idx="149">
                  <c:v>0.13359470269932769</c:v>
                </c:pt>
                <c:pt idx="150">
                  <c:v>0.20567033743001931</c:v>
                </c:pt>
                <c:pt idx="151">
                  <c:v>0.220736291262464</c:v>
                </c:pt>
                <c:pt idx="152">
                  <c:v>0.17682882325266172</c:v>
                </c:pt>
                <c:pt idx="153">
                  <c:v>0.25726660862565304</c:v>
                </c:pt>
                <c:pt idx="154">
                  <c:v>0.33274175016734181</c:v>
                </c:pt>
                <c:pt idx="155">
                  <c:v>0.33181310136964953</c:v>
                </c:pt>
                <c:pt idx="156">
                  <c:v>0.35304899247929927</c:v>
                </c:pt>
                <c:pt idx="157">
                  <c:v>0.39407265462269908</c:v>
                </c:pt>
                <c:pt idx="158">
                  <c:v>0.38435957305523</c:v>
                </c:pt>
                <c:pt idx="159">
                  <c:v>0.36790521973448936</c:v>
                </c:pt>
                <c:pt idx="160">
                  <c:v>0.3757483571101598</c:v>
                </c:pt>
                <c:pt idx="161">
                  <c:v>0.34921295033376443</c:v>
                </c:pt>
                <c:pt idx="162">
                  <c:v>0.37014725948864174</c:v>
                </c:pt>
                <c:pt idx="163">
                  <c:v>0.32416566553437881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3.4244950764977931E-2</c:v>
                </c:pt>
                <c:pt idx="170">
                  <c:v>0.10424951479695947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-7.4244475045475433E-3</c:v>
                </c:pt>
                <c:pt idx="183">
                  <c:v>4.7163950342485701E-3</c:v>
                </c:pt>
                <c:pt idx="184">
                  <c:v>1.1264347449487816E-2</c:v>
                </c:pt>
                <c:pt idx="185">
                  <c:v>-4.0574157361621582E-4</c:v>
                </c:pt>
                <c:pt idx="186">
                  <c:v>1.8640197748644126E-3</c:v>
                </c:pt>
                <c:pt idx="187">
                  <c:v>6.0581899139027805E-2</c:v>
                </c:pt>
                <c:pt idx="188">
                  <c:v>7.2167557884404862E-2</c:v>
                </c:pt>
                <c:pt idx="189">
                  <c:v>5.2989178887349497E-2</c:v>
                </c:pt>
                <c:pt idx="190">
                  <c:v>9.3638863859964325E-2</c:v>
                </c:pt>
                <c:pt idx="191">
                  <c:v>0.1335634126598744</c:v>
                </c:pt>
                <c:pt idx="192">
                  <c:v>0.15196109005181019</c:v>
                </c:pt>
                <c:pt idx="193">
                  <c:v>0.15635642938704417</c:v>
                </c:pt>
                <c:pt idx="194">
                  <c:v>0.18403522201173675</c:v>
                </c:pt>
                <c:pt idx="195">
                  <c:v>0.1795103087383918</c:v>
                </c:pt>
                <c:pt idx="196">
                  <c:v>0.24371074574795037</c:v>
                </c:pt>
                <c:pt idx="197">
                  <c:v>0.32169318320978435</c:v>
                </c:pt>
                <c:pt idx="198">
                  <c:v>0.32518162599499595</c:v>
                </c:pt>
                <c:pt idx="199">
                  <c:v>0.32279998758642214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-1.8358090198985374E-2</c:v>
                </c:pt>
                <c:pt idx="218">
                  <c:v>7.3369655077253808E-3</c:v>
                </c:pt>
                <c:pt idx="219">
                  <c:v>4.9430430338023662E-2</c:v>
                </c:pt>
                <c:pt idx="220">
                  <c:v>#N/A</c:v>
                </c:pt>
                <c:pt idx="221">
                  <c:v>-1.8823295004438874E-3</c:v>
                </c:pt>
                <c:pt idx="222">
                  <c:v>4.0109759407182498E-2</c:v>
                </c:pt>
                <c:pt idx="223">
                  <c:v>3.3029477976135667E-2</c:v>
                </c:pt>
                <c:pt idx="224">
                  <c:v>7.2598076752937127E-2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-0.23046371089473769</c:v>
                </c:pt>
                <c:pt idx="231">
                  <c:v>3.938294671026276E-2</c:v>
                </c:pt>
                <c:pt idx="232">
                  <c:v>0.12829830689783797</c:v>
                </c:pt>
                <c:pt idx="233">
                  <c:v>0.10397641443195416</c:v>
                </c:pt>
                <c:pt idx="234">
                  <c:v>6.0829386318847135E-2</c:v>
                </c:pt>
                <c:pt idx="235">
                  <c:v>9.7169664357275379E-2</c:v>
                </c:pt>
                <c:pt idx="236">
                  <c:v>0.11453243501545186</c:v>
                </c:pt>
                <c:pt idx="237">
                  <c:v>1.6281316036048016E-2</c:v>
                </c:pt>
                <c:pt idx="238">
                  <c:v>0.26773976596577442</c:v>
                </c:pt>
                <c:pt idx="239">
                  <c:v>0.34301593266552882</c:v>
                </c:pt>
                <c:pt idx="240">
                  <c:v>0.38770176685585295</c:v>
                </c:pt>
                <c:pt idx="241">
                  <c:v>0.47426763830193486</c:v>
                </c:pt>
                <c:pt idx="242">
                  <c:v>0.50824886138588343</c:v>
                </c:pt>
                <c:pt idx="243">
                  <c:v>0.47423443589090636</c:v>
                </c:pt>
                <c:pt idx="244">
                  <c:v>0.44831099666199808</c:v>
                </c:pt>
                <c:pt idx="245">
                  <c:v>0.53917773761332843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6.3991618349613838E-2</c:v>
                </c:pt>
                <c:pt idx="252">
                  <c:v>0.24927889469558506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-1.1280800524080439E-2</c:v>
                </c:pt>
                <c:pt idx="271">
                  <c:v>9.3121026252823615E-3</c:v>
                </c:pt>
                <c:pt idx="272">
                  <c:v>9.5984033770767554E-3</c:v>
                </c:pt>
                <c:pt idx="273">
                  <c:v>0.11293510841460981</c:v>
                </c:pt>
                <c:pt idx="274">
                  <c:v>0.18545047751644592</c:v>
                </c:pt>
                <c:pt idx="275">
                  <c:v>0.2249703414242589</c:v>
                </c:pt>
                <c:pt idx="276">
                  <c:v>0.27471604411834494</c:v>
                </c:pt>
                <c:pt idx="277">
                  <c:v>0.29614822154461656</c:v>
                </c:pt>
                <c:pt idx="278">
                  <c:v>0.24575360340440078</c:v>
                </c:pt>
                <c:pt idx="279">
                  <c:v>0.29696034531544463</c:v>
                </c:pt>
                <c:pt idx="280">
                  <c:v>0.340481646900543</c:v>
                </c:pt>
                <c:pt idx="281">
                  <c:v>0.33301987753388845</c:v>
                </c:pt>
                <c:pt idx="282">
                  <c:v>0.34663008743673013</c:v>
                </c:pt>
                <c:pt idx="283">
                  <c:v>0.38775888751726195</c:v>
                </c:pt>
                <c:pt idx="284">
                  <c:v>0.48025547957484238</c:v>
                </c:pt>
                <c:pt idx="285">
                  <c:v>0.52844029289601213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FE8-4A60-A994-CB83539E6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3109552"/>
        <c:axId val="1544976816"/>
      </c:lineChart>
      <c:lineChart>
        <c:grouping val="standard"/>
        <c:varyColors val="0"/>
        <c:ser>
          <c:idx val="5"/>
          <c:order val="3"/>
          <c:tx>
            <c:v>Economic surprise</c:v>
          </c:tx>
          <c:spPr>
            <a:ln w="28575" cap="rnd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Europe!$A$6:$A$300</c:f>
              <c:numCache>
                <c:formatCode>m/d/yyyy</c:formatCode>
                <c:ptCount val="295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45900</c:v>
                </c:pt>
                <c:pt idx="292">
                  <c:v>45930</c:v>
                </c:pt>
                <c:pt idx="293">
                  <c:v>45961</c:v>
                </c:pt>
                <c:pt idx="294">
                  <c:v>45991</c:v>
                </c:pt>
              </c:numCache>
            </c:numRef>
          </c:cat>
          <c:val>
            <c:numRef>
              <c:f>Europe!$V$6:$V$300</c:f>
              <c:numCache>
                <c:formatCode>General</c:formatCode>
                <c:ptCount val="2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29.9</c:v>
                </c:pt>
                <c:pt idx="21">
                  <c:v>56.3</c:v>
                </c:pt>
                <c:pt idx="22">
                  <c:v>44.6</c:v>
                </c:pt>
                <c:pt idx="23">
                  <c:v>-30.2</c:v>
                </c:pt>
                <c:pt idx="24">
                  <c:v>-38.200000000000003</c:v>
                </c:pt>
                <c:pt idx="25">
                  <c:v>-33.299999999999997</c:v>
                </c:pt>
                <c:pt idx="26">
                  <c:v>-1.6</c:v>
                </c:pt>
                <c:pt idx="27">
                  <c:v>20.9</c:v>
                </c:pt>
                <c:pt idx="28">
                  <c:v>50.5</c:v>
                </c:pt>
                <c:pt idx="29">
                  <c:v>71.400000000000006</c:v>
                </c:pt>
                <c:pt idx="30">
                  <c:v>74.2</c:v>
                </c:pt>
                <c:pt idx="31">
                  <c:v>54.1</c:v>
                </c:pt>
                <c:pt idx="32">
                  <c:v>37.799999999999997</c:v>
                </c:pt>
                <c:pt idx="33">
                  <c:v>-3.9</c:v>
                </c:pt>
                <c:pt idx="34">
                  <c:v>-15.2</c:v>
                </c:pt>
                <c:pt idx="35">
                  <c:v>-0.8</c:v>
                </c:pt>
                <c:pt idx="36">
                  <c:v>-16.600000000000001</c:v>
                </c:pt>
                <c:pt idx="37">
                  <c:v>-33.5</c:v>
                </c:pt>
                <c:pt idx="38">
                  <c:v>27.4</c:v>
                </c:pt>
                <c:pt idx="39">
                  <c:v>6.2</c:v>
                </c:pt>
                <c:pt idx="40">
                  <c:v>27.9</c:v>
                </c:pt>
                <c:pt idx="41">
                  <c:v>-15.3</c:v>
                </c:pt>
                <c:pt idx="42">
                  <c:v>-78.8</c:v>
                </c:pt>
                <c:pt idx="43">
                  <c:v>-15.2</c:v>
                </c:pt>
                <c:pt idx="44">
                  <c:v>24.9</c:v>
                </c:pt>
                <c:pt idx="45">
                  <c:v>59.5</c:v>
                </c:pt>
                <c:pt idx="46">
                  <c:v>-4.5999999999999996</c:v>
                </c:pt>
                <c:pt idx="47">
                  <c:v>-93.5</c:v>
                </c:pt>
                <c:pt idx="48">
                  <c:v>-103.9</c:v>
                </c:pt>
                <c:pt idx="49">
                  <c:v>-44.5</c:v>
                </c:pt>
                <c:pt idx="50">
                  <c:v>65.7</c:v>
                </c:pt>
                <c:pt idx="51">
                  <c:v>116.7</c:v>
                </c:pt>
                <c:pt idx="52">
                  <c:v>159.30000000000001</c:v>
                </c:pt>
                <c:pt idx="53">
                  <c:v>121.6</c:v>
                </c:pt>
                <c:pt idx="54">
                  <c:v>54.1</c:v>
                </c:pt>
                <c:pt idx="55">
                  <c:v>69.3</c:v>
                </c:pt>
                <c:pt idx="56">
                  <c:v>83.6</c:v>
                </c:pt>
                <c:pt idx="57">
                  <c:v>84.5</c:v>
                </c:pt>
                <c:pt idx="58">
                  <c:v>90.9</c:v>
                </c:pt>
                <c:pt idx="59">
                  <c:v>112.2</c:v>
                </c:pt>
                <c:pt idx="60">
                  <c:v>77.2</c:v>
                </c:pt>
                <c:pt idx="61">
                  <c:v>67.900000000000006</c:v>
                </c:pt>
                <c:pt idx="62">
                  <c:v>-6</c:v>
                </c:pt>
                <c:pt idx="63">
                  <c:v>-40.4</c:v>
                </c:pt>
                <c:pt idx="64">
                  <c:v>-42.1</c:v>
                </c:pt>
                <c:pt idx="65">
                  <c:v>33.5</c:v>
                </c:pt>
                <c:pt idx="66">
                  <c:v>45.5</c:v>
                </c:pt>
                <c:pt idx="67">
                  <c:v>42</c:v>
                </c:pt>
                <c:pt idx="68">
                  <c:v>30.5</c:v>
                </c:pt>
                <c:pt idx="69">
                  <c:v>26.6</c:v>
                </c:pt>
                <c:pt idx="70">
                  <c:v>43.6</c:v>
                </c:pt>
                <c:pt idx="71">
                  <c:v>129.9</c:v>
                </c:pt>
                <c:pt idx="72">
                  <c:v>106</c:v>
                </c:pt>
                <c:pt idx="73">
                  <c:v>-3.1</c:v>
                </c:pt>
                <c:pt idx="74">
                  <c:v>-61.1</c:v>
                </c:pt>
                <c:pt idx="75">
                  <c:v>-8.1999999999999993</c:v>
                </c:pt>
                <c:pt idx="76">
                  <c:v>-20.399999999999999</c:v>
                </c:pt>
                <c:pt idx="77">
                  <c:v>-4.2</c:v>
                </c:pt>
                <c:pt idx="78">
                  <c:v>0.2</c:v>
                </c:pt>
                <c:pt idx="79">
                  <c:v>18.100000000000001</c:v>
                </c:pt>
                <c:pt idx="80">
                  <c:v>34.700000000000003</c:v>
                </c:pt>
                <c:pt idx="81">
                  <c:v>29.5</c:v>
                </c:pt>
                <c:pt idx="82">
                  <c:v>69.599999999999994</c:v>
                </c:pt>
                <c:pt idx="83">
                  <c:v>-18.8</c:v>
                </c:pt>
                <c:pt idx="84">
                  <c:v>-27.1</c:v>
                </c:pt>
                <c:pt idx="85">
                  <c:v>-93.9</c:v>
                </c:pt>
                <c:pt idx="86">
                  <c:v>-155.19999999999999</c:v>
                </c:pt>
                <c:pt idx="87">
                  <c:v>-162</c:v>
                </c:pt>
                <c:pt idx="88">
                  <c:v>-135</c:v>
                </c:pt>
                <c:pt idx="89">
                  <c:v>-80.2</c:v>
                </c:pt>
                <c:pt idx="90">
                  <c:v>-143.4</c:v>
                </c:pt>
                <c:pt idx="91">
                  <c:v>-120</c:v>
                </c:pt>
                <c:pt idx="92">
                  <c:v>-95.6</c:v>
                </c:pt>
                <c:pt idx="93">
                  <c:v>-92.4</c:v>
                </c:pt>
                <c:pt idx="94">
                  <c:v>-81.5</c:v>
                </c:pt>
                <c:pt idx="95">
                  <c:v>-22.3</c:v>
                </c:pt>
                <c:pt idx="96">
                  <c:v>68.599999999999994</c:v>
                </c:pt>
                <c:pt idx="97">
                  <c:v>78.099999999999994</c:v>
                </c:pt>
                <c:pt idx="98">
                  <c:v>48.7</c:v>
                </c:pt>
                <c:pt idx="99">
                  <c:v>55</c:v>
                </c:pt>
                <c:pt idx="100">
                  <c:v>61.3</c:v>
                </c:pt>
                <c:pt idx="101">
                  <c:v>43.2</c:v>
                </c:pt>
                <c:pt idx="102">
                  <c:v>25.3</c:v>
                </c:pt>
                <c:pt idx="103">
                  <c:v>-15.5</c:v>
                </c:pt>
                <c:pt idx="104">
                  <c:v>10.3</c:v>
                </c:pt>
                <c:pt idx="105">
                  <c:v>-45</c:v>
                </c:pt>
                <c:pt idx="106">
                  <c:v>7.7</c:v>
                </c:pt>
                <c:pt idx="107">
                  <c:v>64.2</c:v>
                </c:pt>
                <c:pt idx="108">
                  <c:v>70</c:v>
                </c:pt>
                <c:pt idx="109">
                  <c:v>79.5</c:v>
                </c:pt>
                <c:pt idx="110">
                  <c:v>89.8</c:v>
                </c:pt>
                <c:pt idx="111">
                  <c:v>117.2</c:v>
                </c:pt>
                <c:pt idx="112">
                  <c:v>88.1</c:v>
                </c:pt>
                <c:pt idx="113">
                  <c:v>59.1</c:v>
                </c:pt>
                <c:pt idx="114">
                  <c:v>52.1</c:v>
                </c:pt>
                <c:pt idx="115">
                  <c:v>68.099999999999994</c:v>
                </c:pt>
                <c:pt idx="116">
                  <c:v>66.5</c:v>
                </c:pt>
                <c:pt idx="117">
                  <c:v>6</c:v>
                </c:pt>
                <c:pt idx="118">
                  <c:v>0.6</c:v>
                </c:pt>
                <c:pt idx="119">
                  <c:v>-8.9</c:v>
                </c:pt>
                <c:pt idx="120">
                  <c:v>14.7</c:v>
                </c:pt>
                <c:pt idx="121">
                  <c:v>-9.3000000000000007</c:v>
                </c:pt>
                <c:pt idx="122">
                  <c:v>-3</c:v>
                </c:pt>
                <c:pt idx="123">
                  <c:v>-103.3</c:v>
                </c:pt>
                <c:pt idx="124">
                  <c:v>-81.400000000000006</c:v>
                </c:pt>
                <c:pt idx="125">
                  <c:v>-50.1</c:v>
                </c:pt>
                <c:pt idx="126">
                  <c:v>-22.2</c:v>
                </c:pt>
                <c:pt idx="127">
                  <c:v>-8.8000000000000007</c:v>
                </c:pt>
                <c:pt idx="128">
                  <c:v>13.2</c:v>
                </c:pt>
                <c:pt idx="129">
                  <c:v>25.1</c:v>
                </c:pt>
                <c:pt idx="130">
                  <c:v>13.9</c:v>
                </c:pt>
                <c:pt idx="131">
                  <c:v>-9.3000000000000007</c:v>
                </c:pt>
                <c:pt idx="132">
                  <c:v>-56.5</c:v>
                </c:pt>
                <c:pt idx="133">
                  <c:v>-89.1</c:v>
                </c:pt>
                <c:pt idx="134">
                  <c:v>-71.7</c:v>
                </c:pt>
                <c:pt idx="135">
                  <c:v>-30.7</c:v>
                </c:pt>
                <c:pt idx="136">
                  <c:v>-6.9</c:v>
                </c:pt>
                <c:pt idx="137">
                  <c:v>-19.2</c:v>
                </c:pt>
                <c:pt idx="138">
                  <c:v>-16.3</c:v>
                </c:pt>
                <c:pt idx="139">
                  <c:v>-7.1</c:v>
                </c:pt>
                <c:pt idx="140">
                  <c:v>61.6</c:v>
                </c:pt>
                <c:pt idx="141">
                  <c:v>67.8</c:v>
                </c:pt>
                <c:pt idx="142">
                  <c:v>0</c:v>
                </c:pt>
                <c:pt idx="143">
                  <c:v>-79.3</c:v>
                </c:pt>
                <c:pt idx="144">
                  <c:v>-63</c:v>
                </c:pt>
                <c:pt idx="145">
                  <c:v>2.7</c:v>
                </c:pt>
                <c:pt idx="146">
                  <c:v>33.4</c:v>
                </c:pt>
                <c:pt idx="147">
                  <c:v>55.8</c:v>
                </c:pt>
                <c:pt idx="148">
                  <c:v>47</c:v>
                </c:pt>
                <c:pt idx="149">
                  <c:v>-3.1</c:v>
                </c:pt>
                <c:pt idx="150">
                  <c:v>-0.7</c:v>
                </c:pt>
                <c:pt idx="151">
                  <c:v>6.4</c:v>
                </c:pt>
                <c:pt idx="152">
                  <c:v>18.3</c:v>
                </c:pt>
                <c:pt idx="153">
                  <c:v>8.8000000000000007</c:v>
                </c:pt>
                <c:pt idx="154">
                  <c:v>-2.8</c:v>
                </c:pt>
                <c:pt idx="155">
                  <c:v>-11.3</c:v>
                </c:pt>
                <c:pt idx="156">
                  <c:v>-28.5</c:v>
                </c:pt>
                <c:pt idx="157">
                  <c:v>-29.7</c:v>
                </c:pt>
                <c:pt idx="158">
                  <c:v>-21.9</c:v>
                </c:pt>
                <c:pt idx="159">
                  <c:v>-45.1</c:v>
                </c:pt>
                <c:pt idx="160">
                  <c:v>-43</c:v>
                </c:pt>
                <c:pt idx="161">
                  <c:v>-32.4</c:v>
                </c:pt>
                <c:pt idx="162">
                  <c:v>-21.5</c:v>
                </c:pt>
                <c:pt idx="163">
                  <c:v>10.199999999999999</c:v>
                </c:pt>
                <c:pt idx="164">
                  <c:v>10</c:v>
                </c:pt>
                <c:pt idx="165">
                  <c:v>51</c:v>
                </c:pt>
                <c:pt idx="166">
                  <c:v>58.4</c:v>
                </c:pt>
                <c:pt idx="167">
                  <c:v>11.9</c:v>
                </c:pt>
                <c:pt idx="168">
                  <c:v>-13.9</c:v>
                </c:pt>
                <c:pt idx="169">
                  <c:v>-5</c:v>
                </c:pt>
                <c:pt idx="170">
                  <c:v>7.1</c:v>
                </c:pt>
                <c:pt idx="171">
                  <c:v>16.2</c:v>
                </c:pt>
                <c:pt idx="172">
                  <c:v>33</c:v>
                </c:pt>
                <c:pt idx="173">
                  <c:v>32.700000000000003</c:v>
                </c:pt>
                <c:pt idx="174">
                  <c:v>23.1</c:v>
                </c:pt>
                <c:pt idx="175">
                  <c:v>15.4</c:v>
                </c:pt>
                <c:pt idx="176">
                  <c:v>-25.1</c:v>
                </c:pt>
                <c:pt idx="177">
                  <c:v>-71.099999999999994</c:v>
                </c:pt>
                <c:pt idx="178">
                  <c:v>-22.3</c:v>
                </c:pt>
                <c:pt idx="179">
                  <c:v>-13</c:v>
                </c:pt>
                <c:pt idx="180">
                  <c:v>4.8</c:v>
                </c:pt>
                <c:pt idx="181">
                  <c:v>5</c:v>
                </c:pt>
                <c:pt idx="182">
                  <c:v>28.3</c:v>
                </c:pt>
                <c:pt idx="183">
                  <c:v>-3.1</c:v>
                </c:pt>
                <c:pt idx="184">
                  <c:v>2.6</c:v>
                </c:pt>
                <c:pt idx="185">
                  <c:v>40.799999999999997</c:v>
                </c:pt>
                <c:pt idx="186">
                  <c:v>56.9</c:v>
                </c:pt>
                <c:pt idx="187">
                  <c:v>53.1</c:v>
                </c:pt>
                <c:pt idx="188">
                  <c:v>55.3</c:v>
                </c:pt>
                <c:pt idx="189">
                  <c:v>71.099999999999994</c:v>
                </c:pt>
                <c:pt idx="190">
                  <c:v>54.1</c:v>
                </c:pt>
                <c:pt idx="191">
                  <c:v>70.400000000000006</c:v>
                </c:pt>
                <c:pt idx="192">
                  <c:v>40.6</c:v>
                </c:pt>
                <c:pt idx="193">
                  <c:v>30.3</c:v>
                </c:pt>
                <c:pt idx="194">
                  <c:v>19.100000000000001</c:v>
                </c:pt>
                <c:pt idx="195">
                  <c:v>28</c:v>
                </c:pt>
                <c:pt idx="196">
                  <c:v>50.2</c:v>
                </c:pt>
                <c:pt idx="197">
                  <c:v>59</c:v>
                </c:pt>
                <c:pt idx="198">
                  <c:v>71.3</c:v>
                </c:pt>
                <c:pt idx="199">
                  <c:v>49.3</c:v>
                </c:pt>
                <c:pt idx="200">
                  <c:v>35.6</c:v>
                </c:pt>
                <c:pt idx="201">
                  <c:v>2.4</c:v>
                </c:pt>
                <c:pt idx="202">
                  <c:v>-40</c:v>
                </c:pt>
                <c:pt idx="203">
                  <c:v>-77.5</c:v>
                </c:pt>
                <c:pt idx="204">
                  <c:v>-91.4</c:v>
                </c:pt>
                <c:pt idx="205">
                  <c:v>-61</c:v>
                </c:pt>
                <c:pt idx="206">
                  <c:v>-25.9</c:v>
                </c:pt>
                <c:pt idx="207">
                  <c:v>1.4</c:v>
                </c:pt>
                <c:pt idx="208">
                  <c:v>-31.9</c:v>
                </c:pt>
                <c:pt idx="209">
                  <c:v>-57.6</c:v>
                </c:pt>
                <c:pt idx="210">
                  <c:v>-62.9</c:v>
                </c:pt>
                <c:pt idx="211">
                  <c:v>-71.8</c:v>
                </c:pt>
                <c:pt idx="212">
                  <c:v>-82.6</c:v>
                </c:pt>
                <c:pt idx="213">
                  <c:v>-58.8</c:v>
                </c:pt>
                <c:pt idx="214">
                  <c:v>-61</c:v>
                </c:pt>
                <c:pt idx="215">
                  <c:v>-31.1</c:v>
                </c:pt>
                <c:pt idx="216">
                  <c:v>-20.3</c:v>
                </c:pt>
                <c:pt idx="217">
                  <c:v>-4.4000000000000004</c:v>
                </c:pt>
                <c:pt idx="218">
                  <c:v>-55</c:v>
                </c:pt>
                <c:pt idx="219">
                  <c:v>-39.299999999999997</c:v>
                </c:pt>
                <c:pt idx="220">
                  <c:v>-72</c:v>
                </c:pt>
                <c:pt idx="221">
                  <c:v>-43.1</c:v>
                </c:pt>
                <c:pt idx="222">
                  <c:v>-8.9</c:v>
                </c:pt>
                <c:pt idx="223">
                  <c:v>30.4</c:v>
                </c:pt>
                <c:pt idx="224">
                  <c:v>21.1</c:v>
                </c:pt>
                <c:pt idx="225">
                  <c:v>0.4</c:v>
                </c:pt>
                <c:pt idx="226">
                  <c:v>-50.2</c:v>
                </c:pt>
                <c:pt idx="227">
                  <c:v>-268.5</c:v>
                </c:pt>
                <c:pt idx="228">
                  <c:v>-275.60000000000002</c:v>
                </c:pt>
                <c:pt idx="229">
                  <c:v>-90.2</c:v>
                </c:pt>
                <c:pt idx="230">
                  <c:v>166.3</c:v>
                </c:pt>
                <c:pt idx="231">
                  <c:v>132.6</c:v>
                </c:pt>
                <c:pt idx="232">
                  <c:v>47.8</c:v>
                </c:pt>
                <c:pt idx="233">
                  <c:v>103.2</c:v>
                </c:pt>
                <c:pt idx="234">
                  <c:v>123.7</c:v>
                </c:pt>
                <c:pt idx="235">
                  <c:v>188.5</c:v>
                </c:pt>
                <c:pt idx="236">
                  <c:v>128.19999999999999</c:v>
                </c:pt>
                <c:pt idx="237">
                  <c:v>157.30000000000001</c:v>
                </c:pt>
                <c:pt idx="238">
                  <c:v>173</c:v>
                </c:pt>
                <c:pt idx="239">
                  <c:v>164.7</c:v>
                </c:pt>
                <c:pt idx="240">
                  <c:v>130</c:v>
                </c:pt>
                <c:pt idx="241">
                  <c:v>105.2</c:v>
                </c:pt>
                <c:pt idx="242">
                  <c:v>40.4</c:v>
                </c:pt>
                <c:pt idx="243">
                  <c:v>-10.8</c:v>
                </c:pt>
                <c:pt idx="244">
                  <c:v>-58.6</c:v>
                </c:pt>
                <c:pt idx="245">
                  <c:v>-52.8</c:v>
                </c:pt>
                <c:pt idx="246">
                  <c:v>4</c:v>
                </c:pt>
                <c:pt idx="247">
                  <c:v>29.8</c:v>
                </c:pt>
                <c:pt idx="248">
                  <c:v>51.4</c:v>
                </c:pt>
                <c:pt idx="249">
                  <c:v>67.8</c:v>
                </c:pt>
                <c:pt idx="250">
                  <c:v>44.8</c:v>
                </c:pt>
                <c:pt idx="251">
                  <c:v>25</c:v>
                </c:pt>
                <c:pt idx="252">
                  <c:v>19.600000000000001</c:v>
                </c:pt>
                <c:pt idx="253">
                  <c:v>-25.3</c:v>
                </c:pt>
                <c:pt idx="254">
                  <c:v>-25</c:v>
                </c:pt>
                <c:pt idx="255">
                  <c:v>-25.4</c:v>
                </c:pt>
                <c:pt idx="256">
                  <c:v>0.2</c:v>
                </c:pt>
                <c:pt idx="257">
                  <c:v>18.2</c:v>
                </c:pt>
                <c:pt idx="258">
                  <c:v>32.5</c:v>
                </c:pt>
                <c:pt idx="259">
                  <c:v>60</c:v>
                </c:pt>
                <c:pt idx="260">
                  <c:v>97.2</c:v>
                </c:pt>
                <c:pt idx="261">
                  <c:v>61.8</c:v>
                </c:pt>
                <c:pt idx="262">
                  <c:v>50</c:v>
                </c:pt>
                <c:pt idx="263">
                  <c:v>15.2</c:v>
                </c:pt>
                <c:pt idx="264">
                  <c:v>-62.9</c:v>
                </c:pt>
                <c:pt idx="265">
                  <c:v>-144.9</c:v>
                </c:pt>
                <c:pt idx="266">
                  <c:v>-116</c:v>
                </c:pt>
                <c:pt idx="267">
                  <c:v>-58.1</c:v>
                </c:pt>
                <c:pt idx="268">
                  <c:v>-54</c:v>
                </c:pt>
                <c:pt idx="269">
                  <c:v>-40.6</c:v>
                </c:pt>
                <c:pt idx="270">
                  <c:v>-13.7</c:v>
                </c:pt>
                <c:pt idx="271">
                  <c:v>-41</c:v>
                </c:pt>
                <c:pt idx="272">
                  <c:v>-9.1999999999999993</c:v>
                </c:pt>
                <c:pt idx="273">
                  <c:v>47.1</c:v>
                </c:pt>
                <c:pt idx="274">
                  <c:v>42.8</c:v>
                </c:pt>
                <c:pt idx="275">
                  <c:v>29.9</c:v>
                </c:pt>
                <c:pt idx="276">
                  <c:v>27.5</c:v>
                </c:pt>
                <c:pt idx="277">
                  <c:v>-14.2</c:v>
                </c:pt>
                <c:pt idx="278">
                  <c:v>-49</c:v>
                </c:pt>
                <c:pt idx="279">
                  <c:v>-50.9</c:v>
                </c:pt>
                <c:pt idx="280">
                  <c:v>-56.8</c:v>
                </c:pt>
                <c:pt idx="281">
                  <c:v>4.3</c:v>
                </c:pt>
                <c:pt idx="282">
                  <c:v>-23.9</c:v>
                </c:pt>
                <c:pt idx="283">
                  <c:v>-12.1</c:v>
                </c:pt>
                <c:pt idx="284">
                  <c:v>-0.6</c:v>
                </c:pt>
                <c:pt idx="285">
                  <c:v>22.9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FE8-4A60-A994-CB83539E6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6278704"/>
        <c:axId val="562500032"/>
      </c:lineChart>
      <c:dateAx>
        <c:axId val="1513109552"/>
        <c:scaling>
          <c:orientation val="minMax"/>
          <c:min val="37257"/>
        </c:scaling>
        <c:delete val="0"/>
        <c:axPos val="b"/>
        <c:numFmt formatCode="[$-40C]mmm\-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4976816"/>
        <c:crosses val="autoZero"/>
        <c:auto val="1"/>
        <c:lblOffset val="100"/>
        <c:baseTimeUnit val="months"/>
        <c:majorUnit val="12"/>
        <c:majorTimeUnit val="months"/>
        <c:minorUnit val="1"/>
        <c:minorTimeUnit val="months"/>
      </c:dateAx>
      <c:valAx>
        <c:axId val="154497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13109552"/>
        <c:crosses val="autoZero"/>
        <c:crossBetween val="between"/>
      </c:valAx>
      <c:valAx>
        <c:axId val="562500032"/>
        <c:scaling>
          <c:orientation val="minMax"/>
          <c:max val="300"/>
          <c:min val="-2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6278704"/>
        <c:crosses val="max"/>
        <c:crossBetween val="between"/>
      </c:valAx>
      <c:dateAx>
        <c:axId val="56627870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562500032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3734439058750763E-2"/>
          <c:y val="0.85757002517252945"/>
          <c:w val="0.9397582370050872"/>
          <c:h val="0.142430079984356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Europe!$AL$4</c:f>
          <c:strCache>
            <c:ptCount val="1"/>
            <c:pt idx="0">
              <c:v>Check avec et sans seuil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Europe!$AM$6</c:f>
              <c:strCache>
                <c:ptCount val="1"/>
                <c:pt idx="0">
                  <c:v>sans seuil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Europe!$AL$7:$AL$285</c:f>
              <c:numCache>
                <c:formatCode>m/d/yyyy</c:formatCode>
                <c:ptCount val="279"/>
                <c:pt idx="0">
                  <c:v>37072</c:v>
                </c:pt>
                <c:pt idx="1">
                  <c:v>37103</c:v>
                </c:pt>
                <c:pt idx="2">
                  <c:v>37134</c:v>
                </c:pt>
                <c:pt idx="3">
                  <c:v>37164</c:v>
                </c:pt>
                <c:pt idx="4">
                  <c:v>37195</c:v>
                </c:pt>
                <c:pt idx="5">
                  <c:v>37225</c:v>
                </c:pt>
                <c:pt idx="6">
                  <c:v>37256</c:v>
                </c:pt>
                <c:pt idx="7">
                  <c:v>37287</c:v>
                </c:pt>
                <c:pt idx="8">
                  <c:v>37315</c:v>
                </c:pt>
                <c:pt idx="9">
                  <c:v>37344</c:v>
                </c:pt>
                <c:pt idx="10">
                  <c:v>37376</c:v>
                </c:pt>
                <c:pt idx="11">
                  <c:v>37407</c:v>
                </c:pt>
                <c:pt idx="12">
                  <c:v>37435</c:v>
                </c:pt>
                <c:pt idx="13">
                  <c:v>37468</c:v>
                </c:pt>
                <c:pt idx="14">
                  <c:v>37498</c:v>
                </c:pt>
                <c:pt idx="15">
                  <c:v>37529</c:v>
                </c:pt>
                <c:pt idx="16">
                  <c:v>37560</c:v>
                </c:pt>
                <c:pt idx="17">
                  <c:v>37589</c:v>
                </c:pt>
                <c:pt idx="18">
                  <c:v>37621</c:v>
                </c:pt>
                <c:pt idx="19">
                  <c:v>37652</c:v>
                </c:pt>
                <c:pt idx="20">
                  <c:v>37680</c:v>
                </c:pt>
                <c:pt idx="21">
                  <c:v>37711</c:v>
                </c:pt>
                <c:pt idx="22">
                  <c:v>37741</c:v>
                </c:pt>
                <c:pt idx="23">
                  <c:v>37771</c:v>
                </c:pt>
                <c:pt idx="24">
                  <c:v>37802</c:v>
                </c:pt>
                <c:pt idx="25">
                  <c:v>37833</c:v>
                </c:pt>
                <c:pt idx="26">
                  <c:v>37862</c:v>
                </c:pt>
                <c:pt idx="27">
                  <c:v>37894</c:v>
                </c:pt>
                <c:pt idx="28">
                  <c:v>37925</c:v>
                </c:pt>
                <c:pt idx="29">
                  <c:v>37953</c:v>
                </c:pt>
                <c:pt idx="30">
                  <c:v>37986</c:v>
                </c:pt>
                <c:pt idx="31">
                  <c:v>38016</c:v>
                </c:pt>
                <c:pt idx="32">
                  <c:v>38044</c:v>
                </c:pt>
                <c:pt idx="33">
                  <c:v>38077</c:v>
                </c:pt>
                <c:pt idx="34">
                  <c:v>38107</c:v>
                </c:pt>
                <c:pt idx="35">
                  <c:v>38138</c:v>
                </c:pt>
                <c:pt idx="36">
                  <c:v>38168</c:v>
                </c:pt>
                <c:pt idx="37">
                  <c:v>38198</c:v>
                </c:pt>
                <c:pt idx="38">
                  <c:v>38230</c:v>
                </c:pt>
                <c:pt idx="39">
                  <c:v>38260</c:v>
                </c:pt>
                <c:pt idx="40">
                  <c:v>38289</c:v>
                </c:pt>
                <c:pt idx="41">
                  <c:v>38321</c:v>
                </c:pt>
                <c:pt idx="42">
                  <c:v>38352</c:v>
                </c:pt>
                <c:pt idx="43">
                  <c:v>38383</c:v>
                </c:pt>
                <c:pt idx="44">
                  <c:v>38411</c:v>
                </c:pt>
                <c:pt idx="45">
                  <c:v>38442</c:v>
                </c:pt>
                <c:pt idx="46">
                  <c:v>38471</c:v>
                </c:pt>
                <c:pt idx="47">
                  <c:v>38503</c:v>
                </c:pt>
                <c:pt idx="48">
                  <c:v>38533</c:v>
                </c:pt>
                <c:pt idx="49">
                  <c:v>38562</c:v>
                </c:pt>
                <c:pt idx="50">
                  <c:v>38595</c:v>
                </c:pt>
                <c:pt idx="51">
                  <c:v>38625</c:v>
                </c:pt>
                <c:pt idx="52">
                  <c:v>38656</c:v>
                </c:pt>
                <c:pt idx="53">
                  <c:v>38686</c:v>
                </c:pt>
                <c:pt idx="54">
                  <c:v>38716</c:v>
                </c:pt>
                <c:pt idx="55">
                  <c:v>38748</c:v>
                </c:pt>
                <c:pt idx="56">
                  <c:v>38776</c:v>
                </c:pt>
                <c:pt idx="57">
                  <c:v>38807</c:v>
                </c:pt>
                <c:pt idx="58">
                  <c:v>38835</c:v>
                </c:pt>
                <c:pt idx="59">
                  <c:v>38868</c:v>
                </c:pt>
                <c:pt idx="60">
                  <c:v>38898</c:v>
                </c:pt>
                <c:pt idx="61">
                  <c:v>38929</c:v>
                </c:pt>
                <c:pt idx="62">
                  <c:v>38960</c:v>
                </c:pt>
                <c:pt idx="63">
                  <c:v>38989</c:v>
                </c:pt>
                <c:pt idx="64">
                  <c:v>39021</c:v>
                </c:pt>
                <c:pt idx="65">
                  <c:v>39051</c:v>
                </c:pt>
                <c:pt idx="66">
                  <c:v>39080</c:v>
                </c:pt>
                <c:pt idx="67">
                  <c:v>39113</c:v>
                </c:pt>
                <c:pt idx="68">
                  <c:v>39141</c:v>
                </c:pt>
                <c:pt idx="69">
                  <c:v>39171</c:v>
                </c:pt>
                <c:pt idx="70">
                  <c:v>39202</c:v>
                </c:pt>
                <c:pt idx="71">
                  <c:v>39233</c:v>
                </c:pt>
                <c:pt idx="72">
                  <c:v>39262</c:v>
                </c:pt>
                <c:pt idx="73">
                  <c:v>39294</c:v>
                </c:pt>
                <c:pt idx="74">
                  <c:v>39325</c:v>
                </c:pt>
                <c:pt idx="75">
                  <c:v>39353</c:v>
                </c:pt>
                <c:pt idx="76">
                  <c:v>39386</c:v>
                </c:pt>
                <c:pt idx="77">
                  <c:v>39416</c:v>
                </c:pt>
                <c:pt idx="78">
                  <c:v>39447</c:v>
                </c:pt>
                <c:pt idx="79">
                  <c:v>39478</c:v>
                </c:pt>
                <c:pt idx="80">
                  <c:v>39507</c:v>
                </c:pt>
                <c:pt idx="81">
                  <c:v>39538</c:v>
                </c:pt>
                <c:pt idx="82">
                  <c:v>39568</c:v>
                </c:pt>
                <c:pt idx="83">
                  <c:v>39598</c:v>
                </c:pt>
                <c:pt idx="84">
                  <c:v>39629</c:v>
                </c:pt>
                <c:pt idx="85">
                  <c:v>39660</c:v>
                </c:pt>
                <c:pt idx="86">
                  <c:v>39689</c:v>
                </c:pt>
                <c:pt idx="87">
                  <c:v>39721</c:v>
                </c:pt>
                <c:pt idx="88">
                  <c:v>39752</c:v>
                </c:pt>
                <c:pt idx="89">
                  <c:v>39780</c:v>
                </c:pt>
                <c:pt idx="90">
                  <c:v>39813</c:v>
                </c:pt>
                <c:pt idx="91">
                  <c:v>39843</c:v>
                </c:pt>
                <c:pt idx="92">
                  <c:v>39871</c:v>
                </c:pt>
                <c:pt idx="93">
                  <c:v>39903</c:v>
                </c:pt>
                <c:pt idx="94">
                  <c:v>39933</c:v>
                </c:pt>
                <c:pt idx="95">
                  <c:v>39962</c:v>
                </c:pt>
                <c:pt idx="96">
                  <c:v>39994</c:v>
                </c:pt>
                <c:pt idx="97">
                  <c:v>40025</c:v>
                </c:pt>
                <c:pt idx="98">
                  <c:v>40056</c:v>
                </c:pt>
                <c:pt idx="99">
                  <c:v>40086</c:v>
                </c:pt>
                <c:pt idx="100">
                  <c:v>40116</c:v>
                </c:pt>
                <c:pt idx="101">
                  <c:v>40147</c:v>
                </c:pt>
                <c:pt idx="102">
                  <c:v>40178</c:v>
                </c:pt>
                <c:pt idx="103">
                  <c:v>40207</c:v>
                </c:pt>
                <c:pt idx="104">
                  <c:v>40235</c:v>
                </c:pt>
                <c:pt idx="105">
                  <c:v>40268</c:v>
                </c:pt>
                <c:pt idx="106">
                  <c:v>40298</c:v>
                </c:pt>
                <c:pt idx="107">
                  <c:v>40329</c:v>
                </c:pt>
                <c:pt idx="108">
                  <c:v>40359</c:v>
                </c:pt>
                <c:pt idx="109">
                  <c:v>40389</c:v>
                </c:pt>
                <c:pt idx="110">
                  <c:v>40421</c:v>
                </c:pt>
                <c:pt idx="111">
                  <c:v>40451</c:v>
                </c:pt>
                <c:pt idx="112">
                  <c:v>40480</c:v>
                </c:pt>
                <c:pt idx="113">
                  <c:v>40512</c:v>
                </c:pt>
                <c:pt idx="114">
                  <c:v>40543</c:v>
                </c:pt>
                <c:pt idx="115">
                  <c:v>40574</c:v>
                </c:pt>
                <c:pt idx="116">
                  <c:v>40602</c:v>
                </c:pt>
                <c:pt idx="117">
                  <c:v>40633</c:v>
                </c:pt>
                <c:pt idx="118">
                  <c:v>40662</c:v>
                </c:pt>
                <c:pt idx="119">
                  <c:v>40694</c:v>
                </c:pt>
                <c:pt idx="120">
                  <c:v>40724</c:v>
                </c:pt>
                <c:pt idx="121">
                  <c:v>40753</c:v>
                </c:pt>
                <c:pt idx="122">
                  <c:v>40786</c:v>
                </c:pt>
                <c:pt idx="123">
                  <c:v>40816</c:v>
                </c:pt>
                <c:pt idx="124">
                  <c:v>40847</c:v>
                </c:pt>
                <c:pt idx="125">
                  <c:v>40877</c:v>
                </c:pt>
                <c:pt idx="126">
                  <c:v>40907</c:v>
                </c:pt>
                <c:pt idx="127">
                  <c:v>40939</c:v>
                </c:pt>
                <c:pt idx="128">
                  <c:v>40968</c:v>
                </c:pt>
                <c:pt idx="129">
                  <c:v>40998</c:v>
                </c:pt>
                <c:pt idx="130">
                  <c:v>41029</c:v>
                </c:pt>
                <c:pt idx="131">
                  <c:v>41060</c:v>
                </c:pt>
                <c:pt idx="132">
                  <c:v>41089</c:v>
                </c:pt>
                <c:pt idx="133">
                  <c:v>41121</c:v>
                </c:pt>
                <c:pt idx="134">
                  <c:v>41152</c:v>
                </c:pt>
                <c:pt idx="135">
                  <c:v>41180</c:v>
                </c:pt>
                <c:pt idx="136">
                  <c:v>41213</c:v>
                </c:pt>
                <c:pt idx="137">
                  <c:v>41243</c:v>
                </c:pt>
                <c:pt idx="138">
                  <c:v>41274</c:v>
                </c:pt>
                <c:pt idx="139">
                  <c:v>41305</c:v>
                </c:pt>
                <c:pt idx="140">
                  <c:v>41333</c:v>
                </c:pt>
                <c:pt idx="141">
                  <c:v>41362</c:v>
                </c:pt>
                <c:pt idx="142">
                  <c:v>41394</c:v>
                </c:pt>
                <c:pt idx="143">
                  <c:v>41425</c:v>
                </c:pt>
                <c:pt idx="144">
                  <c:v>41453</c:v>
                </c:pt>
                <c:pt idx="145">
                  <c:v>41486</c:v>
                </c:pt>
                <c:pt idx="146">
                  <c:v>41516</c:v>
                </c:pt>
                <c:pt idx="147">
                  <c:v>41547</c:v>
                </c:pt>
                <c:pt idx="148">
                  <c:v>41578</c:v>
                </c:pt>
                <c:pt idx="149">
                  <c:v>41607</c:v>
                </c:pt>
                <c:pt idx="150">
                  <c:v>41639</c:v>
                </c:pt>
                <c:pt idx="151">
                  <c:v>41670</c:v>
                </c:pt>
                <c:pt idx="152">
                  <c:v>41698</c:v>
                </c:pt>
                <c:pt idx="153">
                  <c:v>41729</c:v>
                </c:pt>
                <c:pt idx="154">
                  <c:v>41759</c:v>
                </c:pt>
                <c:pt idx="155">
                  <c:v>41789</c:v>
                </c:pt>
                <c:pt idx="156">
                  <c:v>41820</c:v>
                </c:pt>
                <c:pt idx="157">
                  <c:v>41851</c:v>
                </c:pt>
                <c:pt idx="158">
                  <c:v>41880</c:v>
                </c:pt>
                <c:pt idx="159">
                  <c:v>41912</c:v>
                </c:pt>
                <c:pt idx="160">
                  <c:v>41943</c:v>
                </c:pt>
                <c:pt idx="161">
                  <c:v>41971</c:v>
                </c:pt>
                <c:pt idx="162">
                  <c:v>42004</c:v>
                </c:pt>
                <c:pt idx="163">
                  <c:v>42034</c:v>
                </c:pt>
                <c:pt idx="164">
                  <c:v>42062</c:v>
                </c:pt>
                <c:pt idx="165">
                  <c:v>42094</c:v>
                </c:pt>
                <c:pt idx="166">
                  <c:v>42124</c:v>
                </c:pt>
                <c:pt idx="167">
                  <c:v>42153</c:v>
                </c:pt>
                <c:pt idx="168">
                  <c:v>42185</c:v>
                </c:pt>
                <c:pt idx="169">
                  <c:v>42216</c:v>
                </c:pt>
                <c:pt idx="170">
                  <c:v>42247</c:v>
                </c:pt>
                <c:pt idx="171">
                  <c:v>42277</c:v>
                </c:pt>
                <c:pt idx="172">
                  <c:v>42307</c:v>
                </c:pt>
                <c:pt idx="173">
                  <c:v>42338</c:v>
                </c:pt>
                <c:pt idx="174">
                  <c:v>42369</c:v>
                </c:pt>
                <c:pt idx="175">
                  <c:v>42398</c:v>
                </c:pt>
                <c:pt idx="176">
                  <c:v>42429</c:v>
                </c:pt>
                <c:pt idx="177">
                  <c:v>42460</c:v>
                </c:pt>
                <c:pt idx="178">
                  <c:v>42489</c:v>
                </c:pt>
                <c:pt idx="179">
                  <c:v>42521</c:v>
                </c:pt>
                <c:pt idx="180">
                  <c:v>42551</c:v>
                </c:pt>
                <c:pt idx="181">
                  <c:v>42580</c:v>
                </c:pt>
                <c:pt idx="182">
                  <c:v>42613</c:v>
                </c:pt>
                <c:pt idx="183">
                  <c:v>42643</c:v>
                </c:pt>
                <c:pt idx="184">
                  <c:v>42674</c:v>
                </c:pt>
                <c:pt idx="185">
                  <c:v>42704</c:v>
                </c:pt>
                <c:pt idx="186">
                  <c:v>42734</c:v>
                </c:pt>
                <c:pt idx="187">
                  <c:v>42766</c:v>
                </c:pt>
                <c:pt idx="188">
                  <c:v>42794</c:v>
                </c:pt>
                <c:pt idx="189">
                  <c:v>42825</c:v>
                </c:pt>
                <c:pt idx="190">
                  <c:v>42853</c:v>
                </c:pt>
                <c:pt idx="191">
                  <c:v>42886</c:v>
                </c:pt>
                <c:pt idx="192">
                  <c:v>42916</c:v>
                </c:pt>
                <c:pt idx="193">
                  <c:v>42947</c:v>
                </c:pt>
                <c:pt idx="194">
                  <c:v>42978</c:v>
                </c:pt>
                <c:pt idx="195">
                  <c:v>43007</c:v>
                </c:pt>
                <c:pt idx="196">
                  <c:v>43039</c:v>
                </c:pt>
                <c:pt idx="197">
                  <c:v>43069</c:v>
                </c:pt>
                <c:pt idx="198">
                  <c:v>43098</c:v>
                </c:pt>
                <c:pt idx="199">
                  <c:v>43131</c:v>
                </c:pt>
                <c:pt idx="200">
                  <c:v>43159</c:v>
                </c:pt>
                <c:pt idx="201">
                  <c:v>43189</c:v>
                </c:pt>
                <c:pt idx="202">
                  <c:v>43220</c:v>
                </c:pt>
                <c:pt idx="203">
                  <c:v>43251</c:v>
                </c:pt>
                <c:pt idx="204">
                  <c:v>43280</c:v>
                </c:pt>
                <c:pt idx="205">
                  <c:v>43312</c:v>
                </c:pt>
                <c:pt idx="206">
                  <c:v>43343</c:v>
                </c:pt>
                <c:pt idx="207">
                  <c:v>43371</c:v>
                </c:pt>
                <c:pt idx="208">
                  <c:v>43404</c:v>
                </c:pt>
                <c:pt idx="209">
                  <c:v>43434</c:v>
                </c:pt>
                <c:pt idx="210">
                  <c:v>43465</c:v>
                </c:pt>
                <c:pt idx="211">
                  <c:v>43496</c:v>
                </c:pt>
                <c:pt idx="212">
                  <c:v>43524</c:v>
                </c:pt>
                <c:pt idx="213">
                  <c:v>43553</c:v>
                </c:pt>
                <c:pt idx="214">
                  <c:v>43585</c:v>
                </c:pt>
                <c:pt idx="215">
                  <c:v>43616</c:v>
                </c:pt>
                <c:pt idx="216">
                  <c:v>43644</c:v>
                </c:pt>
                <c:pt idx="217">
                  <c:v>43677</c:v>
                </c:pt>
                <c:pt idx="218">
                  <c:v>43707</c:v>
                </c:pt>
                <c:pt idx="219">
                  <c:v>43738</c:v>
                </c:pt>
                <c:pt idx="220">
                  <c:v>43769</c:v>
                </c:pt>
                <c:pt idx="221">
                  <c:v>43798</c:v>
                </c:pt>
                <c:pt idx="222">
                  <c:v>43830</c:v>
                </c:pt>
                <c:pt idx="223">
                  <c:v>43861</c:v>
                </c:pt>
                <c:pt idx="224">
                  <c:v>43889</c:v>
                </c:pt>
                <c:pt idx="225">
                  <c:v>43921</c:v>
                </c:pt>
                <c:pt idx="226">
                  <c:v>43951</c:v>
                </c:pt>
                <c:pt idx="227">
                  <c:v>43980</c:v>
                </c:pt>
                <c:pt idx="228">
                  <c:v>44012</c:v>
                </c:pt>
                <c:pt idx="229">
                  <c:v>44043</c:v>
                </c:pt>
                <c:pt idx="230">
                  <c:v>44074</c:v>
                </c:pt>
                <c:pt idx="231">
                  <c:v>44104</c:v>
                </c:pt>
                <c:pt idx="232">
                  <c:v>44134</c:v>
                </c:pt>
                <c:pt idx="233">
                  <c:v>44165</c:v>
                </c:pt>
                <c:pt idx="234">
                  <c:v>44196</c:v>
                </c:pt>
                <c:pt idx="235">
                  <c:v>44225</c:v>
                </c:pt>
                <c:pt idx="236">
                  <c:v>44253</c:v>
                </c:pt>
                <c:pt idx="237">
                  <c:v>44286</c:v>
                </c:pt>
                <c:pt idx="238">
                  <c:v>44316</c:v>
                </c:pt>
                <c:pt idx="239">
                  <c:v>44347</c:v>
                </c:pt>
                <c:pt idx="240">
                  <c:v>44377</c:v>
                </c:pt>
                <c:pt idx="241">
                  <c:v>44407</c:v>
                </c:pt>
                <c:pt idx="242">
                  <c:v>44439</c:v>
                </c:pt>
                <c:pt idx="243">
                  <c:v>44469</c:v>
                </c:pt>
                <c:pt idx="244">
                  <c:v>44498</c:v>
                </c:pt>
                <c:pt idx="245">
                  <c:v>44530</c:v>
                </c:pt>
                <c:pt idx="246">
                  <c:v>44561</c:v>
                </c:pt>
                <c:pt idx="247">
                  <c:v>44592</c:v>
                </c:pt>
                <c:pt idx="248">
                  <c:v>44620</c:v>
                </c:pt>
                <c:pt idx="249">
                  <c:v>44651</c:v>
                </c:pt>
                <c:pt idx="250">
                  <c:v>44681</c:v>
                </c:pt>
                <c:pt idx="251">
                  <c:v>44712</c:v>
                </c:pt>
                <c:pt idx="252">
                  <c:v>44742</c:v>
                </c:pt>
                <c:pt idx="253">
                  <c:v>44773</c:v>
                </c:pt>
                <c:pt idx="254">
                  <c:v>44804</c:v>
                </c:pt>
                <c:pt idx="255">
                  <c:v>44834</c:v>
                </c:pt>
                <c:pt idx="256">
                  <c:v>44865</c:v>
                </c:pt>
                <c:pt idx="257">
                  <c:v>44895</c:v>
                </c:pt>
                <c:pt idx="258">
                  <c:v>44926</c:v>
                </c:pt>
                <c:pt idx="259">
                  <c:v>44957</c:v>
                </c:pt>
                <c:pt idx="260">
                  <c:v>44985</c:v>
                </c:pt>
                <c:pt idx="261">
                  <c:v>45016</c:v>
                </c:pt>
                <c:pt idx="262">
                  <c:v>45046</c:v>
                </c:pt>
                <c:pt idx="263">
                  <c:v>45077</c:v>
                </c:pt>
                <c:pt idx="264">
                  <c:v>45107</c:v>
                </c:pt>
                <c:pt idx="265">
                  <c:v>45138</c:v>
                </c:pt>
                <c:pt idx="266">
                  <c:v>45169</c:v>
                </c:pt>
                <c:pt idx="267">
                  <c:v>45199</c:v>
                </c:pt>
                <c:pt idx="268">
                  <c:v>45230</c:v>
                </c:pt>
                <c:pt idx="269">
                  <c:v>45260</c:v>
                </c:pt>
                <c:pt idx="270">
                  <c:v>45291</c:v>
                </c:pt>
                <c:pt idx="271">
                  <c:v>45322</c:v>
                </c:pt>
                <c:pt idx="272">
                  <c:v>45351</c:v>
                </c:pt>
                <c:pt idx="273">
                  <c:v>45382</c:v>
                </c:pt>
                <c:pt idx="274">
                  <c:v>45412</c:v>
                </c:pt>
                <c:pt idx="275">
                  <c:v>45443</c:v>
                </c:pt>
                <c:pt idx="276">
                  <c:v>45473</c:v>
                </c:pt>
                <c:pt idx="277">
                  <c:v>45504</c:v>
                </c:pt>
                <c:pt idx="278">
                  <c:v>45535</c:v>
                </c:pt>
              </c:numCache>
            </c:numRef>
          </c:cat>
          <c:val>
            <c:numRef>
              <c:f>Europe!$AM$7:$AM$285</c:f>
              <c:numCache>
                <c:formatCode>General</c:formatCode>
                <c:ptCount val="27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3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4</c:v>
                </c:pt>
                <c:pt idx="49">
                  <c:v>4</c:v>
                </c:pt>
                <c:pt idx="50">
                  <c:v>3</c:v>
                </c:pt>
                <c:pt idx="51">
                  <c:v>3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4</c:v>
                </c:pt>
                <c:pt idx="63">
                  <c:v>3</c:v>
                </c:pt>
                <c:pt idx="64">
                  <c:v>3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4</c:v>
                </c:pt>
                <c:pt idx="107">
                  <c:v>4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4</c:v>
                </c:pt>
                <c:pt idx="113">
                  <c:v>3</c:v>
                </c:pt>
                <c:pt idx="114">
                  <c:v>4</c:v>
                </c:pt>
                <c:pt idx="115">
                  <c:v>4</c:v>
                </c:pt>
                <c:pt idx="116">
                  <c:v>3</c:v>
                </c:pt>
                <c:pt idx="117">
                  <c:v>4</c:v>
                </c:pt>
                <c:pt idx="118">
                  <c:v>3</c:v>
                </c:pt>
                <c:pt idx="119">
                  <c:v>3</c:v>
                </c:pt>
                <c:pt idx="120">
                  <c:v>4</c:v>
                </c:pt>
                <c:pt idx="121">
                  <c:v>3</c:v>
                </c:pt>
                <c:pt idx="122">
                  <c:v>3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2</c:v>
                </c:pt>
                <c:pt idx="127">
                  <c:v>2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1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1</c:v>
                </c:pt>
                <c:pt idx="145">
                  <c:v>1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3</c:v>
                </c:pt>
                <c:pt idx="152">
                  <c:v>4</c:v>
                </c:pt>
                <c:pt idx="153">
                  <c:v>4</c:v>
                </c:pt>
                <c:pt idx="154">
                  <c:v>3</c:v>
                </c:pt>
                <c:pt idx="155">
                  <c:v>4</c:v>
                </c:pt>
                <c:pt idx="156">
                  <c:v>4</c:v>
                </c:pt>
                <c:pt idx="157">
                  <c:v>3</c:v>
                </c:pt>
                <c:pt idx="158">
                  <c:v>3</c:v>
                </c:pt>
                <c:pt idx="159">
                  <c:v>4</c:v>
                </c:pt>
                <c:pt idx="160">
                  <c:v>3</c:v>
                </c:pt>
                <c:pt idx="161">
                  <c:v>4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4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1</c:v>
                </c:pt>
                <c:pt idx="174">
                  <c:v>1</c:v>
                </c:pt>
                <c:pt idx="175">
                  <c:v>2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4</c:v>
                </c:pt>
                <c:pt idx="183">
                  <c:v>4</c:v>
                </c:pt>
                <c:pt idx="184">
                  <c:v>1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3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4</c:v>
                </c:pt>
                <c:pt idx="193">
                  <c:v>4</c:v>
                </c:pt>
                <c:pt idx="194">
                  <c:v>3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3</c:v>
                </c:pt>
                <c:pt idx="199">
                  <c:v>3</c:v>
                </c:pt>
                <c:pt idx="200">
                  <c:v>4</c:v>
                </c:pt>
                <c:pt idx="201">
                  <c:v>3</c:v>
                </c:pt>
                <c:pt idx="202">
                  <c:v>4</c:v>
                </c:pt>
                <c:pt idx="203">
                  <c:v>3</c:v>
                </c:pt>
                <c:pt idx="204">
                  <c:v>3</c:v>
                </c:pt>
                <c:pt idx="205">
                  <c:v>4</c:v>
                </c:pt>
                <c:pt idx="206">
                  <c:v>4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1</c:v>
                </c:pt>
                <c:pt idx="212">
                  <c:v>1</c:v>
                </c:pt>
                <c:pt idx="213">
                  <c:v>2</c:v>
                </c:pt>
                <c:pt idx="214">
                  <c:v>1</c:v>
                </c:pt>
                <c:pt idx="215">
                  <c:v>2</c:v>
                </c:pt>
                <c:pt idx="216">
                  <c:v>2</c:v>
                </c:pt>
                <c:pt idx="217">
                  <c:v>4</c:v>
                </c:pt>
                <c:pt idx="218">
                  <c:v>4</c:v>
                </c:pt>
                <c:pt idx="219">
                  <c:v>3</c:v>
                </c:pt>
                <c:pt idx="220">
                  <c:v>1</c:v>
                </c:pt>
                <c:pt idx="221">
                  <c:v>4</c:v>
                </c:pt>
                <c:pt idx="222">
                  <c:v>3</c:v>
                </c:pt>
                <c:pt idx="223">
                  <c:v>4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2</c:v>
                </c:pt>
                <c:pt idx="229">
                  <c:v>2</c:v>
                </c:pt>
                <c:pt idx="230">
                  <c:v>4</c:v>
                </c:pt>
                <c:pt idx="231">
                  <c:v>4</c:v>
                </c:pt>
                <c:pt idx="232">
                  <c:v>3</c:v>
                </c:pt>
                <c:pt idx="233">
                  <c:v>3</c:v>
                </c:pt>
                <c:pt idx="234">
                  <c:v>4</c:v>
                </c:pt>
                <c:pt idx="235">
                  <c:v>4</c:v>
                </c:pt>
                <c:pt idx="236">
                  <c:v>3</c:v>
                </c:pt>
                <c:pt idx="237">
                  <c:v>4</c:v>
                </c:pt>
                <c:pt idx="238">
                  <c:v>4</c:v>
                </c:pt>
                <c:pt idx="239">
                  <c:v>4</c:v>
                </c:pt>
                <c:pt idx="240">
                  <c:v>4</c:v>
                </c:pt>
                <c:pt idx="241">
                  <c:v>4</c:v>
                </c:pt>
                <c:pt idx="242">
                  <c:v>3</c:v>
                </c:pt>
                <c:pt idx="243">
                  <c:v>3</c:v>
                </c:pt>
                <c:pt idx="244">
                  <c:v>4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4</c:v>
                </c:pt>
                <c:pt idx="252">
                  <c:v>3</c:v>
                </c:pt>
                <c:pt idx="253">
                  <c:v>3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2</c:v>
                </c:pt>
                <c:pt idx="260">
                  <c:v>2</c:v>
                </c:pt>
                <c:pt idx="261">
                  <c:v>1</c:v>
                </c:pt>
                <c:pt idx="262">
                  <c:v>2</c:v>
                </c:pt>
                <c:pt idx="263">
                  <c:v>1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2</c:v>
                </c:pt>
                <c:pt idx="270">
                  <c:v>4</c:v>
                </c:pt>
                <c:pt idx="271">
                  <c:v>4</c:v>
                </c:pt>
                <c:pt idx="272">
                  <c:v>4</c:v>
                </c:pt>
                <c:pt idx="273">
                  <c:v>4</c:v>
                </c:pt>
                <c:pt idx="274">
                  <c:v>4</c:v>
                </c:pt>
                <c:pt idx="275">
                  <c:v>4</c:v>
                </c:pt>
                <c:pt idx="276">
                  <c:v>4</c:v>
                </c:pt>
                <c:pt idx="277">
                  <c:v>3</c:v>
                </c:pt>
                <c:pt idx="278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72-4530-AB6C-CF4A2074E13E}"/>
            </c:ext>
          </c:extLst>
        </c:ser>
        <c:ser>
          <c:idx val="1"/>
          <c:order val="1"/>
          <c:tx>
            <c:strRef>
              <c:f>Europe!$AN$6</c:f>
              <c:strCache>
                <c:ptCount val="1"/>
                <c:pt idx="0">
                  <c:v>avec seuil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Europe!$AL$7:$AL$285</c:f>
              <c:numCache>
                <c:formatCode>m/d/yyyy</c:formatCode>
                <c:ptCount val="279"/>
                <c:pt idx="0">
                  <c:v>37072</c:v>
                </c:pt>
                <c:pt idx="1">
                  <c:v>37103</c:v>
                </c:pt>
                <c:pt idx="2">
                  <c:v>37134</c:v>
                </c:pt>
                <c:pt idx="3">
                  <c:v>37164</c:v>
                </c:pt>
                <c:pt idx="4">
                  <c:v>37195</c:v>
                </c:pt>
                <c:pt idx="5">
                  <c:v>37225</c:v>
                </c:pt>
                <c:pt idx="6">
                  <c:v>37256</c:v>
                </c:pt>
                <c:pt idx="7">
                  <c:v>37287</c:v>
                </c:pt>
                <c:pt idx="8">
                  <c:v>37315</c:v>
                </c:pt>
                <c:pt idx="9">
                  <c:v>37344</c:v>
                </c:pt>
                <c:pt idx="10">
                  <c:v>37376</c:v>
                </c:pt>
                <c:pt idx="11">
                  <c:v>37407</c:v>
                </c:pt>
                <c:pt idx="12">
                  <c:v>37435</c:v>
                </c:pt>
                <c:pt idx="13">
                  <c:v>37468</c:v>
                </c:pt>
                <c:pt idx="14">
                  <c:v>37498</c:v>
                </c:pt>
                <c:pt idx="15">
                  <c:v>37529</c:v>
                </c:pt>
                <c:pt idx="16">
                  <c:v>37560</c:v>
                </c:pt>
                <c:pt idx="17">
                  <c:v>37589</c:v>
                </c:pt>
                <c:pt idx="18">
                  <c:v>37621</c:v>
                </c:pt>
                <c:pt idx="19">
                  <c:v>37652</c:v>
                </c:pt>
                <c:pt idx="20">
                  <c:v>37680</c:v>
                </c:pt>
                <c:pt idx="21">
                  <c:v>37711</c:v>
                </c:pt>
                <c:pt idx="22">
                  <c:v>37741</c:v>
                </c:pt>
                <c:pt idx="23">
                  <c:v>37771</c:v>
                </c:pt>
                <c:pt idx="24">
                  <c:v>37802</c:v>
                </c:pt>
                <c:pt idx="25">
                  <c:v>37833</c:v>
                </c:pt>
                <c:pt idx="26">
                  <c:v>37862</c:v>
                </c:pt>
                <c:pt idx="27">
                  <c:v>37894</c:v>
                </c:pt>
                <c:pt idx="28">
                  <c:v>37925</c:v>
                </c:pt>
                <c:pt idx="29">
                  <c:v>37953</c:v>
                </c:pt>
                <c:pt idx="30">
                  <c:v>37986</c:v>
                </c:pt>
                <c:pt idx="31">
                  <c:v>38016</c:v>
                </c:pt>
                <c:pt idx="32">
                  <c:v>38044</c:v>
                </c:pt>
                <c:pt idx="33">
                  <c:v>38077</c:v>
                </c:pt>
                <c:pt idx="34">
                  <c:v>38107</c:v>
                </c:pt>
                <c:pt idx="35">
                  <c:v>38138</c:v>
                </c:pt>
                <c:pt idx="36">
                  <c:v>38168</c:v>
                </c:pt>
                <c:pt idx="37">
                  <c:v>38198</c:v>
                </c:pt>
                <c:pt idx="38">
                  <c:v>38230</c:v>
                </c:pt>
                <c:pt idx="39">
                  <c:v>38260</c:v>
                </c:pt>
                <c:pt idx="40">
                  <c:v>38289</c:v>
                </c:pt>
                <c:pt idx="41">
                  <c:v>38321</c:v>
                </c:pt>
                <c:pt idx="42">
                  <c:v>38352</c:v>
                </c:pt>
                <c:pt idx="43">
                  <c:v>38383</c:v>
                </c:pt>
                <c:pt idx="44">
                  <c:v>38411</c:v>
                </c:pt>
                <c:pt idx="45">
                  <c:v>38442</c:v>
                </c:pt>
                <c:pt idx="46">
                  <c:v>38471</c:v>
                </c:pt>
                <c:pt idx="47">
                  <c:v>38503</c:v>
                </c:pt>
                <c:pt idx="48">
                  <c:v>38533</c:v>
                </c:pt>
                <c:pt idx="49">
                  <c:v>38562</c:v>
                </c:pt>
                <c:pt idx="50">
                  <c:v>38595</c:v>
                </c:pt>
                <c:pt idx="51">
                  <c:v>38625</c:v>
                </c:pt>
                <c:pt idx="52">
                  <c:v>38656</c:v>
                </c:pt>
                <c:pt idx="53">
                  <c:v>38686</c:v>
                </c:pt>
                <c:pt idx="54">
                  <c:v>38716</c:v>
                </c:pt>
                <c:pt idx="55">
                  <c:v>38748</c:v>
                </c:pt>
                <c:pt idx="56">
                  <c:v>38776</c:v>
                </c:pt>
                <c:pt idx="57">
                  <c:v>38807</c:v>
                </c:pt>
                <c:pt idx="58">
                  <c:v>38835</c:v>
                </c:pt>
                <c:pt idx="59">
                  <c:v>38868</c:v>
                </c:pt>
                <c:pt idx="60">
                  <c:v>38898</c:v>
                </c:pt>
                <c:pt idx="61">
                  <c:v>38929</c:v>
                </c:pt>
                <c:pt idx="62">
                  <c:v>38960</c:v>
                </c:pt>
                <c:pt idx="63">
                  <c:v>38989</c:v>
                </c:pt>
                <c:pt idx="64">
                  <c:v>39021</c:v>
                </c:pt>
                <c:pt idx="65">
                  <c:v>39051</c:v>
                </c:pt>
                <c:pt idx="66">
                  <c:v>39080</c:v>
                </c:pt>
                <c:pt idx="67">
                  <c:v>39113</c:v>
                </c:pt>
                <c:pt idx="68">
                  <c:v>39141</c:v>
                </c:pt>
                <c:pt idx="69">
                  <c:v>39171</c:v>
                </c:pt>
                <c:pt idx="70">
                  <c:v>39202</c:v>
                </c:pt>
                <c:pt idx="71">
                  <c:v>39233</c:v>
                </c:pt>
                <c:pt idx="72">
                  <c:v>39262</c:v>
                </c:pt>
                <c:pt idx="73">
                  <c:v>39294</c:v>
                </c:pt>
                <c:pt idx="74">
                  <c:v>39325</c:v>
                </c:pt>
                <c:pt idx="75">
                  <c:v>39353</c:v>
                </c:pt>
                <c:pt idx="76">
                  <c:v>39386</c:v>
                </c:pt>
                <c:pt idx="77">
                  <c:v>39416</c:v>
                </c:pt>
                <c:pt idx="78">
                  <c:v>39447</c:v>
                </c:pt>
                <c:pt idx="79">
                  <c:v>39478</c:v>
                </c:pt>
                <c:pt idx="80">
                  <c:v>39507</c:v>
                </c:pt>
                <c:pt idx="81">
                  <c:v>39538</c:v>
                </c:pt>
                <c:pt idx="82">
                  <c:v>39568</c:v>
                </c:pt>
                <c:pt idx="83">
                  <c:v>39598</c:v>
                </c:pt>
                <c:pt idx="84">
                  <c:v>39629</c:v>
                </c:pt>
                <c:pt idx="85">
                  <c:v>39660</c:v>
                </c:pt>
                <c:pt idx="86">
                  <c:v>39689</c:v>
                </c:pt>
                <c:pt idx="87">
                  <c:v>39721</c:v>
                </c:pt>
                <c:pt idx="88">
                  <c:v>39752</c:v>
                </c:pt>
                <c:pt idx="89">
                  <c:v>39780</c:v>
                </c:pt>
                <c:pt idx="90">
                  <c:v>39813</c:v>
                </c:pt>
                <c:pt idx="91">
                  <c:v>39843</c:v>
                </c:pt>
                <c:pt idx="92">
                  <c:v>39871</c:v>
                </c:pt>
                <c:pt idx="93">
                  <c:v>39903</c:v>
                </c:pt>
                <c:pt idx="94">
                  <c:v>39933</c:v>
                </c:pt>
                <c:pt idx="95">
                  <c:v>39962</c:v>
                </c:pt>
                <c:pt idx="96">
                  <c:v>39994</c:v>
                </c:pt>
                <c:pt idx="97">
                  <c:v>40025</c:v>
                </c:pt>
                <c:pt idx="98">
                  <c:v>40056</c:v>
                </c:pt>
                <c:pt idx="99">
                  <c:v>40086</c:v>
                </c:pt>
                <c:pt idx="100">
                  <c:v>40116</c:v>
                </c:pt>
                <c:pt idx="101">
                  <c:v>40147</c:v>
                </c:pt>
                <c:pt idx="102">
                  <c:v>40178</c:v>
                </c:pt>
                <c:pt idx="103">
                  <c:v>40207</c:v>
                </c:pt>
                <c:pt idx="104">
                  <c:v>40235</c:v>
                </c:pt>
                <c:pt idx="105">
                  <c:v>40268</c:v>
                </c:pt>
                <c:pt idx="106">
                  <c:v>40298</c:v>
                </c:pt>
                <c:pt idx="107">
                  <c:v>40329</c:v>
                </c:pt>
                <c:pt idx="108">
                  <c:v>40359</c:v>
                </c:pt>
                <c:pt idx="109">
                  <c:v>40389</c:v>
                </c:pt>
                <c:pt idx="110">
                  <c:v>40421</c:v>
                </c:pt>
                <c:pt idx="111">
                  <c:v>40451</c:v>
                </c:pt>
                <c:pt idx="112">
                  <c:v>40480</c:v>
                </c:pt>
                <c:pt idx="113">
                  <c:v>40512</c:v>
                </c:pt>
                <c:pt idx="114">
                  <c:v>40543</c:v>
                </c:pt>
                <c:pt idx="115">
                  <c:v>40574</c:v>
                </c:pt>
                <c:pt idx="116">
                  <c:v>40602</c:v>
                </c:pt>
                <c:pt idx="117">
                  <c:v>40633</c:v>
                </c:pt>
                <c:pt idx="118">
                  <c:v>40662</c:v>
                </c:pt>
                <c:pt idx="119">
                  <c:v>40694</c:v>
                </c:pt>
                <c:pt idx="120">
                  <c:v>40724</c:v>
                </c:pt>
                <c:pt idx="121">
                  <c:v>40753</c:v>
                </c:pt>
                <c:pt idx="122">
                  <c:v>40786</c:v>
                </c:pt>
                <c:pt idx="123">
                  <c:v>40816</c:v>
                </c:pt>
                <c:pt idx="124">
                  <c:v>40847</c:v>
                </c:pt>
                <c:pt idx="125">
                  <c:v>40877</c:v>
                </c:pt>
                <c:pt idx="126">
                  <c:v>40907</c:v>
                </c:pt>
                <c:pt idx="127">
                  <c:v>40939</c:v>
                </c:pt>
                <c:pt idx="128">
                  <c:v>40968</c:v>
                </c:pt>
                <c:pt idx="129">
                  <c:v>40998</c:v>
                </c:pt>
                <c:pt idx="130">
                  <c:v>41029</c:v>
                </c:pt>
                <c:pt idx="131">
                  <c:v>41060</c:v>
                </c:pt>
                <c:pt idx="132">
                  <c:v>41089</c:v>
                </c:pt>
                <c:pt idx="133">
                  <c:v>41121</c:v>
                </c:pt>
                <c:pt idx="134">
                  <c:v>41152</c:v>
                </c:pt>
                <c:pt idx="135">
                  <c:v>41180</c:v>
                </c:pt>
                <c:pt idx="136">
                  <c:v>41213</c:v>
                </c:pt>
                <c:pt idx="137">
                  <c:v>41243</c:v>
                </c:pt>
                <c:pt idx="138">
                  <c:v>41274</c:v>
                </c:pt>
                <c:pt idx="139">
                  <c:v>41305</c:v>
                </c:pt>
                <c:pt idx="140">
                  <c:v>41333</c:v>
                </c:pt>
                <c:pt idx="141">
                  <c:v>41362</c:v>
                </c:pt>
                <c:pt idx="142">
                  <c:v>41394</c:v>
                </c:pt>
                <c:pt idx="143">
                  <c:v>41425</c:v>
                </c:pt>
                <c:pt idx="144">
                  <c:v>41453</c:v>
                </c:pt>
                <c:pt idx="145">
                  <c:v>41486</c:v>
                </c:pt>
                <c:pt idx="146">
                  <c:v>41516</c:v>
                </c:pt>
                <c:pt idx="147">
                  <c:v>41547</c:v>
                </c:pt>
                <c:pt idx="148">
                  <c:v>41578</c:v>
                </c:pt>
                <c:pt idx="149">
                  <c:v>41607</c:v>
                </c:pt>
                <c:pt idx="150">
                  <c:v>41639</c:v>
                </c:pt>
                <c:pt idx="151">
                  <c:v>41670</c:v>
                </c:pt>
                <c:pt idx="152">
                  <c:v>41698</c:v>
                </c:pt>
                <c:pt idx="153">
                  <c:v>41729</c:v>
                </c:pt>
                <c:pt idx="154">
                  <c:v>41759</c:v>
                </c:pt>
                <c:pt idx="155">
                  <c:v>41789</c:v>
                </c:pt>
                <c:pt idx="156">
                  <c:v>41820</c:v>
                </c:pt>
                <c:pt idx="157">
                  <c:v>41851</c:v>
                </c:pt>
                <c:pt idx="158">
                  <c:v>41880</c:v>
                </c:pt>
                <c:pt idx="159">
                  <c:v>41912</c:v>
                </c:pt>
                <c:pt idx="160">
                  <c:v>41943</c:v>
                </c:pt>
                <c:pt idx="161">
                  <c:v>41971</c:v>
                </c:pt>
                <c:pt idx="162">
                  <c:v>42004</c:v>
                </c:pt>
                <c:pt idx="163">
                  <c:v>42034</c:v>
                </c:pt>
                <c:pt idx="164">
                  <c:v>42062</c:v>
                </c:pt>
                <c:pt idx="165">
                  <c:v>42094</c:v>
                </c:pt>
                <c:pt idx="166">
                  <c:v>42124</c:v>
                </c:pt>
                <c:pt idx="167">
                  <c:v>42153</c:v>
                </c:pt>
                <c:pt idx="168">
                  <c:v>42185</c:v>
                </c:pt>
                <c:pt idx="169">
                  <c:v>42216</c:v>
                </c:pt>
                <c:pt idx="170">
                  <c:v>42247</c:v>
                </c:pt>
                <c:pt idx="171">
                  <c:v>42277</c:v>
                </c:pt>
                <c:pt idx="172">
                  <c:v>42307</c:v>
                </c:pt>
                <c:pt idx="173">
                  <c:v>42338</c:v>
                </c:pt>
                <c:pt idx="174">
                  <c:v>42369</c:v>
                </c:pt>
                <c:pt idx="175">
                  <c:v>42398</c:v>
                </c:pt>
                <c:pt idx="176">
                  <c:v>42429</c:v>
                </c:pt>
                <c:pt idx="177">
                  <c:v>42460</c:v>
                </c:pt>
                <c:pt idx="178">
                  <c:v>42489</c:v>
                </c:pt>
                <c:pt idx="179">
                  <c:v>42521</c:v>
                </c:pt>
                <c:pt idx="180">
                  <c:v>42551</c:v>
                </c:pt>
                <c:pt idx="181">
                  <c:v>42580</c:v>
                </c:pt>
                <c:pt idx="182">
                  <c:v>42613</c:v>
                </c:pt>
                <c:pt idx="183">
                  <c:v>42643</c:v>
                </c:pt>
                <c:pt idx="184">
                  <c:v>42674</c:v>
                </c:pt>
                <c:pt idx="185">
                  <c:v>42704</c:v>
                </c:pt>
                <c:pt idx="186">
                  <c:v>42734</c:v>
                </c:pt>
                <c:pt idx="187">
                  <c:v>42766</c:v>
                </c:pt>
                <c:pt idx="188">
                  <c:v>42794</c:v>
                </c:pt>
                <c:pt idx="189">
                  <c:v>42825</c:v>
                </c:pt>
                <c:pt idx="190">
                  <c:v>42853</c:v>
                </c:pt>
                <c:pt idx="191">
                  <c:v>42886</c:v>
                </c:pt>
                <c:pt idx="192">
                  <c:v>42916</c:v>
                </c:pt>
                <c:pt idx="193">
                  <c:v>42947</c:v>
                </c:pt>
                <c:pt idx="194">
                  <c:v>42978</c:v>
                </c:pt>
                <c:pt idx="195">
                  <c:v>43007</c:v>
                </c:pt>
                <c:pt idx="196">
                  <c:v>43039</c:v>
                </c:pt>
                <c:pt idx="197">
                  <c:v>43069</c:v>
                </c:pt>
                <c:pt idx="198">
                  <c:v>43098</c:v>
                </c:pt>
                <c:pt idx="199">
                  <c:v>43131</c:v>
                </c:pt>
                <c:pt idx="200">
                  <c:v>43159</c:v>
                </c:pt>
                <c:pt idx="201">
                  <c:v>43189</c:v>
                </c:pt>
                <c:pt idx="202">
                  <c:v>43220</c:v>
                </c:pt>
                <c:pt idx="203">
                  <c:v>43251</c:v>
                </c:pt>
                <c:pt idx="204">
                  <c:v>43280</c:v>
                </c:pt>
                <c:pt idx="205">
                  <c:v>43312</c:v>
                </c:pt>
                <c:pt idx="206">
                  <c:v>43343</c:v>
                </c:pt>
                <c:pt idx="207">
                  <c:v>43371</c:v>
                </c:pt>
                <c:pt idx="208">
                  <c:v>43404</c:v>
                </c:pt>
                <c:pt idx="209">
                  <c:v>43434</c:v>
                </c:pt>
                <c:pt idx="210">
                  <c:v>43465</c:v>
                </c:pt>
                <c:pt idx="211">
                  <c:v>43496</c:v>
                </c:pt>
                <c:pt idx="212">
                  <c:v>43524</c:v>
                </c:pt>
                <c:pt idx="213">
                  <c:v>43553</c:v>
                </c:pt>
                <c:pt idx="214">
                  <c:v>43585</c:v>
                </c:pt>
                <c:pt idx="215">
                  <c:v>43616</c:v>
                </c:pt>
                <c:pt idx="216">
                  <c:v>43644</c:v>
                </c:pt>
                <c:pt idx="217">
                  <c:v>43677</c:v>
                </c:pt>
                <c:pt idx="218">
                  <c:v>43707</c:v>
                </c:pt>
                <c:pt idx="219">
                  <c:v>43738</c:v>
                </c:pt>
                <c:pt idx="220">
                  <c:v>43769</c:v>
                </c:pt>
                <c:pt idx="221">
                  <c:v>43798</c:v>
                </c:pt>
                <c:pt idx="222">
                  <c:v>43830</c:v>
                </c:pt>
                <c:pt idx="223">
                  <c:v>43861</c:v>
                </c:pt>
                <c:pt idx="224">
                  <c:v>43889</c:v>
                </c:pt>
                <c:pt idx="225">
                  <c:v>43921</c:v>
                </c:pt>
                <c:pt idx="226">
                  <c:v>43951</c:v>
                </c:pt>
                <c:pt idx="227">
                  <c:v>43980</c:v>
                </c:pt>
                <c:pt idx="228">
                  <c:v>44012</c:v>
                </c:pt>
                <c:pt idx="229">
                  <c:v>44043</c:v>
                </c:pt>
                <c:pt idx="230">
                  <c:v>44074</c:v>
                </c:pt>
                <c:pt idx="231">
                  <c:v>44104</c:v>
                </c:pt>
                <c:pt idx="232">
                  <c:v>44134</c:v>
                </c:pt>
                <c:pt idx="233">
                  <c:v>44165</c:v>
                </c:pt>
                <c:pt idx="234">
                  <c:v>44196</c:v>
                </c:pt>
                <c:pt idx="235">
                  <c:v>44225</c:v>
                </c:pt>
                <c:pt idx="236">
                  <c:v>44253</c:v>
                </c:pt>
                <c:pt idx="237">
                  <c:v>44286</c:v>
                </c:pt>
                <c:pt idx="238">
                  <c:v>44316</c:v>
                </c:pt>
                <c:pt idx="239">
                  <c:v>44347</c:v>
                </c:pt>
                <c:pt idx="240">
                  <c:v>44377</c:v>
                </c:pt>
                <c:pt idx="241">
                  <c:v>44407</c:v>
                </c:pt>
                <c:pt idx="242">
                  <c:v>44439</c:v>
                </c:pt>
                <c:pt idx="243">
                  <c:v>44469</c:v>
                </c:pt>
                <c:pt idx="244">
                  <c:v>44498</c:v>
                </c:pt>
                <c:pt idx="245">
                  <c:v>44530</c:v>
                </c:pt>
                <c:pt idx="246">
                  <c:v>44561</c:v>
                </c:pt>
                <c:pt idx="247">
                  <c:v>44592</c:v>
                </c:pt>
                <c:pt idx="248">
                  <c:v>44620</c:v>
                </c:pt>
                <c:pt idx="249">
                  <c:v>44651</c:v>
                </c:pt>
                <c:pt idx="250">
                  <c:v>44681</c:v>
                </c:pt>
                <c:pt idx="251">
                  <c:v>44712</c:v>
                </c:pt>
                <c:pt idx="252">
                  <c:v>44742</c:v>
                </c:pt>
                <c:pt idx="253">
                  <c:v>44773</c:v>
                </c:pt>
                <c:pt idx="254">
                  <c:v>44804</c:v>
                </c:pt>
                <c:pt idx="255">
                  <c:v>44834</c:v>
                </c:pt>
                <c:pt idx="256">
                  <c:v>44865</c:v>
                </c:pt>
                <c:pt idx="257">
                  <c:v>44895</c:v>
                </c:pt>
                <c:pt idx="258">
                  <c:v>44926</c:v>
                </c:pt>
                <c:pt idx="259">
                  <c:v>44957</c:v>
                </c:pt>
                <c:pt idx="260">
                  <c:v>44985</c:v>
                </c:pt>
                <c:pt idx="261">
                  <c:v>45016</c:v>
                </c:pt>
                <c:pt idx="262">
                  <c:v>45046</c:v>
                </c:pt>
                <c:pt idx="263">
                  <c:v>45077</c:v>
                </c:pt>
                <c:pt idx="264">
                  <c:v>45107</c:v>
                </c:pt>
                <c:pt idx="265">
                  <c:v>45138</c:v>
                </c:pt>
                <c:pt idx="266">
                  <c:v>45169</c:v>
                </c:pt>
                <c:pt idx="267">
                  <c:v>45199</c:v>
                </c:pt>
                <c:pt idx="268">
                  <c:v>45230</c:v>
                </c:pt>
                <c:pt idx="269">
                  <c:v>45260</c:v>
                </c:pt>
                <c:pt idx="270">
                  <c:v>45291</c:v>
                </c:pt>
                <c:pt idx="271">
                  <c:v>45322</c:v>
                </c:pt>
                <c:pt idx="272">
                  <c:v>45351</c:v>
                </c:pt>
                <c:pt idx="273">
                  <c:v>45382</c:v>
                </c:pt>
                <c:pt idx="274">
                  <c:v>45412</c:v>
                </c:pt>
                <c:pt idx="275">
                  <c:v>45443</c:v>
                </c:pt>
                <c:pt idx="276">
                  <c:v>45473</c:v>
                </c:pt>
                <c:pt idx="277">
                  <c:v>45504</c:v>
                </c:pt>
                <c:pt idx="278">
                  <c:v>45535</c:v>
                </c:pt>
              </c:numCache>
            </c:numRef>
          </c:cat>
          <c:val>
            <c:numRef>
              <c:f>Europe!$AN$7:$AN$285</c:f>
              <c:numCache>
                <c:formatCode>General</c:formatCode>
                <c:ptCount val="27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3</c:v>
                </c:pt>
                <c:pt idx="51">
                  <c:v>3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4</c:v>
                </c:pt>
                <c:pt idx="107">
                  <c:v>4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3</c:v>
                </c:pt>
                <c:pt idx="122">
                  <c:v>3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4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4</c:v>
                </c:pt>
                <c:pt idx="170">
                  <c:v>4</c:v>
                </c:pt>
                <c:pt idx="171">
                  <c:v>4</c:v>
                </c:pt>
                <c:pt idx="172">
                  <c:v>4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4</c:v>
                </c:pt>
                <c:pt idx="183">
                  <c:v>4</c:v>
                </c:pt>
                <c:pt idx="184">
                  <c:v>1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4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4</c:v>
                </c:pt>
                <c:pt idx="218">
                  <c:v>4</c:v>
                </c:pt>
                <c:pt idx="219">
                  <c:v>4</c:v>
                </c:pt>
                <c:pt idx="220">
                  <c:v>1</c:v>
                </c:pt>
                <c:pt idx="221">
                  <c:v>4</c:v>
                </c:pt>
                <c:pt idx="222">
                  <c:v>4</c:v>
                </c:pt>
                <c:pt idx="223">
                  <c:v>4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2</c:v>
                </c:pt>
                <c:pt idx="229">
                  <c:v>2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3</c:v>
                </c:pt>
                <c:pt idx="237">
                  <c:v>4</c:v>
                </c:pt>
                <c:pt idx="238">
                  <c:v>4</c:v>
                </c:pt>
                <c:pt idx="239">
                  <c:v>4</c:v>
                </c:pt>
                <c:pt idx="240">
                  <c:v>4</c:v>
                </c:pt>
                <c:pt idx="241">
                  <c:v>4</c:v>
                </c:pt>
                <c:pt idx="242">
                  <c:v>4</c:v>
                </c:pt>
                <c:pt idx="243">
                  <c:v>4</c:v>
                </c:pt>
                <c:pt idx="244">
                  <c:v>4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4</c:v>
                </c:pt>
                <c:pt idx="252">
                  <c:v>3</c:v>
                </c:pt>
                <c:pt idx="253">
                  <c:v>3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2</c:v>
                </c:pt>
                <c:pt idx="270">
                  <c:v>4</c:v>
                </c:pt>
                <c:pt idx="271">
                  <c:v>4</c:v>
                </c:pt>
                <c:pt idx="272">
                  <c:v>4</c:v>
                </c:pt>
                <c:pt idx="273">
                  <c:v>4</c:v>
                </c:pt>
                <c:pt idx="274">
                  <c:v>4</c:v>
                </c:pt>
                <c:pt idx="275">
                  <c:v>4</c:v>
                </c:pt>
                <c:pt idx="276">
                  <c:v>4</c:v>
                </c:pt>
                <c:pt idx="277">
                  <c:v>3</c:v>
                </c:pt>
                <c:pt idx="278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72-4530-AB6C-CF4A2074E1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4009071"/>
        <c:axId val="883998511"/>
      </c:lineChart>
      <c:dateAx>
        <c:axId val="88400907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83998511"/>
        <c:crosses val="autoZero"/>
        <c:auto val="1"/>
        <c:lblOffset val="100"/>
        <c:baseTimeUnit val="months"/>
      </c:dateAx>
      <c:valAx>
        <c:axId val="88399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84009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2000" b="1"/>
              <a:t>Macro cycle US </a:t>
            </a:r>
            <a:r>
              <a:rPr lang="fr-FR" sz="2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without Threshold</a:t>
            </a:r>
            <a:endParaRPr lang="fr-FR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5.8823631602034299E-2"/>
          <c:y val="0.14304360505661429"/>
          <c:w val="0.88917384361703822"/>
          <c:h val="0.64721924252222096"/>
        </c:manualLayout>
      </c:layout>
      <c:lineChart>
        <c:grouping val="standard"/>
        <c:varyColors val="0"/>
        <c:ser>
          <c:idx val="0"/>
          <c:order val="0"/>
          <c:tx>
            <c:strRef>
              <c:f>US!$W$4</c:f>
              <c:strCache>
                <c:ptCount val="1"/>
                <c:pt idx="0">
                  <c:v>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US!$V$5:$V$532</c:f>
              <c:numCache>
                <c:formatCode>m/d/yyyy</c:formatCode>
                <c:ptCount val="528"/>
                <c:pt idx="0">
                  <c:v>32963</c:v>
                </c:pt>
                <c:pt idx="1">
                  <c:v>32993</c:v>
                </c:pt>
                <c:pt idx="2">
                  <c:v>33024</c:v>
                </c:pt>
                <c:pt idx="3">
                  <c:v>33054</c:v>
                </c:pt>
                <c:pt idx="4">
                  <c:v>33085</c:v>
                </c:pt>
                <c:pt idx="5">
                  <c:v>33116</c:v>
                </c:pt>
                <c:pt idx="6">
                  <c:v>33146</c:v>
                </c:pt>
                <c:pt idx="7">
                  <c:v>33177</c:v>
                </c:pt>
                <c:pt idx="8">
                  <c:v>33207</c:v>
                </c:pt>
                <c:pt idx="9">
                  <c:v>33238</c:v>
                </c:pt>
                <c:pt idx="10">
                  <c:v>33269</c:v>
                </c:pt>
                <c:pt idx="11">
                  <c:v>33297</c:v>
                </c:pt>
                <c:pt idx="12">
                  <c:v>33328</c:v>
                </c:pt>
                <c:pt idx="13">
                  <c:v>33358</c:v>
                </c:pt>
                <c:pt idx="14">
                  <c:v>33389</c:v>
                </c:pt>
                <c:pt idx="15">
                  <c:v>33419</c:v>
                </c:pt>
                <c:pt idx="16">
                  <c:v>33450</c:v>
                </c:pt>
                <c:pt idx="17">
                  <c:v>33481</c:v>
                </c:pt>
                <c:pt idx="18">
                  <c:v>33511</c:v>
                </c:pt>
                <c:pt idx="19">
                  <c:v>33542</c:v>
                </c:pt>
                <c:pt idx="20">
                  <c:v>33572</c:v>
                </c:pt>
                <c:pt idx="21">
                  <c:v>33603</c:v>
                </c:pt>
                <c:pt idx="22">
                  <c:v>33634</c:v>
                </c:pt>
                <c:pt idx="23">
                  <c:v>33663</c:v>
                </c:pt>
                <c:pt idx="24">
                  <c:v>33694</c:v>
                </c:pt>
                <c:pt idx="25">
                  <c:v>33724</c:v>
                </c:pt>
                <c:pt idx="26">
                  <c:v>33755</c:v>
                </c:pt>
                <c:pt idx="27">
                  <c:v>33785</c:v>
                </c:pt>
                <c:pt idx="28">
                  <c:v>33816</c:v>
                </c:pt>
                <c:pt idx="29">
                  <c:v>33847</c:v>
                </c:pt>
                <c:pt idx="30">
                  <c:v>33877</c:v>
                </c:pt>
                <c:pt idx="31">
                  <c:v>33908</c:v>
                </c:pt>
                <c:pt idx="32">
                  <c:v>33938</c:v>
                </c:pt>
                <c:pt idx="33">
                  <c:v>33969</c:v>
                </c:pt>
                <c:pt idx="34">
                  <c:v>34000</c:v>
                </c:pt>
                <c:pt idx="35">
                  <c:v>34028</c:v>
                </c:pt>
                <c:pt idx="36">
                  <c:v>34059</c:v>
                </c:pt>
                <c:pt idx="37">
                  <c:v>34089</c:v>
                </c:pt>
                <c:pt idx="38">
                  <c:v>34120</c:v>
                </c:pt>
                <c:pt idx="39">
                  <c:v>34150</c:v>
                </c:pt>
                <c:pt idx="40">
                  <c:v>34181</c:v>
                </c:pt>
                <c:pt idx="41">
                  <c:v>34212</c:v>
                </c:pt>
                <c:pt idx="42">
                  <c:v>34242</c:v>
                </c:pt>
                <c:pt idx="43">
                  <c:v>34273</c:v>
                </c:pt>
                <c:pt idx="44">
                  <c:v>34303</c:v>
                </c:pt>
                <c:pt idx="45">
                  <c:v>34334</c:v>
                </c:pt>
                <c:pt idx="46">
                  <c:v>34365</c:v>
                </c:pt>
                <c:pt idx="47">
                  <c:v>34393</c:v>
                </c:pt>
                <c:pt idx="48">
                  <c:v>34424</c:v>
                </c:pt>
                <c:pt idx="49">
                  <c:v>34454</c:v>
                </c:pt>
                <c:pt idx="50">
                  <c:v>34485</c:v>
                </c:pt>
                <c:pt idx="51">
                  <c:v>34515</c:v>
                </c:pt>
                <c:pt idx="52">
                  <c:v>34546</c:v>
                </c:pt>
                <c:pt idx="53">
                  <c:v>34577</c:v>
                </c:pt>
                <c:pt idx="54">
                  <c:v>34607</c:v>
                </c:pt>
                <c:pt idx="55">
                  <c:v>34638</c:v>
                </c:pt>
                <c:pt idx="56">
                  <c:v>34668</c:v>
                </c:pt>
                <c:pt idx="57">
                  <c:v>34699</c:v>
                </c:pt>
                <c:pt idx="58">
                  <c:v>34730</c:v>
                </c:pt>
                <c:pt idx="59">
                  <c:v>34758</c:v>
                </c:pt>
                <c:pt idx="60">
                  <c:v>34789</c:v>
                </c:pt>
                <c:pt idx="61">
                  <c:v>34819</c:v>
                </c:pt>
                <c:pt idx="62">
                  <c:v>34850</c:v>
                </c:pt>
                <c:pt idx="63">
                  <c:v>34880</c:v>
                </c:pt>
                <c:pt idx="64">
                  <c:v>34911</c:v>
                </c:pt>
                <c:pt idx="65">
                  <c:v>34942</c:v>
                </c:pt>
                <c:pt idx="66">
                  <c:v>34972</c:v>
                </c:pt>
                <c:pt idx="67">
                  <c:v>35003</c:v>
                </c:pt>
                <c:pt idx="68">
                  <c:v>35033</c:v>
                </c:pt>
                <c:pt idx="69">
                  <c:v>35064</c:v>
                </c:pt>
                <c:pt idx="70">
                  <c:v>35095</c:v>
                </c:pt>
                <c:pt idx="71">
                  <c:v>35124</c:v>
                </c:pt>
                <c:pt idx="72">
                  <c:v>35155</c:v>
                </c:pt>
                <c:pt idx="73">
                  <c:v>35185</c:v>
                </c:pt>
                <c:pt idx="74">
                  <c:v>35216</c:v>
                </c:pt>
                <c:pt idx="75">
                  <c:v>35246</c:v>
                </c:pt>
                <c:pt idx="76">
                  <c:v>35277</c:v>
                </c:pt>
                <c:pt idx="77">
                  <c:v>35308</c:v>
                </c:pt>
                <c:pt idx="78">
                  <c:v>35338</c:v>
                </c:pt>
                <c:pt idx="79">
                  <c:v>35369</c:v>
                </c:pt>
                <c:pt idx="80">
                  <c:v>35399</c:v>
                </c:pt>
                <c:pt idx="81">
                  <c:v>35430</c:v>
                </c:pt>
                <c:pt idx="82">
                  <c:v>35461</c:v>
                </c:pt>
                <c:pt idx="83">
                  <c:v>35489</c:v>
                </c:pt>
                <c:pt idx="84">
                  <c:v>35520</c:v>
                </c:pt>
                <c:pt idx="85">
                  <c:v>35550</c:v>
                </c:pt>
                <c:pt idx="86">
                  <c:v>35581</c:v>
                </c:pt>
                <c:pt idx="87">
                  <c:v>35611</c:v>
                </c:pt>
                <c:pt idx="88">
                  <c:v>35642</c:v>
                </c:pt>
                <c:pt idx="89">
                  <c:v>35673</c:v>
                </c:pt>
                <c:pt idx="90">
                  <c:v>35703</c:v>
                </c:pt>
                <c:pt idx="91">
                  <c:v>35734</c:v>
                </c:pt>
                <c:pt idx="92">
                  <c:v>35764</c:v>
                </c:pt>
                <c:pt idx="93">
                  <c:v>35795</c:v>
                </c:pt>
                <c:pt idx="94">
                  <c:v>35826</c:v>
                </c:pt>
                <c:pt idx="95">
                  <c:v>35854</c:v>
                </c:pt>
                <c:pt idx="96">
                  <c:v>35885</c:v>
                </c:pt>
                <c:pt idx="97">
                  <c:v>35915</c:v>
                </c:pt>
                <c:pt idx="98">
                  <c:v>35946</c:v>
                </c:pt>
                <c:pt idx="99">
                  <c:v>35976</c:v>
                </c:pt>
                <c:pt idx="100">
                  <c:v>36007</c:v>
                </c:pt>
                <c:pt idx="101">
                  <c:v>36038</c:v>
                </c:pt>
                <c:pt idx="102">
                  <c:v>36068</c:v>
                </c:pt>
                <c:pt idx="103">
                  <c:v>36099</c:v>
                </c:pt>
                <c:pt idx="104">
                  <c:v>36129</c:v>
                </c:pt>
                <c:pt idx="105">
                  <c:v>36160</c:v>
                </c:pt>
                <c:pt idx="106">
                  <c:v>36191</c:v>
                </c:pt>
                <c:pt idx="107">
                  <c:v>36219</c:v>
                </c:pt>
                <c:pt idx="108">
                  <c:v>36250</c:v>
                </c:pt>
                <c:pt idx="109">
                  <c:v>36280</c:v>
                </c:pt>
                <c:pt idx="110">
                  <c:v>36311</c:v>
                </c:pt>
                <c:pt idx="111">
                  <c:v>36341</c:v>
                </c:pt>
                <c:pt idx="112">
                  <c:v>36372</c:v>
                </c:pt>
                <c:pt idx="113">
                  <c:v>36403</c:v>
                </c:pt>
                <c:pt idx="114">
                  <c:v>36433</c:v>
                </c:pt>
                <c:pt idx="115">
                  <c:v>36464</c:v>
                </c:pt>
                <c:pt idx="116">
                  <c:v>36494</c:v>
                </c:pt>
                <c:pt idx="117">
                  <c:v>36525</c:v>
                </c:pt>
                <c:pt idx="118">
                  <c:v>36556</c:v>
                </c:pt>
                <c:pt idx="119">
                  <c:v>36585</c:v>
                </c:pt>
                <c:pt idx="120">
                  <c:v>36616</c:v>
                </c:pt>
                <c:pt idx="121">
                  <c:v>36646</c:v>
                </c:pt>
                <c:pt idx="122">
                  <c:v>36677</c:v>
                </c:pt>
                <c:pt idx="123">
                  <c:v>36707</c:v>
                </c:pt>
                <c:pt idx="124">
                  <c:v>36738</c:v>
                </c:pt>
                <c:pt idx="125">
                  <c:v>36769</c:v>
                </c:pt>
                <c:pt idx="126">
                  <c:v>36799</c:v>
                </c:pt>
                <c:pt idx="127">
                  <c:v>36830</c:v>
                </c:pt>
                <c:pt idx="128">
                  <c:v>36860</c:v>
                </c:pt>
                <c:pt idx="129">
                  <c:v>36891</c:v>
                </c:pt>
                <c:pt idx="130">
                  <c:v>36922</c:v>
                </c:pt>
                <c:pt idx="131">
                  <c:v>36950</c:v>
                </c:pt>
                <c:pt idx="132">
                  <c:v>36981</c:v>
                </c:pt>
                <c:pt idx="133">
                  <c:v>37011</c:v>
                </c:pt>
                <c:pt idx="134">
                  <c:v>37042</c:v>
                </c:pt>
                <c:pt idx="135">
                  <c:v>37072</c:v>
                </c:pt>
                <c:pt idx="136">
                  <c:v>37103</c:v>
                </c:pt>
                <c:pt idx="137">
                  <c:v>37134</c:v>
                </c:pt>
                <c:pt idx="138">
                  <c:v>37164</c:v>
                </c:pt>
                <c:pt idx="139">
                  <c:v>37195</c:v>
                </c:pt>
                <c:pt idx="140">
                  <c:v>37225</c:v>
                </c:pt>
                <c:pt idx="141">
                  <c:v>37256</c:v>
                </c:pt>
                <c:pt idx="142">
                  <c:v>37287</c:v>
                </c:pt>
                <c:pt idx="143">
                  <c:v>37315</c:v>
                </c:pt>
                <c:pt idx="144">
                  <c:v>37346</c:v>
                </c:pt>
                <c:pt idx="145">
                  <c:v>37376</c:v>
                </c:pt>
                <c:pt idx="146">
                  <c:v>37407</c:v>
                </c:pt>
                <c:pt idx="147">
                  <c:v>37437</c:v>
                </c:pt>
                <c:pt idx="148">
                  <c:v>37468</c:v>
                </c:pt>
                <c:pt idx="149">
                  <c:v>37499</c:v>
                </c:pt>
                <c:pt idx="150">
                  <c:v>37529</c:v>
                </c:pt>
                <c:pt idx="151">
                  <c:v>37560</c:v>
                </c:pt>
                <c:pt idx="152">
                  <c:v>37590</c:v>
                </c:pt>
                <c:pt idx="153">
                  <c:v>37621</c:v>
                </c:pt>
                <c:pt idx="154">
                  <c:v>37652</c:v>
                </c:pt>
                <c:pt idx="155">
                  <c:v>37680</c:v>
                </c:pt>
                <c:pt idx="156">
                  <c:v>37711</c:v>
                </c:pt>
                <c:pt idx="157">
                  <c:v>37741</c:v>
                </c:pt>
                <c:pt idx="158">
                  <c:v>37772</c:v>
                </c:pt>
                <c:pt idx="159">
                  <c:v>37802</c:v>
                </c:pt>
                <c:pt idx="160">
                  <c:v>37833</c:v>
                </c:pt>
                <c:pt idx="161">
                  <c:v>37864</c:v>
                </c:pt>
                <c:pt idx="162">
                  <c:v>37894</c:v>
                </c:pt>
                <c:pt idx="163">
                  <c:v>37925</c:v>
                </c:pt>
                <c:pt idx="164">
                  <c:v>37955</c:v>
                </c:pt>
                <c:pt idx="165">
                  <c:v>37986</c:v>
                </c:pt>
                <c:pt idx="166">
                  <c:v>38017</c:v>
                </c:pt>
                <c:pt idx="167">
                  <c:v>38046</c:v>
                </c:pt>
                <c:pt idx="168">
                  <c:v>38077</c:v>
                </c:pt>
                <c:pt idx="169">
                  <c:v>38107</c:v>
                </c:pt>
                <c:pt idx="170">
                  <c:v>38138</c:v>
                </c:pt>
                <c:pt idx="171">
                  <c:v>38168</c:v>
                </c:pt>
                <c:pt idx="172">
                  <c:v>38199</c:v>
                </c:pt>
                <c:pt idx="173">
                  <c:v>38230</c:v>
                </c:pt>
                <c:pt idx="174">
                  <c:v>38260</c:v>
                </c:pt>
                <c:pt idx="175">
                  <c:v>38291</c:v>
                </c:pt>
                <c:pt idx="176">
                  <c:v>38321</c:v>
                </c:pt>
                <c:pt idx="177">
                  <c:v>38352</c:v>
                </c:pt>
                <c:pt idx="178">
                  <c:v>38383</c:v>
                </c:pt>
                <c:pt idx="179">
                  <c:v>38411</c:v>
                </c:pt>
                <c:pt idx="180">
                  <c:v>38442</c:v>
                </c:pt>
                <c:pt idx="181">
                  <c:v>38472</c:v>
                </c:pt>
                <c:pt idx="182">
                  <c:v>38503</c:v>
                </c:pt>
                <c:pt idx="183">
                  <c:v>38533</c:v>
                </c:pt>
                <c:pt idx="184">
                  <c:v>38564</c:v>
                </c:pt>
                <c:pt idx="185">
                  <c:v>38595</c:v>
                </c:pt>
                <c:pt idx="186">
                  <c:v>38625</c:v>
                </c:pt>
                <c:pt idx="187">
                  <c:v>38656</c:v>
                </c:pt>
                <c:pt idx="188">
                  <c:v>38686</c:v>
                </c:pt>
                <c:pt idx="189">
                  <c:v>38717</c:v>
                </c:pt>
                <c:pt idx="190">
                  <c:v>38748</c:v>
                </c:pt>
                <c:pt idx="191">
                  <c:v>38776</c:v>
                </c:pt>
                <c:pt idx="192">
                  <c:v>38807</c:v>
                </c:pt>
                <c:pt idx="193">
                  <c:v>38837</c:v>
                </c:pt>
                <c:pt idx="194">
                  <c:v>38868</c:v>
                </c:pt>
                <c:pt idx="195">
                  <c:v>38898</c:v>
                </c:pt>
                <c:pt idx="196">
                  <c:v>38929</c:v>
                </c:pt>
                <c:pt idx="197">
                  <c:v>38960</c:v>
                </c:pt>
                <c:pt idx="198">
                  <c:v>38990</c:v>
                </c:pt>
                <c:pt idx="199">
                  <c:v>39021</c:v>
                </c:pt>
                <c:pt idx="200">
                  <c:v>39051</c:v>
                </c:pt>
                <c:pt idx="201">
                  <c:v>39082</c:v>
                </c:pt>
                <c:pt idx="202">
                  <c:v>39113</c:v>
                </c:pt>
                <c:pt idx="203">
                  <c:v>39141</c:v>
                </c:pt>
                <c:pt idx="204">
                  <c:v>39172</c:v>
                </c:pt>
                <c:pt idx="205">
                  <c:v>39202</c:v>
                </c:pt>
                <c:pt idx="206">
                  <c:v>39233</c:v>
                </c:pt>
                <c:pt idx="207">
                  <c:v>39263</c:v>
                </c:pt>
                <c:pt idx="208">
                  <c:v>39294</c:v>
                </c:pt>
                <c:pt idx="209">
                  <c:v>39325</c:v>
                </c:pt>
                <c:pt idx="210">
                  <c:v>39354</c:v>
                </c:pt>
                <c:pt idx="211">
                  <c:v>39386</c:v>
                </c:pt>
                <c:pt idx="212">
                  <c:v>39416</c:v>
                </c:pt>
                <c:pt idx="213">
                  <c:v>39447</c:v>
                </c:pt>
                <c:pt idx="214">
                  <c:v>39478</c:v>
                </c:pt>
                <c:pt idx="215">
                  <c:v>39507</c:v>
                </c:pt>
                <c:pt idx="216">
                  <c:v>39538</c:v>
                </c:pt>
                <c:pt idx="217">
                  <c:v>39568</c:v>
                </c:pt>
                <c:pt idx="218">
                  <c:v>39599</c:v>
                </c:pt>
                <c:pt idx="219">
                  <c:v>39629</c:v>
                </c:pt>
                <c:pt idx="220">
                  <c:v>39660</c:v>
                </c:pt>
                <c:pt idx="221">
                  <c:v>39690</c:v>
                </c:pt>
                <c:pt idx="222">
                  <c:v>39721</c:v>
                </c:pt>
                <c:pt idx="223">
                  <c:v>39752</c:v>
                </c:pt>
                <c:pt idx="224">
                  <c:v>39782</c:v>
                </c:pt>
                <c:pt idx="225">
                  <c:v>39813</c:v>
                </c:pt>
                <c:pt idx="226">
                  <c:v>39844</c:v>
                </c:pt>
                <c:pt idx="227">
                  <c:v>39872</c:v>
                </c:pt>
                <c:pt idx="228">
                  <c:v>39903</c:v>
                </c:pt>
                <c:pt idx="229">
                  <c:v>39933</c:v>
                </c:pt>
                <c:pt idx="230">
                  <c:v>39964</c:v>
                </c:pt>
                <c:pt idx="231">
                  <c:v>39994</c:v>
                </c:pt>
                <c:pt idx="232">
                  <c:v>40025</c:v>
                </c:pt>
                <c:pt idx="233">
                  <c:v>40056</c:v>
                </c:pt>
                <c:pt idx="234">
                  <c:v>40086</c:v>
                </c:pt>
                <c:pt idx="235">
                  <c:v>40117</c:v>
                </c:pt>
                <c:pt idx="236">
                  <c:v>40147</c:v>
                </c:pt>
                <c:pt idx="237">
                  <c:v>40178</c:v>
                </c:pt>
                <c:pt idx="238">
                  <c:v>40209</c:v>
                </c:pt>
                <c:pt idx="239">
                  <c:v>40237</c:v>
                </c:pt>
                <c:pt idx="240">
                  <c:v>40268</c:v>
                </c:pt>
                <c:pt idx="241">
                  <c:v>40298</c:v>
                </c:pt>
                <c:pt idx="242">
                  <c:v>40329</c:v>
                </c:pt>
                <c:pt idx="243">
                  <c:v>40359</c:v>
                </c:pt>
                <c:pt idx="244">
                  <c:v>40390</c:v>
                </c:pt>
                <c:pt idx="245">
                  <c:v>40421</c:v>
                </c:pt>
                <c:pt idx="246">
                  <c:v>40451</c:v>
                </c:pt>
                <c:pt idx="247">
                  <c:v>40482</c:v>
                </c:pt>
                <c:pt idx="248">
                  <c:v>40512</c:v>
                </c:pt>
                <c:pt idx="249">
                  <c:v>40543</c:v>
                </c:pt>
                <c:pt idx="250">
                  <c:v>40574</c:v>
                </c:pt>
                <c:pt idx="251">
                  <c:v>40602</c:v>
                </c:pt>
                <c:pt idx="252">
                  <c:v>40633</c:v>
                </c:pt>
                <c:pt idx="253">
                  <c:v>40663</c:v>
                </c:pt>
                <c:pt idx="254">
                  <c:v>40694</c:v>
                </c:pt>
                <c:pt idx="255">
                  <c:v>40724</c:v>
                </c:pt>
                <c:pt idx="256">
                  <c:v>40755</c:v>
                </c:pt>
                <c:pt idx="257">
                  <c:v>40786</c:v>
                </c:pt>
                <c:pt idx="258">
                  <c:v>40816</c:v>
                </c:pt>
                <c:pt idx="259">
                  <c:v>40847</c:v>
                </c:pt>
                <c:pt idx="260">
                  <c:v>40877</c:v>
                </c:pt>
                <c:pt idx="261">
                  <c:v>40908</c:v>
                </c:pt>
                <c:pt idx="262">
                  <c:v>40939</c:v>
                </c:pt>
                <c:pt idx="263">
                  <c:v>40968</c:v>
                </c:pt>
                <c:pt idx="264">
                  <c:v>40999</c:v>
                </c:pt>
                <c:pt idx="265">
                  <c:v>41029</c:v>
                </c:pt>
                <c:pt idx="266">
                  <c:v>41060</c:v>
                </c:pt>
                <c:pt idx="267">
                  <c:v>41090</c:v>
                </c:pt>
                <c:pt idx="268">
                  <c:v>41121</c:v>
                </c:pt>
                <c:pt idx="269">
                  <c:v>41152</c:v>
                </c:pt>
                <c:pt idx="270">
                  <c:v>41182</c:v>
                </c:pt>
                <c:pt idx="271">
                  <c:v>41213</c:v>
                </c:pt>
                <c:pt idx="272">
                  <c:v>41243</c:v>
                </c:pt>
                <c:pt idx="273">
                  <c:v>41274</c:v>
                </c:pt>
                <c:pt idx="274">
                  <c:v>41305</c:v>
                </c:pt>
                <c:pt idx="275">
                  <c:v>41333</c:v>
                </c:pt>
                <c:pt idx="276">
                  <c:v>41364</c:v>
                </c:pt>
                <c:pt idx="277">
                  <c:v>41394</c:v>
                </c:pt>
                <c:pt idx="278">
                  <c:v>41425</c:v>
                </c:pt>
                <c:pt idx="279">
                  <c:v>41455</c:v>
                </c:pt>
                <c:pt idx="280">
                  <c:v>41486</c:v>
                </c:pt>
                <c:pt idx="281">
                  <c:v>41517</c:v>
                </c:pt>
                <c:pt idx="282">
                  <c:v>41547</c:v>
                </c:pt>
                <c:pt idx="283">
                  <c:v>41578</c:v>
                </c:pt>
                <c:pt idx="284">
                  <c:v>41608</c:v>
                </c:pt>
                <c:pt idx="285">
                  <c:v>41639</c:v>
                </c:pt>
                <c:pt idx="286">
                  <c:v>41670</c:v>
                </c:pt>
                <c:pt idx="287">
                  <c:v>41698</c:v>
                </c:pt>
                <c:pt idx="288">
                  <c:v>41729</c:v>
                </c:pt>
                <c:pt idx="289">
                  <c:v>41759</c:v>
                </c:pt>
                <c:pt idx="290">
                  <c:v>41790</c:v>
                </c:pt>
                <c:pt idx="291">
                  <c:v>41820</c:v>
                </c:pt>
                <c:pt idx="292">
                  <c:v>41851</c:v>
                </c:pt>
                <c:pt idx="293">
                  <c:v>41882</c:v>
                </c:pt>
                <c:pt idx="294">
                  <c:v>41912</c:v>
                </c:pt>
                <c:pt idx="295">
                  <c:v>41943</c:v>
                </c:pt>
                <c:pt idx="296">
                  <c:v>41973</c:v>
                </c:pt>
                <c:pt idx="297">
                  <c:v>42004</c:v>
                </c:pt>
                <c:pt idx="298">
                  <c:v>42035</c:v>
                </c:pt>
                <c:pt idx="299">
                  <c:v>42063</c:v>
                </c:pt>
                <c:pt idx="300">
                  <c:v>42094</c:v>
                </c:pt>
                <c:pt idx="301">
                  <c:v>42124</c:v>
                </c:pt>
                <c:pt idx="302">
                  <c:v>42155</c:v>
                </c:pt>
                <c:pt idx="303">
                  <c:v>42185</c:v>
                </c:pt>
                <c:pt idx="304">
                  <c:v>42216</c:v>
                </c:pt>
                <c:pt idx="305">
                  <c:v>42247</c:v>
                </c:pt>
                <c:pt idx="306">
                  <c:v>42277</c:v>
                </c:pt>
                <c:pt idx="307">
                  <c:v>42308</c:v>
                </c:pt>
                <c:pt idx="308">
                  <c:v>42338</c:v>
                </c:pt>
                <c:pt idx="309">
                  <c:v>42369</c:v>
                </c:pt>
                <c:pt idx="310">
                  <c:v>42400</c:v>
                </c:pt>
                <c:pt idx="311">
                  <c:v>42429</c:v>
                </c:pt>
                <c:pt idx="312">
                  <c:v>42460</c:v>
                </c:pt>
                <c:pt idx="313">
                  <c:v>42490</c:v>
                </c:pt>
                <c:pt idx="314">
                  <c:v>42521</c:v>
                </c:pt>
                <c:pt idx="315">
                  <c:v>42551</c:v>
                </c:pt>
                <c:pt idx="316">
                  <c:v>42582</c:v>
                </c:pt>
                <c:pt idx="317">
                  <c:v>42613</c:v>
                </c:pt>
                <c:pt idx="318">
                  <c:v>42643</c:v>
                </c:pt>
                <c:pt idx="319">
                  <c:v>42674</c:v>
                </c:pt>
                <c:pt idx="320">
                  <c:v>42704</c:v>
                </c:pt>
                <c:pt idx="321">
                  <c:v>42735</c:v>
                </c:pt>
                <c:pt idx="322">
                  <c:v>42766</c:v>
                </c:pt>
                <c:pt idx="323">
                  <c:v>42794</c:v>
                </c:pt>
                <c:pt idx="324">
                  <c:v>42825</c:v>
                </c:pt>
                <c:pt idx="325">
                  <c:v>42855</c:v>
                </c:pt>
                <c:pt idx="326">
                  <c:v>42886</c:v>
                </c:pt>
                <c:pt idx="327">
                  <c:v>42916</c:v>
                </c:pt>
                <c:pt idx="328">
                  <c:v>42947</c:v>
                </c:pt>
                <c:pt idx="329">
                  <c:v>42978</c:v>
                </c:pt>
                <c:pt idx="330">
                  <c:v>43008</c:v>
                </c:pt>
                <c:pt idx="331">
                  <c:v>43039</c:v>
                </c:pt>
                <c:pt idx="332">
                  <c:v>43069</c:v>
                </c:pt>
                <c:pt idx="333">
                  <c:v>43100</c:v>
                </c:pt>
                <c:pt idx="334">
                  <c:v>43131</c:v>
                </c:pt>
                <c:pt idx="335">
                  <c:v>43159</c:v>
                </c:pt>
                <c:pt idx="336">
                  <c:v>43190</c:v>
                </c:pt>
                <c:pt idx="337">
                  <c:v>43220</c:v>
                </c:pt>
                <c:pt idx="338">
                  <c:v>43251</c:v>
                </c:pt>
                <c:pt idx="339">
                  <c:v>43281</c:v>
                </c:pt>
                <c:pt idx="340">
                  <c:v>43312</c:v>
                </c:pt>
                <c:pt idx="341">
                  <c:v>43343</c:v>
                </c:pt>
                <c:pt idx="342">
                  <c:v>43373</c:v>
                </c:pt>
                <c:pt idx="343">
                  <c:v>43404</c:v>
                </c:pt>
                <c:pt idx="344">
                  <c:v>43434</c:v>
                </c:pt>
                <c:pt idx="345">
                  <c:v>43465</c:v>
                </c:pt>
                <c:pt idx="346">
                  <c:v>43496</c:v>
                </c:pt>
                <c:pt idx="347">
                  <c:v>43524</c:v>
                </c:pt>
                <c:pt idx="348">
                  <c:v>43555</c:v>
                </c:pt>
                <c:pt idx="349">
                  <c:v>43585</c:v>
                </c:pt>
                <c:pt idx="350">
                  <c:v>43616</c:v>
                </c:pt>
                <c:pt idx="351">
                  <c:v>43646</c:v>
                </c:pt>
                <c:pt idx="352">
                  <c:v>43677</c:v>
                </c:pt>
                <c:pt idx="353">
                  <c:v>43708</c:v>
                </c:pt>
                <c:pt idx="354">
                  <c:v>43738</c:v>
                </c:pt>
                <c:pt idx="355">
                  <c:v>43769</c:v>
                </c:pt>
                <c:pt idx="356">
                  <c:v>43799</c:v>
                </c:pt>
                <c:pt idx="357">
                  <c:v>43830</c:v>
                </c:pt>
                <c:pt idx="358">
                  <c:v>43861</c:v>
                </c:pt>
                <c:pt idx="359">
                  <c:v>43890</c:v>
                </c:pt>
                <c:pt idx="360">
                  <c:v>43921</c:v>
                </c:pt>
                <c:pt idx="361">
                  <c:v>43951</c:v>
                </c:pt>
                <c:pt idx="362">
                  <c:v>43982</c:v>
                </c:pt>
                <c:pt idx="363">
                  <c:v>44012</c:v>
                </c:pt>
                <c:pt idx="364">
                  <c:v>44043</c:v>
                </c:pt>
                <c:pt idx="365">
                  <c:v>44074</c:v>
                </c:pt>
                <c:pt idx="366">
                  <c:v>44104</c:v>
                </c:pt>
                <c:pt idx="367">
                  <c:v>44135</c:v>
                </c:pt>
                <c:pt idx="368">
                  <c:v>44165</c:v>
                </c:pt>
                <c:pt idx="369">
                  <c:v>44196</c:v>
                </c:pt>
                <c:pt idx="370">
                  <c:v>44227</c:v>
                </c:pt>
                <c:pt idx="371">
                  <c:v>44255</c:v>
                </c:pt>
                <c:pt idx="372">
                  <c:v>44286</c:v>
                </c:pt>
                <c:pt idx="373">
                  <c:v>44316</c:v>
                </c:pt>
                <c:pt idx="374">
                  <c:v>44347</c:v>
                </c:pt>
                <c:pt idx="375">
                  <c:v>44377</c:v>
                </c:pt>
                <c:pt idx="376">
                  <c:v>44408</c:v>
                </c:pt>
                <c:pt idx="377">
                  <c:v>44439</c:v>
                </c:pt>
                <c:pt idx="378">
                  <c:v>44469</c:v>
                </c:pt>
                <c:pt idx="379">
                  <c:v>44500</c:v>
                </c:pt>
                <c:pt idx="380">
                  <c:v>44530</c:v>
                </c:pt>
                <c:pt idx="381">
                  <c:v>44561</c:v>
                </c:pt>
                <c:pt idx="382">
                  <c:v>44592</c:v>
                </c:pt>
                <c:pt idx="383">
                  <c:v>44620</c:v>
                </c:pt>
                <c:pt idx="384">
                  <c:v>44651</c:v>
                </c:pt>
                <c:pt idx="385">
                  <c:v>44681</c:v>
                </c:pt>
                <c:pt idx="386">
                  <c:v>44712</c:v>
                </c:pt>
                <c:pt idx="387">
                  <c:v>44742</c:v>
                </c:pt>
                <c:pt idx="388">
                  <c:v>44773</c:v>
                </c:pt>
                <c:pt idx="389">
                  <c:v>44804</c:v>
                </c:pt>
                <c:pt idx="390">
                  <c:v>44834</c:v>
                </c:pt>
                <c:pt idx="391">
                  <c:v>44865</c:v>
                </c:pt>
                <c:pt idx="392">
                  <c:v>44895</c:v>
                </c:pt>
                <c:pt idx="393">
                  <c:v>44926</c:v>
                </c:pt>
                <c:pt idx="394">
                  <c:v>44957</c:v>
                </c:pt>
                <c:pt idx="395">
                  <c:v>44985</c:v>
                </c:pt>
                <c:pt idx="396">
                  <c:v>45016</c:v>
                </c:pt>
                <c:pt idx="397">
                  <c:v>45046</c:v>
                </c:pt>
                <c:pt idx="398">
                  <c:v>45077</c:v>
                </c:pt>
                <c:pt idx="399">
                  <c:v>45107</c:v>
                </c:pt>
                <c:pt idx="400">
                  <c:v>45138</c:v>
                </c:pt>
                <c:pt idx="401">
                  <c:v>45169</c:v>
                </c:pt>
                <c:pt idx="402">
                  <c:v>45199</c:v>
                </c:pt>
                <c:pt idx="403">
                  <c:v>45230</c:v>
                </c:pt>
                <c:pt idx="404">
                  <c:v>45260</c:v>
                </c:pt>
                <c:pt idx="405">
                  <c:v>45291</c:v>
                </c:pt>
                <c:pt idx="406">
                  <c:v>45322</c:v>
                </c:pt>
                <c:pt idx="407">
                  <c:v>45351</c:v>
                </c:pt>
                <c:pt idx="408">
                  <c:v>45382</c:v>
                </c:pt>
                <c:pt idx="409">
                  <c:v>45412</c:v>
                </c:pt>
                <c:pt idx="410">
                  <c:v>45443</c:v>
                </c:pt>
                <c:pt idx="411">
                  <c:v>45473</c:v>
                </c:pt>
                <c:pt idx="412">
                  <c:v>45504</c:v>
                </c:pt>
                <c:pt idx="413">
                  <c:v>45534</c:v>
                </c:pt>
                <c:pt idx="414">
                  <c:v>45565</c:v>
                </c:pt>
                <c:pt idx="415">
                  <c:v>45596</c:v>
                </c:pt>
                <c:pt idx="416">
                  <c:v>45626</c:v>
                </c:pt>
                <c:pt idx="417">
                  <c:v>45657</c:v>
                </c:pt>
                <c:pt idx="418">
                  <c:v>45688</c:v>
                </c:pt>
                <c:pt idx="419">
                  <c:v>45716</c:v>
                </c:pt>
              </c:numCache>
            </c:numRef>
          </c:cat>
          <c:val>
            <c:numRef>
              <c:f>US!$W$5:$W$532</c:f>
              <c:numCache>
                <c:formatCode>General</c:formatCode>
                <c:ptCount val="528"/>
                <c:pt idx="0">
                  <c:v>#N/A</c:v>
                </c:pt>
                <c:pt idx="1">
                  <c:v>#N/A</c:v>
                </c:pt>
                <c:pt idx="2">
                  <c:v>0.27813788005959661</c:v>
                </c:pt>
                <c:pt idx="3">
                  <c:v>0.28111081401533883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-4.5399164703885331E-2</c:v>
                </c:pt>
                <c:pt idx="17">
                  <c:v>3.3779789509449244E-2</c:v>
                </c:pt>
                <c:pt idx="18">
                  <c:v>7.2882160408347121E-2</c:v>
                </c:pt>
                <c:pt idx="19">
                  <c:v>8.4287192873786318E-2</c:v>
                </c:pt>
                <c:pt idx="20">
                  <c:v>#N/A</c:v>
                </c:pt>
                <c:pt idx="21">
                  <c:v>-3.7633681118553086E-2</c:v>
                </c:pt>
                <c:pt idx="22">
                  <c:v>6.6371563000234529E-2</c:v>
                </c:pt>
                <c:pt idx="23">
                  <c:v>0.219147854817895</c:v>
                </c:pt>
                <c:pt idx="24">
                  <c:v>0.36657408233115857</c:v>
                </c:pt>
                <c:pt idx="25">
                  <c:v>0.46094687318496019</c:v>
                </c:pt>
                <c:pt idx="26">
                  <c:v>0.47882571069088298</c:v>
                </c:pt>
                <c:pt idx="27">
                  <c:v>0.51930988768943576</c:v>
                </c:pt>
                <c:pt idx="28">
                  <c:v>0.56967786606158299</c:v>
                </c:pt>
                <c:pt idx="29">
                  <c:v>#N/A</c:v>
                </c:pt>
                <c:pt idx="30">
                  <c:v>#N/A</c:v>
                </c:pt>
                <c:pt idx="31">
                  <c:v>0.42670223463678725</c:v>
                </c:pt>
                <c:pt idx="32">
                  <c:v>0.46189452481075743</c:v>
                </c:pt>
                <c:pt idx="33">
                  <c:v>0.5872433991033279</c:v>
                </c:pt>
                <c:pt idx="34">
                  <c:v>0.5897801480861522</c:v>
                </c:pt>
                <c:pt idx="35">
                  <c:v>0.60407556338159885</c:v>
                </c:pt>
                <c:pt idx="36">
                  <c:v>0.57631394145420678</c:v>
                </c:pt>
                <c:pt idx="37">
                  <c:v>0.61931742677612145</c:v>
                </c:pt>
                <c:pt idx="38">
                  <c:v>0.57732365628129045</c:v>
                </c:pt>
                <c:pt idx="39">
                  <c:v>0.58016320924112275</c:v>
                </c:pt>
                <c:pt idx="40">
                  <c:v>#N/A</c:v>
                </c:pt>
                <c:pt idx="41">
                  <c:v>0.57647731266588376</c:v>
                </c:pt>
                <c:pt idx="42">
                  <c:v>0.58856398287428868</c:v>
                </c:pt>
                <c:pt idx="43">
                  <c:v>0.64443166980057098</c:v>
                </c:pt>
                <c:pt idx="44">
                  <c:v>0.72240245254377189</c:v>
                </c:pt>
                <c:pt idx="45">
                  <c:v>0.76253347152334228</c:v>
                </c:pt>
                <c:pt idx="46">
                  <c:v>#N/A</c:v>
                </c:pt>
                <c:pt idx="47">
                  <c:v>0.72098052871020235</c:v>
                </c:pt>
                <c:pt idx="48">
                  <c:v>0.75605392893688572</c:v>
                </c:pt>
                <c:pt idx="49">
                  <c:v>0.79250193850805506</c:v>
                </c:pt>
                <c:pt idx="50">
                  <c:v>#N/A</c:v>
                </c:pt>
                <c:pt idx="51">
                  <c:v>#N/A</c:v>
                </c:pt>
                <c:pt idx="52">
                  <c:v>0.72625635385542686</c:v>
                </c:pt>
                <c:pt idx="53">
                  <c:v>0.79716694755208461</c:v>
                </c:pt>
                <c:pt idx="54">
                  <c:v>0.76439837499974062</c:v>
                </c:pt>
                <c:pt idx="55">
                  <c:v>0.79652774312481434</c:v>
                </c:pt>
                <c:pt idx="56">
                  <c:v>0.82506160178878785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0.4732851192241419</c:v>
                </c:pt>
                <c:pt idx="65">
                  <c:v>0.53275955888162507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0.33985461563375369</c:v>
                </c:pt>
                <c:pt idx="71">
                  <c:v>0.40834802381449753</c:v>
                </c:pt>
                <c:pt idx="72">
                  <c:v>0.4076485881637294</c:v>
                </c:pt>
                <c:pt idx="73">
                  <c:v>0.4833952023552483</c:v>
                </c:pt>
                <c:pt idx="74">
                  <c:v>0.55185876445672977</c:v>
                </c:pt>
                <c:pt idx="75">
                  <c:v>#N/A</c:v>
                </c:pt>
                <c:pt idx="76">
                  <c:v>0.51210922867870989</c:v>
                </c:pt>
                <c:pt idx="77">
                  <c:v>0.54610233123255025</c:v>
                </c:pt>
                <c:pt idx="78">
                  <c:v>0.53057136910400071</c:v>
                </c:pt>
                <c:pt idx="79">
                  <c:v>0.53650901868208778</c:v>
                </c:pt>
                <c:pt idx="80">
                  <c:v>0.55405492176678361</c:v>
                </c:pt>
                <c:pt idx="81">
                  <c:v>0.55875901156325025</c:v>
                </c:pt>
                <c:pt idx="82">
                  <c:v>0.61450130326772401</c:v>
                </c:pt>
                <c:pt idx="83">
                  <c:v>0.72754635024551351</c:v>
                </c:pt>
                <c:pt idx="84">
                  <c:v>#N/A</c:v>
                </c:pt>
                <c:pt idx="85">
                  <c:v>#N/A</c:v>
                </c:pt>
                <c:pt idx="86">
                  <c:v>0.64377401309872395</c:v>
                </c:pt>
                <c:pt idx="87">
                  <c:v>0.69255677277467864</c:v>
                </c:pt>
                <c:pt idx="88">
                  <c:v>0.7478331834429861</c:v>
                </c:pt>
                <c:pt idx="89">
                  <c:v>0.76633993002537149</c:v>
                </c:pt>
                <c:pt idx="90">
                  <c:v>0.77804366928632229</c:v>
                </c:pt>
                <c:pt idx="91">
                  <c:v>#N/A</c:v>
                </c:pt>
                <c:pt idx="92">
                  <c:v>0.66232704430362732</c:v>
                </c:pt>
                <c:pt idx="93">
                  <c:v>0.66546413031345719</c:v>
                </c:pt>
                <c:pt idx="94">
                  <c:v>0.65194908226503101</c:v>
                </c:pt>
                <c:pt idx="95">
                  <c:v>0.69155979677404256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0.11778331267874183</c:v>
                </c:pt>
                <c:pt idx="105">
                  <c:v>0.11932035811075496</c:v>
                </c:pt>
                <c:pt idx="106">
                  <c:v>0.15932369809464431</c:v>
                </c:pt>
                <c:pt idx="107">
                  <c:v>0.23503201322857981</c:v>
                </c:pt>
                <c:pt idx="108">
                  <c:v>#N/A</c:v>
                </c:pt>
                <c:pt idx="109">
                  <c:v>0.20633457294800794</c:v>
                </c:pt>
                <c:pt idx="110">
                  <c:v>0.23252410979533139</c:v>
                </c:pt>
                <c:pt idx="111">
                  <c:v>0.2375646014582074</c:v>
                </c:pt>
                <c:pt idx="112">
                  <c:v>0.24683354981534555</c:v>
                </c:pt>
                <c:pt idx="113">
                  <c:v>#N/A</c:v>
                </c:pt>
                <c:pt idx="114">
                  <c:v>0.17536793433511982</c:v>
                </c:pt>
                <c:pt idx="115">
                  <c:v>0.21174699827688342</c:v>
                </c:pt>
                <c:pt idx="116">
                  <c:v>0.2723794662679716</c:v>
                </c:pt>
                <c:pt idx="117">
                  <c:v>0.33501281179069065</c:v>
                </c:pt>
                <c:pt idx="118">
                  <c:v>0.35211286543034376</c:v>
                </c:pt>
                <c:pt idx="119">
                  <c:v>0.34958144552268444</c:v>
                </c:pt>
                <c:pt idx="120">
                  <c:v>0.37839509059417398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0.20518882544121228</c:v>
                </c:pt>
                <c:pt idx="125">
                  <c:v>0.20552150905410316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-4.8162738348636588E-2</c:v>
                </c:pt>
                <c:pt idx="162">
                  <c:v>1.1012747535270311E-2</c:v>
                </c:pt>
                <c:pt idx="163">
                  <c:v>9.5554701305900089E-2</c:v>
                </c:pt>
                <c:pt idx="164">
                  <c:v>0.17747403347917312</c:v>
                </c:pt>
                <c:pt idx="165">
                  <c:v>0.20309355484669969</c:v>
                </c:pt>
                <c:pt idx="166">
                  <c:v>0.23072879739720847</c:v>
                </c:pt>
                <c:pt idx="167">
                  <c:v>0.30052415036627678</c:v>
                </c:pt>
                <c:pt idx="168">
                  <c:v>0.3457890381937061</c:v>
                </c:pt>
                <c:pt idx="169">
                  <c:v>0.39499155685395437</c:v>
                </c:pt>
                <c:pt idx="170">
                  <c:v>0.43571399883239559</c:v>
                </c:pt>
                <c:pt idx="171">
                  <c:v>0.42408410223452603</c:v>
                </c:pt>
                <c:pt idx="172">
                  <c:v>0.46681676582495885</c:v>
                </c:pt>
                <c:pt idx="173">
                  <c:v>0.47717732097393645</c:v>
                </c:pt>
                <c:pt idx="174">
                  <c:v>0.5049621774509101</c:v>
                </c:pt>
                <c:pt idx="175">
                  <c:v>0.52102065915012796</c:v>
                </c:pt>
                <c:pt idx="176">
                  <c:v>0.55965864674688692</c:v>
                </c:pt>
                <c:pt idx="177">
                  <c:v>0.63999176219675147</c:v>
                </c:pt>
                <c:pt idx="178">
                  <c:v>0.64042787997067729</c:v>
                </c:pt>
                <c:pt idx="179">
                  <c:v>0.66935310826994343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0.54461868548116321</c:v>
                </c:pt>
                <c:pt idx="184">
                  <c:v>0.5596574348917589</c:v>
                </c:pt>
                <c:pt idx="185">
                  <c:v>#N/A</c:v>
                </c:pt>
                <c:pt idx="186">
                  <c:v>0.37618611362867582</c:v>
                </c:pt>
                <c:pt idx="187">
                  <c:v>0.40952698760813955</c:v>
                </c:pt>
                <c:pt idx="188">
                  <c:v>0.49617214704891072</c:v>
                </c:pt>
                <c:pt idx="189">
                  <c:v>0.52928747286724387</c:v>
                </c:pt>
                <c:pt idx="190">
                  <c:v>0.58798487582735204</c:v>
                </c:pt>
                <c:pt idx="191">
                  <c:v>0.61759984417110225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0.41474220915412041</c:v>
                </c:pt>
                <c:pt idx="197">
                  <c:v>0.41941719886337786</c:v>
                </c:pt>
                <c:pt idx="198">
                  <c:v>0.37295300923276969</c:v>
                </c:pt>
                <c:pt idx="199">
                  <c:v>0.38425240160143032</c:v>
                </c:pt>
                <c:pt idx="200">
                  <c:v>0.42476352146320451</c:v>
                </c:pt>
                <c:pt idx="201">
                  <c:v>0.47703259307346391</c:v>
                </c:pt>
                <c:pt idx="202">
                  <c:v>0.48345641472934492</c:v>
                </c:pt>
                <c:pt idx="203">
                  <c:v>0.48742431266784525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-6.7459360505740862E-2</c:v>
                </c:pt>
                <c:pt idx="241">
                  <c:v>7.6703859738395302E-2</c:v>
                </c:pt>
                <c:pt idx="242">
                  <c:v>0.10208914766749812</c:v>
                </c:pt>
                <c:pt idx="243">
                  <c:v>#N/A</c:v>
                </c:pt>
                <c:pt idx="244">
                  <c:v>-9.6925118392241189E-2</c:v>
                </c:pt>
                <c:pt idx="245">
                  <c:v>4.5254569781853923E-2</c:v>
                </c:pt>
                <c:pt idx="246">
                  <c:v>#N/A</c:v>
                </c:pt>
                <c:pt idx="247">
                  <c:v>2.5620890661728277E-2</c:v>
                </c:pt>
                <c:pt idx="248">
                  <c:v>2.9906790686772086E-2</c:v>
                </c:pt>
                <c:pt idx="249">
                  <c:v>7.9147336704678412E-2</c:v>
                </c:pt>
                <c:pt idx="250">
                  <c:v>8.4176959607481422E-2</c:v>
                </c:pt>
                <c:pt idx="251">
                  <c:v>6.7831094073894663E-2</c:v>
                </c:pt>
                <c:pt idx="252">
                  <c:v>9.879623953556195E-2</c:v>
                </c:pt>
                <c:pt idx="253">
                  <c:v>#N/A</c:v>
                </c:pt>
                <c:pt idx="254">
                  <c:v>5.0448459414522209E-2</c:v>
                </c:pt>
                <c:pt idx="255">
                  <c:v>6.9613956663201582E-2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-6.0603670334849438E-2</c:v>
                </c:pt>
                <c:pt idx="272">
                  <c:v>4.9685742983309952E-2</c:v>
                </c:pt>
                <c:pt idx="273">
                  <c:v>7.5341723505793878E-2</c:v>
                </c:pt>
                <c:pt idx="274">
                  <c:v>9.5882734430062511E-3</c:v>
                </c:pt>
                <c:pt idx="275">
                  <c:v>4.9513812165976501E-2</c:v>
                </c:pt>
                <c:pt idx="276">
                  <c:v>7.7921629335036824E-2</c:v>
                </c:pt>
                <c:pt idx="277">
                  <c:v>0.10336259679273314</c:v>
                </c:pt>
                <c:pt idx="278">
                  <c:v>0.11159276034316784</c:v>
                </c:pt>
                <c:pt idx="279">
                  <c:v>8.1540757509001374E-2</c:v>
                </c:pt>
                <c:pt idx="280">
                  <c:v>0.10589114889166326</c:v>
                </c:pt>
                <c:pt idx="281">
                  <c:v>0.1470719094120847</c:v>
                </c:pt>
                <c:pt idx="282">
                  <c:v>0.16984699772964054</c:v>
                </c:pt>
                <c:pt idx="283">
                  <c:v>0.18032397405851119</c:v>
                </c:pt>
                <c:pt idx="284">
                  <c:v>0.24662426986092642</c:v>
                </c:pt>
                <c:pt idx="285">
                  <c:v>0.27786041317783511</c:v>
                </c:pt>
                <c:pt idx="286">
                  <c:v>0.24656331837669754</c:v>
                </c:pt>
                <c:pt idx="287">
                  <c:v>0.31285063923024786</c:v>
                </c:pt>
                <c:pt idx="288">
                  <c:v>0.39305202204962719</c:v>
                </c:pt>
                <c:pt idx="289">
                  <c:v>0.44049597872002894</c:v>
                </c:pt>
                <c:pt idx="290">
                  <c:v>0.46525754910300249</c:v>
                </c:pt>
                <c:pt idx="291">
                  <c:v>0.50195896715410138</c:v>
                </c:pt>
                <c:pt idx="292">
                  <c:v>0.48995289810609149</c:v>
                </c:pt>
                <c:pt idx="293">
                  <c:v>0.49440475669130995</c:v>
                </c:pt>
                <c:pt idx="294">
                  <c:v>#N/A</c:v>
                </c:pt>
                <c:pt idx="295">
                  <c:v>0.46443724557360588</c:v>
                </c:pt>
                <c:pt idx="296">
                  <c:v>0.48522879353967363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0.18806263173689475</c:v>
                </c:pt>
                <c:pt idx="304">
                  <c:v>0.21807771896460704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-2.3125949743496032E-2</c:v>
                </c:pt>
                <c:pt idx="317">
                  <c:v>9.7944766152185184E-3</c:v>
                </c:pt>
                <c:pt idx="318">
                  <c:v>1.4452549188972161E-2</c:v>
                </c:pt>
                <c:pt idx="319">
                  <c:v>-5.2543209662485463E-3</c:v>
                </c:pt>
                <c:pt idx="320">
                  <c:v>3.2061908690950477E-2</c:v>
                </c:pt>
                <c:pt idx="321">
                  <c:v>9.9882244714029622E-2</c:v>
                </c:pt>
                <c:pt idx="322">
                  <c:v>0.12162058883416753</c:v>
                </c:pt>
                <c:pt idx="323">
                  <c:v>0.14232102033461161</c:v>
                </c:pt>
                <c:pt idx="324">
                  <c:v>0.19495979538086505</c:v>
                </c:pt>
                <c:pt idx="325">
                  <c:v>0.2600562502882276</c:v>
                </c:pt>
                <c:pt idx="326">
                  <c:v>0.31705558304699183</c:v>
                </c:pt>
                <c:pt idx="327">
                  <c:v>0.34074683210587187</c:v>
                </c:pt>
                <c:pt idx="328">
                  <c:v>0.35912250109206201</c:v>
                </c:pt>
                <c:pt idx="329">
                  <c:v>0.34321041964446064</c:v>
                </c:pt>
                <c:pt idx="330">
                  <c:v>0.38970860709124394</c:v>
                </c:pt>
                <c:pt idx="331">
                  <c:v>0.49131799429751211</c:v>
                </c:pt>
                <c:pt idx="332">
                  <c:v>0.56181952114999389</c:v>
                </c:pt>
                <c:pt idx="333">
                  <c:v>0.56886845898588201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0.34790661044869203</c:v>
                </c:pt>
                <c:pt idx="340">
                  <c:v>0.37068451737990565</c:v>
                </c:pt>
                <c:pt idx="341">
                  <c:v>0.42499115879026894</c:v>
                </c:pt>
                <c:pt idx="342">
                  <c:v>0.42606010967140595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0.15343122338752863</c:v>
                </c:pt>
                <c:pt idx="347">
                  <c:v>0.17522956608571935</c:v>
                </c:pt>
                <c:pt idx="348">
                  <c:v>0.20947721997856208</c:v>
                </c:pt>
                <c:pt idx="349">
                  <c:v>0.23577722933012649</c:v>
                </c:pt>
                <c:pt idx="350">
                  <c:v>#N/A</c:v>
                </c:pt>
                <c:pt idx="351">
                  <c:v>0.19427744877111208</c:v>
                </c:pt>
                <c:pt idx="352">
                  <c:v>0.19954615473498152</c:v>
                </c:pt>
                <c:pt idx="353">
                  <c:v>#N/A</c:v>
                </c:pt>
                <c:pt idx="354">
                  <c:v>#N/A</c:v>
                </c:pt>
                <c:pt idx="355">
                  <c:v>1.0162933347224706E-2</c:v>
                </c:pt>
                <c:pt idx="356">
                  <c:v>4.5204673934174787E-2</c:v>
                </c:pt>
                <c:pt idx="357">
                  <c:v>7.5728176181116796E-2</c:v>
                </c:pt>
                <c:pt idx="358">
                  <c:v>0.1178633550604076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-6.9867527664886853E-2</c:v>
                </c:pt>
                <c:pt idx="366">
                  <c:v>9.5727733321004926E-5</c:v>
                </c:pt>
                <c:pt idx="367">
                  <c:v>1.6794810706873275E-2</c:v>
                </c:pt>
                <c:pt idx="368">
                  <c:v>1.8718338287147418E-2</c:v>
                </c:pt>
                <c:pt idx="369">
                  <c:v>7.4259027484891049E-2</c:v>
                </c:pt>
                <c:pt idx="370">
                  <c:v>#N/A</c:v>
                </c:pt>
                <c:pt idx="371">
                  <c:v>1.0491456193008869E-2</c:v>
                </c:pt>
                <c:pt idx="372">
                  <c:v>0.2683040491325468</c:v>
                </c:pt>
                <c:pt idx="373">
                  <c:v>0.41505072944795279</c:v>
                </c:pt>
                <c:pt idx="374">
                  <c:v>0.56047691450983173</c:v>
                </c:pt>
                <c:pt idx="375">
                  <c:v>0.6921319375108933</c:v>
                </c:pt>
                <c:pt idx="376">
                  <c:v>0.74596202986574323</c:v>
                </c:pt>
                <c:pt idx="377">
                  <c:v>#N/A</c:v>
                </c:pt>
                <c:pt idx="378">
                  <c:v>0.65402205830334181</c:v>
                </c:pt>
                <c:pt idx="379">
                  <c:v>0.73653314305052564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2.0521078776587792E-2</c:v>
                </c:pt>
                <c:pt idx="388">
                  <c:v>2.4359527007078469E-2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-8.7860304084873581E-2</c:v>
                </c:pt>
                <c:pt idx="407">
                  <c:v>1.0704869170224496E-2</c:v>
                </c:pt>
                <c:pt idx="408">
                  <c:v>8.0281049638528765E-2</c:v>
                </c:pt>
                <c:pt idx="409">
                  <c:v>0.11029851799154805</c:v>
                </c:pt>
                <c:pt idx="410">
                  <c:v>0.14509367059122955</c:v>
                </c:pt>
                <c:pt idx="411">
                  <c:v>0.20070041242727465</c:v>
                </c:pt>
                <c:pt idx="412">
                  <c:v>0.12970776647641047</c:v>
                </c:pt>
                <c:pt idx="413">
                  <c:v>0.16445227371245166</c:v>
                </c:pt>
                <c:pt idx="414">
                  <c:v>0.18680085934076646</c:v>
                </c:pt>
                <c:pt idx="415">
                  <c:v>0.14519656056501173</c:v>
                </c:pt>
                <c:pt idx="416">
                  <c:v>0.17103644398580153</c:v>
                </c:pt>
                <c:pt idx="417">
                  <c:v>0.16972487699530267</c:v>
                </c:pt>
                <c:pt idx="418">
                  <c:v>0.19568152023345958</c:v>
                </c:pt>
                <c:pt idx="419">
                  <c:v>0.21841351605783271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B5-4297-897D-6204D44D1E25}"/>
            </c:ext>
          </c:extLst>
        </c:ser>
        <c:ser>
          <c:idx val="1"/>
          <c:order val="1"/>
          <c:tx>
            <c:strRef>
              <c:f>US!$X$4</c:f>
              <c:strCache>
                <c:ptCount val="1"/>
                <c:pt idx="0">
                  <c:v>SD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US!$V$5:$V$532</c:f>
              <c:numCache>
                <c:formatCode>m/d/yyyy</c:formatCode>
                <c:ptCount val="528"/>
                <c:pt idx="0">
                  <c:v>32963</c:v>
                </c:pt>
                <c:pt idx="1">
                  <c:v>32993</c:v>
                </c:pt>
                <c:pt idx="2">
                  <c:v>33024</c:v>
                </c:pt>
                <c:pt idx="3">
                  <c:v>33054</c:v>
                </c:pt>
                <c:pt idx="4">
                  <c:v>33085</c:v>
                </c:pt>
                <c:pt idx="5">
                  <c:v>33116</c:v>
                </c:pt>
                <c:pt idx="6">
                  <c:v>33146</c:v>
                </c:pt>
                <c:pt idx="7">
                  <c:v>33177</c:v>
                </c:pt>
                <c:pt idx="8">
                  <c:v>33207</c:v>
                </c:pt>
                <c:pt idx="9">
                  <c:v>33238</c:v>
                </c:pt>
                <c:pt idx="10">
                  <c:v>33269</c:v>
                </c:pt>
                <c:pt idx="11">
                  <c:v>33297</c:v>
                </c:pt>
                <c:pt idx="12">
                  <c:v>33328</c:v>
                </c:pt>
                <c:pt idx="13">
                  <c:v>33358</c:v>
                </c:pt>
                <c:pt idx="14">
                  <c:v>33389</c:v>
                </c:pt>
                <c:pt idx="15">
                  <c:v>33419</c:v>
                </c:pt>
                <c:pt idx="16">
                  <c:v>33450</c:v>
                </c:pt>
                <c:pt idx="17">
                  <c:v>33481</c:v>
                </c:pt>
                <c:pt idx="18">
                  <c:v>33511</c:v>
                </c:pt>
                <c:pt idx="19">
                  <c:v>33542</c:v>
                </c:pt>
                <c:pt idx="20">
                  <c:v>33572</c:v>
                </c:pt>
                <c:pt idx="21">
                  <c:v>33603</c:v>
                </c:pt>
                <c:pt idx="22">
                  <c:v>33634</c:v>
                </c:pt>
                <c:pt idx="23">
                  <c:v>33663</c:v>
                </c:pt>
                <c:pt idx="24">
                  <c:v>33694</c:v>
                </c:pt>
                <c:pt idx="25">
                  <c:v>33724</c:v>
                </c:pt>
                <c:pt idx="26">
                  <c:v>33755</c:v>
                </c:pt>
                <c:pt idx="27">
                  <c:v>33785</c:v>
                </c:pt>
                <c:pt idx="28">
                  <c:v>33816</c:v>
                </c:pt>
                <c:pt idx="29">
                  <c:v>33847</c:v>
                </c:pt>
                <c:pt idx="30">
                  <c:v>33877</c:v>
                </c:pt>
                <c:pt idx="31">
                  <c:v>33908</c:v>
                </c:pt>
                <c:pt idx="32">
                  <c:v>33938</c:v>
                </c:pt>
                <c:pt idx="33">
                  <c:v>33969</c:v>
                </c:pt>
                <c:pt idx="34">
                  <c:v>34000</c:v>
                </c:pt>
                <c:pt idx="35">
                  <c:v>34028</c:v>
                </c:pt>
                <c:pt idx="36">
                  <c:v>34059</c:v>
                </c:pt>
                <c:pt idx="37">
                  <c:v>34089</c:v>
                </c:pt>
                <c:pt idx="38">
                  <c:v>34120</c:v>
                </c:pt>
                <c:pt idx="39">
                  <c:v>34150</c:v>
                </c:pt>
                <c:pt idx="40">
                  <c:v>34181</c:v>
                </c:pt>
                <c:pt idx="41">
                  <c:v>34212</c:v>
                </c:pt>
                <c:pt idx="42">
                  <c:v>34242</c:v>
                </c:pt>
                <c:pt idx="43">
                  <c:v>34273</c:v>
                </c:pt>
                <c:pt idx="44">
                  <c:v>34303</c:v>
                </c:pt>
                <c:pt idx="45">
                  <c:v>34334</c:v>
                </c:pt>
                <c:pt idx="46">
                  <c:v>34365</c:v>
                </c:pt>
                <c:pt idx="47">
                  <c:v>34393</c:v>
                </c:pt>
                <c:pt idx="48">
                  <c:v>34424</c:v>
                </c:pt>
                <c:pt idx="49">
                  <c:v>34454</c:v>
                </c:pt>
                <c:pt idx="50">
                  <c:v>34485</c:v>
                </c:pt>
                <c:pt idx="51">
                  <c:v>34515</c:v>
                </c:pt>
                <c:pt idx="52">
                  <c:v>34546</c:v>
                </c:pt>
                <c:pt idx="53">
                  <c:v>34577</c:v>
                </c:pt>
                <c:pt idx="54">
                  <c:v>34607</c:v>
                </c:pt>
                <c:pt idx="55">
                  <c:v>34638</c:v>
                </c:pt>
                <c:pt idx="56">
                  <c:v>34668</c:v>
                </c:pt>
                <c:pt idx="57">
                  <c:v>34699</c:v>
                </c:pt>
                <c:pt idx="58">
                  <c:v>34730</c:v>
                </c:pt>
                <c:pt idx="59">
                  <c:v>34758</c:v>
                </c:pt>
                <c:pt idx="60">
                  <c:v>34789</c:v>
                </c:pt>
                <c:pt idx="61">
                  <c:v>34819</c:v>
                </c:pt>
                <c:pt idx="62">
                  <c:v>34850</c:v>
                </c:pt>
                <c:pt idx="63">
                  <c:v>34880</c:v>
                </c:pt>
                <c:pt idx="64">
                  <c:v>34911</c:v>
                </c:pt>
                <c:pt idx="65">
                  <c:v>34942</c:v>
                </c:pt>
                <c:pt idx="66">
                  <c:v>34972</c:v>
                </c:pt>
                <c:pt idx="67">
                  <c:v>35003</c:v>
                </c:pt>
                <c:pt idx="68">
                  <c:v>35033</c:v>
                </c:pt>
                <c:pt idx="69">
                  <c:v>35064</c:v>
                </c:pt>
                <c:pt idx="70">
                  <c:v>35095</c:v>
                </c:pt>
                <c:pt idx="71">
                  <c:v>35124</c:v>
                </c:pt>
                <c:pt idx="72">
                  <c:v>35155</c:v>
                </c:pt>
                <c:pt idx="73">
                  <c:v>35185</c:v>
                </c:pt>
                <c:pt idx="74">
                  <c:v>35216</c:v>
                </c:pt>
                <c:pt idx="75">
                  <c:v>35246</c:v>
                </c:pt>
                <c:pt idx="76">
                  <c:v>35277</c:v>
                </c:pt>
                <c:pt idx="77">
                  <c:v>35308</c:v>
                </c:pt>
                <c:pt idx="78">
                  <c:v>35338</c:v>
                </c:pt>
                <c:pt idx="79">
                  <c:v>35369</c:v>
                </c:pt>
                <c:pt idx="80">
                  <c:v>35399</c:v>
                </c:pt>
                <c:pt idx="81">
                  <c:v>35430</c:v>
                </c:pt>
                <c:pt idx="82">
                  <c:v>35461</c:v>
                </c:pt>
                <c:pt idx="83">
                  <c:v>35489</c:v>
                </c:pt>
                <c:pt idx="84">
                  <c:v>35520</c:v>
                </c:pt>
                <c:pt idx="85">
                  <c:v>35550</c:v>
                </c:pt>
                <c:pt idx="86">
                  <c:v>35581</c:v>
                </c:pt>
                <c:pt idx="87">
                  <c:v>35611</c:v>
                </c:pt>
                <c:pt idx="88">
                  <c:v>35642</c:v>
                </c:pt>
                <c:pt idx="89">
                  <c:v>35673</c:v>
                </c:pt>
                <c:pt idx="90">
                  <c:v>35703</c:v>
                </c:pt>
                <c:pt idx="91">
                  <c:v>35734</c:v>
                </c:pt>
                <c:pt idx="92">
                  <c:v>35764</c:v>
                </c:pt>
                <c:pt idx="93">
                  <c:v>35795</c:v>
                </c:pt>
                <c:pt idx="94">
                  <c:v>35826</c:v>
                </c:pt>
                <c:pt idx="95">
                  <c:v>35854</c:v>
                </c:pt>
                <c:pt idx="96">
                  <c:v>35885</c:v>
                </c:pt>
                <c:pt idx="97">
                  <c:v>35915</c:v>
                </c:pt>
                <c:pt idx="98">
                  <c:v>35946</c:v>
                </c:pt>
                <c:pt idx="99">
                  <c:v>35976</c:v>
                </c:pt>
                <c:pt idx="100">
                  <c:v>36007</c:v>
                </c:pt>
                <c:pt idx="101">
                  <c:v>36038</c:v>
                </c:pt>
                <c:pt idx="102">
                  <c:v>36068</c:v>
                </c:pt>
                <c:pt idx="103">
                  <c:v>36099</c:v>
                </c:pt>
                <c:pt idx="104">
                  <c:v>36129</c:v>
                </c:pt>
                <c:pt idx="105">
                  <c:v>36160</c:v>
                </c:pt>
                <c:pt idx="106">
                  <c:v>36191</c:v>
                </c:pt>
                <c:pt idx="107">
                  <c:v>36219</c:v>
                </c:pt>
                <c:pt idx="108">
                  <c:v>36250</c:v>
                </c:pt>
                <c:pt idx="109">
                  <c:v>36280</c:v>
                </c:pt>
                <c:pt idx="110">
                  <c:v>36311</c:v>
                </c:pt>
                <c:pt idx="111">
                  <c:v>36341</c:v>
                </c:pt>
                <c:pt idx="112">
                  <c:v>36372</c:v>
                </c:pt>
                <c:pt idx="113">
                  <c:v>36403</c:v>
                </c:pt>
                <c:pt idx="114">
                  <c:v>36433</c:v>
                </c:pt>
                <c:pt idx="115">
                  <c:v>36464</c:v>
                </c:pt>
                <c:pt idx="116">
                  <c:v>36494</c:v>
                </c:pt>
                <c:pt idx="117">
                  <c:v>36525</c:v>
                </c:pt>
                <c:pt idx="118">
                  <c:v>36556</c:v>
                </c:pt>
                <c:pt idx="119">
                  <c:v>36585</c:v>
                </c:pt>
                <c:pt idx="120">
                  <c:v>36616</c:v>
                </c:pt>
                <c:pt idx="121">
                  <c:v>36646</c:v>
                </c:pt>
                <c:pt idx="122">
                  <c:v>36677</c:v>
                </c:pt>
                <c:pt idx="123">
                  <c:v>36707</c:v>
                </c:pt>
                <c:pt idx="124">
                  <c:v>36738</c:v>
                </c:pt>
                <c:pt idx="125">
                  <c:v>36769</c:v>
                </c:pt>
                <c:pt idx="126">
                  <c:v>36799</c:v>
                </c:pt>
                <c:pt idx="127">
                  <c:v>36830</c:v>
                </c:pt>
                <c:pt idx="128">
                  <c:v>36860</c:v>
                </c:pt>
                <c:pt idx="129">
                  <c:v>36891</c:v>
                </c:pt>
                <c:pt idx="130">
                  <c:v>36922</c:v>
                </c:pt>
                <c:pt idx="131">
                  <c:v>36950</c:v>
                </c:pt>
                <c:pt idx="132">
                  <c:v>36981</c:v>
                </c:pt>
                <c:pt idx="133">
                  <c:v>37011</c:v>
                </c:pt>
                <c:pt idx="134">
                  <c:v>37042</c:v>
                </c:pt>
                <c:pt idx="135">
                  <c:v>37072</c:v>
                </c:pt>
                <c:pt idx="136">
                  <c:v>37103</c:v>
                </c:pt>
                <c:pt idx="137">
                  <c:v>37134</c:v>
                </c:pt>
                <c:pt idx="138">
                  <c:v>37164</c:v>
                </c:pt>
                <c:pt idx="139">
                  <c:v>37195</c:v>
                </c:pt>
                <c:pt idx="140">
                  <c:v>37225</c:v>
                </c:pt>
                <c:pt idx="141">
                  <c:v>37256</c:v>
                </c:pt>
                <c:pt idx="142">
                  <c:v>37287</c:v>
                </c:pt>
                <c:pt idx="143">
                  <c:v>37315</c:v>
                </c:pt>
                <c:pt idx="144">
                  <c:v>37346</c:v>
                </c:pt>
                <c:pt idx="145">
                  <c:v>37376</c:v>
                </c:pt>
                <c:pt idx="146">
                  <c:v>37407</c:v>
                </c:pt>
                <c:pt idx="147">
                  <c:v>37437</c:v>
                </c:pt>
                <c:pt idx="148">
                  <c:v>37468</c:v>
                </c:pt>
                <c:pt idx="149">
                  <c:v>37499</c:v>
                </c:pt>
                <c:pt idx="150">
                  <c:v>37529</c:v>
                </c:pt>
                <c:pt idx="151">
                  <c:v>37560</c:v>
                </c:pt>
                <c:pt idx="152">
                  <c:v>37590</c:v>
                </c:pt>
                <c:pt idx="153">
                  <c:v>37621</c:v>
                </c:pt>
                <c:pt idx="154">
                  <c:v>37652</c:v>
                </c:pt>
                <c:pt idx="155">
                  <c:v>37680</c:v>
                </c:pt>
                <c:pt idx="156">
                  <c:v>37711</c:v>
                </c:pt>
                <c:pt idx="157">
                  <c:v>37741</c:v>
                </c:pt>
                <c:pt idx="158">
                  <c:v>37772</c:v>
                </c:pt>
                <c:pt idx="159">
                  <c:v>37802</c:v>
                </c:pt>
                <c:pt idx="160">
                  <c:v>37833</c:v>
                </c:pt>
                <c:pt idx="161">
                  <c:v>37864</c:v>
                </c:pt>
                <c:pt idx="162">
                  <c:v>37894</c:v>
                </c:pt>
                <c:pt idx="163">
                  <c:v>37925</c:v>
                </c:pt>
                <c:pt idx="164">
                  <c:v>37955</c:v>
                </c:pt>
                <c:pt idx="165">
                  <c:v>37986</c:v>
                </c:pt>
                <c:pt idx="166">
                  <c:v>38017</c:v>
                </c:pt>
                <c:pt idx="167">
                  <c:v>38046</c:v>
                </c:pt>
                <c:pt idx="168">
                  <c:v>38077</c:v>
                </c:pt>
                <c:pt idx="169">
                  <c:v>38107</c:v>
                </c:pt>
                <c:pt idx="170">
                  <c:v>38138</c:v>
                </c:pt>
                <c:pt idx="171">
                  <c:v>38168</c:v>
                </c:pt>
                <c:pt idx="172">
                  <c:v>38199</c:v>
                </c:pt>
                <c:pt idx="173">
                  <c:v>38230</c:v>
                </c:pt>
                <c:pt idx="174">
                  <c:v>38260</c:v>
                </c:pt>
                <c:pt idx="175">
                  <c:v>38291</c:v>
                </c:pt>
                <c:pt idx="176">
                  <c:v>38321</c:v>
                </c:pt>
                <c:pt idx="177">
                  <c:v>38352</c:v>
                </c:pt>
                <c:pt idx="178">
                  <c:v>38383</c:v>
                </c:pt>
                <c:pt idx="179">
                  <c:v>38411</c:v>
                </c:pt>
                <c:pt idx="180">
                  <c:v>38442</c:v>
                </c:pt>
                <c:pt idx="181">
                  <c:v>38472</c:v>
                </c:pt>
                <c:pt idx="182">
                  <c:v>38503</c:v>
                </c:pt>
                <c:pt idx="183">
                  <c:v>38533</c:v>
                </c:pt>
                <c:pt idx="184">
                  <c:v>38564</c:v>
                </c:pt>
                <c:pt idx="185">
                  <c:v>38595</c:v>
                </c:pt>
                <c:pt idx="186">
                  <c:v>38625</c:v>
                </c:pt>
                <c:pt idx="187">
                  <c:v>38656</c:v>
                </c:pt>
                <c:pt idx="188">
                  <c:v>38686</c:v>
                </c:pt>
                <c:pt idx="189">
                  <c:v>38717</c:v>
                </c:pt>
                <c:pt idx="190">
                  <c:v>38748</c:v>
                </c:pt>
                <c:pt idx="191">
                  <c:v>38776</c:v>
                </c:pt>
                <c:pt idx="192">
                  <c:v>38807</c:v>
                </c:pt>
                <c:pt idx="193">
                  <c:v>38837</c:v>
                </c:pt>
                <c:pt idx="194">
                  <c:v>38868</c:v>
                </c:pt>
                <c:pt idx="195">
                  <c:v>38898</c:v>
                </c:pt>
                <c:pt idx="196">
                  <c:v>38929</c:v>
                </c:pt>
                <c:pt idx="197">
                  <c:v>38960</c:v>
                </c:pt>
                <c:pt idx="198">
                  <c:v>38990</c:v>
                </c:pt>
                <c:pt idx="199">
                  <c:v>39021</c:v>
                </c:pt>
                <c:pt idx="200">
                  <c:v>39051</c:v>
                </c:pt>
                <c:pt idx="201">
                  <c:v>39082</c:v>
                </c:pt>
                <c:pt idx="202">
                  <c:v>39113</c:v>
                </c:pt>
                <c:pt idx="203">
                  <c:v>39141</c:v>
                </c:pt>
                <c:pt idx="204">
                  <c:v>39172</c:v>
                </c:pt>
                <c:pt idx="205">
                  <c:v>39202</c:v>
                </c:pt>
                <c:pt idx="206">
                  <c:v>39233</c:v>
                </c:pt>
                <c:pt idx="207">
                  <c:v>39263</c:v>
                </c:pt>
                <c:pt idx="208">
                  <c:v>39294</c:v>
                </c:pt>
                <c:pt idx="209">
                  <c:v>39325</c:v>
                </c:pt>
                <c:pt idx="210">
                  <c:v>39354</c:v>
                </c:pt>
                <c:pt idx="211">
                  <c:v>39386</c:v>
                </c:pt>
                <c:pt idx="212">
                  <c:v>39416</c:v>
                </c:pt>
                <c:pt idx="213">
                  <c:v>39447</c:v>
                </c:pt>
                <c:pt idx="214">
                  <c:v>39478</c:v>
                </c:pt>
                <c:pt idx="215">
                  <c:v>39507</c:v>
                </c:pt>
                <c:pt idx="216">
                  <c:v>39538</c:v>
                </c:pt>
                <c:pt idx="217">
                  <c:v>39568</c:v>
                </c:pt>
                <c:pt idx="218">
                  <c:v>39599</c:v>
                </c:pt>
                <c:pt idx="219">
                  <c:v>39629</c:v>
                </c:pt>
                <c:pt idx="220">
                  <c:v>39660</c:v>
                </c:pt>
                <c:pt idx="221">
                  <c:v>39690</c:v>
                </c:pt>
                <c:pt idx="222">
                  <c:v>39721</c:v>
                </c:pt>
                <c:pt idx="223">
                  <c:v>39752</c:v>
                </c:pt>
                <c:pt idx="224">
                  <c:v>39782</c:v>
                </c:pt>
                <c:pt idx="225">
                  <c:v>39813</c:v>
                </c:pt>
                <c:pt idx="226">
                  <c:v>39844</c:v>
                </c:pt>
                <c:pt idx="227">
                  <c:v>39872</c:v>
                </c:pt>
                <c:pt idx="228">
                  <c:v>39903</c:v>
                </c:pt>
                <c:pt idx="229">
                  <c:v>39933</c:v>
                </c:pt>
                <c:pt idx="230">
                  <c:v>39964</c:v>
                </c:pt>
                <c:pt idx="231">
                  <c:v>39994</c:v>
                </c:pt>
                <c:pt idx="232">
                  <c:v>40025</c:v>
                </c:pt>
                <c:pt idx="233">
                  <c:v>40056</c:v>
                </c:pt>
                <c:pt idx="234">
                  <c:v>40086</c:v>
                </c:pt>
                <c:pt idx="235">
                  <c:v>40117</c:v>
                </c:pt>
                <c:pt idx="236">
                  <c:v>40147</c:v>
                </c:pt>
                <c:pt idx="237">
                  <c:v>40178</c:v>
                </c:pt>
                <c:pt idx="238">
                  <c:v>40209</c:v>
                </c:pt>
                <c:pt idx="239">
                  <c:v>40237</c:v>
                </c:pt>
                <c:pt idx="240">
                  <c:v>40268</c:v>
                </c:pt>
                <c:pt idx="241">
                  <c:v>40298</c:v>
                </c:pt>
                <c:pt idx="242">
                  <c:v>40329</c:v>
                </c:pt>
                <c:pt idx="243">
                  <c:v>40359</c:v>
                </c:pt>
                <c:pt idx="244">
                  <c:v>40390</c:v>
                </c:pt>
                <c:pt idx="245">
                  <c:v>40421</c:v>
                </c:pt>
                <c:pt idx="246">
                  <c:v>40451</c:v>
                </c:pt>
                <c:pt idx="247">
                  <c:v>40482</c:v>
                </c:pt>
                <c:pt idx="248">
                  <c:v>40512</c:v>
                </c:pt>
                <c:pt idx="249">
                  <c:v>40543</c:v>
                </c:pt>
                <c:pt idx="250">
                  <c:v>40574</c:v>
                </c:pt>
                <c:pt idx="251">
                  <c:v>40602</c:v>
                </c:pt>
                <c:pt idx="252">
                  <c:v>40633</c:v>
                </c:pt>
                <c:pt idx="253">
                  <c:v>40663</c:v>
                </c:pt>
                <c:pt idx="254">
                  <c:v>40694</c:v>
                </c:pt>
                <c:pt idx="255">
                  <c:v>40724</c:v>
                </c:pt>
                <c:pt idx="256">
                  <c:v>40755</c:v>
                </c:pt>
                <c:pt idx="257">
                  <c:v>40786</c:v>
                </c:pt>
                <c:pt idx="258">
                  <c:v>40816</c:v>
                </c:pt>
                <c:pt idx="259">
                  <c:v>40847</c:v>
                </c:pt>
                <c:pt idx="260">
                  <c:v>40877</c:v>
                </c:pt>
                <c:pt idx="261">
                  <c:v>40908</c:v>
                </c:pt>
                <c:pt idx="262">
                  <c:v>40939</c:v>
                </c:pt>
                <c:pt idx="263">
                  <c:v>40968</c:v>
                </c:pt>
                <c:pt idx="264">
                  <c:v>40999</c:v>
                </c:pt>
                <c:pt idx="265">
                  <c:v>41029</c:v>
                </c:pt>
                <c:pt idx="266">
                  <c:v>41060</c:v>
                </c:pt>
                <c:pt idx="267">
                  <c:v>41090</c:v>
                </c:pt>
                <c:pt idx="268">
                  <c:v>41121</c:v>
                </c:pt>
                <c:pt idx="269">
                  <c:v>41152</c:v>
                </c:pt>
                <c:pt idx="270">
                  <c:v>41182</c:v>
                </c:pt>
                <c:pt idx="271">
                  <c:v>41213</c:v>
                </c:pt>
                <c:pt idx="272">
                  <c:v>41243</c:v>
                </c:pt>
                <c:pt idx="273">
                  <c:v>41274</c:v>
                </c:pt>
                <c:pt idx="274">
                  <c:v>41305</c:v>
                </c:pt>
                <c:pt idx="275">
                  <c:v>41333</c:v>
                </c:pt>
                <c:pt idx="276">
                  <c:v>41364</c:v>
                </c:pt>
                <c:pt idx="277">
                  <c:v>41394</c:v>
                </c:pt>
                <c:pt idx="278">
                  <c:v>41425</c:v>
                </c:pt>
                <c:pt idx="279">
                  <c:v>41455</c:v>
                </c:pt>
                <c:pt idx="280">
                  <c:v>41486</c:v>
                </c:pt>
                <c:pt idx="281">
                  <c:v>41517</c:v>
                </c:pt>
                <c:pt idx="282">
                  <c:v>41547</c:v>
                </c:pt>
                <c:pt idx="283">
                  <c:v>41578</c:v>
                </c:pt>
                <c:pt idx="284">
                  <c:v>41608</c:v>
                </c:pt>
                <c:pt idx="285">
                  <c:v>41639</c:v>
                </c:pt>
                <c:pt idx="286">
                  <c:v>41670</c:v>
                </c:pt>
                <c:pt idx="287">
                  <c:v>41698</c:v>
                </c:pt>
                <c:pt idx="288">
                  <c:v>41729</c:v>
                </c:pt>
                <c:pt idx="289">
                  <c:v>41759</c:v>
                </c:pt>
                <c:pt idx="290">
                  <c:v>41790</c:v>
                </c:pt>
                <c:pt idx="291">
                  <c:v>41820</c:v>
                </c:pt>
                <c:pt idx="292">
                  <c:v>41851</c:v>
                </c:pt>
                <c:pt idx="293">
                  <c:v>41882</c:v>
                </c:pt>
                <c:pt idx="294">
                  <c:v>41912</c:v>
                </c:pt>
                <c:pt idx="295">
                  <c:v>41943</c:v>
                </c:pt>
                <c:pt idx="296">
                  <c:v>41973</c:v>
                </c:pt>
                <c:pt idx="297">
                  <c:v>42004</c:v>
                </c:pt>
                <c:pt idx="298">
                  <c:v>42035</c:v>
                </c:pt>
                <c:pt idx="299">
                  <c:v>42063</c:v>
                </c:pt>
                <c:pt idx="300">
                  <c:v>42094</c:v>
                </c:pt>
                <c:pt idx="301">
                  <c:v>42124</c:v>
                </c:pt>
                <c:pt idx="302">
                  <c:v>42155</c:v>
                </c:pt>
                <c:pt idx="303">
                  <c:v>42185</c:v>
                </c:pt>
                <c:pt idx="304">
                  <c:v>42216</c:v>
                </c:pt>
                <c:pt idx="305">
                  <c:v>42247</c:v>
                </c:pt>
                <c:pt idx="306">
                  <c:v>42277</c:v>
                </c:pt>
                <c:pt idx="307">
                  <c:v>42308</c:v>
                </c:pt>
                <c:pt idx="308">
                  <c:v>42338</c:v>
                </c:pt>
                <c:pt idx="309">
                  <c:v>42369</c:v>
                </c:pt>
                <c:pt idx="310">
                  <c:v>42400</c:v>
                </c:pt>
                <c:pt idx="311">
                  <c:v>42429</c:v>
                </c:pt>
                <c:pt idx="312">
                  <c:v>42460</c:v>
                </c:pt>
                <c:pt idx="313">
                  <c:v>42490</c:v>
                </c:pt>
                <c:pt idx="314">
                  <c:v>42521</c:v>
                </c:pt>
                <c:pt idx="315">
                  <c:v>42551</c:v>
                </c:pt>
                <c:pt idx="316">
                  <c:v>42582</c:v>
                </c:pt>
                <c:pt idx="317">
                  <c:v>42613</c:v>
                </c:pt>
                <c:pt idx="318">
                  <c:v>42643</c:v>
                </c:pt>
                <c:pt idx="319">
                  <c:v>42674</c:v>
                </c:pt>
                <c:pt idx="320">
                  <c:v>42704</c:v>
                </c:pt>
                <c:pt idx="321">
                  <c:v>42735</c:v>
                </c:pt>
                <c:pt idx="322">
                  <c:v>42766</c:v>
                </c:pt>
                <c:pt idx="323">
                  <c:v>42794</c:v>
                </c:pt>
                <c:pt idx="324">
                  <c:v>42825</c:v>
                </c:pt>
                <c:pt idx="325">
                  <c:v>42855</c:v>
                </c:pt>
                <c:pt idx="326">
                  <c:v>42886</c:v>
                </c:pt>
                <c:pt idx="327">
                  <c:v>42916</c:v>
                </c:pt>
                <c:pt idx="328">
                  <c:v>42947</c:v>
                </c:pt>
                <c:pt idx="329">
                  <c:v>42978</c:v>
                </c:pt>
                <c:pt idx="330">
                  <c:v>43008</c:v>
                </c:pt>
                <c:pt idx="331">
                  <c:v>43039</c:v>
                </c:pt>
                <c:pt idx="332">
                  <c:v>43069</c:v>
                </c:pt>
                <c:pt idx="333">
                  <c:v>43100</c:v>
                </c:pt>
                <c:pt idx="334">
                  <c:v>43131</c:v>
                </c:pt>
                <c:pt idx="335">
                  <c:v>43159</c:v>
                </c:pt>
                <c:pt idx="336">
                  <c:v>43190</c:v>
                </c:pt>
                <c:pt idx="337">
                  <c:v>43220</c:v>
                </c:pt>
                <c:pt idx="338">
                  <c:v>43251</c:v>
                </c:pt>
                <c:pt idx="339">
                  <c:v>43281</c:v>
                </c:pt>
                <c:pt idx="340">
                  <c:v>43312</c:v>
                </c:pt>
                <c:pt idx="341">
                  <c:v>43343</c:v>
                </c:pt>
                <c:pt idx="342">
                  <c:v>43373</c:v>
                </c:pt>
                <c:pt idx="343">
                  <c:v>43404</c:v>
                </c:pt>
                <c:pt idx="344">
                  <c:v>43434</c:v>
                </c:pt>
                <c:pt idx="345">
                  <c:v>43465</c:v>
                </c:pt>
                <c:pt idx="346">
                  <c:v>43496</c:v>
                </c:pt>
                <c:pt idx="347">
                  <c:v>43524</c:v>
                </c:pt>
                <c:pt idx="348">
                  <c:v>43555</c:v>
                </c:pt>
                <c:pt idx="349">
                  <c:v>43585</c:v>
                </c:pt>
                <c:pt idx="350">
                  <c:v>43616</c:v>
                </c:pt>
                <c:pt idx="351">
                  <c:v>43646</c:v>
                </c:pt>
                <c:pt idx="352">
                  <c:v>43677</c:v>
                </c:pt>
                <c:pt idx="353">
                  <c:v>43708</c:v>
                </c:pt>
                <c:pt idx="354">
                  <c:v>43738</c:v>
                </c:pt>
                <c:pt idx="355">
                  <c:v>43769</c:v>
                </c:pt>
                <c:pt idx="356">
                  <c:v>43799</c:v>
                </c:pt>
                <c:pt idx="357">
                  <c:v>43830</c:v>
                </c:pt>
                <c:pt idx="358">
                  <c:v>43861</c:v>
                </c:pt>
                <c:pt idx="359">
                  <c:v>43890</c:v>
                </c:pt>
                <c:pt idx="360">
                  <c:v>43921</c:v>
                </c:pt>
                <c:pt idx="361">
                  <c:v>43951</c:v>
                </c:pt>
                <c:pt idx="362">
                  <c:v>43982</c:v>
                </c:pt>
                <c:pt idx="363">
                  <c:v>44012</c:v>
                </c:pt>
                <c:pt idx="364">
                  <c:v>44043</c:v>
                </c:pt>
                <c:pt idx="365">
                  <c:v>44074</c:v>
                </c:pt>
                <c:pt idx="366">
                  <c:v>44104</c:v>
                </c:pt>
                <c:pt idx="367">
                  <c:v>44135</c:v>
                </c:pt>
                <c:pt idx="368">
                  <c:v>44165</c:v>
                </c:pt>
                <c:pt idx="369">
                  <c:v>44196</c:v>
                </c:pt>
                <c:pt idx="370">
                  <c:v>44227</c:v>
                </c:pt>
                <c:pt idx="371">
                  <c:v>44255</c:v>
                </c:pt>
                <c:pt idx="372">
                  <c:v>44286</c:v>
                </c:pt>
                <c:pt idx="373">
                  <c:v>44316</c:v>
                </c:pt>
                <c:pt idx="374">
                  <c:v>44347</c:v>
                </c:pt>
                <c:pt idx="375">
                  <c:v>44377</c:v>
                </c:pt>
                <c:pt idx="376">
                  <c:v>44408</c:v>
                </c:pt>
                <c:pt idx="377">
                  <c:v>44439</c:v>
                </c:pt>
                <c:pt idx="378">
                  <c:v>44469</c:v>
                </c:pt>
                <c:pt idx="379">
                  <c:v>44500</c:v>
                </c:pt>
                <c:pt idx="380">
                  <c:v>44530</c:v>
                </c:pt>
                <c:pt idx="381">
                  <c:v>44561</c:v>
                </c:pt>
                <c:pt idx="382">
                  <c:v>44592</c:v>
                </c:pt>
                <c:pt idx="383">
                  <c:v>44620</c:v>
                </c:pt>
                <c:pt idx="384">
                  <c:v>44651</c:v>
                </c:pt>
                <c:pt idx="385">
                  <c:v>44681</c:v>
                </c:pt>
                <c:pt idx="386">
                  <c:v>44712</c:v>
                </c:pt>
                <c:pt idx="387">
                  <c:v>44742</c:v>
                </c:pt>
                <c:pt idx="388">
                  <c:v>44773</c:v>
                </c:pt>
                <c:pt idx="389">
                  <c:v>44804</c:v>
                </c:pt>
                <c:pt idx="390">
                  <c:v>44834</c:v>
                </c:pt>
                <c:pt idx="391">
                  <c:v>44865</c:v>
                </c:pt>
                <c:pt idx="392">
                  <c:v>44895</c:v>
                </c:pt>
                <c:pt idx="393">
                  <c:v>44926</c:v>
                </c:pt>
                <c:pt idx="394">
                  <c:v>44957</c:v>
                </c:pt>
                <c:pt idx="395">
                  <c:v>44985</c:v>
                </c:pt>
                <c:pt idx="396">
                  <c:v>45016</c:v>
                </c:pt>
                <c:pt idx="397">
                  <c:v>45046</c:v>
                </c:pt>
                <c:pt idx="398">
                  <c:v>45077</c:v>
                </c:pt>
                <c:pt idx="399">
                  <c:v>45107</c:v>
                </c:pt>
                <c:pt idx="400">
                  <c:v>45138</c:v>
                </c:pt>
                <c:pt idx="401">
                  <c:v>45169</c:v>
                </c:pt>
                <c:pt idx="402">
                  <c:v>45199</c:v>
                </c:pt>
                <c:pt idx="403">
                  <c:v>45230</c:v>
                </c:pt>
                <c:pt idx="404">
                  <c:v>45260</c:v>
                </c:pt>
                <c:pt idx="405">
                  <c:v>45291</c:v>
                </c:pt>
                <c:pt idx="406">
                  <c:v>45322</c:v>
                </c:pt>
                <c:pt idx="407">
                  <c:v>45351</c:v>
                </c:pt>
                <c:pt idx="408">
                  <c:v>45382</c:v>
                </c:pt>
                <c:pt idx="409">
                  <c:v>45412</c:v>
                </c:pt>
                <c:pt idx="410">
                  <c:v>45443</c:v>
                </c:pt>
                <c:pt idx="411">
                  <c:v>45473</c:v>
                </c:pt>
                <c:pt idx="412">
                  <c:v>45504</c:v>
                </c:pt>
                <c:pt idx="413">
                  <c:v>45534</c:v>
                </c:pt>
                <c:pt idx="414">
                  <c:v>45565</c:v>
                </c:pt>
                <c:pt idx="415">
                  <c:v>45596</c:v>
                </c:pt>
                <c:pt idx="416">
                  <c:v>45626</c:v>
                </c:pt>
                <c:pt idx="417">
                  <c:v>45657</c:v>
                </c:pt>
                <c:pt idx="418">
                  <c:v>45688</c:v>
                </c:pt>
                <c:pt idx="419">
                  <c:v>45716</c:v>
                </c:pt>
              </c:numCache>
            </c:numRef>
          </c:cat>
          <c:val>
            <c:numRef>
              <c:f>US!$X$5:$X$532</c:f>
              <c:numCache>
                <c:formatCode>General</c:formatCode>
                <c:ptCount val="528"/>
                <c:pt idx="0">
                  <c:v>0.36138903659090915</c:v>
                </c:pt>
                <c:pt idx="1">
                  <c:v>0.27820323911704542</c:v>
                </c:pt>
                <c:pt idx="2">
                  <c:v>0.27813788005959661</c:v>
                </c:pt>
                <c:pt idx="3">
                  <c:v>0.28111081401533883</c:v>
                </c:pt>
                <c:pt idx="4">
                  <c:v>0.23192607224824002</c:v>
                </c:pt>
                <c:pt idx="5">
                  <c:v>7.8574534157491591E-2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8.4287192873786318E-2</c:v>
                </c:pt>
                <c:pt idx="20">
                  <c:v>1.8474756541120921E-2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0.56967786606158299</c:v>
                </c:pt>
                <c:pt idx="29">
                  <c:v>0.5011311940067591</c:v>
                </c:pt>
                <c:pt idx="30">
                  <c:v>0.46053873121483274</c:v>
                </c:pt>
                <c:pt idx="31">
                  <c:v>0.42670223463678725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0.60407556338159885</c:v>
                </c:pt>
                <c:pt idx="36">
                  <c:v>0.57631394145420678</c:v>
                </c:pt>
                <c:pt idx="37">
                  <c:v>0.61931742677612145</c:v>
                </c:pt>
                <c:pt idx="38">
                  <c:v>0.57732365628129045</c:v>
                </c:pt>
                <c:pt idx="39">
                  <c:v>0.58016320924112275</c:v>
                </c:pt>
                <c:pt idx="40">
                  <c:v>0.57888276119831183</c:v>
                </c:pt>
                <c:pt idx="41">
                  <c:v>0.57647731266588376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0.76253347152334228</c:v>
                </c:pt>
                <c:pt idx="46">
                  <c:v>0.73296182782100794</c:v>
                </c:pt>
                <c:pt idx="47">
                  <c:v>0.72098052871020235</c:v>
                </c:pt>
                <c:pt idx="48">
                  <c:v>#N/A</c:v>
                </c:pt>
                <c:pt idx="49">
                  <c:v>0.79250193850805506</c:v>
                </c:pt>
                <c:pt idx="50">
                  <c:v>0.78924353807871384</c:v>
                </c:pt>
                <c:pt idx="51">
                  <c:v>0.74452653495355314</c:v>
                </c:pt>
                <c:pt idx="52">
                  <c:v>0.72625635385542686</c:v>
                </c:pt>
                <c:pt idx="53">
                  <c:v>0.79716694755208461</c:v>
                </c:pt>
                <c:pt idx="54">
                  <c:v>0.76439837499974062</c:v>
                </c:pt>
                <c:pt idx="55">
                  <c:v>#N/A</c:v>
                </c:pt>
                <c:pt idx="56">
                  <c:v>0.82506160178878785</c:v>
                </c:pt>
                <c:pt idx="57">
                  <c:v>0.79621094505171053</c:v>
                </c:pt>
                <c:pt idx="58">
                  <c:v>0.76556492366651863</c:v>
                </c:pt>
                <c:pt idx="59">
                  <c:v>0.68642574383065169</c:v>
                </c:pt>
                <c:pt idx="60">
                  <c:v>0.60862751433891593</c:v>
                </c:pt>
                <c:pt idx="61">
                  <c:v>0.54985335934323398</c:v>
                </c:pt>
                <c:pt idx="62">
                  <c:v>0.53598822715768502</c:v>
                </c:pt>
                <c:pt idx="63">
                  <c:v>0.49255576878138113</c:v>
                </c:pt>
                <c:pt idx="64">
                  <c:v>0.4732851192241419</c:v>
                </c:pt>
                <c:pt idx="65">
                  <c:v>0.53275955888162507</c:v>
                </c:pt>
                <c:pt idx="66">
                  <c:v>0.51858962710036205</c:v>
                </c:pt>
                <c:pt idx="67">
                  <c:v>0.47571610814948606</c:v>
                </c:pt>
                <c:pt idx="68">
                  <c:v>0.45968425732688256</c:v>
                </c:pt>
                <c:pt idx="69">
                  <c:v>0.3862913985341756</c:v>
                </c:pt>
                <c:pt idx="70">
                  <c:v>0.33985461563375369</c:v>
                </c:pt>
                <c:pt idx="71">
                  <c:v>0.40834802381449753</c:v>
                </c:pt>
                <c:pt idx="72">
                  <c:v>0.4076485881637294</c:v>
                </c:pt>
                <c:pt idx="73">
                  <c:v>#N/A</c:v>
                </c:pt>
                <c:pt idx="74">
                  <c:v>0.55185876445672977</c:v>
                </c:pt>
                <c:pt idx="75">
                  <c:v>0.53570001817747093</c:v>
                </c:pt>
                <c:pt idx="76">
                  <c:v>0.51210922867870989</c:v>
                </c:pt>
                <c:pt idx="77">
                  <c:v>0.54610233123255025</c:v>
                </c:pt>
                <c:pt idx="78">
                  <c:v>0.53057136910400071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0.72754635024551351</c:v>
                </c:pt>
                <c:pt idx="84">
                  <c:v>0.72128996928917855</c:v>
                </c:pt>
                <c:pt idx="85">
                  <c:v>0.67793361463267166</c:v>
                </c:pt>
                <c:pt idx="86">
                  <c:v>0.64377401309872395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0.77804366928632229</c:v>
                </c:pt>
                <c:pt idx="91">
                  <c:v>0.70641507626699329</c:v>
                </c:pt>
                <c:pt idx="92">
                  <c:v>0.66232704430362732</c:v>
                </c:pt>
                <c:pt idx="93">
                  <c:v>0.66546413031345719</c:v>
                </c:pt>
                <c:pt idx="94">
                  <c:v>0.65194908226503101</c:v>
                </c:pt>
                <c:pt idx="95">
                  <c:v>0.69155979677404256</c:v>
                </c:pt>
                <c:pt idx="96">
                  <c:v>0.64851907696616773</c:v>
                </c:pt>
                <c:pt idx="97">
                  <c:v>0.62095433434899172</c:v>
                </c:pt>
                <c:pt idx="98">
                  <c:v>0.57693194724134722</c:v>
                </c:pt>
                <c:pt idx="99">
                  <c:v>0.45711219750483595</c:v>
                </c:pt>
                <c:pt idx="100">
                  <c:v>0.38840248871595773</c:v>
                </c:pt>
                <c:pt idx="101">
                  <c:v>0.30555769420409695</c:v>
                </c:pt>
                <c:pt idx="102">
                  <c:v>0.19736051090138387</c:v>
                </c:pt>
                <c:pt idx="103">
                  <c:v>0.14613827393085316</c:v>
                </c:pt>
                <c:pt idx="104">
                  <c:v>0.11778331267874183</c:v>
                </c:pt>
                <c:pt idx="105">
                  <c:v>#N/A</c:v>
                </c:pt>
                <c:pt idx="106">
                  <c:v>#N/A</c:v>
                </c:pt>
                <c:pt idx="107">
                  <c:v>0.23503201322857981</c:v>
                </c:pt>
                <c:pt idx="108">
                  <c:v>0.20959825968570728</c:v>
                </c:pt>
                <c:pt idx="109">
                  <c:v>0.20633457294800794</c:v>
                </c:pt>
                <c:pt idx="110">
                  <c:v>#N/A</c:v>
                </c:pt>
                <c:pt idx="111">
                  <c:v>#N/A</c:v>
                </c:pt>
                <c:pt idx="112">
                  <c:v>0.24683354981534555</c:v>
                </c:pt>
                <c:pt idx="113">
                  <c:v>0.23620381248395647</c:v>
                </c:pt>
                <c:pt idx="114">
                  <c:v>0.17536793433511982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0.35211286543034376</c:v>
                </c:pt>
                <c:pt idx="119">
                  <c:v>0.34958144552268444</c:v>
                </c:pt>
                <c:pt idx="120">
                  <c:v>0.37839509059417398</c:v>
                </c:pt>
                <c:pt idx="121">
                  <c:v>0.36758251740926318</c:v>
                </c:pt>
                <c:pt idx="122">
                  <c:v>0.29357121222035049</c:v>
                </c:pt>
                <c:pt idx="123">
                  <c:v>0.23623388014664148</c:v>
                </c:pt>
                <c:pt idx="124">
                  <c:v>0.20518882544121228</c:v>
                </c:pt>
                <c:pt idx="125">
                  <c:v>0.20552150905410316</c:v>
                </c:pt>
                <c:pt idx="126">
                  <c:v>0.19172628874641101</c:v>
                </c:pt>
                <c:pt idx="127">
                  <c:v>0.14232659940822934</c:v>
                </c:pt>
                <c:pt idx="128">
                  <c:v>5.5843942895065779E-2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0.43571399883239559</c:v>
                </c:pt>
                <c:pt idx="171">
                  <c:v>0.42408410223452603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0.66935310826994343</c:v>
                </c:pt>
                <c:pt idx="180">
                  <c:v>0.60874106514028226</c:v>
                </c:pt>
                <c:pt idx="181">
                  <c:v>0.56849267293893813</c:v>
                </c:pt>
                <c:pt idx="182">
                  <c:v>0.54626161319679534</c:v>
                </c:pt>
                <c:pt idx="183">
                  <c:v>0.54461868548116321</c:v>
                </c:pt>
                <c:pt idx="184">
                  <c:v>0.5596574348917589</c:v>
                </c:pt>
                <c:pt idx="185">
                  <c:v>0.50598008708397124</c:v>
                </c:pt>
                <c:pt idx="186">
                  <c:v>0.37618611362867582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0.61759984417110225</c:v>
                </c:pt>
                <c:pt idx="192">
                  <c:v>0.58971704312779272</c:v>
                </c:pt>
                <c:pt idx="193">
                  <c:v>0.54679954151818988</c:v>
                </c:pt>
                <c:pt idx="194">
                  <c:v>0.50895383559459662</c:v>
                </c:pt>
                <c:pt idx="195">
                  <c:v>0.46281132017740922</c:v>
                </c:pt>
                <c:pt idx="196">
                  <c:v>0.41474220915412041</c:v>
                </c:pt>
                <c:pt idx="197">
                  <c:v>0.41941719886337786</c:v>
                </c:pt>
                <c:pt idx="198">
                  <c:v>0.37295300923276969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0.48742431266784525</c:v>
                </c:pt>
                <c:pt idx="204">
                  <c:v>0.44306363673932764</c:v>
                </c:pt>
                <c:pt idx="205">
                  <c:v>0.41507990117771015</c:v>
                </c:pt>
                <c:pt idx="206">
                  <c:v>0.3776477054784263</c:v>
                </c:pt>
                <c:pt idx="207">
                  <c:v>0.31241404873525669</c:v>
                </c:pt>
                <c:pt idx="208">
                  <c:v>0.19864892666389034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4.5254569781853923E-2</c:v>
                </c:pt>
                <c:pt idx="246">
                  <c:v>3.3387396030389205E-2</c:v>
                </c:pt>
                <c:pt idx="247">
                  <c:v>2.5620890661728277E-2</c:v>
                </c:pt>
                <c:pt idx="248">
                  <c:v>#N/A</c:v>
                </c:pt>
                <c:pt idx="249">
                  <c:v>#N/A</c:v>
                </c:pt>
                <c:pt idx="250">
                  <c:v>8.4176959607481422E-2</c:v>
                </c:pt>
                <c:pt idx="251">
                  <c:v>6.7831094073894663E-2</c:v>
                </c:pt>
                <c:pt idx="252">
                  <c:v>9.879623953556195E-2</c:v>
                </c:pt>
                <c:pt idx="253">
                  <c:v>7.4806594222472267E-2</c:v>
                </c:pt>
                <c:pt idx="254">
                  <c:v>5.0448459414522209E-2</c:v>
                </c:pt>
                <c:pt idx="255">
                  <c:v>6.9613956663201582E-2</c:v>
                </c:pt>
                <c:pt idx="256">
                  <c:v>4.6463859468734589E-2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7.5341723505793878E-2</c:v>
                </c:pt>
                <c:pt idx="274">
                  <c:v>9.5882734430062511E-3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0.11159276034316784</c:v>
                </c:pt>
                <c:pt idx="279">
                  <c:v>8.1540757509001374E-2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0.27786041317783511</c:v>
                </c:pt>
                <c:pt idx="286">
                  <c:v>0.24656331837669754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0.50195896715410138</c:v>
                </c:pt>
                <c:pt idx="292">
                  <c:v>0.48995289810609149</c:v>
                </c:pt>
                <c:pt idx="293">
                  <c:v>0.49440475669130995</c:v>
                </c:pt>
                <c:pt idx="294">
                  <c:v>0.48385158694337749</c:v>
                </c:pt>
                <c:pt idx="295">
                  <c:v>0.46443724557360588</c:v>
                </c:pt>
                <c:pt idx="296">
                  <c:v>0.48522879353967363</c:v>
                </c:pt>
                <c:pt idx="297">
                  <c:v>0.45449515192632123</c:v>
                </c:pt>
                <c:pt idx="298">
                  <c:v>0.36718758680913788</c:v>
                </c:pt>
                <c:pt idx="299">
                  <c:v>0.31514022729580632</c:v>
                </c:pt>
                <c:pt idx="300">
                  <c:v>0.28478022660741059</c:v>
                </c:pt>
                <c:pt idx="301">
                  <c:v>0.26687723929702584</c:v>
                </c:pt>
                <c:pt idx="302">
                  <c:v>0.2312440615519189</c:v>
                </c:pt>
                <c:pt idx="303">
                  <c:v>0.18806263173689475</c:v>
                </c:pt>
                <c:pt idx="304">
                  <c:v>0.21807771896460704</c:v>
                </c:pt>
                <c:pt idx="305">
                  <c:v>0.12693209276758305</c:v>
                </c:pt>
                <c:pt idx="306">
                  <c:v>8.0282825874276417E-2</c:v>
                </c:pt>
                <c:pt idx="307">
                  <c:v>4.8554188227380363E-2</c:v>
                </c:pt>
                <c:pt idx="308">
                  <c:v>1.5934187537122422E-2</c:v>
                </c:pt>
                <c:pt idx="309">
                  <c:v>7.1140447708607016E-3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0.35912250109206201</c:v>
                </c:pt>
                <c:pt idx="329">
                  <c:v>0.34321041964446064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0.56886845898588201</c:v>
                </c:pt>
                <c:pt idx="334">
                  <c:v>0.53253586749308746</c:v>
                </c:pt>
                <c:pt idx="335">
                  <c:v>0.50529046230301211</c:v>
                </c:pt>
                <c:pt idx="336">
                  <c:v>0.43435291077392629</c:v>
                </c:pt>
                <c:pt idx="337">
                  <c:v>0.40118058143063007</c:v>
                </c:pt>
                <c:pt idx="338">
                  <c:v>0.36887076890471865</c:v>
                </c:pt>
                <c:pt idx="339">
                  <c:v>0.34790661044869203</c:v>
                </c:pt>
                <c:pt idx="340">
                  <c:v>#N/A</c:v>
                </c:pt>
                <c:pt idx="341">
                  <c:v>#N/A</c:v>
                </c:pt>
                <c:pt idx="342">
                  <c:v>0.42606010967140595</c:v>
                </c:pt>
                <c:pt idx="343">
                  <c:v>0.36345524250596428</c:v>
                </c:pt>
                <c:pt idx="344">
                  <c:v>0.31619296270994623</c:v>
                </c:pt>
                <c:pt idx="345">
                  <c:v>0.20319704129215704</c:v>
                </c:pt>
                <c:pt idx="346">
                  <c:v>0.15343122338752863</c:v>
                </c:pt>
                <c:pt idx="347">
                  <c:v>#N/A</c:v>
                </c:pt>
                <c:pt idx="348">
                  <c:v>#N/A</c:v>
                </c:pt>
                <c:pt idx="349">
                  <c:v>0.23577722933012649</c:v>
                </c:pt>
                <c:pt idx="350">
                  <c:v>0.21149449033467677</c:v>
                </c:pt>
                <c:pt idx="351">
                  <c:v>0.19427744877111208</c:v>
                </c:pt>
                <c:pt idx="352">
                  <c:v>0.19954615473498152</c:v>
                </c:pt>
                <c:pt idx="353">
                  <c:v>0.16388814131732993</c:v>
                </c:pt>
                <c:pt idx="354">
                  <c:v>8.7174780587345443E-2</c:v>
                </c:pt>
                <c:pt idx="355">
                  <c:v>1.0162933347224706E-2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7.4259027484891049E-2</c:v>
                </c:pt>
                <c:pt idx="370">
                  <c:v>6.4994382151697103E-2</c:v>
                </c:pt>
                <c:pt idx="371">
                  <c:v>1.0491456193008869E-2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0.74596202986574323</c:v>
                </c:pt>
                <c:pt idx="377">
                  <c:v>0.70681236158127914</c:v>
                </c:pt>
                <c:pt idx="378">
                  <c:v>0.65402205830334181</c:v>
                </c:pt>
                <c:pt idx="379">
                  <c:v>0.73653314305052564</c:v>
                </c:pt>
                <c:pt idx="380">
                  <c:v>0.73334198319021671</c:v>
                </c:pt>
                <c:pt idx="381">
                  <c:v>0.6796233484355505</c:v>
                </c:pt>
                <c:pt idx="382">
                  <c:v>0.56658455413141851</c:v>
                </c:pt>
                <c:pt idx="383">
                  <c:v>0.47354933302214608</c:v>
                </c:pt>
                <c:pt idx="384">
                  <c:v>0.36478600947447082</c:v>
                </c:pt>
                <c:pt idx="385">
                  <c:v>0.22592855291061026</c:v>
                </c:pt>
                <c:pt idx="386">
                  <c:v>0.11579666453178204</c:v>
                </c:pt>
                <c:pt idx="387">
                  <c:v>2.0521078776587792E-2</c:v>
                </c:pt>
                <c:pt idx="388">
                  <c:v>2.4359527007078469E-2</c:v>
                </c:pt>
                <c:pt idx="389">
                  <c:v>2.0997361355515623E-2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0.20070041242727465</c:v>
                </c:pt>
                <c:pt idx="412">
                  <c:v>0.12970776647641047</c:v>
                </c:pt>
                <c:pt idx="413">
                  <c:v>#N/A</c:v>
                </c:pt>
                <c:pt idx="414">
                  <c:v>0.18680085934076646</c:v>
                </c:pt>
                <c:pt idx="415">
                  <c:v>0.14519656056501173</c:v>
                </c:pt>
                <c:pt idx="416">
                  <c:v>0.17103644398580153</c:v>
                </c:pt>
                <c:pt idx="417">
                  <c:v>0.16972487699530267</c:v>
                </c:pt>
                <c:pt idx="418">
                  <c:v>#N/A</c:v>
                </c:pt>
                <c:pt idx="41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B5-4297-897D-6204D44D1E25}"/>
            </c:ext>
          </c:extLst>
        </c:ser>
        <c:ser>
          <c:idx val="2"/>
          <c:order val="2"/>
          <c:tx>
            <c:strRef>
              <c:f>US!$Y$4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US!$V$5:$V$532</c:f>
              <c:numCache>
                <c:formatCode>m/d/yyyy</c:formatCode>
                <c:ptCount val="528"/>
                <c:pt idx="0">
                  <c:v>32963</c:v>
                </c:pt>
                <c:pt idx="1">
                  <c:v>32993</c:v>
                </c:pt>
                <c:pt idx="2">
                  <c:v>33024</c:v>
                </c:pt>
                <c:pt idx="3">
                  <c:v>33054</c:v>
                </c:pt>
                <c:pt idx="4">
                  <c:v>33085</c:v>
                </c:pt>
                <c:pt idx="5">
                  <c:v>33116</c:v>
                </c:pt>
                <c:pt idx="6">
                  <c:v>33146</c:v>
                </c:pt>
                <c:pt idx="7">
                  <c:v>33177</c:v>
                </c:pt>
                <c:pt idx="8">
                  <c:v>33207</c:v>
                </c:pt>
                <c:pt idx="9">
                  <c:v>33238</c:v>
                </c:pt>
                <c:pt idx="10">
                  <c:v>33269</c:v>
                </c:pt>
                <c:pt idx="11">
                  <c:v>33297</c:v>
                </c:pt>
                <c:pt idx="12">
                  <c:v>33328</c:v>
                </c:pt>
                <c:pt idx="13">
                  <c:v>33358</c:v>
                </c:pt>
                <c:pt idx="14">
                  <c:v>33389</c:v>
                </c:pt>
                <c:pt idx="15">
                  <c:v>33419</c:v>
                </c:pt>
                <c:pt idx="16">
                  <c:v>33450</c:v>
                </c:pt>
                <c:pt idx="17">
                  <c:v>33481</c:v>
                </c:pt>
                <c:pt idx="18">
                  <c:v>33511</c:v>
                </c:pt>
                <c:pt idx="19">
                  <c:v>33542</c:v>
                </c:pt>
                <c:pt idx="20">
                  <c:v>33572</c:v>
                </c:pt>
                <c:pt idx="21">
                  <c:v>33603</c:v>
                </c:pt>
                <c:pt idx="22">
                  <c:v>33634</c:v>
                </c:pt>
                <c:pt idx="23">
                  <c:v>33663</c:v>
                </c:pt>
                <c:pt idx="24">
                  <c:v>33694</c:v>
                </c:pt>
                <c:pt idx="25">
                  <c:v>33724</c:v>
                </c:pt>
                <c:pt idx="26">
                  <c:v>33755</c:v>
                </c:pt>
                <c:pt idx="27">
                  <c:v>33785</c:v>
                </c:pt>
                <c:pt idx="28">
                  <c:v>33816</c:v>
                </c:pt>
                <c:pt idx="29">
                  <c:v>33847</c:v>
                </c:pt>
                <c:pt idx="30">
                  <c:v>33877</c:v>
                </c:pt>
                <c:pt idx="31">
                  <c:v>33908</c:v>
                </c:pt>
                <c:pt idx="32">
                  <c:v>33938</c:v>
                </c:pt>
                <c:pt idx="33">
                  <c:v>33969</c:v>
                </c:pt>
                <c:pt idx="34">
                  <c:v>34000</c:v>
                </c:pt>
                <c:pt idx="35">
                  <c:v>34028</c:v>
                </c:pt>
                <c:pt idx="36">
                  <c:v>34059</c:v>
                </c:pt>
                <c:pt idx="37">
                  <c:v>34089</c:v>
                </c:pt>
                <c:pt idx="38">
                  <c:v>34120</c:v>
                </c:pt>
                <c:pt idx="39">
                  <c:v>34150</c:v>
                </c:pt>
                <c:pt idx="40">
                  <c:v>34181</c:v>
                </c:pt>
                <c:pt idx="41">
                  <c:v>34212</c:v>
                </c:pt>
                <c:pt idx="42">
                  <c:v>34242</c:v>
                </c:pt>
                <c:pt idx="43">
                  <c:v>34273</c:v>
                </c:pt>
                <c:pt idx="44">
                  <c:v>34303</c:v>
                </c:pt>
                <c:pt idx="45">
                  <c:v>34334</c:v>
                </c:pt>
                <c:pt idx="46">
                  <c:v>34365</c:v>
                </c:pt>
                <c:pt idx="47">
                  <c:v>34393</c:v>
                </c:pt>
                <c:pt idx="48">
                  <c:v>34424</c:v>
                </c:pt>
                <c:pt idx="49">
                  <c:v>34454</c:v>
                </c:pt>
                <c:pt idx="50">
                  <c:v>34485</c:v>
                </c:pt>
                <c:pt idx="51">
                  <c:v>34515</c:v>
                </c:pt>
                <c:pt idx="52">
                  <c:v>34546</c:v>
                </c:pt>
                <c:pt idx="53">
                  <c:v>34577</c:v>
                </c:pt>
                <c:pt idx="54">
                  <c:v>34607</c:v>
                </c:pt>
                <c:pt idx="55">
                  <c:v>34638</c:v>
                </c:pt>
                <c:pt idx="56">
                  <c:v>34668</c:v>
                </c:pt>
                <c:pt idx="57">
                  <c:v>34699</c:v>
                </c:pt>
                <c:pt idx="58">
                  <c:v>34730</c:v>
                </c:pt>
                <c:pt idx="59">
                  <c:v>34758</c:v>
                </c:pt>
                <c:pt idx="60">
                  <c:v>34789</c:v>
                </c:pt>
                <c:pt idx="61">
                  <c:v>34819</c:v>
                </c:pt>
                <c:pt idx="62">
                  <c:v>34850</c:v>
                </c:pt>
                <c:pt idx="63">
                  <c:v>34880</c:v>
                </c:pt>
                <c:pt idx="64">
                  <c:v>34911</c:v>
                </c:pt>
                <c:pt idx="65">
                  <c:v>34942</c:v>
                </c:pt>
                <c:pt idx="66">
                  <c:v>34972</c:v>
                </c:pt>
                <c:pt idx="67">
                  <c:v>35003</c:v>
                </c:pt>
                <c:pt idx="68">
                  <c:v>35033</c:v>
                </c:pt>
                <c:pt idx="69">
                  <c:v>35064</c:v>
                </c:pt>
                <c:pt idx="70">
                  <c:v>35095</c:v>
                </c:pt>
                <c:pt idx="71">
                  <c:v>35124</c:v>
                </c:pt>
                <c:pt idx="72">
                  <c:v>35155</c:v>
                </c:pt>
                <c:pt idx="73">
                  <c:v>35185</c:v>
                </c:pt>
                <c:pt idx="74">
                  <c:v>35216</c:v>
                </c:pt>
                <c:pt idx="75">
                  <c:v>35246</c:v>
                </c:pt>
                <c:pt idx="76">
                  <c:v>35277</c:v>
                </c:pt>
                <c:pt idx="77">
                  <c:v>35308</c:v>
                </c:pt>
                <c:pt idx="78">
                  <c:v>35338</c:v>
                </c:pt>
                <c:pt idx="79">
                  <c:v>35369</c:v>
                </c:pt>
                <c:pt idx="80">
                  <c:v>35399</c:v>
                </c:pt>
                <c:pt idx="81">
                  <c:v>35430</c:v>
                </c:pt>
                <c:pt idx="82">
                  <c:v>35461</c:v>
                </c:pt>
                <c:pt idx="83">
                  <c:v>35489</c:v>
                </c:pt>
                <c:pt idx="84">
                  <c:v>35520</c:v>
                </c:pt>
                <c:pt idx="85">
                  <c:v>35550</c:v>
                </c:pt>
                <c:pt idx="86">
                  <c:v>35581</c:v>
                </c:pt>
                <c:pt idx="87">
                  <c:v>35611</c:v>
                </c:pt>
                <c:pt idx="88">
                  <c:v>35642</c:v>
                </c:pt>
                <c:pt idx="89">
                  <c:v>35673</c:v>
                </c:pt>
                <c:pt idx="90">
                  <c:v>35703</c:v>
                </c:pt>
                <c:pt idx="91">
                  <c:v>35734</c:v>
                </c:pt>
                <c:pt idx="92">
                  <c:v>35764</c:v>
                </c:pt>
                <c:pt idx="93">
                  <c:v>35795</c:v>
                </c:pt>
                <c:pt idx="94">
                  <c:v>35826</c:v>
                </c:pt>
                <c:pt idx="95">
                  <c:v>35854</c:v>
                </c:pt>
                <c:pt idx="96">
                  <c:v>35885</c:v>
                </c:pt>
                <c:pt idx="97">
                  <c:v>35915</c:v>
                </c:pt>
                <c:pt idx="98">
                  <c:v>35946</c:v>
                </c:pt>
                <c:pt idx="99">
                  <c:v>35976</c:v>
                </c:pt>
                <c:pt idx="100">
                  <c:v>36007</c:v>
                </c:pt>
                <c:pt idx="101">
                  <c:v>36038</c:v>
                </c:pt>
                <c:pt idx="102">
                  <c:v>36068</c:v>
                </c:pt>
                <c:pt idx="103">
                  <c:v>36099</c:v>
                </c:pt>
                <c:pt idx="104">
                  <c:v>36129</c:v>
                </c:pt>
                <c:pt idx="105">
                  <c:v>36160</c:v>
                </c:pt>
                <c:pt idx="106">
                  <c:v>36191</c:v>
                </c:pt>
                <c:pt idx="107">
                  <c:v>36219</c:v>
                </c:pt>
                <c:pt idx="108">
                  <c:v>36250</c:v>
                </c:pt>
                <c:pt idx="109">
                  <c:v>36280</c:v>
                </c:pt>
                <c:pt idx="110">
                  <c:v>36311</c:v>
                </c:pt>
                <c:pt idx="111">
                  <c:v>36341</c:v>
                </c:pt>
                <c:pt idx="112">
                  <c:v>36372</c:v>
                </c:pt>
                <c:pt idx="113">
                  <c:v>36403</c:v>
                </c:pt>
                <c:pt idx="114">
                  <c:v>36433</c:v>
                </c:pt>
                <c:pt idx="115">
                  <c:v>36464</c:v>
                </c:pt>
                <c:pt idx="116">
                  <c:v>36494</c:v>
                </c:pt>
                <c:pt idx="117">
                  <c:v>36525</c:v>
                </c:pt>
                <c:pt idx="118">
                  <c:v>36556</c:v>
                </c:pt>
                <c:pt idx="119">
                  <c:v>36585</c:v>
                </c:pt>
                <c:pt idx="120">
                  <c:v>36616</c:v>
                </c:pt>
                <c:pt idx="121">
                  <c:v>36646</c:v>
                </c:pt>
                <c:pt idx="122">
                  <c:v>36677</c:v>
                </c:pt>
                <c:pt idx="123">
                  <c:v>36707</c:v>
                </c:pt>
                <c:pt idx="124">
                  <c:v>36738</c:v>
                </c:pt>
                <c:pt idx="125">
                  <c:v>36769</c:v>
                </c:pt>
                <c:pt idx="126">
                  <c:v>36799</c:v>
                </c:pt>
                <c:pt idx="127">
                  <c:v>36830</c:v>
                </c:pt>
                <c:pt idx="128">
                  <c:v>36860</c:v>
                </c:pt>
                <c:pt idx="129">
                  <c:v>36891</c:v>
                </c:pt>
                <c:pt idx="130">
                  <c:v>36922</c:v>
                </c:pt>
                <c:pt idx="131">
                  <c:v>36950</c:v>
                </c:pt>
                <c:pt idx="132">
                  <c:v>36981</c:v>
                </c:pt>
                <c:pt idx="133">
                  <c:v>37011</c:v>
                </c:pt>
                <c:pt idx="134">
                  <c:v>37042</c:v>
                </c:pt>
                <c:pt idx="135">
                  <c:v>37072</c:v>
                </c:pt>
                <c:pt idx="136">
                  <c:v>37103</c:v>
                </c:pt>
                <c:pt idx="137">
                  <c:v>37134</c:v>
                </c:pt>
                <c:pt idx="138">
                  <c:v>37164</c:v>
                </c:pt>
                <c:pt idx="139">
                  <c:v>37195</c:v>
                </c:pt>
                <c:pt idx="140">
                  <c:v>37225</c:v>
                </c:pt>
                <c:pt idx="141">
                  <c:v>37256</c:v>
                </c:pt>
                <c:pt idx="142">
                  <c:v>37287</c:v>
                </c:pt>
                <c:pt idx="143">
                  <c:v>37315</c:v>
                </c:pt>
                <c:pt idx="144">
                  <c:v>37346</c:v>
                </c:pt>
                <c:pt idx="145">
                  <c:v>37376</c:v>
                </c:pt>
                <c:pt idx="146">
                  <c:v>37407</c:v>
                </c:pt>
                <c:pt idx="147">
                  <c:v>37437</c:v>
                </c:pt>
                <c:pt idx="148">
                  <c:v>37468</c:v>
                </c:pt>
                <c:pt idx="149">
                  <c:v>37499</c:v>
                </c:pt>
                <c:pt idx="150">
                  <c:v>37529</c:v>
                </c:pt>
                <c:pt idx="151">
                  <c:v>37560</c:v>
                </c:pt>
                <c:pt idx="152">
                  <c:v>37590</c:v>
                </c:pt>
                <c:pt idx="153">
                  <c:v>37621</c:v>
                </c:pt>
                <c:pt idx="154">
                  <c:v>37652</c:v>
                </c:pt>
                <c:pt idx="155">
                  <c:v>37680</c:v>
                </c:pt>
                <c:pt idx="156">
                  <c:v>37711</c:v>
                </c:pt>
                <c:pt idx="157">
                  <c:v>37741</c:v>
                </c:pt>
                <c:pt idx="158">
                  <c:v>37772</c:v>
                </c:pt>
                <c:pt idx="159">
                  <c:v>37802</c:v>
                </c:pt>
                <c:pt idx="160">
                  <c:v>37833</c:v>
                </c:pt>
                <c:pt idx="161">
                  <c:v>37864</c:v>
                </c:pt>
                <c:pt idx="162">
                  <c:v>37894</c:v>
                </c:pt>
                <c:pt idx="163">
                  <c:v>37925</c:v>
                </c:pt>
                <c:pt idx="164">
                  <c:v>37955</c:v>
                </c:pt>
                <c:pt idx="165">
                  <c:v>37986</c:v>
                </c:pt>
                <c:pt idx="166">
                  <c:v>38017</c:v>
                </c:pt>
                <c:pt idx="167">
                  <c:v>38046</c:v>
                </c:pt>
                <c:pt idx="168">
                  <c:v>38077</c:v>
                </c:pt>
                <c:pt idx="169">
                  <c:v>38107</c:v>
                </c:pt>
                <c:pt idx="170">
                  <c:v>38138</c:v>
                </c:pt>
                <c:pt idx="171">
                  <c:v>38168</c:v>
                </c:pt>
                <c:pt idx="172">
                  <c:v>38199</c:v>
                </c:pt>
                <c:pt idx="173">
                  <c:v>38230</c:v>
                </c:pt>
                <c:pt idx="174">
                  <c:v>38260</c:v>
                </c:pt>
                <c:pt idx="175">
                  <c:v>38291</c:v>
                </c:pt>
                <c:pt idx="176">
                  <c:v>38321</c:v>
                </c:pt>
                <c:pt idx="177">
                  <c:v>38352</c:v>
                </c:pt>
                <c:pt idx="178">
                  <c:v>38383</c:v>
                </c:pt>
                <c:pt idx="179">
                  <c:v>38411</c:v>
                </c:pt>
                <c:pt idx="180">
                  <c:v>38442</c:v>
                </c:pt>
                <c:pt idx="181">
                  <c:v>38472</c:v>
                </c:pt>
                <c:pt idx="182">
                  <c:v>38503</c:v>
                </c:pt>
                <c:pt idx="183">
                  <c:v>38533</c:v>
                </c:pt>
                <c:pt idx="184">
                  <c:v>38564</c:v>
                </c:pt>
                <c:pt idx="185">
                  <c:v>38595</c:v>
                </c:pt>
                <c:pt idx="186">
                  <c:v>38625</c:v>
                </c:pt>
                <c:pt idx="187">
                  <c:v>38656</c:v>
                </c:pt>
                <c:pt idx="188">
                  <c:v>38686</c:v>
                </c:pt>
                <c:pt idx="189">
                  <c:v>38717</c:v>
                </c:pt>
                <c:pt idx="190">
                  <c:v>38748</c:v>
                </c:pt>
                <c:pt idx="191">
                  <c:v>38776</c:v>
                </c:pt>
                <c:pt idx="192">
                  <c:v>38807</c:v>
                </c:pt>
                <c:pt idx="193">
                  <c:v>38837</c:v>
                </c:pt>
                <c:pt idx="194">
                  <c:v>38868</c:v>
                </c:pt>
                <c:pt idx="195">
                  <c:v>38898</c:v>
                </c:pt>
                <c:pt idx="196">
                  <c:v>38929</c:v>
                </c:pt>
                <c:pt idx="197">
                  <c:v>38960</c:v>
                </c:pt>
                <c:pt idx="198">
                  <c:v>38990</c:v>
                </c:pt>
                <c:pt idx="199">
                  <c:v>39021</c:v>
                </c:pt>
                <c:pt idx="200">
                  <c:v>39051</c:v>
                </c:pt>
                <c:pt idx="201">
                  <c:v>39082</c:v>
                </c:pt>
                <c:pt idx="202">
                  <c:v>39113</c:v>
                </c:pt>
                <c:pt idx="203">
                  <c:v>39141</c:v>
                </c:pt>
                <c:pt idx="204">
                  <c:v>39172</c:v>
                </c:pt>
                <c:pt idx="205">
                  <c:v>39202</c:v>
                </c:pt>
                <c:pt idx="206">
                  <c:v>39233</c:v>
                </c:pt>
                <c:pt idx="207">
                  <c:v>39263</c:v>
                </c:pt>
                <c:pt idx="208">
                  <c:v>39294</c:v>
                </c:pt>
                <c:pt idx="209">
                  <c:v>39325</c:v>
                </c:pt>
                <c:pt idx="210">
                  <c:v>39354</c:v>
                </c:pt>
                <c:pt idx="211">
                  <c:v>39386</c:v>
                </c:pt>
                <c:pt idx="212">
                  <c:v>39416</c:v>
                </c:pt>
                <c:pt idx="213">
                  <c:v>39447</c:v>
                </c:pt>
                <c:pt idx="214">
                  <c:v>39478</c:v>
                </c:pt>
                <c:pt idx="215">
                  <c:v>39507</c:v>
                </c:pt>
                <c:pt idx="216">
                  <c:v>39538</c:v>
                </c:pt>
                <c:pt idx="217">
                  <c:v>39568</c:v>
                </c:pt>
                <c:pt idx="218">
                  <c:v>39599</c:v>
                </c:pt>
                <c:pt idx="219">
                  <c:v>39629</c:v>
                </c:pt>
                <c:pt idx="220">
                  <c:v>39660</c:v>
                </c:pt>
                <c:pt idx="221">
                  <c:v>39690</c:v>
                </c:pt>
                <c:pt idx="222">
                  <c:v>39721</c:v>
                </c:pt>
                <c:pt idx="223">
                  <c:v>39752</c:v>
                </c:pt>
                <c:pt idx="224">
                  <c:v>39782</c:v>
                </c:pt>
                <c:pt idx="225">
                  <c:v>39813</c:v>
                </c:pt>
                <c:pt idx="226">
                  <c:v>39844</c:v>
                </c:pt>
                <c:pt idx="227">
                  <c:v>39872</c:v>
                </c:pt>
                <c:pt idx="228">
                  <c:v>39903</c:v>
                </c:pt>
                <c:pt idx="229">
                  <c:v>39933</c:v>
                </c:pt>
                <c:pt idx="230">
                  <c:v>39964</c:v>
                </c:pt>
                <c:pt idx="231">
                  <c:v>39994</c:v>
                </c:pt>
                <c:pt idx="232">
                  <c:v>40025</c:v>
                </c:pt>
                <c:pt idx="233">
                  <c:v>40056</c:v>
                </c:pt>
                <c:pt idx="234">
                  <c:v>40086</c:v>
                </c:pt>
                <c:pt idx="235">
                  <c:v>40117</c:v>
                </c:pt>
                <c:pt idx="236">
                  <c:v>40147</c:v>
                </c:pt>
                <c:pt idx="237">
                  <c:v>40178</c:v>
                </c:pt>
                <c:pt idx="238">
                  <c:v>40209</c:v>
                </c:pt>
                <c:pt idx="239">
                  <c:v>40237</c:v>
                </c:pt>
                <c:pt idx="240">
                  <c:v>40268</c:v>
                </c:pt>
                <c:pt idx="241">
                  <c:v>40298</c:v>
                </c:pt>
                <c:pt idx="242">
                  <c:v>40329</c:v>
                </c:pt>
                <c:pt idx="243">
                  <c:v>40359</c:v>
                </c:pt>
                <c:pt idx="244">
                  <c:v>40390</c:v>
                </c:pt>
                <c:pt idx="245">
                  <c:v>40421</c:v>
                </c:pt>
                <c:pt idx="246">
                  <c:v>40451</c:v>
                </c:pt>
                <c:pt idx="247">
                  <c:v>40482</c:v>
                </c:pt>
                <c:pt idx="248">
                  <c:v>40512</c:v>
                </c:pt>
                <c:pt idx="249">
                  <c:v>40543</c:v>
                </c:pt>
                <c:pt idx="250">
                  <c:v>40574</c:v>
                </c:pt>
                <c:pt idx="251">
                  <c:v>40602</c:v>
                </c:pt>
                <c:pt idx="252">
                  <c:v>40633</c:v>
                </c:pt>
                <c:pt idx="253">
                  <c:v>40663</c:v>
                </c:pt>
                <c:pt idx="254">
                  <c:v>40694</c:v>
                </c:pt>
                <c:pt idx="255">
                  <c:v>40724</c:v>
                </c:pt>
                <c:pt idx="256">
                  <c:v>40755</c:v>
                </c:pt>
                <c:pt idx="257">
                  <c:v>40786</c:v>
                </c:pt>
                <c:pt idx="258">
                  <c:v>40816</c:v>
                </c:pt>
                <c:pt idx="259">
                  <c:v>40847</c:v>
                </c:pt>
                <c:pt idx="260">
                  <c:v>40877</c:v>
                </c:pt>
                <c:pt idx="261">
                  <c:v>40908</c:v>
                </c:pt>
                <c:pt idx="262">
                  <c:v>40939</c:v>
                </c:pt>
                <c:pt idx="263">
                  <c:v>40968</c:v>
                </c:pt>
                <c:pt idx="264">
                  <c:v>40999</c:v>
                </c:pt>
                <c:pt idx="265">
                  <c:v>41029</c:v>
                </c:pt>
                <c:pt idx="266">
                  <c:v>41060</c:v>
                </c:pt>
                <c:pt idx="267">
                  <c:v>41090</c:v>
                </c:pt>
                <c:pt idx="268">
                  <c:v>41121</c:v>
                </c:pt>
                <c:pt idx="269">
                  <c:v>41152</c:v>
                </c:pt>
                <c:pt idx="270">
                  <c:v>41182</c:v>
                </c:pt>
                <c:pt idx="271">
                  <c:v>41213</c:v>
                </c:pt>
                <c:pt idx="272">
                  <c:v>41243</c:v>
                </c:pt>
                <c:pt idx="273">
                  <c:v>41274</c:v>
                </c:pt>
                <c:pt idx="274">
                  <c:v>41305</c:v>
                </c:pt>
                <c:pt idx="275">
                  <c:v>41333</c:v>
                </c:pt>
                <c:pt idx="276">
                  <c:v>41364</c:v>
                </c:pt>
                <c:pt idx="277">
                  <c:v>41394</c:v>
                </c:pt>
                <c:pt idx="278">
                  <c:v>41425</c:v>
                </c:pt>
                <c:pt idx="279">
                  <c:v>41455</c:v>
                </c:pt>
                <c:pt idx="280">
                  <c:v>41486</c:v>
                </c:pt>
                <c:pt idx="281">
                  <c:v>41517</c:v>
                </c:pt>
                <c:pt idx="282">
                  <c:v>41547</c:v>
                </c:pt>
                <c:pt idx="283">
                  <c:v>41578</c:v>
                </c:pt>
                <c:pt idx="284">
                  <c:v>41608</c:v>
                </c:pt>
                <c:pt idx="285">
                  <c:v>41639</c:v>
                </c:pt>
                <c:pt idx="286">
                  <c:v>41670</c:v>
                </c:pt>
                <c:pt idx="287">
                  <c:v>41698</c:v>
                </c:pt>
                <c:pt idx="288">
                  <c:v>41729</c:v>
                </c:pt>
                <c:pt idx="289">
                  <c:v>41759</c:v>
                </c:pt>
                <c:pt idx="290">
                  <c:v>41790</c:v>
                </c:pt>
                <c:pt idx="291">
                  <c:v>41820</c:v>
                </c:pt>
                <c:pt idx="292">
                  <c:v>41851</c:v>
                </c:pt>
                <c:pt idx="293">
                  <c:v>41882</c:v>
                </c:pt>
                <c:pt idx="294">
                  <c:v>41912</c:v>
                </c:pt>
                <c:pt idx="295">
                  <c:v>41943</c:v>
                </c:pt>
                <c:pt idx="296">
                  <c:v>41973</c:v>
                </c:pt>
                <c:pt idx="297">
                  <c:v>42004</c:v>
                </c:pt>
                <c:pt idx="298">
                  <c:v>42035</c:v>
                </c:pt>
                <c:pt idx="299">
                  <c:v>42063</c:v>
                </c:pt>
                <c:pt idx="300">
                  <c:v>42094</c:v>
                </c:pt>
                <c:pt idx="301">
                  <c:v>42124</c:v>
                </c:pt>
                <c:pt idx="302">
                  <c:v>42155</c:v>
                </c:pt>
                <c:pt idx="303">
                  <c:v>42185</c:v>
                </c:pt>
                <c:pt idx="304">
                  <c:v>42216</c:v>
                </c:pt>
                <c:pt idx="305">
                  <c:v>42247</c:v>
                </c:pt>
                <c:pt idx="306">
                  <c:v>42277</c:v>
                </c:pt>
                <c:pt idx="307">
                  <c:v>42308</c:v>
                </c:pt>
                <c:pt idx="308">
                  <c:v>42338</c:v>
                </c:pt>
                <c:pt idx="309">
                  <c:v>42369</c:v>
                </c:pt>
                <c:pt idx="310">
                  <c:v>42400</c:v>
                </c:pt>
                <c:pt idx="311">
                  <c:v>42429</c:v>
                </c:pt>
                <c:pt idx="312">
                  <c:v>42460</c:v>
                </c:pt>
                <c:pt idx="313">
                  <c:v>42490</c:v>
                </c:pt>
                <c:pt idx="314">
                  <c:v>42521</c:v>
                </c:pt>
                <c:pt idx="315">
                  <c:v>42551</c:v>
                </c:pt>
                <c:pt idx="316">
                  <c:v>42582</c:v>
                </c:pt>
                <c:pt idx="317">
                  <c:v>42613</c:v>
                </c:pt>
                <c:pt idx="318">
                  <c:v>42643</c:v>
                </c:pt>
                <c:pt idx="319">
                  <c:v>42674</c:v>
                </c:pt>
                <c:pt idx="320">
                  <c:v>42704</c:v>
                </c:pt>
                <c:pt idx="321">
                  <c:v>42735</c:v>
                </c:pt>
                <c:pt idx="322">
                  <c:v>42766</c:v>
                </c:pt>
                <c:pt idx="323">
                  <c:v>42794</c:v>
                </c:pt>
                <c:pt idx="324">
                  <c:v>42825</c:v>
                </c:pt>
                <c:pt idx="325">
                  <c:v>42855</c:v>
                </c:pt>
                <c:pt idx="326">
                  <c:v>42886</c:v>
                </c:pt>
                <c:pt idx="327">
                  <c:v>42916</c:v>
                </c:pt>
                <c:pt idx="328">
                  <c:v>42947</c:v>
                </c:pt>
                <c:pt idx="329">
                  <c:v>42978</c:v>
                </c:pt>
                <c:pt idx="330">
                  <c:v>43008</c:v>
                </c:pt>
                <c:pt idx="331">
                  <c:v>43039</c:v>
                </c:pt>
                <c:pt idx="332">
                  <c:v>43069</c:v>
                </c:pt>
                <c:pt idx="333">
                  <c:v>43100</c:v>
                </c:pt>
                <c:pt idx="334">
                  <c:v>43131</c:v>
                </c:pt>
                <c:pt idx="335">
                  <c:v>43159</c:v>
                </c:pt>
                <c:pt idx="336">
                  <c:v>43190</c:v>
                </c:pt>
                <c:pt idx="337">
                  <c:v>43220</c:v>
                </c:pt>
                <c:pt idx="338">
                  <c:v>43251</c:v>
                </c:pt>
                <c:pt idx="339">
                  <c:v>43281</c:v>
                </c:pt>
                <c:pt idx="340">
                  <c:v>43312</c:v>
                </c:pt>
                <c:pt idx="341">
                  <c:v>43343</c:v>
                </c:pt>
                <c:pt idx="342">
                  <c:v>43373</c:v>
                </c:pt>
                <c:pt idx="343">
                  <c:v>43404</c:v>
                </c:pt>
                <c:pt idx="344">
                  <c:v>43434</c:v>
                </c:pt>
                <c:pt idx="345">
                  <c:v>43465</c:v>
                </c:pt>
                <c:pt idx="346">
                  <c:v>43496</c:v>
                </c:pt>
                <c:pt idx="347">
                  <c:v>43524</c:v>
                </c:pt>
                <c:pt idx="348">
                  <c:v>43555</c:v>
                </c:pt>
                <c:pt idx="349">
                  <c:v>43585</c:v>
                </c:pt>
                <c:pt idx="350">
                  <c:v>43616</c:v>
                </c:pt>
                <c:pt idx="351">
                  <c:v>43646</c:v>
                </c:pt>
                <c:pt idx="352">
                  <c:v>43677</c:v>
                </c:pt>
                <c:pt idx="353">
                  <c:v>43708</c:v>
                </c:pt>
                <c:pt idx="354">
                  <c:v>43738</c:v>
                </c:pt>
                <c:pt idx="355">
                  <c:v>43769</c:v>
                </c:pt>
                <c:pt idx="356">
                  <c:v>43799</c:v>
                </c:pt>
                <c:pt idx="357">
                  <c:v>43830</c:v>
                </c:pt>
                <c:pt idx="358">
                  <c:v>43861</c:v>
                </c:pt>
                <c:pt idx="359">
                  <c:v>43890</c:v>
                </c:pt>
                <c:pt idx="360">
                  <c:v>43921</c:v>
                </c:pt>
                <c:pt idx="361">
                  <c:v>43951</c:v>
                </c:pt>
                <c:pt idx="362">
                  <c:v>43982</c:v>
                </c:pt>
                <c:pt idx="363">
                  <c:v>44012</c:v>
                </c:pt>
                <c:pt idx="364">
                  <c:v>44043</c:v>
                </c:pt>
                <c:pt idx="365">
                  <c:v>44074</c:v>
                </c:pt>
                <c:pt idx="366">
                  <c:v>44104</c:v>
                </c:pt>
                <c:pt idx="367">
                  <c:v>44135</c:v>
                </c:pt>
                <c:pt idx="368">
                  <c:v>44165</c:v>
                </c:pt>
                <c:pt idx="369">
                  <c:v>44196</c:v>
                </c:pt>
                <c:pt idx="370">
                  <c:v>44227</c:v>
                </c:pt>
                <c:pt idx="371">
                  <c:v>44255</c:v>
                </c:pt>
                <c:pt idx="372">
                  <c:v>44286</c:v>
                </c:pt>
                <c:pt idx="373">
                  <c:v>44316</c:v>
                </c:pt>
                <c:pt idx="374">
                  <c:v>44347</c:v>
                </c:pt>
                <c:pt idx="375">
                  <c:v>44377</c:v>
                </c:pt>
                <c:pt idx="376">
                  <c:v>44408</c:v>
                </c:pt>
                <c:pt idx="377">
                  <c:v>44439</c:v>
                </c:pt>
                <c:pt idx="378">
                  <c:v>44469</c:v>
                </c:pt>
                <c:pt idx="379">
                  <c:v>44500</c:v>
                </c:pt>
                <c:pt idx="380">
                  <c:v>44530</c:v>
                </c:pt>
                <c:pt idx="381">
                  <c:v>44561</c:v>
                </c:pt>
                <c:pt idx="382">
                  <c:v>44592</c:v>
                </c:pt>
                <c:pt idx="383">
                  <c:v>44620</c:v>
                </c:pt>
                <c:pt idx="384">
                  <c:v>44651</c:v>
                </c:pt>
                <c:pt idx="385">
                  <c:v>44681</c:v>
                </c:pt>
                <c:pt idx="386">
                  <c:v>44712</c:v>
                </c:pt>
                <c:pt idx="387">
                  <c:v>44742</c:v>
                </c:pt>
                <c:pt idx="388">
                  <c:v>44773</c:v>
                </c:pt>
                <c:pt idx="389">
                  <c:v>44804</c:v>
                </c:pt>
                <c:pt idx="390">
                  <c:v>44834</c:v>
                </c:pt>
                <c:pt idx="391">
                  <c:v>44865</c:v>
                </c:pt>
                <c:pt idx="392">
                  <c:v>44895</c:v>
                </c:pt>
                <c:pt idx="393">
                  <c:v>44926</c:v>
                </c:pt>
                <c:pt idx="394">
                  <c:v>44957</c:v>
                </c:pt>
                <c:pt idx="395">
                  <c:v>44985</c:v>
                </c:pt>
                <c:pt idx="396">
                  <c:v>45016</c:v>
                </c:pt>
                <c:pt idx="397">
                  <c:v>45046</c:v>
                </c:pt>
                <c:pt idx="398">
                  <c:v>45077</c:v>
                </c:pt>
                <c:pt idx="399">
                  <c:v>45107</c:v>
                </c:pt>
                <c:pt idx="400">
                  <c:v>45138</c:v>
                </c:pt>
                <c:pt idx="401">
                  <c:v>45169</c:v>
                </c:pt>
                <c:pt idx="402">
                  <c:v>45199</c:v>
                </c:pt>
                <c:pt idx="403">
                  <c:v>45230</c:v>
                </c:pt>
                <c:pt idx="404">
                  <c:v>45260</c:v>
                </c:pt>
                <c:pt idx="405">
                  <c:v>45291</c:v>
                </c:pt>
                <c:pt idx="406">
                  <c:v>45322</c:v>
                </c:pt>
                <c:pt idx="407">
                  <c:v>45351</c:v>
                </c:pt>
                <c:pt idx="408">
                  <c:v>45382</c:v>
                </c:pt>
                <c:pt idx="409">
                  <c:v>45412</c:v>
                </c:pt>
                <c:pt idx="410">
                  <c:v>45443</c:v>
                </c:pt>
                <c:pt idx="411">
                  <c:v>45473</c:v>
                </c:pt>
                <c:pt idx="412">
                  <c:v>45504</c:v>
                </c:pt>
                <c:pt idx="413">
                  <c:v>45534</c:v>
                </c:pt>
                <c:pt idx="414">
                  <c:v>45565</c:v>
                </c:pt>
                <c:pt idx="415">
                  <c:v>45596</c:v>
                </c:pt>
                <c:pt idx="416">
                  <c:v>45626</c:v>
                </c:pt>
                <c:pt idx="417">
                  <c:v>45657</c:v>
                </c:pt>
                <c:pt idx="418">
                  <c:v>45688</c:v>
                </c:pt>
                <c:pt idx="419">
                  <c:v>45716</c:v>
                </c:pt>
              </c:numCache>
            </c:numRef>
          </c:cat>
          <c:val>
            <c:numRef>
              <c:f>US!$Y$5:$Y$532</c:f>
              <c:numCache>
                <c:formatCode>General</c:formatCode>
                <c:ptCount val="52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7.8574534157491591E-2</c:v>
                </c:pt>
                <c:pt idx="6">
                  <c:v>-0.17059032694102988</c:v>
                </c:pt>
                <c:pt idx="7">
                  <c:v>-0.35846023954129352</c:v>
                </c:pt>
                <c:pt idx="8">
                  <c:v>-0.49347037128994553</c:v>
                </c:pt>
                <c:pt idx="9">
                  <c:v>-0.57870526514937692</c:v>
                </c:pt>
                <c:pt idx="10">
                  <c:v>-0.60437600369638655</c:v>
                </c:pt>
                <c:pt idx="11">
                  <c:v>-0.61925060108889607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1.8474756541120921E-2</c:v>
                </c:pt>
                <c:pt idx="21">
                  <c:v>-3.7633681118553086E-2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5.5843942895065779E-2</c:v>
                </c:pt>
                <c:pt idx="129">
                  <c:v>-1.2136261739118914E-2</c:v>
                </c:pt>
                <c:pt idx="130">
                  <c:v>-0.10269356396165186</c:v>
                </c:pt>
                <c:pt idx="131">
                  <c:v>-0.17931587345985381</c:v>
                </c:pt>
                <c:pt idx="132">
                  <c:v>-0.3083103813419773</c:v>
                </c:pt>
                <c:pt idx="133">
                  <c:v>-0.37255047743224101</c:v>
                </c:pt>
                <c:pt idx="134">
                  <c:v>-0.37904357409132511</c:v>
                </c:pt>
                <c:pt idx="135">
                  <c:v>-0.40522957320257025</c:v>
                </c:pt>
                <c:pt idx="136">
                  <c:v>-0.42373075483983763</c:v>
                </c:pt>
                <c:pt idx="137">
                  <c:v>-0.44351709221048397</c:v>
                </c:pt>
                <c:pt idx="138">
                  <c:v>-0.58130294640084579</c:v>
                </c:pt>
                <c:pt idx="139">
                  <c:v>-0.6492288070016683</c:v>
                </c:pt>
                <c:pt idx="140">
                  <c:v>-0.66044177246073843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-0.20011373830620693</c:v>
                </c:pt>
                <c:pt idx="148">
                  <c:v>-0.24669129811621068</c:v>
                </c:pt>
                <c:pt idx="149">
                  <c:v>-0.41748669232497576</c:v>
                </c:pt>
                <c:pt idx="150">
                  <c:v>-0.48777780181343722</c:v>
                </c:pt>
                <c:pt idx="151">
                  <c:v>-0.4917122123131023</c:v>
                </c:pt>
                <c:pt idx="152">
                  <c:v>-0.44545572814221113</c:v>
                </c:pt>
                <c:pt idx="153">
                  <c:v>-0.44957396662869265</c:v>
                </c:pt>
                <c:pt idx="154">
                  <c:v>-0.41065178485401144</c:v>
                </c:pt>
                <c:pt idx="155">
                  <c:v>-0.43561587830564769</c:v>
                </c:pt>
                <c:pt idx="156">
                  <c:v>-0.47231712568432571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0.19864892666389034</c:v>
                </c:pt>
                <c:pt idx="209">
                  <c:v>-2.8746790114216741E-3</c:v>
                </c:pt>
                <c:pt idx="210">
                  <c:v>-9.0332603902257405E-2</c:v>
                </c:pt>
                <c:pt idx="211">
                  <c:v>-0.11132893883556857</c:v>
                </c:pt>
                <c:pt idx="212">
                  <c:v>-0.37684367590992174</c:v>
                </c:pt>
                <c:pt idx="213">
                  <c:v>-0.46096332167560722</c:v>
                </c:pt>
                <c:pt idx="214">
                  <c:v>-0.56320520851394829</c:v>
                </c:pt>
                <c:pt idx="215">
                  <c:v>-0.69494972104763186</c:v>
                </c:pt>
                <c:pt idx="216">
                  <c:v>-0.81604164568236848</c:v>
                </c:pt>
                <c:pt idx="217">
                  <c:v>-0.88759574624125182</c:v>
                </c:pt>
                <c:pt idx="218">
                  <c:v>-0.91457535313898042</c:v>
                </c:pt>
                <c:pt idx="219">
                  <c:v>-0.96888126916627104</c:v>
                </c:pt>
                <c:pt idx="220">
                  <c:v>-1.0417229190104655</c:v>
                </c:pt>
                <c:pt idx="221">
                  <c:v>-1.1335138713558572</c:v>
                </c:pt>
                <c:pt idx="222">
                  <c:v>-1.3636009015069095</c:v>
                </c:pt>
                <c:pt idx="223">
                  <c:v>-1.5005596710919022</c:v>
                </c:pt>
                <c:pt idx="224">
                  <c:v>-1.6446805723518763</c:v>
                </c:pt>
                <c:pt idx="225">
                  <c:v>-1.7277029789787808</c:v>
                </c:pt>
                <c:pt idx="226">
                  <c:v>-1.7730227226758322</c:v>
                </c:pt>
                <c:pt idx="227">
                  <c:v>-1.7849639860088202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0.10208914766749812</c:v>
                </c:pt>
                <c:pt idx="243">
                  <c:v>-9.8127822520947705E-2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4.6463859468734589E-2</c:v>
                </c:pt>
                <c:pt idx="257">
                  <c:v>-1.5885291388945677E-2</c:v>
                </c:pt>
                <c:pt idx="258">
                  <c:v>-0.26580831028718965</c:v>
                </c:pt>
                <c:pt idx="259">
                  <c:v>-0.25851528802516227</c:v>
                </c:pt>
                <c:pt idx="260">
                  <c:v>-0.27482015652435687</c:v>
                </c:pt>
                <c:pt idx="261">
                  <c:v>#N/A</c:v>
                </c:pt>
                <c:pt idx="262">
                  <c:v>#N/A</c:v>
                </c:pt>
                <c:pt idx="263">
                  <c:v>-0.18894680615799225</c:v>
                </c:pt>
                <c:pt idx="264">
                  <c:v>-0.19037434304983719</c:v>
                </c:pt>
                <c:pt idx="265">
                  <c:v>-1.1826769246228261E-2</c:v>
                </c:pt>
                <c:pt idx="266">
                  <c:v>-7.016253932923501E-2</c:v>
                </c:pt>
                <c:pt idx="267">
                  <c:v>-0.11884076130222124</c:v>
                </c:pt>
                <c:pt idx="268">
                  <c:v>-0.15622639092199728</c:v>
                </c:pt>
                <c:pt idx="269">
                  <c:v>-0.17138842200922805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7.1140447708607016E-3</c:v>
                </c:pt>
                <c:pt idx="310">
                  <c:v>-3.2808118524709738E-3</c:v>
                </c:pt>
                <c:pt idx="311">
                  <c:v>-4.8369005474516759E-2</c:v>
                </c:pt>
                <c:pt idx="312">
                  <c:v>-7.7788439823370401E-2</c:v>
                </c:pt>
                <c:pt idx="313">
                  <c:v>-8.4816453337346165E-2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1.4452549188972161E-2</c:v>
                </c:pt>
                <c:pt idx="319">
                  <c:v>-5.2543209662485463E-3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0.1178633550604076</c:v>
                </c:pt>
                <c:pt idx="359">
                  <c:v>-0.14823624946123959</c:v>
                </c:pt>
                <c:pt idx="360">
                  <c:v>-0.98080310302961815</c:v>
                </c:pt>
                <c:pt idx="361">
                  <c:v>-1.1038386440819632</c:v>
                </c:pt>
                <c:pt idx="362">
                  <c:v>-1.1879401074180371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2.0997361355515623E-2</c:v>
                </c:pt>
                <c:pt idx="390">
                  <c:v>-5.4394491176260877E-2</c:v>
                </c:pt>
                <c:pt idx="391">
                  <c:v>-0.13621908187284471</c:v>
                </c:pt>
                <c:pt idx="392">
                  <c:v>-0.20520711717544765</c:v>
                </c:pt>
                <c:pt idx="393">
                  <c:v>-0.2345410715077178</c:v>
                </c:pt>
                <c:pt idx="394">
                  <c:v>#N/A</c:v>
                </c:pt>
                <c:pt idx="395">
                  <c:v>-0.1666881128406239</c:v>
                </c:pt>
                <c:pt idx="396">
                  <c:v>-0.24043602795377336</c:v>
                </c:pt>
                <c:pt idx="397">
                  <c:v>-0.24826633021422068</c:v>
                </c:pt>
                <c:pt idx="398">
                  <c:v>-0.29581729428498599</c:v>
                </c:pt>
                <c:pt idx="399">
                  <c:v>#N/A</c:v>
                </c:pt>
                <c:pt idx="400">
                  <c:v>#N/A</c:v>
                </c:pt>
                <c:pt idx="401">
                  <c:v>-0.14136988794276995</c:v>
                </c:pt>
                <c:pt idx="402">
                  <c:v>-0.15145698965180779</c:v>
                </c:pt>
                <c:pt idx="403">
                  <c:v>-0.21190400282831531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B5-4297-897D-6204D44D1E25}"/>
            </c:ext>
          </c:extLst>
        </c:ser>
        <c:ser>
          <c:idx val="3"/>
          <c:order val="3"/>
          <c:tx>
            <c:strRef>
              <c:f>US!$Z$4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Pt>
            <c:idx val="1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657E-430E-934D-A731DC024F87}"/>
              </c:ext>
            </c:extLst>
          </c:dPt>
          <c:cat>
            <c:numRef>
              <c:f>US!$V$5:$V$532</c:f>
              <c:numCache>
                <c:formatCode>m/d/yyyy</c:formatCode>
                <c:ptCount val="528"/>
                <c:pt idx="0">
                  <c:v>32963</c:v>
                </c:pt>
                <c:pt idx="1">
                  <c:v>32993</c:v>
                </c:pt>
                <c:pt idx="2">
                  <c:v>33024</c:v>
                </c:pt>
                <c:pt idx="3">
                  <c:v>33054</c:v>
                </c:pt>
                <c:pt idx="4">
                  <c:v>33085</c:v>
                </c:pt>
                <c:pt idx="5">
                  <c:v>33116</c:v>
                </c:pt>
                <c:pt idx="6">
                  <c:v>33146</c:v>
                </c:pt>
                <c:pt idx="7">
                  <c:v>33177</c:v>
                </c:pt>
                <c:pt idx="8">
                  <c:v>33207</c:v>
                </c:pt>
                <c:pt idx="9">
                  <c:v>33238</c:v>
                </c:pt>
                <c:pt idx="10">
                  <c:v>33269</c:v>
                </c:pt>
                <c:pt idx="11">
                  <c:v>33297</c:v>
                </c:pt>
                <c:pt idx="12">
                  <c:v>33328</c:v>
                </c:pt>
                <c:pt idx="13">
                  <c:v>33358</c:v>
                </c:pt>
                <c:pt idx="14">
                  <c:v>33389</c:v>
                </c:pt>
                <c:pt idx="15">
                  <c:v>33419</c:v>
                </c:pt>
                <c:pt idx="16">
                  <c:v>33450</c:v>
                </c:pt>
                <c:pt idx="17">
                  <c:v>33481</c:v>
                </c:pt>
                <c:pt idx="18">
                  <c:v>33511</c:v>
                </c:pt>
                <c:pt idx="19">
                  <c:v>33542</c:v>
                </c:pt>
                <c:pt idx="20">
                  <c:v>33572</c:v>
                </c:pt>
                <c:pt idx="21">
                  <c:v>33603</c:v>
                </c:pt>
                <c:pt idx="22">
                  <c:v>33634</c:v>
                </c:pt>
                <c:pt idx="23">
                  <c:v>33663</c:v>
                </c:pt>
                <c:pt idx="24">
                  <c:v>33694</c:v>
                </c:pt>
                <c:pt idx="25">
                  <c:v>33724</c:v>
                </c:pt>
                <c:pt idx="26">
                  <c:v>33755</c:v>
                </c:pt>
                <c:pt idx="27">
                  <c:v>33785</c:v>
                </c:pt>
                <c:pt idx="28">
                  <c:v>33816</c:v>
                </c:pt>
                <c:pt idx="29">
                  <c:v>33847</c:v>
                </c:pt>
                <c:pt idx="30">
                  <c:v>33877</c:v>
                </c:pt>
                <c:pt idx="31">
                  <c:v>33908</c:v>
                </c:pt>
                <c:pt idx="32">
                  <c:v>33938</c:v>
                </c:pt>
                <c:pt idx="33">
                  <c:v>33969</c:v>
                </c:pt>
                <c:pt idx="34">
                  <c:v>34000</c:v>
                </c:pt>
                <c:pt idx="35">
                  <c:v>34028</c:v>
                </c:pt>
                <c:pt idx="36">
                  <c:v>34059</c:v>
                </c:pt>
                <c:pt idx="37">
                  <c:v>34089</c:v>
                </c:pt>
                <c:pt idx="38">
                  <c:v>34120</c:v>
                </c:pt>
                <c:pt idx="39">
                  <c:v>34150</c:v>
                </c:pt>
                <c:pt idx="40">
                  <c:v>34181</c:v>
                </c:pt>
                <c:pt idx="41">
                  <c:v>34212</c:v>
                </c:pt>
                <c:pt idx="42">
                  <c:v>34242</c:v>
                </c:pt>
                <c:pt idx="43">
                  <c:v>34273</c:v>
                </c:pt>
                <c:pt idx="44">
                  <c:v>34303</c:v>
                </c:pt>
                <c:pt idx="45">
                  <c:v>34334</c:v>
                </c:pt>
                <c:pt idx="46">
                  <c:v>34365</c:v>
                </c:pt>
                <c:pt idx="47">
                  <c:v>34393</c:v>
                </c:pt>
                <c:pt idx="48">
                  <c:v>34424</c:v>
                </c:pt>
                <c:pt idx="49">
                  <c:v>34454</c:v>
                </c:pt>
                <c:pt idx="50">
                  <c:v>34485</c:v>
                </c:pt>
                <c:pt idx="51">
                  <c:v>34515</c:v>
                </c:pt>
                <c:pt idx="52">
                  <c:v>34546</c:v>
                </c:pt>
                <c:pt idx="53">
                  <c:v>34577</c:v>
                </c:pt>
                <c:pt idx="54">
                  <c:v>34607</c:v>
                </c:pt>
                <c:pt idx="55">
                  <c:v>34638</c:v>
                </c:pt>
                <c:pt idx="56">
                  <c:v>34668</c:v>
                </c:pt>
                <c:pt idx="57">
                  <c:v>34699</c:v>
                </c:pt>
                <c:pt idx="58">
                  <c:v>34730</c:v>
                </c:pt>
                <c:pt idx="59">
                  <c:v>34758</c:v>
                </c:pt>
                <c:pt idx="60">
                  <c:v>34789</c:v>
                </c:pt>
                <c:pt idx="61">
                  <c:v>34819</c:v>
                </c:pt>
                <c:pt idx="62">
                  <c:v>34850</c:v>
                </c:pt>
                <c:pt idx="63">
                  <c:v>34880</c:v>
                </c:pt>
                <c:pt idx="64">
                  <c:v>34911</c:v>
                </c:pt>
                <c:pt idx="65">
                  <c:v>34942</c:v>
                </c:pt>
                <c:pt idx="66">
                  <c:v>34972</c:v>
                </c:pt>
                <c:pt idx="67">
                  <c:v>35003</c:v>
                </c:pt>
                <c:pt idx="68">
                  <c:v>35033</c:v>
                </c:pt>
                <c:pt idx="69">
                  <c:v>35064</c:v>
                </c:pt>
                <c:pt idx="70">
                  <c:v>35095</c:v>
                </c:pt>
                <c:pt idx="71">
                  <c:v>35124</c:v>
                </c:pt>
                <c:pt idx="72">
                  <c:v>35155</c:v>
                </c:pt>
                <c:pt idx="73">
                  <c:v>35185</c:v>
                </c:pt>
                <c:pt idx="74">
                  <c:v>35216</c:v>
                </c:pt>
                <c:pt idx="75">
                  <c:v>35246</c:v>
                </c:pt>
                <c:pt idx="76">
                  <c:v>35277</c:v>
                </c:pt>
                <c:pt idx="77">
                  <c:v>35308</c:v>
                </c:pt>
                <c:pt idx="78">
                  <c:v>35338</c:v>
                </c:pt>
                <c:pt idx="79">
                  <c:v>35369</c:v>
                </c:pt>
                <c:pt idx="80">
                  <c:v>35399</c:v>
                </c:pt>
                <c:pt idx="81">
                  <c:v>35430</c:v>
                </c:pt>
                <c:pt idx="82">
                  <c:v>35461</c:v>
                </c:pt>
                <c:pt idx="83">
                  <c:v>35489</c:v>
                </c:pt>
                <c:pt idx="84">
                  <c:v>35520</c:v>
                </c:pt>
                <c:pt idx="85">
                  <c:v>35550</c:v>
                </c:pt>
                <c:pt idx="86">
                  <c:v>35581</c:v>
                </c:pt>
                <c:pt idx="87">
                  <c:v>35611</c:v>
                </c:pt>
                <c:pt idx="88">
                  <c:v>35642</c:v>
                </c:pt>
                <c:pt idx="89">
                  <c:v>35673</c:v>
                </c:pt>
                <c:pt idx="90">
                  <c:v>35703</c:v>
                </c:pt>
                <c:pt idx="91">
                  <c:v>35734</c:v>
                </c:pt>
                <c:pt idx="92">
                  <c:v>35764</c:v>
                </c:pt>
                <c:pt idx="93">
                  <c:v>35795</c:v>
                </c:pt>
                <c:pt idx="94">
                  <c:v>35826</c:v>
                </c:pt>
                <c:pt idx="95">
                  <c:v>35854</c:v>
                </c:pt>
                <c:pt idx="96">
                  <c:v>35885</c:v>
                </c:pt>
                <c:pt idx="97">
                  <c:v>35915</c:v>
                </c:pt>
                <c:pt idx="98">
                  <c:v>35946</c:v>
                </c:pt>
                <c:pt idx="99">
                  <c:v>35976</c:v>
                </c:pt>
                <c:pt idx="100">
                  <c:v>36007</c:v>
                </c:pt>
                <c:pt idx="101">
                  <c:v>36038</c:v>
                </c:pt>
                <c:pt idx="102">
                  <c:v>36068</c:v>
                </c:pt>
                <c:pt idx="103">
                  <c:v>36099</c:v>
                </c:pt>
                <c:pt idx="104">
                  <c:v>36129</c:v>
                </c:pt>
                <c:pt idx="105">
                  <c:v>36160</c:v>
                </c:pt>
                <c:pt idx="106">
                  <c:v>36191</c:v>
                </c:pt>
                <c:pt idx="107">
                  <c:v>36219</c:v>
                </c:pt>
                <c:pt idx="108">
                  <c:v>36250</c:v>
                </c:pt>
                <c:pt idx="109">
                  <c:v>36280</c:v>
                </c:pt>
                <c:pt idx="110">
                  <c:v>36311</c:v>
                </c:pt>
                <c:pt idx="111">
                  <c:v>36341</c:v>
                </c:pt>
                <c:pt idx="112">
                  <c:v>36372</c:v>
                </c:pt>
                <c:pt idx="113">
                  <c:v>36403</c:v>
                </c:pt>
                <c:pt idx="114">
                  <c:v>36433</c:v>
                </c:pt>
                <c:pt idx="115">
                  <c:v>36464</c:v>
                </c:pt>
                <c:pt idx="116">
                  <c:v>36494</c:v>
                </c:pt>
                <c:pt idx="117">
                  <c:v>36525</c:v>
                </c:pt>
                <c:pt idx="118">
                  <c:v>36556</c:v>
                </c:pt>
                <c:pt idx="119">
                  <c:v>36585</c:v>
                </c:pt>
                <c:pt idx="120">
                  <c:v>36616</c:v>
                </c:pt>
                <c:pt idx="121">
                  <c:v>36646</c:v>
                </c:pt>
                <c:pt idx="122">
                  <c:v>36677</c:v>
                </c:pt>
                <c:pt idx="123">
                  <c:v>36707</c:v>
                </c:pt>
                <c:pt idx="124">
                  <c:v>36738</c:v>
                </c:pt>
                <c:pt idx="125">
                  <c:v>36769</c:v>
                </c:pt>
                <c:pt idx="126">
                  <c:v>36799</c:v>
                </c:pt>
                <c:pt idx="127">
                  <c:v>36830</c:v>
                </c:pt>
                <c:pt idx="128">
                  <c:v>36860</c:v>
                </c:pt>
                <c:pt idx="129">
                  <c:v>36891</c:v>
                </c:pt>
                <c:pt idx="130">
                  <c:v>36922</c:v>
                </c:pt>
                <c:pt idx="131">
                  <c:v>36950</c:v>
                </c:pt>
                <c:pt idx="132">
                  <c:v>36981</c:v>
                </c:pt>
                <c:pt idx="133">
                  <c:v>37011</c:v>
                </c:pt>
                <c:pt idx="134">
                  <c:v>37042</c:v>
                </c:pt>
                <c:pt idx="135">
                  <c:v>37072</c:v>
                </c:pt>
                <c:pt idx="136">
                  <c:v>37103</c:v>
                </c:pt>
                <c:pt idx="137">
                  <c:v>37134</c:v>
                </c:pt>
                <c:pt idx="138">
                  <c:v>37164</c:v>
                </c:pt>
                <c:pt idx="139">
                  <c:v>37195</c:v>
                </c:pt>
                <c:pt idx="140">
                  <c:v>37225</c:v>
                </c:pt>
                <c:pt idx="141">
                  <c:v>37256</c:v>
                </c:pt>
                <c:pt idx="142">
                  <c:v>37287</c:v>
                </c:pt>
                <c:pt idx="143">
                  <c:v>37315</c:v>
                </c:pt>
                <c:pt idx="144">
                  <c:v>37346</c:v>
                </c:pt>
                <c:pt idx="145">
                  <c:v>37376</c:v>
                </c:pt>
                <c:pt idx="146">
                  <c:v>37407</c:v>
                </c:pt>
                <c:pt idx="147">
                  <c:v>37437</c:v>
                </c:pt>
                <c:pt idx="148">
                  <c:v>37468</c:v>
                </c:pt>
                <c:pt idx="149">
                  <c:v>37499</c:v>
                </c:pt>
                <c:pt idx="150">
                  <c:v>37529</c:v>
                </c:pt>
                <c:pt idx="151">
                  <c:v>37560</c:v>
                </c:pt>
                <c:pt idx="152">
                  <c:v>37590</c:v>
                </c:pt>
                <c:pt idx="153">
                  <c:v>37621</c:v>
                </c:pt>
                <c:pt idx="154">
                  <c:v>37652</c:v>
                </c:pt>
                <c:pt idx="155">
                  <c:v>37680</c:v>
                </c:pt>
                <c:pt idx="156">
                  <c:v>37711</c:v>
                </c:pt>
                <c:pt idx="157">
                  <c:v>37741</c:v>
                </c:pt>
                <c:pt idx="158">
                  <c:v>37772</c:v>
                </c:pt>
                <c:pt idx="159">
                  <c:v>37802</c:v>
                </c:pt>
                <c:pt idx="160">
                  <c:v>37833</c:v>
                </c:pt>
                <c:pt idx="161">
                  <c:v>37864</c:v>
                </c:pt>
                <c:pt idx="162">
                  <c:v>37894</c:v>
                </c:pt>
                <c:pt idx="163">
                  <c:v>37925</c:v>
                </c:pt>
                <c:pt idx="164">
                  <c:v>37955</c:v>
                </c:pt>
                <c:pt idx="165">
                  <c:v>37986</c:v>
                </c:pt>
                <c:pt idx="166">
                  <c:v>38017</c:v>
                </c:pt>
                <c:pt idx="167">
                  <c:v>38046</c:v>
                </c:pt>
                <c:pt idx="168">
                  <c:v>38077</c:v>
                </c:pt>
                <c:pt idx="169">
                  <c:v>38107</c:v>
                </c:pt>
                <c:pt idx="170">
                  <c:v>38138</c:v>
                </c:pt>
                <c:pt idx="171">
                  <c:v>38168</c:v>
                </c:pt>
                <c:pt idx="172">
                  <c:v>38199</c:v>
                </c:pt>
                <c:pt idx="173">
                  <c:v>38230</c:v>
                </c:pt>
                <c:pt idx="174">
                  <c:v>38260</c:v>
                </c:pt>
                <c:pt idx="175">
                  <c:v>38291</c:v>
                </c:pt>
                <c:pt idx="176">
                  <c:v>38321</c:v>
                </c:pt>
                <c:pt idx="177">
                  <c:v>38352</c:v>
                </c:pt>
                <c:pt idx="178">
                  <c:v>38383</c:v>
                </c:pt>
                <c:pt idx="179">
                  <c:v>38411</c:v>
                </c:pt>
                <c:pt idx="180">
                  <c:v>38442</c:v>
                </c:pt>
                <c:pt idx="181">
                  <c:v>38472</c:v>
                </c:pt>
                <c:pt idx="182">
                  <c:v>38503</c:v>
                </c:pt>
                <c:pt idx="183">
                  <c:v>38533</c:v>
                </c:pt>
                <c:pt idx="184">
                  <c:v>38564</c:v>
                </c:pt>
                <c:pt idx="185">
                  <c:v>38595</c:v>
                </c:pt>
                <c:pt idx="186">
                  <c:v>38625</c:v>
                </c:pt>
                <c:pt idx="187">
                  <c:v>38656</c:v>
                </c:pt>
                <c:pt idx="188">
                  <c:v>38686</c:v>
                </c:pt>
                <c:pt idx="189">
                  <c:v>38717</c:v>
                </c:pt>
                <c:pt idx="190">
                  <c:v>38748</c:v>
                </c:pt>
                <c:pt idx="191">
                  <c:v>38776</c:v>
                </c:pt>
                <c:pt idx="192">
                  <c:v>38807</c:v>
                </c:pt>
                <c:pt idx="193">
                  <c:v>38837</c:v>
                </c:pt>
                <c:pt idx="194">
                  <c:v>38868</c:v>
                </c:pt>
                <c:pt idx="195">
                  <c:v>38898</c:v>
                </c:pt>
                <c:pt idx="196">
                  <c:v>38929</c:v>
                </c:pt>
                <c:pt idx="197">
                  <c:v>38960</c:v>
                </c:pt>
                <c:pt idx="198">
                  <c:v>38990</c:v>
                </c:pt>
                <c:pt idx="199">
                  <c:v>39021</c:v>
                </c:pt>
                <c:pt idx="200">
                  <c:v>39051</c:v>
                </c:pt>
                <c:pt idx="201">
                  <c:v>39082</c:v>
                </c:pt>
                <c:pt idx="202">
                  <c:v>39113</c:v>
                </c:pt>
                <c:pt idx="203">
                  <c:v>39141</c:v>
                </c:pt>
                <c:pt idx="204">
                  <c:v>39172</c:v>
                </c:pt>
                <c:pt idx="205">
                  <c:v>39202</c:v>
                </c:pt>
                <c:pt idx="206">
                  <c:v>39233</c:v>
                </c:pt>
                <c:pt idx="207">
                  <c:v>39263</c:v>
                </c:pt>
                <c:pt idx="208">
                  <c:v>39294</c:v>
                </c:pt>
                <c:pt idx="209">
                  <c:v>39325</c:v>
                </c:pt>
                <c:pt idx="210">
                  <c:v>39354</c:v>
                </c:pt>
                <c:pt idx="211">
                  <c:v>39386</c:v>
                </c:pt>
                <c:pt idx="212">
                  <c:v>39416</c:v>
                </c:pt>
                <c:pt idx="213">
                  <c:v>39447</c:v>
                </c:pt>
                <c:pt idx="214">
                  <c:v>39478</c:v>
                </c:pt>
                <c:pt idx="215">
                  <c:v>39507</c:v>
                </c:pt>
                <c:pt idx="216">
                  <c:v>39538</c:v>
                </c:pt>
                <c:pt idx="217">
                  <c:v>39568</c:v>
                </c:pt>
                <c:pt idx="218">
                  <c:v>39599</c:v>
                </c:pt>
                <c:pt idx="219">
                  <c:v>39629</c:v>
                </c:pt>
                <c:pt idx="220">
                  <c:v>39660</c:v>
                </c:pt>
                <c:pt idx="221">
                  <c:v>39690</c:v>
                </c:pt>
                <c:pt idx="222">
                  <c:v>39721</c:v>
                </c:pt>
                <c:pt idx="223">
                  <c:v>39752</c:v>
                </c:pt>
                <c:pt idx="224">
                  <c:v>39782</c:v>
                </c:pt>
                <c:pt idx="225">
                  <c:v>39813</c:v>
                </c:pt>
                <c:pt idx="226">
                  <c:v>39844</c:v>
                </c:pt>
                <c:pt idx="227">
                  <c:v>39872</c:v>
                </c:pt>
                <c:pt idx="228">
                  <c:v>39903</c:v>
                </c:pt>
                <c:pt idx="229">
                  <c:v>39933</c:v>
                </c:pt>
                <c:pt idx="230">
                  <c:v>39964</c:v>
                </c:pt>
                <c:pt idx="231">
                  <c:v>39994</c:v>
                </c:pt>
                <c:pt idx="232">
                  <c:v>40025</c:v>
                </c:pt>
                <c:pt idx="233">
                  <c:v>40056</c:v>
                </c:pt>
                <c:pt idx="234">
                  <c:v>40086</c:v>
                </c:pt>
                <c:pt idx="235">
                  <c:v>40117</c:v>
                </c:pt>
                <c:pt idx="236">
                  <c:v>40147</c:v>
                </c:pt>
                <c:pt idx="237">
                  <c:v>40178</c:v>
                </c:pt>
                <c:pt idx="238">
                  <c:v>40209</c:v>
                </c:pt>
                <c:pt idx="239">
                  <c:v>40237</c:v>
                </c:pt>
                <c:pt idx="240">
                  <c:v>40268</c:v>
                </c:pt>
                <c:pt idx="241">
                  <c:v>40298</c:v>
                </c:pt>
                <c:pt idx="242">
                  <c:v>40329</c:v>
                </c:pt>
                <c:pt idx="243">
                  <c:v>40359</c:v>
                </c:pt>
                <c:pt idx="244">
                  <c:v>40390</c:v>
                </c:pt>
                <c:pt idx="245">
                  <c:v>40421</c:v>
                </c:pt>
                <c:pt idx="246">
                  <c:v>40451</c:v>
                </c:pt>
                <c:pt idx="247">
                  <c:v>40482</c:v>
                </c:pt>
                <c:pt idx="248">
                  <c:v>40512</c:v>
                </c:pt>
                <c:pt idx="249">
                  <c:v>40543</c:v>
                </c:pt>
                <c:pt idx="250">
                  <c:v>40574</c:v>
                </c:pt>
                <c:pt idx="251">
                  <c:v>40602</c:v>
                </c:pt>
                <c:pt idx="252">
                  <c:v>40633</c:v>
                </c:pt>
                <c:pt idx="253">
                  <c:v>40663</c:v>
                </c:pt>
                <c:pt idx="254">
                  <c:v>40694</c:v>
                </c:pt>
                <c:pt idx="255">
                  <c:v>40724</c:v>
                </c:pt>
                <c:pt idx="256">
                  <c:v>40755</c:v>
                </c:pt>
                <c:pt idx="257">
                  <c:v>40786</c:v>
                </c:pt>
                <c:pt idx="258">
                  <c:v>40816</c:v>
                </c:pt>
                <c:pt idx="259">
                  <c:v>40847</c:v>
                </c:pt>
                <c:pt idx="260">
                  <c:v>40877</c:v>
                </c:pt>
                <c:pt idx="261">
                  <c:v>40908</c:v>
                </c:pt>
                <c:pt idx="262">
                  <c:v>40939</c:v>
                </c:pt>
                <c:pt idx="263">
                  <c:v>40968</c:v>
                </c:pt>
                <c:pt idx="264">
                  <c:v>40999</c:v>
                </c:pt>
                <c:pt idx="265">
                  <c:v>41029</c:v>
                </c:pt>
                <c:pt idx="266">
                  <c:v>41060</c:v>
                </c:pt>
                <c:pt idx="267">
                  <c:v>41090</c:v>
                </c:pt>
                <c:pt idx="268">
                  <c:v>41121</c:v>
                </c:pt>
                <c:pt idx="269">
                  <c:v>41152</c:v>
                </c:pt>
                <c:pt idx="270">
                  <c:v>41182</c:v>
                </c:pt>
                <c:pt idx="271">
                  <c:v>41213</c:v>
                </c:pt>
                <c:pt idx="272">
                  <c:v>41243</c:v>
                </c:pt>
                <c:pt idx="273">
                  <c:v>41274</c:v>
                </c:pt>
                <c:pt idx="274">
                  <c:v>41305</c:v>
                </c:pt>
                <c:pt idx="275">
                  <c:v>41333</c:v>
                </c:pt>
                <c:pt idx="276">
                  <c:v>41364</c:v>
                </c:pt>
                <c:pt idx="277">
                  <c:v>41394</c:v>
                </c:pt>
                <c:pt idx="278">
                  <c:v>41425</c:v>
                </c:pt>
                <c:pt idx="279">
                  <c:v>41455</c:v>
                </c:pt>
                <c:pt idx="280">
                  <c:v>41486</c:v>
                </c:pt>
                <c:pt idx="281">
                  <c:v>41517</c:v>
                </c:pt>
                <c:pt idx="282">
                  <c:v>41547</c:v>
                </c:pt>
                <c:pt idx="283">
                  <c:v>41578</c:v>
                </c:pt>
                <c:pt idx="284">
                  <c:v>41608</c:v>
                </c:pt>
                <c:pt idx="285">
                  <c:v>41639</c:v>
                </c:pt>
                <c:pt idx="286">
                  <c:v>41670</c:v>
                </c:pt>
                <c:pt idx="287">
                  <c:v>41698</c:v>
                </c:pt>
                <c:pt idx="288">
                  <c:v>41729</c:v>
                </c:pt>
                <c:pt idx="289">
                  <c:v>41759</c:v>
                </c:pt>
                <c:pt idx="290">
                  <c:v>41790</c:v>
                </c:pt>
                <c:pt idx="291">
                  <c:v>41820</c:v>
                </c:pt>
                <c:pt idx="292">
                  <c:v>41851</c:v>
                </c:pt>
                <c:pt idx="293">
                  <c:v>41882</c:v>
                </c:pt>
                <c:pt idx="294">
                  <c:v>41912</c:v>
                </c:pt>
                <c:pt idx="295">
                  <c:v>41943</c:v>
                </c:pt>
                <c:pt idx="296">
                  <c:v>41973</c:v>
                </c:pt>
                <c:pt idx="297">
                  <c:v>42004</c:v>
                </c:pt>
                <c:pt idx="298">
                  <c:v>42035</c:v>
                </c:pt>
                <c:pt idx="299">
                  <c:v>42063</c:v>
                </c:pt>
                <c:pt idx="300">
                  <c:v>42094</c:v>
                </c:pt>
                <c:pt idx="301">
                  <c:v>42124</c:v>
                </c:pt>
                <c:pt idx="302">
                  <c:v>42155</c:v>
                </c:pt>
                <c:pt idx="303">
                  <c:v>42185</c:v>
                </c:pt>
                <c:pt idx="304">
                  <c:v>42216</c:v>
                </c:pt>
                <c:pt idx="305">
                  <c:v>42247</c:v>
                </c:pt>
                <c:pt idx="306">
                  <c:v>42277</c:v>
                </c:pt>
                <c:pt idx="307">
                  <c:v>42308</c:v>
                </c:pt>
                <c:pt idx="308">
                  <c:v>42338</c:v>
                </c:pt>
                <c:pt idx="309">
                  <c:v>42369</c:v>
                </c:pt>
                <c:pt idx="310">
                  <c:v>42400</c:v>
                </c:pt>
                <c:pt idx="311">
                  <c:v>42429</c:v>
                </c:pt>
                <c:pt idx="312">
                  <c:v>42460</c:v>
                </c:pt>
                <c:pt idx="313">
                  <c:v>42490</c:v>
                </c:pt>
                <c:pt idx="314">
                  <c:v>42521</c:v>
                </c:pt>
                <c:pt idx="315">
                  <c:v>42551</c:v>
                </c:pt>
                <c:pt idx="316">
                  <c:v>42582</c:v>
                </c:pt>
                <c:pt idx="317">
                  <c:v>42613</c:v>
                </c:pt>
                <c:pt idx="318">
                  <c:v>42643</c:v>
                </c:pt>
                <c:pt idx="319">
                  <c:v>42674</c:v>
                </c:pt>
                <c:pt idx="320">
                  <c:v>42704</c:v>
                </c:pt>
                <c:pt idx="321">
                  <c:v>42735</c:v>
                </c:pt>
                <c:pt idx="322">
                  <c:v>42766</c:v>
                </c:pt>
                <c:pt idx="323">
                  <c:v>42794</c:v>
                </c:pt>
                <c:pt idx="324">
                  <c:v>42825</c:v>
                </c:pt>
                <c:pt idx="325">
                  <c:v>42855</c:v>
                </c:pt>
                <c:pt idx="326">
                  <c:v>42886</c:v>
                </c:pt>
                <c:pt idx="327">
                  <c:v>42916</c:v>
                </c:pt>
                <c:pt idx="328">
                  <c:v>42947</c:v>
                </c:pt>
                <c:pt idx="329">
                  <c:v>42978</c:v>
                </c:pt>
                <c:pt idx="330">
                  <c:v>43008</c:v>
                </c:pt>
                <c:pt idx="331">
                  <c:v>43039</c:v>
                </c:pt>
                <c:pt idx="332">
                  <c:v>43069</c:v>
                </c:pt>
                <c:pt idx="333">
                  <c:v>43100</c:v>
                </c:pt>
                <c:pt idx="334">
                  <c:v>43131</c:v>
                </c:pt>
                <c:pt idx="335">
                  <c:v>43159</c:v>
                </c:pt>
                <c:pt idx="336">
                  <c:v>43190</c:v>
                </c:pt>
                <c:pt idx="337">
                  <c:v>43220</c:v>
                </c:pt>
                <c:pt idx="338">
                  <c:v>43251</c:v>
                </c:pt>
                <c:pt idx="339">
                  <c:v>43281</c:v>
                </c:pt>
                <c:pt idx="340">
                  <c:v>43312</c:v>
                </c:pt>
                <c:pt idx="341">
                  <c:v>43343</c:v>
                </c:pt>
                <c:pt idx="342">
                  <c:v>43373</c:v>
                </c:pt>
                <c:pt idx="343">
                  <c:v>43404</c:v>
                </c:pt>
                <c:pt idx="344">
                  <c:v>43434</c:v>
                </c:pt>
                <c:pt idx="345">
                  <c:v>43465</c:v>
                </c:pt>
                <c:pt idx="346">
                  <c:v>43496</c:v>
                </c:pt>
                <c:pt idx="347">
                  <c:v>43524</c:v>
                </c:pt>
                <c:pt idx="348">
                  <c:v>43555</c:v>
                </c:pt>
                <c:pt idx="349">
                  <c:v>43585</c:v>
                </c:pt>
                <c:pt idx="350">
                  <c:v>43616</c:v>
                </c:pt>
                <c:pt idx="351">
                  <c:v>43646</c:v>
                </c:pt>
                <c:pt idx="352">
                  <c:v>43677</c:v>
                </c:pt>
                <c:pt idx="353">
                  <c:v>43708</c:v>
                </c:pt>
                <c:pt idx="354">
                  <c:v>43738</c:v>
                </c:pt>
                <c:pt idx="355">
                  <c:v>43769</c:v>
                </c:pt>
                <c:pt idx="356">
                  <c:v>43799</c:v>
                </c:pt>
                <c:pt idx="357">
                  <c:v>43830</c:v>
                </c:pt>
                <c:pt idx="358">
                  <c:v>43861</c:v>
                </c:pt>
                <c:pt idx="359">
                  <c:v>43890</c:v>
                </c:pt>
                <c:pt idx="360">
                  <c:v>43921</c:v>
                </c:pt>
                <c:pt idx="361">
                  <c:v>43951</c:v>
                </c:pt>
                <c:pt idx="362">
                  <c:v>43982</c:v>
                </c:pt>
                <c:pt idx="363">
                  <c:v>44012</c:v>
                </c:pt>
                <c:pt idx="364">
                  <c:v>44043</c:v>
                </c:pt>
                <c:pt idx="365">
                  <c:v>44074</c:v>
                </c:pt>
                <c:pt idx="366">
                  <c:v>44104</c:v>
                </c:pt>
                <c:pt idx="367">
                  <c:v>44135</c:v>
                </c:pt>
                <c:pt idx="368">
                  <c:v>44165</c:v>
                </c:pt>
                <c:pt idx="369">
                  <c:v>44196</c:v>
                </c:pt>
                <c:pt idx="370">
                  <c:v>44227</c:v>
                </c:pt>
                <c:pt idx="371">
                  <c:v>44255</c:v>
                </c:pt>
                <c:pt idx="372">
                  <c:v>44286</c:v>
                </c:pt>
                <c:pt idx="373">
                  <c:v>44316</c:v>
                </c:pt>
                <c:pt idx="374">
                  <c:v>44347</c:v>
                </c:pt>
                <c:pt idx="375">
                  <c:v>44377</c:v>
                </c:pt>
                <c:pt idx="376">
                  <c:v>44408</c:v>
                </c:pt>
                <c:pt idx="377">
                  <c:v>44439</c:v>
                </c:pt>
                <c:pt idx="378">
                  <c:v>44469</c:v>
                </c:pt>
                <c:pt idx="379">
                  <c:v>44500</c:v>
                </c:pt>
                <c:pt idx="380">
                  <c:v>44530</c:v>
                </c:pt>
                <c:pt idx="381">
                  <c:v>44561</c:v>
                </c:pt>
                <c:pt idx="382">
                  <c:v>44592</c:v>
                </c:pt>
                <c:pt idx="383">
                  <c:v>44620</c:v>
                </c:pt>
                <c:pt idx="384">
                  <c:v>44651</c:v>
                </c:pt>
                <c:pt idx="385">
                  <c:v>44681</c:v>
                </c:pt>
                <c:pt idx="386">
                  <c:v>44712</c:v>
                </c:pt>
                <c:pt idx="387">
                  <c:v>44742</c:v>
                </c:pt>
                <c:pt idx="388">
                  <c:v>44773</c:v>
                </c:pt>
                <c:pt idx="389">
                  <c:v>44804</c:v>
                </c:pt>
                <c:pt idx="390">
                  <c:v>44834</c:v>
                </c:pt>
                <c:pt idx="391">
                  <c:v>44865</c:v>
                </c:pt>
                <c:pt idx="392">
                  <c:v>44895</c:v>
                </c:pt>
                <c:pt idx="393">
                  <c:v>44926</c:v>
                </c:pt>
                <c:pt idx="394">
                  <c:v>44957</c:v>
                </c:pt>
                <c:pt idx="395">
                  <c:v>44985</c:v>
                </c:pt>
                <c:pt idx="396">
                  <c:v>45016</c:v>
                </c:pt>
                <c:pt idx="397">
                  <c:v>45046</c:v>
                </c:pt>
                <c:pt idx="398">
                  <c:v>45077</c:v>
                </c:pt>
                <c:pt idx="399">
                  <c:v>45107</c:v>
                </c:pt>
                <c:pt idx="400">
                  <c:v>45138</c:v>
                </c:pt>
                <c:pt idx="401">
                  <c:v>45169</c:v>
                </c:pt>
                <c:pt idx="402">
                  <c:v>45199</c:v>
                </c:pt>
                <c:pt idx="403">
                  <c:v>45230</c:v>
                </c:pt>
                <c:pt idx="404">
                  <c:v>45260</c:v>
                </c:pt>
                <c:pt idx="405">
                  <c:v>45291</c:v>
                </c:pt>
                <c:pt idx="406">
                  <c:v>45322</c:v>
                </c:pt>
                <c:pt idx="407">
                  <c:v>45351</c:v>
                </c:pt>
                <c:pt idx="408">
                  <c:v>45382</c:v>
                </c:pt>
                <c:pt idx="409">
                  <c:v>45412</c:v>
                </c:pt>
                <c:pt idx="410">
                  <c:v>45443</c:v>
                </c:pt>
                <c:pt idx="411">
                  <c:v>45473</c:v>
                </c:pt>
                <c:pt idx="412">
                  <c:v>45504</c:v>
                </c:pt>
                <c:pt idx="413">
                  <c:v>45534</c:v>
                </c:pt>
                <c:pt idx="414">
                  <c:v>45565</c:v>
                </c:pt>
                <c:pt idx="415">
                  <c:v>45596</c:v>
                </c:pt>
                <c:pt idx="416">
                  <c:v>45626</c:v>
                </c:pt>
                <c:pt idx="417">
                  <c:v>45657</c:v>
                </c:pt>
                <c:pt idx="418">
                  <c:v>45688</c:v>
                </c:pt>
                <c:pt idx="419">
                  <c:v>45716</c:v>
                </c:pt>
              </c:numCache>
            </c:numRef>
          </c:cat>
          <c:val>
            <c:numRef>
              <c:f>US!$Z$5:$Z$532</c:f>
              <c:numCache>
                <c:formatCode>General</c:formatCode>
                <c:ptCount val="52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-0.61925060108889607</c:v>
                </c:pt>
                <c:pt idx="12">
                  <c:v>-0.571995190724082</c:v>
                </c:pt>
                <c:pt idx="13">
                  <c:v>-0.41870143285912181</c:v>
                </c:pt>
                <c:pt idx="14">
                  <c:v>-0.24296003653972656</c:v>
                </c:pt>
                <c:pt idx="15">
                  <c:v>-0.14098768680772267</c:v>
                </c:pt>
                <c:pt idx="16">
                  <c:v>-4.5399164703885331E-2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-0.66044177246073843</c:v>
                </c:pt>
                <c:pt idx="141">
                  <c:v>-0.6264333054912461</c:v>
                </c:pt>
                <c:pt idx="142">
                  <c:v>-0.53711940024442273</c:v>
                </c:pt>
                <c:pt idx="143">
                  <c:v>-0.47993182094748954</c:v>
                </c:pt>
                <c:pt idx="144">
                  <c:v>-0.39618149993200047</c:v>
                </c:pt>
                <c:pt idx="145">
                  <c:v>-0.31417170063319855</c:v>
                </c:pt>
                <c:pt idx="146">
                  <c:v>-0.22978053958910055</c:v>
                </c:pt>
                <c:pt idx="147">
                  <c:v>-0.20011373830620693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-0.4917122123131023</c:v>
                </c:pt>
                <c:pt idx="152">
                  <c:v>-0.44545572814221113</c:v>
                </c:pt>
                <c:pt idx="153">
                  <c:v>-0.44957396662869265</c:v>
                </c:pt>
                <c:pt idx="154">
                  <c:v>-0.41065178485401144</c:v>
                </c:pt>
                <c:pt idx="155">
                  <c:v>#N/A</c:v>
                </c:pt>
                <c:pt idx="156">
                  <c:v>-0.47231712568432571</c:v>
                </c:pt>
                <c:pt idx="157">
                  <c:v>-0.45720958191854527</c:v>
                </c:pt>
                <c:pt idx="158">
                  <c:v>-0.40232418135860942</c:v>
                </c:pt>
                <c:pt idx="159">
                  <c:v>-0.33510549497163578</c:v>
                </c:pt>
                <c:pt idx="160">
                  <c:v>-0.10967288135219358</c:v>
                </c:pt>
                <c:pt idx="161">
                  <c:v>-4.8162738348636588E-2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-1.7849639860088202</c:v>
                </c:pt>
                <c:pt idx="228">
                  <c:v>-1.7776471652162993</c:v>
                </c:pt>
                <c:pt idx="229">
                  <c:v>-1.7354171154719196</c:v>
                </c:pt>
                <c:pt idx="230">
                  <c:v>-1.6647166195628258</c:v>
                </c:pt>
                <c:pt idx="231">
                  <c:v>-1.5849920003661946</c:v>
                </c:pt>
                <c:pt idx="232">
                  <c:v>-1.4596666104091232</c:v>
                </c:pt>
                <c:pt idx="233">
                  <c:v>-1.2905777116462902</c:v>
                </c:pt>
                <c:pt idx="234">
                  <c:v>-1.1232987524625422</c:v>
                </c:pt>
                <c:pt idx="235">
                  <c:v>-0.98229188667102618</c:v>
                </c:pt>
                <c:pt idx="236">
                  <c:v>-0.8138660723601655</c:v>
                </c:pt>
                <c:pt idx="237">
                  <c:v>-0.64902622518078612</c:v>
                </c:pt>
                <c:pt idx="238">
                  <c:v>-0.52133904640637363</c:v>
                </c:pt>
                <c:pt idx="239">
                  <c:v>-0.23891247845685309</c:v>
                </c:pt>
                <c:pt idx="240">
                  <c:v>-6.7459360505740862E-2</c:v>
                </c:pt>
                <c:pt idx="241">
                  <c:v>#N/A</c:v>
                </c:pt>
                <c:pt idx="242">
                  <c:v>#N/A</c:v>
                </c:pt>
                <c:pt idx="243">
                  <c:v>-9.8127822520947705E-2</c:v>
                </c:pt>
                <c:pt idx="244">
                  <c:v>-9.6925118392241189E-2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-0.26580831028718965</c:v>
                </c:pt>
                <c:pt idx="259">
                  <c:v>-0.25851528802516227</c:v>
                </c:pt>
                <c:pt idx="260">
                  <c:v>-0.27482015652435687</c:v>
                </c:pt>
                <c:pt idx="261">
                  <c:v>-0.25852136913162016</c:v>
                </c:pt>
                <c:pt idx="262">
                  <c:v>-0.2064697610673539</c:v>
                </c:pt>
                <c:pt idx="263">
                  <c:v>-0.18894680615799225</c:v>
                </c:pt>
                <c:pt idx="264">
                  <c:v>-0.19037434304983719</c:v>
                </c:pt>
                <c:pt idx="265">
                  <c:v>-1.1826769246228261E-2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-0.17138842200922805</c:v>
                </c:pt>
                <c:pt idx="270">
                  <c:v>-0.12420709582750716</c:v>
                </c:pt>
                <c:pt idx="271">
                  <c:v>-6.0603670334849438E-2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-8.4816453337346165E-2</c:v>
                </c:pt>
                <c:pt idx="314">
                  <c:v>-7.2675868227111626E-2</c:v>
                </c:pt>
                <c:pt idx="315">
                  <c:v>-4.2964085782384781E-2</c:v>
                </c:pt>
                <c:pt idx="316">
                  <c:v>-2.3125949743496032E-2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-1.1879401074180371</c:v>
                </c:pt>
                <c:pt idx="363">
                  <c:v>-0.97523422069122134</c:v>
                </c:pt>
                <c:pt idx="364">
                  <c:v>-0.28511937075117072</c:v>
                </c:pt>
                <c:pt idx="365">
                  <c:v>-6.9867527664886853E-2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-0.2345410715077178</c:v>
                </c:pt>
                <c:pt idx="394">
                  <c:v>-0.17520443976438185</c:v>
                </c:pt>
                <c:pt idx="395">
                  <c:v>-0.1666881128406239</c:v>
                </c:pt>
                <c:pt idx="396">
                  <c:v>#N/A</c:v>
                </c:pt>
                <c:pt idx="397">
                  <c:v>#N/A</c:v>
                </c:pt>
                <c:pt idx="398">
                  <c:v>-0.29581729428498599</c:v>
                </c:pt>
                <c:pt idx="399">
                  <c:v>-0.29294741586831041</c:v>
                </c:pt>
                <c:pt idx="400">
                  <c:v>-0.18982285090533624</c:v>
                </c:pt>
                <c:pt idx="401">
                  <c:v>-0.14136988794276995</c:v>
                </c:pt>
                <c:pt idx="402">
                  <c:v>#N/A</c:v>
                </c:pt>
                <c:pt idx="403">
                  <c:v>-0.21190400282831531</c:v>
                </c:pt>
                <c:pt idx="404">
                  <c:v>-0.13782401679497272</c:v>
                </c:pt>
                <c:pt idx="405">
                  <c:v>-0.10132184678113274</c:v>
                </c:pt>
                <c:pt idx="406">
                  <c:v>-8.7860304084873581E-2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B5-4297-897D-6204D44D1E25}"/>
            </c:ext>
          </c:extLst>
        </c:ser>
        <c:ser>
          <c:idx val="4"/>
          <c:order val="4"/>
          <c:tx>
            <c:v>Reference Line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US!$AA$5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657E-430E-934D-A731DC024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9180943"/>
        <c:axId val="839183855"/>
      </c:lineChart>
      <c:lineChart>
        <c:grouping val="standard"/>
        <c:varyColors val="0"/>
        <c:ser>
          <c:idx val="5"/>
          <c:order val="5"/>
          <c:tx>
            <c:v>Economic Surprise</c:v>
          </c:tx>
          <c:spPr>
            <a:ln w="2857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US!$AB$5:$AB$418</c:f>
              <c:numCache>
                <c:formatCode>General</c:formatCode>
                <c:ptCount val="4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-7.9</c:v>
                </c:pt>
                <c:pt idx="155">
                  <c:v>-37.5</c:v>
                </c:pt>
                <c:pt idx="156">
                  <c:v>-91.7</c:v>
                </c:pt>
                <c:pt idx="157">
                  <c:v>-41.9</c:v>
                </c:pt>
                <c:pt idx="158">
                  <c:v>-43.2</c:v>
                </c:pt>
                <c:pt idx="159">
                  <c:v>17.899999999999999</c:v>
                </c:pt>
                <c:pt idx="160">
                  <c:v>16.100000000000001</c:v>
                </c:pt>
                <c:pt idx="161">
                  <c:v>68.3</c:v>
                </c:pt>
                <c:pt idx="162">
                  <c:v>29.5</c:v>
                </c:pt>
                <c:pt idx="163">
                  <c:v>62.1</c:v>
                </c:pt>
                <c:pt idx="164">
                  <c:v>79.5</c:v>
                </c:pt>
                <c:pt idx="165">
                  <c:v>62</c:v>
                </c:pt>
                <c:pt idx="166">
                  <c:v>37.1</c:v>
                </c:pt>
                <c:pt idx="167">
                  <c:v>-17</c:v>
                </c:pt>
                <c:pt idx="168">
                  <c:v>-44.7</c:v>
                </c:pt>
                <c:pt idx="169">
                  <c:v>30.7</c:v>
                </c:pt>
                <c:pt idx="170">
                  <c:v>43.5</c:v>
                </c:pt>
                <c:pt idx="171">
                  <c:v>15.8</c:v>
                </c:pt>
                <c:pt idx="172">
                  <c:v>-18.7</c:v>
                </c:pt>
                <c:pt idx="173">
                  <c:v>-102.1</c:v>
                </c:pt>
                <c:pt idx="174">
                  <c:v>-81.3</c:v>
                </c:pt>
                <c:pt idx="175">
                  <c:v>-69.8</c:v>
                </c:pt>
                <c:pt idx="176">
                  <c:v>23.2</c:v>
                </c:pt>
                <c:pt idx="177">
                  <c:v>19.8</c:v>
                </c:pt>
                <c:pt idx="178">
                  <c:v>-17.2</c:v>
                </c:pt>
                <c:pt idx="179">
                  <c:v>-20</c:v>
                </c:pt>
                <c:pt idx="180">
                  <c:v>-7.8</c:v>
                </c:pt>
                <c:pt idx="181">
                  <c:v>10.4</c:v>
                </c:pt>
                <c:pt idx="182">
                  <c:v>17.2</c:v>
                </c:pt>
                <c:pt idx="183">
                  <c:v>-7</c:v>
                </c:pt>
                <c:pt idx="184">
                  <c:v>25</c:v>
                </c:pt>
                <c:pt idx="185">
                  <c:v>7.4</c:v>
                </c:pt>
                <c:pt idx="186">
                  <c:v>2.2999999999999998</c:v>
                </c:pt>
                <c:pt idx="187">
                  <c:v>17.399999999999999</c:v>
                </c:pt>
                <c:pt idx="188">
                  <c:v>73.5</c:v>
                </c:pt>
                <c:pt idx="189">
                  <c:v>44.9</c:v>
                </c:pt>
                <c:pt idx="190">
                  <c:v>-23</c:v>
                </c:pt>
                <c:pt idx="191">
                  <c:v>-55.4</c:v>
                </c:pt>
                <c:pt idx="192">
                  <c:v>-25.9</c:v>
                </c:pt>
                <c:pt idx="193">
                  <c:v>37.200000000000003</c:v>
                </c:pt>
                <c:pt idx="194">
                  <c:v>52.4</c:v>
                </c:pt>
                <c:pt idx="195">
                  <c:v>43.8</c:v>
                </c:pt>
                <c:pt idx="196">
                  <c:v>-2.2000000000000002</c:v>
                </c:pt>
                <c:pt idx="197">
                  <c:v>-7.6</c:v>
                </c:pt>
                <c:pt idx="198">
                  <c:v>-42.7</c:v>
                </c:pt>
                <c:pt idx="199">
                  <c:v>-52.6</c:v>
                </c:pt>
                <c:pt idx="200">
                  <c:v>-54.9</c:v>
                </c:pt>
                <c:pt idx="201">
                  <c:v>22</c:v>
                </c:pt>
                <c:pt idx="202">
                  <c:v>73.099999999999994</c:v>
                </c:pt>
                <c:pt idx="203">
                  <c:v>25.5</c:v>
                </c:pt>
                <c:pt idx="204">
                  <c:v>-14.1</c:v>
                </c:pt>
                <c:pt idx="205">
                  <c:v>-26.8</c:v>
                </c:pt>
                <c:pt idx="206">
                  <c:v>3.1</c:v>
                </c:pt>
                <c:pt idx="207">
                  <c:v>38.799999999999997</c:v>
                </c:pt>
                <c:pt idx="208">
                  <c:v>66.5</c:v>
                </c:pt>
                <c:pt idx="209">
                  <c:v>59.1</c:v>
                </c:pt>
                <c:pt idx="210">
                  <c:v>-12.6</c:v>
                </c:pt>
                <c:pt idx="211">
                  <c:v>-36.6</c:v>
                </c:pt>
                <c:pt idx="212">
                  <c:v>-39.9</c:v>
                </c:pt>
                <c:pt idx="213">
                  <c:v>24.6</c:v>
                </c:pt>
                <c:pt idx="214">
                  <c:v>-20.399999999999999</c:v>
                </c:pt>
                <c:pt idx="215">
                  <c:v>-64.599999999999994</c:v>
                </c:pt>
                <c:pt idx="216">
                  <c:v>-89.9</c:v>
                </c:pt>
                <c:pt idx="217">
                  <c:v>-73.2</c:v>
                </c:pt>
                <c:pt idx="218">
                  <c:v>-11.4</c:v>
                </c:pt>
                <c:pt idx="219">
                  <c:v>9.3000000000000007</c:v>
                </c:pt>
                <c:pt idx="220">
                  <c:v>23.4</c:v>
                </c:pt>
                <c:pt idx="221">
                  <c:v>51.9</c:v>
                </c:pt>
                <c:pt idx="222">
                  <c:v>27</c:v>
                </c:pt>
                <c:pt idx="223">
                  <c:v>-71.400000000000006</c:v>
                </c:pt>
                <c:pt idx="224">
                  <c:v>-117.6</c:v>
                </c:pt>
                <c:pt idx="225">
                  <c:v>-112.6</c:v>
                </c:pt>
                <c:pt idx="226">
                  <c:v>-65.900000000000006</c:v>
                </c:pt>
                <c:pt idx="227">
                  <c:v>-36.6</c:v>
                </c:pt>
                <c:pt idx="228">
                  <c:v>-11.2</c:v>
                </c:pt>
                <c:pt idx="229">
                  <c:v>11.5</c:v>
                </c:pt>
                <c:pt idx="230">
                  <c:v>59.9</c:v>
                </c:pt>
                <c:pt idx="231">
                  <c:v>44.7</c:v>
                </c:pt>
                <c:pt idx="232">
                  <c:v>30.9</c:v>
                </c:pt>
                <c:pt idx="233">
                  <c:v>66.599999999999994</c:v>
                </c:pt>
                <c:pt idx="234">
                  <c:v>48.5</c:v>
                </c:pt>
                <c:pt idx="235">
                  <c:v>22.6</c:v>
                </c:pt>
                <c:pt idx="236">
                  <c:v>-21.4</c:v>
                </c:pt>
                <c:pt idx="237">
                  <c:v>18.399999999999999</c:v>
                </c:pt>
                <c:pt idx="238">
                  <c:v>14.8</c:v>
                </c:pt>
                <c:pt idx="239">
                  <c:v>23.7</c:v>
                </c:pt>
                <c:pt idx="240">
                  <c:v>33.799999999999997</c:v>
                </c:pt>
                <c:pt idx="241">
                  <c:v>20.3</c:v>
                </c:pt>
                <c:pt idx="242">
                  <c:v>21.7</c:v>
                </c:pt>
                <c:pt idx="243">
                  <c:v>-35.9</c:v>
                </c:pt>
                <c:pt idx="244">
                  <c:v>-41.1</c:v>
                </c:pt>
                <c:pt idx="245">
                  <c:v>-53.1</c:v>
                </c:pt>
                <c:pt idx="246">
                  <c:v>-7.9</c:v>
                </c:pt>
                <c:pt idx="247">
                  <c:v>1.7</c:v>
                </c:pt>
                <c:pt idx="248">
                  <c:v>22.4</c:v>
                </c:pt>
                <c:pt idx="249">
                  <c:v>14.6</c:v>
                </c:pt>
                <c:pt idx="250">
                  <c:v>28.7</c:v>
                </c:pt>
                <c:pt idx="251">
                  <c:v>74.5</c:v>
                </c:pt>
                <c:pt idx="252">
                  <c:v>42.9</c:v>
                </c:pt>
                <c:pt idx="253">
                  <c:v>11.7</c:v>
                </c:pt>
                <c:pt idx="254">
                  <c:v>-71.400000000000006</c:v>
                </c:pt>
                <c:pt idx="255">
                  <c:v>-93.6</c:v>
                </c:pt>
                <c:pt idx="256">
                  <c:v>-91.4</c:v>
                </c:pt>
                <c:pt idx="257">
                  <c:v>-53.1</c:v>
                </c:pt>
                <c:pt idx="258">
                  <c:v>-29.5</c:v>
                </c:pt>
                <c:pt idx="259">
                  <c:v>18</c:v>
                </c:pt>
                <c:pt idx="260">
                  <c:v>61.8</c:v>
                </c:pt>
                <c:pt idx="261">
                  <c:v>69.5</c:v>
                </c:pt>
                <c:pt idx="262">
                  <c:v>53.2</c:v>
                </c:pt>
                <c:pt idx="263">
                  <c:v>49.9</c:v>
                </c:pt>
                <c:pt idx="264">
                  <c:v>21.5</c:v>
                </c:pt>
                <c:pt idx="265">
                  <c:v>-14</c:v>
                </c:pt>
                <c:pt idx="266">
                  <c:v>-35.9</c:v>
                </c:pt>
                <c:pt idx="267">
                  <c:v>-60.9</c:v>
                </c:pt>
                <c:pt idx="268">
                  <c:v>-41.9</c:v>
                </c:pt>
                <c:pt idx="269">
                  <c:v>-3.4</c:v>
                </c:pt>
                <c:pt idx="270">
                  <c:v>5.8</c:v>
                </c:pt>
                <c:pt idx="271">
                  <c:v>48.1</c:v>
                </c:pt>
                <c:pt idx="272">
                  <c:v>43.1</c:v>
                </c:pt>
                <c:pt idx="273">
                  <c:v>39.9</c:v>
                </c:pt>
                <c:pt idx="274">
                  <c:v>-27.9</c:v>
                </c:pt>
                <c:pt idx="275">
                  <c:v>2.8</c:v>
                </c:pt>
                <c:pt idx="276">
                  <c:v>18.899999999999999</c:v>
                </c:pt>
                <c:pt idx="277">
                  <c:v>-1.7</c:v>
                </c:pt>
                <c:pt idx="278">
                  <c:v>-14.4</c:v>
                </c:pt>
                <c:pt idx="279">
                  <c:v>-9</c:v>
                </c:pt>
                <c:pt idx="280">
                  <c:v>4</c:v>
                </c:pt>
                <c:pt idx="281">
                  <c:v>25.4</c:v>
                </c:pt>
                <c:pt idx="282">
                  <c:v>50.5</c:v>
                </c:pt>
                <c:pt idx="283">
                  <c:v>3.8</c:v>
                </c:pt>
                <c:pt idx="284">
                  <c:v>8.6</c:v>
                </c:pt>
                <c:pt idx="285">
                  <c:v>52.2</c:v>
                </c:pt>
                <c:pt idx="286">
                  <c:v>49</c:v>
                </c:pt>
                <c:pt idx="287">
                  <c:v>-13.4</c:v>
                </c:pt>
                <c:pt idx="288">
                  <c:v>-32.6</c:v>
                </c:pt>
                <c:pt idx="289">
                  <c:v>-32.5</c:v>
                </c:pt>
                <c:pt idx="290">
                  <c:v>1.9</c:v>
                </c:pt>
                <c:pt idx="291">
                  <c:v>-22</c:v>
                </c:pt>
                <c:pt idx="292">
                  <c:v>-12.5</c:v>
                </c:pt>
                <c:pt idx="293">
                  <c:v>34.6</c:v>
                </c:pt>
                <c:pt idx="294">
                  <c:v>17.899999999999999</c:v>
                </c:pt>
                <c:pt idx="295">
                  <c:v>18</c:v>
                </c:pt>
                <c:pt idx="296">
                  <c:v>6.1</c:v>
                </c:pt>
                <c:pt idx="297">
                  <c:v>34.700000000000003</c:v>
                </c:pt>
                <c:pt idx="298">
                  <c:v>-4</c:v>
                </c:pt>
                <c:pt idx="299">
                  <c:v>-47.1</c:v>
                </c:pt>
                <c:pt idx="300">
                  <c:v>-58.6</c:v>
                </c:pt>
                <c:pt idx="301">
                  <c:v>-62.2</c:v>
                </c:pt>
                <c:pt idx="302">
                  <c:v>-54.2</c:v>
                </c:pt>
                <c:pt idx="303">
                  <c:v>-28.8</c:v>
                </c:pt>
                <c:pt idx="304">
                  <c:v>-15.4</c:v>
                </c:pt>
                <c:pt idx="305">
                  <c:v>-8.1999999999999993</c:v>
                </c:pt>
                <c:pt idx="306">
                  <c:v>-20.5</c:v>
                </c:pt>
                <c:pt idx="307">
                  <c:v>-10</c:v>
                </c:pt>
                <c:pt idx="308">
                  <c:v>-14.4</c:v>
                </c:pt>
                <c:pt idx="309">
                  <c:v>-31.8</c:v>
                </c:pt>
                <c:pt idx="310">
                  <c:v>-47.1</c:v>
                </c:pt>
                <c:pt idx="311">
                  <c:v>-19.399999999999999</c:v>
                </c:pt>
                <c:pt idx="312">
                  <c:v>-5.2</c:v>
                </c:pt>
                <c:pt idx="313">
                  <c:v>-27.8</c:v>
                </c:pt>
                <c:pt idx="314">
                  <c:v>-18.600000000000001</c:v>
                </c:pt>
                <c:pt idx="315">
                  <c:v>-19.8</c:v>
                </c:pt>
                <c:pt idx="316">
                  <c:v>16.3</c:v>
                </c:pt>
                <c:pt idx="317">
                  <c:v>13.5</c:v>
                </c:pt>
                <c:pt idx="318">
                  <c:v>-5.0999999999999996</c:v>
                </c:pt>
                <c:pt idx="319">
                  <c:v>-8.1</c:v>
                </c:pt>
                <c:pt idx="320">
                  <c:v>17.8</c:v>
                </c:pt>
                <c:pt idx="321">
                  <c:v>24.3</c:v>
                </c:pt>
                <c:pt idx="322">
                  <c:v>31.8</c:v>
                </c:pt>
                <c:pt idx="323">
                  <c:v>34.700000000000003</c:v>
                </c:pt>
                <c:pt idx="324">
                  <c:v>48</c:v>
                </c:pt>
                <c:pt idx="325">
                  <c:v>-4.8</c:v>
                </c:pt>
                <c:pt idx="326">
                  <c:v>-38.200000000000003</c:v>
                </c:pt>
                <c:pt idx="327">
                  <c:v>-72.599999999999994</c:v>
                </c:pt>
                <c:pt idx="328">
                  <c:v>-43.1</c:v>
                </c:pt>
                <c:pt idx="329">
                  <c:v>-23.1</c:v>
                </c:pt>
                <c:pt idx="330">
                  <c:v>-9.3000000000000007</c:v>
                </c:pt>
                <c:pt idx="331">
                  <c:v>40.200000000000003</c:v>
                </c:pt>
                <c:pt idx="332">
                  <c:v>59.4</c:v>
                </c:pt>
                <c:pt idx="333">
                  <c:v>75.7</c:v>
                </c:pt>
                <c:pt idx="334">
                  <c:v>38.5</c:v>
                </c:pt>
                <c:pt idx="335">
                  <c:v>32.9</c:v>
                </c:pt>
                <c:pt idx="336">
                  <c:v>48.7</c:v>
                </c:pt>
                <c:pt idx="337">
                  <c:v>41.8</c:v>
                </c:pt>
                <c:pt idx="338">
                  <c:v>11.1</c:v>
                </c:pt>
                <c:pt idx="339">
                  <c:v>1.1000000000000001</c:v>
                </c:pt>
                <c:pt idx="340">
                  <c:v>-2.2000000000000002</c:v>
                </c:pt>
                <c:pt idx="341">
                  <c:v>-17.7</c:v>
                </c:pt>
                <c:pt idx="342">
                  <c:v>-5.2</c:v>
                </c:pt>
                <c:pt idx="343">
                  <c:v>5.4</c:v>
                </c:pt>
                <c:pt idx="344">
                  <c:v>-5.3</c:v>
                </c:pt>
                <c:pt idx="345">
                  <c:v>-23.8</c:v>
                </c:pt>
                <c:pt idx="346">
                  <c:v>4.5</c:v>
                </c:pt>
                <c:pt idx="347">
                  <c:v>-29.8</c:v>
                </c:pt>
                <c:pt idx="348">
                  <c:v>-35.9</c:v>
                </c:pt>
                <c:pt idx="349">
                  <c:v>-58.7</c:v>
                </c:pt>
                <c:pt idx="350">
                  <c:v>-32.299999999999997</c:v>
                </c:pt>
                <c:pt idx="351">
                  <c:v>-68.3</c:v>
                </c:pt>
                <c:pt idx="352">
                  <c:v>-33.799999999999997</c:v>
                </c:pt>
                <c:pt idx="353">
                  <c:v>-12.6</c:v>
                </c:pt>
                <c:pt idx="354">
                  <c:v>43</c:v>
                </c:pt>
                <c:pt idx="355">
                  <c:v>4.7</c:v>
                </c:pt>
                <c:pt idx="356">
                  <c:v>13.8</c:v>
                </c:pt>
                <c:pt idx="357">
                  <c:v>-3.1</c:v>
                </c:pt>
                <c:pt idx="358">
                  <c:v>7.6</c:v>
                </c:pt>
                <c:pt idx="359">
                  <c:v>49.3</c:v>
                </c:pt>
                <c:pt idx="360">
                  <c:v>-2.9</c:v>
                </c:pt>
                <c:pt idx="361">
                  <c:v>-144.6</c:v>
                </c:pt>
                <c:pt idx="362">
                  <c:v>-55.1</c:v>
                </c:pt>
                <c:pt idx="363">
                  <c:v>181.2</c:v>
                </c:pt>
                <c:pt idx="364">
                  <c:v>246.8</c:v>
                </c:pt>
                <c:pt idx="365">
                  <c:v>210.8</c:v>
                </c:pt>
                <c:pt idx="366">
                  <c:v>172.9</c:v>
                </c:pt>
                <c:pt idx="367">
                  <c:v>114.5</c:v>
                </c:pt>
                <c:pt idx="368">
                  <c:v>77.8</c:v>
                </c:pt>
                <c:pt idx="369">
                  <c:v>48.2</c:v>
                </c:pt>
                <c:pt idx="370">
                  <c:v>65.3</c:v>
                </c:pt>
                <c:pt idx="371">
                  <c:v>86.5</c:v>
                </c:pt>
                <c:pt idx="372">
                  <c:v>28.1</c:v>
                </c:pt>
                <c:pt idx="373">
                  <c:v>42</c:v>
                </c:pt>
                <c:pt idx="374">
                  <c:v>4.4000000000000004</c:v>
                </c:pt>
                <c:pt idx="375">
                  <c:v>18.8</c:v>
                </c:pt>
                <c:pt idx="376">
                  <c:v>3.2</c:v>
                </c:pt>
                <c:pt idx="377">
                  <c:v>-56.3</c:v>
                </c:pt>
                <c:pt idx="378">
                  <c:v>-33.200000000000003</c:v>
                </c:pt>
                <c:pt idx="379">
                  <c:v>-16.100000000000001</c:v>
                </c:pt>
                <c:pt idx="380">
                  <c:v>22.5</c:v>
                </c:pt>
                <c:pt idx="381">
                  <c:v>19.5</c:v>
                </c:pt>
                <c:pt idx="382">
                  <c:v>-6.7</c:v>
                </c:pt>
                <c:pt idx="383">
                  <c:v>40.1</c:v>
                </c:pt>
                <c:pt idx="384">
                  <c:v>55.4</c:v>
                </c:pt>
                <c:pt idx="385">
                  <c:v>62</c:v>
                </c:pt>
                <c:pt idx="386">
                  <c:v>-37.799999999999997</c:v>
                </c:pt>
                <c:pt idx="387">
                  <c:v>-71.599999999999994</c:v>
                </c:pt>
                <c:pt idx="388">
                  <c:v>-61.8</c:v>
                </c:pt>
                <c:pt idx="389">
                  <c:v>-27.6</c:v>
                </c:pt>
                <c:pt idx="390">
                  <c:v>17.899999999999999</c:v>
                </c:pt>
                <c:pt idx="391">
                  <c:v>8.1</c:v>
                </c:pt>
                <c:pt idx="392">
                  <c:v>8.9</c:v>
                </c:pt>
                <c:pt idx="393">
                  <c:v>-4.4000000000000004</c:v>
                </c:pt>
                <c:pt idx="394">
                  <c:v>-6.1</c:v>
                </c:pt>
                <c:pt idx="395">
                  <c:v>38.6</c:v>
                </c:pt>
                <c:pt idx="396">
                  <c:v>57</c:v>
                </c:pt>
                <c:pt idx="397">
                  <c:v>22</c:v>
                </c:pt>
                <c:pt idx="398">
                  <c:v>23.7</c:v>
                </c:pt>
                <c:pt idx="399">
                  <c:v>54.4</c:v>
                </c:pt>
                <c:pt idx="400">
                  <c:v>76.099999999999994</c:v>
                </c:pt>
                <c:pt idx="401">
                  <c:v>46.4</c:v>
                </c:pt>
                <c:pt idx="402">
                  <c:v>45.1</c:v>
                </c:pt>
                <c:pt idx="403">
                  <c:v>61.4</c:v>
                </c:pt>
                <c:pt idx="404">
                  <c:v>28</c:v>
                </c:pt>
                <c:pt idx="405">
                  <c:v>8.1999999999999993</c:v>
                </c:pt>
                <c:pt idx="406">
                  <c:v>30</c:v>
                </c:pt>
                <c:pt idx="407">
                  <c:v>38.299999999999997</c:v>
                </c:pt>
                <c:pt idx="408">
                  <c:v>33.5</c:v>
                </c:pt>
                <c:pt idx="409">
                  <c:v>7.6</c:v>
                </c:pt>
                <c:pt idx="410">
                  <c:v>-7.6</c:v>
                </c:pt>
                <c:pt idx="411">
                  <c:v>-28.5</c:v>
                </c:pt>
                <c:pt idx="412">
                  <c:v>-25.2</c:v>
                </c:pt>
                <c:pt idx="413">
                  <c:v>-24.2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657E-430E-934D-A731DC024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1751983"/>
        <c:axId val="38172479"/>
      </c:lineChart>
      <c:dateAx>
        <c:axId val="839180943"/>
        <c:scaling>
          <c:orientation val="minMax"/>
          <c:min val="36951"/>
        </c:scaling>
        <c:delete val="0"/>
        <c:axPos val="b"/>
        <c:numFmt formatCode="[$-40C]mmm\-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9183855"/>
        <c:crosses val="autoZero"/>
        <c:auto val="1"/>
        <c:lblOffset val="100"/>
        <c:baseTimeUnit val="months"/>
      </c:dateAx>
      <c:valAx>
        <c:axId val="83918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9180943"/>
        <c:crosses val="autoZero"/>
        <c:crossBetween val="between"/>
      </c:valAx>
      <c:valAx>
        <c:axId val="38172479"/>
        <c:scaling>
          <c:orientation val="minMax"/>
          <c:max val="300"/>
          <c:min val="-2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85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11751983"/>
        <c:crosses val="max"/>
        <c:crossBetween val="between"/>
        <c:majorUnit val="50"/>
        <c:minorUnit val="10"/>
      </c:valAx>
      <c:catAx>
        <c:axId val="711751983"/>
        <c:scaling>
          <c:orientation val="minMax"/>
        </c:scaling>
        <c:delete val="1"/>
        <c:axPos val="b"/>
        <c:majorTickMark val="out"/>
        <c:minorTickMark val="none"/>
        <c:tickLblPos val="nextTo"/>
        <c:crossAx val="38172479"/>
        <c:crosses val="autoZero"/>
        <c:auto val="1"/>
        <c:lblAlgn val="ctr"/>
        <c:lblOffset val="100"/>
        <c:tickLblSkip val="1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US!$AP$6</c:f>
              <c:strCache>
                <c:ptCount val="1"/>
                <c:pt idx="0">
                  <c:v>sans seuil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US!$AO$7:$AO$418</c:f>
              <c:numCache>
                <c:formatCode>m/d/yyyy</c:formatCode>
                <c:ptCount val="412"/>
                <c:pt idx="0">
                  <c:v>33024</c:v>
                </c:pt>
                <c:pt idx="1">
                  <c:v>33054</c:v>
                </c:pt>
                <c:pt idx="2">
                  <c:v>33085</c:v>
                </c:pt>
                <c:pt idx="3">
                  <c:v>33116</c:v>
                </c:pt>
                <c:pt idx="4">
                  <c:v>33146</c:v>
                </c:pt>
                <c:pt idx="5">
                  <c:v>33177</c:v>
                </c:pt>
                <c:pt idx="6">
                  <c:v>33207</c:v>
                </c:pt>
                <c:pt idx="7">
                  <c:v>33238</c:v>
                </c:pt>
                <c:pt idx="8">
                  <c:v>33269</c:v>
                </c:pt>
                <c:pt idx="9">
                  <c:v>33297</c:v>
                </c:pt>
                <c:pt idx="10">
                  <c:v>33328</c:v>
                </c:pt>
                <c:pt idx="11">
                  <c:v>33358</c:v>
                </c:pt>
                <c:pt idx="12">
                  <c:v>33389</c:v>
                </c:pt>
                <c:pt idx="13">
                  <c:v>33419</c:v>
                </c:pt>
                <c:pt idx="14">
                  <c:v>33450</c:v>
                </c:pt>
                <c:pt idx="15">
                  <c:v>33481</c:v>
                </c:pt>
                <c:pt idx="16">
                  <c:v>33511</c:v>
                </c:pt>
                <c:pt idx="17">
                  <c:v>33542</c:v>
                </c:pt>
                <c:pt idx="18">
                  <c:v>33572</c:v>
                </c:pt>
                <c:pt idx="19">
                  <c:v>33603</c:v>
                </c:pt>
                <c:pt idx="20">
                  <c:v>33634</c:v>
                </c:pt>
                <c:pt idx="21">
                  <c:v>33663</c:v>
                </c:pt>
                <c:pt idx="22">
                  <c:v>33694</c:v>
                </c:pt>
                <c:pt idx="23">
                  <c:v>33724</c:v>
                </c:pt>
                <c:pt idx="24">
                  <c:v>33755</c:v>
                </c:pt>
                <c:pt idx="25">
                  <c:v>33785</c:v>
                </c:pt>
                <c:pt idx="26">
                  <c:v>33816</c:v>
                </c:pt>
                <c:pt idx="27">
                  <c:v>33847</c:v>
                </c:pt>
                <c:pt idx="28">
                  <c:v>33877</c:v>
                </c:pt>
                <c:pt idx="29">
                  <c:v>33908</c:v>
                </c:pt>
                <c:pt idx="30">
                  <c:v>33938</c:v>
                </c:pt>
                <c:pt idx="31">
                  <c:v>33969</c:v>
                </c:pt>
                <c:pt idx="32">
                  <c:v>34000</c:v>
                </c:pt>
                <c:pt idx="33">
                  <c:v>34028</c:v>
                </c:pt>
                <c:pt idx="34">
                  <c:v>34059</c:v>
                </c:pt>
                <c:pt idx="35">
                  <c:v>34089</c:v>
                </c:pt>
                <c:pt idx="36">
                  <c:v>34120</c:v>
                </c:pt>
                <c:pt idx="37">
                  <c:v>34150</c:v>
                </c:pt>
                <c:pt idx="38">
                  <c:v>34181</c:v>
                </c:pt>
                <c:pt idx="39">
                  <c:v>34212</c:v>
                </c:pt>
                <c:pt idx="40">
                  <c:v>34242</c:v>
                </c:pt>
                <c:pt idx="41">
                  <c:v>34273</c:v>
                </c:pt>
                <c:pt idx="42">
                  <c:v>34303</c:v>
                </c:pt>
                <c:pt idx="43">
                  <c:v>34334</c:v>
                </c:pt>
                <c:pt idx="44">
                  <c:v>34365</c:v>
                </c:pt>
                <c:pt idx="45">
                  <c:v>34393</c:v>
                </c:pt>
                <c:pt idx="46">
                  <c:v>34424</c:v>
                </c:pt>
                <c:pt idx="47">
                  <c:v>34454</c:v>
                </c:pt>
                <c:pt idx="48">
                  <c:v>34485</c:v>
                </c:pt>
                <c:pt idx="49">
                  <c:v>34515</c:v>
                </c:pt>
                <c:pt idx="50">
                  <c:v>34546</c:v>
                </c:pt>
                <c:pt idx="51">
                  <c:v>34577</c:v>
                </c:pt>
                <c:pt idx="52">
                  <c:v>34607</c:v>
                </c:pt>
                <c:pt idx="53">
                  <c:v>34638</c:v>
                </c:pt>
                <c:pt idx="54">
                  <c:v>34668</c:v>
                </c:pt>
                <c:pt idx="55">
                  <c:v>34699</c:v>
                </c:pt>
                <c:pt idx="56">
                  <c:v>34730</c:v>
                </c:pt>
                <c:pt idx="57">
                  <c:v>34758</c:v>
                </c:pt>
                <c:pt idx="58">
                  <c:v>34789</c:v>
                </c:pt>
                <c:pt idx="59">
                  <c:v>34819</c:v>
                </c:pt>
                <c:pt idx="60">
                  <c:v>34850</c:v>
                </c:pt>
                <c:pt idx="61">
                  <c:v>34880</c:v>
                </c:pt>
                <c:pt idx="62">
                  <c:v>34911</c:v>
                </c:pt>
                <c:pt idx="63">
                  <c:v>34942</c:v>
                </c:pt>
                <c:pt idx="64">
                  <c:v>34972</c:v>
                </c:pt>
                <c:pt idx="65">
                  <c:v>35003</c:v>
                </c:pt>
                <c:pt idx="66">
                  <c:v>35033</c:v>
                </c:pt>
                <c:pt idx="67">
                  <c:v>35064</c:v>
                </c:pt>
                <c:pt idx="68">
                  <c:v>35095</c:v>
                </c:pt>
                <c:pt idx="69">
                  <c:v>35124</c:v>
                </c:pt>
                <c:pt idx="70">
                  <c:v>35155</c:v>
                </c:pt>
                <c:pt idx="71">
                  <c:v>35185</c:v>
                </c:pt>
                <c:pt idx="72">
                  <c:v>35216</c:v>
                </c:pt>
                <c:pt idx="73">
                  <c:v>35246</c:v>
                </c:pt>
                <c:pt idx="74">
                  <c:v>35277</c:v>
                </c:pt>
                <c:pt idx="75">
                  <c:v>35308</c:v>
                </c:pt>
                <c:pt idx="76">
                  <c:v>35338</c:v>
                </c:pt>
                <c:pt idx="77">
                  <c:v>35369</c:v>
                </c:pt>
                <c:pt idx="78">
                  <c:v>35399</c:v>
                </c:pt>
                <c:pt idx="79">
                  <c:v>35430</c:v>
                </c:pt>
                <c:pt idx="80">
                  <c:v>35461</c:v>
                </c:pt>
                <c:pt idx="81">
                  <c:v>35489</c:v>
                </c:pt>
                <c:pt idx="82">
                  <c:v>35520</c:v>
                </c:pt>
                <c:pt idx="83">
                  <c:v>35550</c:v>
                </c:pt>
                <c:pt idx="84">
                  <c:v>35581</c:v>
                </c:pt>
                <c:pt idx="85">
                  <c:v>35611</c:v>
                </c:pt>
                <c:pt idx="86">
                  <c:v>35642</c:v>
                </c:pt>
                <c:pt idx="87">
                  <c:v>35673</c:v>
                </c:pt>
                <c:pt idx="88">
                  <c:v>35703</c:v>
                </c:pt>
                <c:pt idx="89">
                  <c:v>35734</c:v>
                </c:pt>
                <c:pt idx="90">
                  <c:v>35764</c:v>
                </c:pt>
                <c:pt idx="91">
                  <c:v>35795</c:v>
                </c:pt>
                <c:pt idx="92">
                  <c:v>35826</c:v>
                </c:pt>
                <c:pt idx="93">
                  <c:v>35854</c:v>
                </c:pt>
                <c:pt idx="94">
                  <c:v>35885</c:v>
                </c:pt>
                <c:pt idx="95">
                  <c:v>35915</c:v>
                </c:pt>
                <c:pt idx="96">
                  <c:v>35946</c:v>
                </c:pt>
                <c:pt idx="97">
                  <c:v>35976</c:v>
                </c:pt>
                <c:pt idx="98">
                  <c:v>36007</c:v>
                </c:pt>
                <c:pt idx="99">
                  <c:v>36038</c:v>
                </c:pt>
                <c:pt idx="100">
                  <c:v>36068</c:v>
                </c:pt>
                <c:pt idx="101">
                  <c:v>36099</c:v>
                </c:pt>
                <c:pt idx="102">
                  <c:v>36129</c:v>
                </c:pt>
                <c:pt idx="103">
                  <c:v>36160</c:v>
                </c:pt>
                <c:pt idx="104">
                  <c:v>36191</c:v>
                </c:pt>
                <c:pt idx="105">
                  <c:v>36219</c:v>
                </c:pt>
                <c:pt idx="106">
                  <c:v>36250</c:v>
                </c:pt>
                <c:pt idx="107">
                  <c:v>36280</c:v>
                </c:pt>
                <c:pt idx="108">
                  <c:v>36311</c:v>
                </c:pt>
                <c:pt idx="109">
                  <c:v>36341</c:v>
                </c:pt>
                <c:pt idx="110">
                  <c:v>36372</c:v>
                </c:pt>
                <c:pt idx="111">
                  <c:v>36403</c:v>
                </c:pt>
                <c:pt idx="112">
                  <c:v>36433</c:v>
                </c:pt>
                <c:pt idx="113">
                  <c:v>36464</c:v>
                </c:pt>
                <c:pt idx="114">
                  <c:v>36494</c:v>
                </c:pt>
                <c:pt idx="115">
                  <c:v>36525</c:v>
                </c:pt>
                <c:pt idx="116">
                  <c:v>36556</c:v>
                </c:pt>
                <c:pt idx="117">
                  <c:v>36585</c:v>
                </c:pt>
                <c:pt idx="118">
                  <c:v>36616</c:v>
                </c:pt>
                <c:pt idx="119">
                  <c:v>36646</c:v>
                </c:pt>
                <c:pt idx="120">
                  <c:v>36677</c:v>
                </c:pt>
                <c:pt idx="121">
                  <c:v>36707</c:v>
                </c:pt>
                <c:pt idx="122">
                  <c:v>36738</c:v>
                </c:pt>
                <c:pt idx="123">
                  <c:v>36769</c:v>
                </c:pt>
                <c:pt idx="124">
                  <c:v>36799</c:v>
                </c:pt>
                <c:pt idx="125">
                  <c:v>36830</c:v>
                </c:pt>
                <c:pt idx="126">
                  <c:v>36860</c:v>
                </c:pt>
                <c:pt idx="127">
                  <c:v>36891</c:v>
                </c:pt>
                <c:pt idx="128">
                  <c:v>36922</c:v>
                </c:pt>
                <c:pt idx="129">
                  <c:v>36950</c:v>
                </c:pt>
                <c:pt idx="130">
                  <c:v>36981</c:v>
                </c:pt>
                <c:pt idx="131">
                  <c:v>37011</c:v>
                </c:pt>
                <c:pt idx="132">
                  <c:v>37042</c:v>
                </c:pt>
                <c:pt idx="133">
                  <c:v>37072</c:v>
                </c:pt>
                <c:pt idx="134">
                  <c:v>37103</c:v>
                </c:pt>
                <c:pt idx="135">
                  <c:v>37134</c:v>
                </c:pt>
                <c:pt idx="136">
                  <c:v>37164</c:v>
                </c:pt>
                <c:pt idx="137">
                  <c:v>37195</c:v>
                </c:pt>
                <c:pt idx="138">
                  <c:v>37225</c:v>
                </c:pt>
                <c:pt idx="139">
                  <c:v>37256</c:v>
                </c:pt>
                <c:pt idx="140">
                  <c:v>37287</c:v>
                </c:pt>
                <c:pt idx="141">
                  <c:v>37315</c:v>
                </c:pt>
                <c:pt idx="142">
                  <c:v>37346</c:v>
                </c:pt>
                <c:pt idx="143">
                  <c:v>37376</c:v>
                </c:pt>
                <c:pt idx="144">
                  <c:v>37407</c:v>
                </c:pt>
                <c:pt idx="145">
                  <c:v>37437</c:v>
                </c:pt>
                <c:pt idx="146">
                  <c:v>37468</c:v>
                </c:pt>
                <c:pt idx="147">
                  <c:v>37499</c:v>
                </c:pt>
                <c:pt idx="148">
                  <c:v>37529</c:v>
                </c:pt>
                <c:pt idx="149">
                  <c:v>37560</c:v>
                </c:pt>
                <c:pt idx="150">
                  <c:v>37590</c:v>
                </c:pt>
                <c:pt idx="151">
                  <c:v>37621</c:v>
                </c:pt>
                <c:pt idx="152">
                  <c:v>37652</c:v>
                </c:pt>
                <c:pt idx="153">
                  <c:v>37680</c:v>
                </c:pt>
                <c:pt idx="154">
                  <c:v>37711</c:v>
                </c:pt>
                <c:pt idx="155">
                  <c:v>37741</c:v>
                </c:pt>
                <c:pt idx="156">
                  <c:v>37772</c:v>
                </c:pt>
                <c:pt idx="157">
                  <c:v>37802</c:v>
                </c:pt>
                <c:pt idx="158">
                  <c:v>37833</c:v>
                </c:pt>
                <c:pt idx="159">
                  <c:v>37864</c:v>
                </c:pt>
                <c:pt idx="160">
                  <c:v>37894</c:v>
                </c:pt>
                <c:pt idx="161">
                  <c:v>37925</c:v>
                </c:pt>
                <c:pt idx="162">
                  <c:v>37955</c:v>
                </c:pt>
                <c:pt idx="163">
                  <c:v>37986</c:v>
                </c:pt>
                <c:pt idx="164">
                  <c:v>38017</c:v>
                </c:pt>
                <c:pt idx="165">
                  <c:v>38046</c:v>
                </c:pt>
                <c:pt idx="166">
                  <c:v>38077</c:v>
                </c:pt>
                <c:pt idx="167">
                  <c:v>38107</c:v>
                </c:pt>
                <c:pt idx="168">
                  <c:v>38138</c:v>
                </c:pt>
                <c:pt idx="169">
                  <c:v>38168</c:v>
                </c:pt>
                <c:pt idx="170">
                  <c:v>38199</c:v>
                </c:pt>
                <c:pt idx="171">
                  <c:v>38230</c:v>
                </c:pt>
                <c:pt idx="172">
                  <c:v>38260</c:v>
                </c:pt>
                <c:pt idx="173">
                  <c:v>38291</c:v>
                </c:pt>
                <c:pt idx="174">
                  <c:v>38321</c:v>
                </c:pt>
                <c:pt idx="175">
                  <c:v>38352</c:v>
                </c:pt>
                <c:pt idx="176">
                  <c:v>38383</c:v>
                </c:pt>
                <c:pt idx="177">
                  <c:v>38411</c:v>
                </c:pt>
                <c:pt idx="178">
                  <c:v>38442</c:v>
                </c:pt>
                <c:pt idx="179">
                  <c:v>38472</c:v>
                </c:pt>
                <c:pt idx="180">
                  <c:v>38503</c:v>
                </c:pt>
                <c:pt idx="181">
                  <c:v>38533</c:v>
                </c:pt>
                <c:pt idx="182">
                  <c:v>38564</c:v>
                </c:pt>
                <c:pt idx="183">
                  <c:v>38595</c:v>
                </c:pt>
                <c:pt idx="184">
                  <c:v>38625</c:v>
                </c:pt>
                <c:pt idx="185">
                  <c:v>38656</c:v>
                </c:pt>
                <c:pt idx="186">
                  <c:v>38686</c:v>
                </c:pt>
                <c:pt idx="187">
                  <c:v>38717</c:v>
                </c:pt>
                <c:pt idx="188">
                  <c:v>38748</c:v>
                </c:pt>
                <c:pt idx="189">
                  <c:v>38776</c:v>
                </c:pt>
                <c:pt idx="190">
                  <c:v>38807</c:v>
                </c:pt>
                <c:pt idx="191">
                  <c:v>38837</c:v>
                </c:pt>
                <c:pt idx="192">
                  <c:v>38868</c:v>
                </c:pt>
                <c:pt idx="193">
                  <c:v>38898</c:v>
                </c:pt>
                <c:pt idx="194">
                  <c:v>38929</c:v>
                </c:pt>
                <c:pt idx="195">
                  <c:v>38960</c:v>
                </c:pt>
                <c:pt idx="196">
                  <c:v>38990</c:v>
                </c:pt>
                <c:pt idx="197">
                  <c:v>39021</c:v>
                </c:pt>
                <c:pt idx="198">
                  <c:v>39051</c:v>
                </c:pt>
                <c:pt idx="199">
                  <c:v>39082</c:v>
                </c:pt>
                <c:pt idx="200">
                  <c:v>39113</c:v>
                </c:pt>
                <c:pt idx="201">
                  <c:v>39141</c:v>
                </c:pt>
                <c:pt idx="202">
                  <c:v>39172</c:v>
                </c:pt>
                <c:pt idx="203">
                  <c:v>39202</c:v>
                </c:pt>
                <c:pt idx="204">
                  <c:v>39233</c:v>
                </c:pt>
                <c:pt idx="205">
                  <c:v>39263</c:v>
                </c:pt>
                <c:pt idx="206">
                  <c:v>39294</c:v>
                </c:pt>
                <c:pt idx="207">
                  <c:v>39325</c:v>
                </c:pt>
                <c:pt idx="208">
                  <c:v>39355</c:v>
                </c:pt>
                <c:pt idx="209">
                  <c:v>39386</c:v>
                </c:pt>
                <c:pt idx="210">
                  <c:v>39416</c:v>
                </c:pt>
                <c:pt idx="211">
                  <c:v>39447</c:v>
                </c:pt>
                <c:pt idx="212">
                  <c:v>39478</c:v>
                </c:pt>
                <c:pt idx="213">
                  <c:v>39507</c:v>
                </c:pt>
                <c:pt idx="214">
                  <c:v>39538</c:v>
                </c:pt>
                <c:pt idx="215">
                  <c:v>39568</c:v>
                </c:pt>
                <c:pt idx="216">
                  <c:v>39599</c:v>
                </c:pt>
                <c:pt idx="217">
                  <c:v>39629</c:v>
                </c:pt>
                <c:pt idx="218">
                  <c:v>39660</c:v>
                </c:pt>
                <c:pt idx="219">
                  <c:v>39691</c:v>
                </c:pt>
                <c:pt idx="220">
                  <c:v>39721</c:v>
                </c:pt>
                <c:pt idx="221">
                  <c:v>39752</c:v>
                </c:pt>
                <c:pt idx="222">
                  <c:v>39782</c:v>
                </c:pt>
                <c:pt idx="223">
                  <c:v>39813</c:v>
                </c:pt>
                <c:pt idx="224">
                  <c:v>39844</c:v>
                </c:pt>
                <c:pt idx="225">
                  <c:v>39872</c:v>
                </c:pt>
                <c:pt idx="226">
                  <c:v>39903</c:v>
                </c:pt>
                <c:pt idx="227">
                  <c:v>39933</c:v>
                </c:pt>
                <c:pt idx="228">
                  <c:v>39964</c:v>
                </c:pt>
                <c:pt idx="229">
                  <c:v>39994</c:v>
                </c:pt>
                <c:pt idx="230">
                  <c:v>40025</c:v>
                </c:pt>
                <c:pt idx="231">
                  <c:v>40056</c:v>
                </c:pt>
                <c:pt idx="232">
                  <c:v>40086</c:v>
                </c:pt>
                <c:pt idx="233">
                  <c:v>40117</c:v>
                </c:pt>
                <c:pt idx="234">
                  <c:v>40147</c:v>
                </c:pt>
                <c:pt idx="235">
                  <c:v>40178</c:v>
                </c:pt>
                <c:pt idx="236">
                  <c:v>40209</c:v>
                </c:pt>
                <c:pt idx="237">
                  <c:v>40237</c:v>
                </c:pt>
                <c:pt idx="238">
                  <c:v>40268</c:v>
                </c:pt>
                <c:pt idx="239">
                  <c:v>40298</c:v>
                </c:pt>
                <c:pt idx="240">
                  <c:v>40329</c:v>
                </c:pt>
                <c:pt idx="241">
                  <c:v>40359</c:v>
                </c:pt>
                <c:pt idx="242">
                  <c:v>40390</c:v>
                </c:pt>
                <c:pt idx="243">
                  <c:v>40421</c:v>
                </c:pt>
                <c:pt idx="244">
                  <c:v>40451</c:v>
                </c:pt>
                <c:pt idx="245">
                  <c:v>40482</c:v>
                </c:pt>
                <c:pt idx="246">
                  <c:v>40512</c:v>
                </c:pt>
                <c:pt idx="247">
                  <c:v>40543</c:v>
                </c:pt>
                <c:pt idx="248">
                  <c:v>40574</c:v>
                </c:pt>
                <c:pt idx="249">
                  <c:v>40602</c:v>
                </c:pt>
                <c:pt idx="250">
                  <c:v>40633</c:v>
                </c:pt>
                <c:pt idx="251">
                  <c:v>40663</c:v>
                </c:pt>
                <c:pt idx="252">
                  <c:v>40694</c:v>
                </c:pt>
                <c:pt idx="253">
                  <c:v>40724</c:v>
                </c:pt>
                <c:pt idx="254">
                  <c:v>40755</c:v>
                </c:pt>
                <c:pt idx="255">
                  <c:v>40786</c:v>
                </c:pt>
                <c:pt idx="256">
                  <c:v>40816</c:v>
                </c:pt>
                <c:pt idx="257">
                  <c:v>40847</c:v>
                </c:pt>
                <c:pt idx="258">
                  <c:v>40877</c:v>
                </c:pt>
                <c:pt idx="259">
                  <c:v>40908</c:v>
                </c:pt>
                <c:pt idx="260">
                  <c:v>40939</c:v>
                </c:pt>
                <c:pt idx="261">
                  <c:v>40968</c:v>
                </c:pt>
                <c:pt idx="262">
                  <c:v>40999</c:v>
                </c:pt>
                <c:pt idx="263">
                  <c:v>41029</c:v>
                </c:pt>
                <c:pt idx="264">
                  <c:v>41060</c:v>
                </c:pt>
                <c:pt idx="265">
                  <c:v>41090</c:v>
                </c:pt>
                <c:pt idx="266">
                  <c:v>41121</c:v>
                </c:pt>
                <c:pt idx="267">
                  <c:v>41152</c:v>
                </c:pt>
                <c:pt idx="268">
                  <c:v>41182</c:v>
                </c:pt>
                <c:pt idx="269">
                  <c:v>41213</c:v>
                </c:pt>
                <c:pt idx="270">
                  <c:v>41243</c:v>
                </c:pt>
                <c:pt idx="271">
                  <c:v>41274</c:v>
                </c:pt>
                <c:pt idx="272">
                  <c:v>41305</c:v>
                </c:pt>
                <c:pt idx="273">
                  <c:v>41333</c:v>
                </c:pt>
                <c:pt idx="274">
                  <c:v>41364</c:v>
                </c:pt>
                <c:pt idx="275">
                  <c:v>41394</c:v>
                </c:pt>
                <c:pt idx="276">
                  <c:v>41425</c:v>
                </c:pt>
                <c:pt idx="277">
                  <c:v>41455</c:v>
                </c:pt>
                <c:pt idx="278">
                  <c:v>41486</c:v>
                </c:pt>
                <c:pt idx="279">
                  <c:v>41517</c:v>
                </c:pt>
                <c:pt idx="280">
                  <c:v>41547</c:v>
                </c:pt>
                <c:pt idx="281">
                  <c:v>41578</c:v>
                </c:pt>
                <c:pt idx="282">
                  <c:v>41608</c:v>
                </c:pt>
                <c:pt idx="283">
                  <c:v>41639</c:v>
                </c:pt>
                <c:pt idx="284">
                  <c:v>41670</c:v>
                </c:pt>
                <c:pt idx="285">
                  <c:v>41698</c:v>
                </c:pt>
                <c:pt idx="286">
                  <c:v>41729</c:v>
                </c:pt>
                <c:pt idx="287">
                  <c:v>41759</c:v>
                </c:pt>
                <c:pt idx="288">
                  <c:v>41790</c:v>
                </c:pt>
                <c:pt idx="289">
                  <c:v>41820</c:v>
                </c:pt>
                <c:pt idx="290">
                  <c:v>41851</c:v>
                </c:pt>
                <c:pt idx="291">
                  <c:v>41882</c:v>
                </c:pt>
                <c:pt idx="292">
                  <c:v>41912</c:v>
                </c:pt>
                <c:pt idx="293">
                  <c:v>41943</c:v>
                </c:pt>
                <c:pt idx="294">
                  <c:v>41973</c:v>
                </c:pt>
                <c:pt idx="295">
                  <c:v>42004</c:v>
                </c:pt>
                <c:pt idx="296">
                  <c:v>42035</c:v>
                </c:pt>
                <c:pt idx="297">
                  <c:v>42063</c:v>
                </c:pt>
                <c:pt idx="298">
                  <c:v>42094</c:v>
                </c:pt>
                <c:pt idx="299">
                  <c:v>42124</c:v>
                </c:pt>
                <c:pt idx="300">
                  <c:v>42155</c:v>
                </c:pt>
                <c:pt idx="301">
                  <c:v>42185</c:v>
                </c:pt>
                <c:pt idx="302">
                  <c:v>42216</c:v>
                </c:pt>
                <c:pt idx="303">
                  <c:v>42247</c:v>
                </c:pt>
                <c:pt idx="304">
                  <c:v>42277</c:v>
                </c:pt>
                <c:pt idx="305">
                  <c:v>42308</c:v>
                </c:pt>
                <c:pt idx="306">
                  <c:v>42338</c:v>
                </c:pt>
                <c:pt idx="307">
                  <c:v>42369</c:v>
                </c:pt>
                <c:pt idx="308">
                  <c:v>42400</c:v>
                </c:pt>
                <c:pt idx="309">
                  <c:v>42429</c:v>
                </c:pt>
                <c:pt idx="310">
                  <c:v>42460</c:v>
                </c:pt>
                <c:pt idx="311">
                  <c:v>42490</c:v>
                </c:pt>
                <c:pt idx="312">
                  <c:v>42521</c:v>
                </c:pt>
                <c:pt idx="313">
                  <c:v>42551</c:v>
                </c:pt>
                <c:pt idx="314">
                  <c:v>42582</c:v>
                </c:pt>
                <c:pt idx="315">
                  <c:v>42613</c:v>
                </c:pt>
                <c:pt idx="316">
                  <c:v>42643</c:v>
                </c:pt>
                <c:pt idx="317">
                  <c:v>42674</c:v>
                </c:pt>
                <c:pt idx="318">
                  <c:v>42704</c:v>
                </c:pt>
                <c:pt idx="319">
                  <c:v>42735</c:v>
                </c:pt>
                <c:pt idx="320">
                  <c:v>42766</c:v>
                </c:pt>
                <c:pt idx="321">
                  <c:v>42794</c:v>
                </c:pt>
                <c:pt idx="322">
                  <c:v>42825</c:v>
                </c:pt>
                <c:pt idx="323">
                  <c:v>42855</c:v>
                </c:pt>
                <c:pt idx="324">
                  <c:v>42886</c:v>
                </c:pt>
                <c:pt idx="325">
                  <c:v>42916</c:v>
                </c:pt>
                <c:pt idx="326">
                  <c:v>42947</c:v>
                </c:pt>
                <c:pt idx="327">
                  <c:v>42978</c:v>
                </c:pt>
                <c:pt idx="328">
                  <c:v>43008</c:v>
                </c:pt>
                <c:pt idx="329">
                  <c:v>43039</c:v>
                </c:pt>
                <c:pt idx="330">
                  <c:v>43069</c:v>
                </c:pt>
                <c:pt idx="331">
                  <c:v>43100</c:v>
                </c:pt>
                <c:pt idx="332">
                  <c:v>43131</c:v>
                </c:pt>
                <c:pt idx="333">
                  <c:v>43159</c:v>
                </c:pt>
                <c:pt idx="334">
                  <c:v>43190</c:v>
                </c:pt>
                <c:pt idx="335">
                  <c:v>43220</c:v>
                </c:pt>
                <c:pt idx="336">
                  <c:v>43251</c:v>
                </c:pt>
                <c:pt idx="337">
                  <c:v>43281</c:v>
                </c:pt>
                <c:pt idx="338">
                  <c:v>43312</c:v>
                </c:pt>
                <c:pt idx="339">
                  <c:v>43343</c:v>
                </c:pt>
                <c:pt idx="340">
                  <c:v>43373</c:v>
                </c:pt>
                <c:pt idx="341">
                  <c:v>43404</c:v>
                </c:pt>
                <c:pt idx="342">
                  <c:v>43434</c:v>
                </c:pt>
                <c:pt idx="343">
                  <c:v>43465</c:v>
                </c:pt>
                <c:pt idx="344">
                  <c:v>43496</c:v>
                </c:pt>
                <c:pt idx="345">
                  <c:v>43524</c:v>
                </c:pt>
                <c:pt idx="346">
                  <c:v>43555</c:v>
                </c:pt>
                <c:pt idx="347">
                  <c:v>43585</c:v>
                </c:pt>
                <c:pt idx="348">
                  <c:v>43616</c:v>
                </c:pt>
                <c:pt idx="349">
                  <c:v>43646</c:v>
                </c:pt>
                <c:pt idx="350">
                  <c:v>43677</c:v>
                </c:pt>
                <c:pt idx="351">
                  <c:v>43708</c:v>
                </c:pt>
                <c:pt idx="352">
                  <c:v>43738</c:v>
                </c:pt>
                <c:pt idx="353">
                  <c:v>43769</c:v>
                </c:pt>
                <c:pt idx="354">
                  <c:v>43799</c:v>
                </c:pt>
                <c:pt idx="355">
                  <c:v>43830</c:v>
                </c:pt>
                <c:pt idx="356">
                  <c:v>43861</c:v>
                </c:pt>
                <c:pt idx="357">
                  <c:v>43890</c:v>
                </c:pt>
                <c:pt idx="358">
                  <c:v>43921</c:v>
                </c:pt>
                <c:pt idx="359">
                  <c:v>43951</c:v>
                </c:pt>
                <c:pt idx="360">
                  <c:v>43982</c:v>
                </c:pt>
                <c:pt idx="361">
                  <c:v>44012</c:v>
                </c:pt>
                <c:pt idx="362">
                  <c:v>44043</c:v>
                </c:pt>
                <c:pt idx="363">
                  <c:v>44074</c:v>
                </c:pt>
                <c:pt idx="364">
                  <c:v>44104</c:v>
                </c:pt>
                <c:pt idx="365">
                  <c:v>44135</c:v>
                </c:pt>
                <c:pt idx="366">
                  <c:v>44165</c:v>
                </c:pt>
                <c:pt idx="367">
                  <c:v>44196</c:v>
                </c:pt>
                <c:pt idx="368">
                  <c:v>44227</c:v>
                </c:pt>
                <c:pt idx="369">
                  <c:v>44255</c:v>
                </c:pt>
                <c:pt idx="370">
                  <c:v>44286</c:v>
                </c:pt>
                <c:pt idx="371">
                  <c:v>44316</c:v>
                </c:pt>
                <c:pt idx="372">
                  <c:v>44347</c:v>
                </c:pt>
                <c:pt idx="373">
                  <c:v>44377</c:v>
                </c:pt>
                <c:pt idx="374">
                  <c:v>44408</c:v>
                </c:pt>
                <c:pt idx="375">
                  <c:v>44439</c:v>
                </c:pt>
                <c:pt idx="376">
                  <c:v>44469</c:v>
                </c:pt>
                <c:pt idx="377">
                  <c:v>44500</c:v>
                </c:pt>
                <c:pt idx="378">
                  <c:v>44530</c:v>
                </c:pt>
                <c:pt idx="379">
                  <c:v>44561</c:v>
                </c:pt>
                <c:pt idx="380">
                  <c:v>44592</c:v>
                </c:pt>
                <c:pt idx="381">
                  <c:v>44620</c:v>
                </c:pt>
                <c:pt idx="382">
                  <c:v>44651</c:v>
                </c:pt>
                <c:pt idx="383">
                  <c:v>44681</c:v>
                </c:pt>
                <c:pt idx="384">
                  <c:v>44712</c:v>
                </c:pt>
                <c:pt idx="385">
                  <c:v>44742</c:v>
                </c:pt>
                <c:pt idx="386">
                  <c:v>44773</c:v>
                </c:pt>
                <c:pt idx="387">
                  <c:v>44804</c:v>
                </c:pt>
                <c:pt idx="388">
                  <c:v>44834</c:v>
                </c:pt>
                <c:pt idx="389">
                  <c:v>44865</c:v>
                </c:pt>
                <c:pt idx="390">
                  <c:v>44895</c:v>
                </c:pt>
                <c:pt idx="391">
                  <c:v>44926</c:v>
                </c:pt>
                <c:pt idx="392">
                  <c:v>44957</c:v>
                </c:pt>
                <c:pt idx="393">
                  <c:v>44985</c:v>
                </c:pt>
                <c:pt idx="394">
                  <c:v>45016</c:v>
                </c:pt>
                <c:pt idx="395">
                  <c:v>45046</c:v>
                </c:pt>
                <c:pt idx="396">
                  <c:v>45077</c:v>
                </c:pt>
                <c:pt idx="397">
                  <c:v>45107</c:v>
                </c:pt>
                <c:pt idx="398">
                  <c:v>45138</c:v>
                </c:pt>
                <c:pt idx="399">
                  <c:v>45169</c:v>
                </c:pt>
                <c:pt idx="400">
                  <c:v>45199</c:v>
                </c:pt>
                <c:pt idx="401">
                  <c:v>45230</c:v>
                </c:pt>
                <c:pt idx="402">
                  <c:v>45260</c:v>
                </c:pt>
                <c:pt idx="403">
                  <c:v>45291</c:v>
                </c:pt>
                <c:pt idx="404">
                  <c:v>45322</c:v>
                </c:pt>
                <c:pt idx="405">
                  <c:v>45351</c:v>
                </c:pt>
                <c:pt idx="406">
                  <c:v>45382</c:v>
                </c:pt>
                <c:pt idx="407">
                  <c:v>45412</c:v>
                </c:pt>
                <c:pt idx="408">
                  <c:v>45443</c:v>
                </c:pt>
                <c:pt idx="409">
                  <c:v>45473</c:v>
                </c:pt>
                <c:pt idx="410">
                  <c:v>45504</c:v>
                </c:pt>
                <c:pt idx="411">
                  <c:v>45534</c:v>
                </c:pt>
              </c:numCache>
            </c:numRef>
          </c:cat>
          <c:val>
            <c:numRef>
              <c:f>US!$AP$7:$AP$418</c:f>
              <c:numCache>
                <c:formatCode>General</c:formatCode>
                <c:ptCount val="412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3</c:v>
                </c:pt>
                <c:pt idx="19">
                  <c:v>1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3</c:v>
                </c:pt>
                <c:pt idx="35">
                  <c:v>4</c:v>
                </c:pt>
                <c:pt idx="36">
                  <c:v>3</c:v>
                </c:pt>
                <c:pt idx="37">
                  <c:v>4</c:v>
                </c:pt>
                <c:pt idx="38">
                  <c:v>3</c:v>
                </c:pt>
                <c:pt idx="39">
                  <c:v>3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3</c:v>
                </c:pt>
                <c:pt idx="45">
                  <c:v>3</c:v>
                </c:pt>
                <c:pt idx="46">
                  <c:v>4</c:v>
                </c:pt>
                <c:pt idx="47">
                  <c:v>4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4</c:v>
                </c:pt>
                <c:pt idx="52">
                  <c:v>3</c:v>
                </c:pt>
                <c:pt idx="53">
                  <c:v>4</c:v>
                </c:pt>
                <c:pt idx="54">
                  <c:v>4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4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4</c:v>
                </c:pt>
                <c:pt idx="70">
                  <c:v>3</c:v>
                </c:pt>
                <c:pt idx="71">
                  <c:v>4</c:v>
                </c:pt>
                <c:pt idx="72">
                  <c:v>4</c:v>
                </c:pt>
                <c:pt idx="73">
                  <c:v>3</c:v>
                </c:pt>
                <c:pt idx="74">
                  <c:v>3</c:v>
                </c:pt>
                <c:pt idx="75">
                  <c:v>4</c:v>
                </c:pt>
                <c:pt idx="76">
                  <c:v>3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3</c:v>
                </c:pt>
                <c:pt idx="90">
                  <c:v>3</c:v>
                </c:pt>
                <c:pt idx="91">
                  <c:v>4</c:v>
                </c:pt>
                <c:pt idx="92">
                  <c:v>3</c:v>
                </c:pt>
                <c:pt idx="93">
                  <c:v>4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3</c:v>
                </c:pt>
                <c:pt idx="107">
                  <c:v>3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3</c:v>
                </c:pt>
                <c:pt idx="112">
                  <c:v>3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3</c:v>
                </c:pt>
                <c:pt idx="118">
                  <c:v>4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4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2</c:v>
                </c:pt>
                <c:pt idx="151">
                  <c:v>1</c:v>
                </c:pt>
                <c:pt idx="152">
                  <c:v>2</c:v>
                </c:pt>
                <c:pt idx="153">
                  <c:v>1</c:v>
                </c:pt>
                <c:pt idx="154">
                  <c:v>1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4</c:v>
                </c:pt>
                <c:pt idx="166">
                  <c:v>4</c:v>
                </c:pt>
                <c:pt idx="167">
                  <c:v>4</c:v>
                </c:pt>
                <c:pt idx="168">
                  <c:v>4</c:v>
                </c:pt>
                <c:pt idx="169">
                  <c:v>3</c:v>
                </c:pt>
                <c:pt idx="170">
                  <c:v>4</c:v>
                </c:pt>
                <c:pt idx="171">
                  <c:v>4</c:v>
                </c:pt>
                <c:pt idx="172">
                  <c:v>4</c:v>
                </c:pt>
                <c:pt idx="173">
                  <c:v>4</c:v>
                </c:pt>
                <c:pt idx="174">
                  <c:v>4</c:v>
                </c:pt>
                <c:pt idx="175">
                  <c:v>4</c:v>
                </c:pt>
                <c:pt idx="176">
                  <c:v>4</c:v>
                </c:pt>
                <c:pt idx="177">
                  <c:v>4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4</c:v>
                </c:pt>
                <c:pt idx="183">
                  <c:v>3</c:v>
                </c:pt>
                <c:pt idx="184">
                  <c:v>3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4</c:v>
                </c:pt>
                <c:pt idx="196">
                  <c:v>3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4</c:v>
                </c:pt>
                <c:pt idx="240">
                  <c:v>4</c:v>
                </c:pt>
                <c:pt idx="241">
                  <c:v>1</c:v>
                </c:pt>
                <c:pt idx="242">
                  <c:v>2</c:v>
                </c:pt>
                <c:pt idx="243">
                  <c:v>4</c:v>
                </c:pt>
                <c:pt idx="244">
                  <c:v>3</c:v>
                </c:pt>
                <c:pt idx="245">
                  <c:v>3</c:v>
                </c:pt>
                <c:pt idx="246">
                  <c:v>4</c:v>
                </c:pt>
                <c:pt idx="247">
                  <c:v>4</c:v>
                </c:pt>
                <c:pt idx="248">
                  <c:v>4</c:v>
                </c:pt>
                <c:pt idx="249">
                  <c:v>3</c:v>
                </c:pt>
                <c:pt idx="250">
                  <c:v>4</c:v>
                </c:pt>
                <c:pt idx="251">
                  <c:v>3</c:v>
                </c:pt>
                <c:pt idx="252">
                  <c:v>3</c:v>
                </c:pt>
                <c:pt idx="253">
                  <c:v>4</c:v>
                </c:pt>
                <c:pt idx="254">
                  <c:v>3</c:v>
                </c:pt>
                <c:pt idx="255">
                  <c:v>1</c:v>
                </c:pt>
                <c:pt idx="256">
                  <c:v>1</c:v>
                </c:pt>
                <c:pt idx="257">
                  <c:v>2</c:v>
                </c:pt>
                <c:pt idx="258">
                  <c:v>1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1</c:v>
                </c:pt>
                <c:pt idx="263">
                  <c:v>2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2</c:v>
                </c:pt>
                <c:pt idx="269">
                  <c:v>2</c:v>
                </c:pt>
                <c:pt idx="270">
                  <c:v>4</c:v>
                </c:pt>
                <c:pt idx="271">
                  <c:v>4</c:v>
                </c:pt>
                <c:pt idx="272">
                  <c:v>3</c:v>
                </c:pt>
                <c:pt idx="273">
                  <c:v>4</c:v>
                </c:pt>
                <c:pt idx="274">
                  <c:v>4</c:v>
                </c:pt>
                <c:pt idx="275">
                  <c:v>4</c:v>
                </c:pt>
                <c:pt idx="276">
                  <c:v>4</c:v>
                </c:pt>
                <c:pt idx="277">
                  <c:v>3</c:v>
                </c:pt>
                <c:pt idx="278">
                  <c:v>4</c:v>
                </c:pt>
                <c:pt idx="279">
                  <c:v>4</c:v>
                </c:pt>
                <c:pt idx="280">
                  <c:v>4</c:v>
                </c:pt>
                <c:pt idx="281">
                  <c:v>4</c:v>
                </c:pt>
                <c:pt idx="282">
                  <c:v>4</c:v>
                </c:pt>
                <c:pt idx="283">
                  <c:v>4</c:v>
                </c:pt>
                <c:pt idx="284">
                  <c:v>3</c:v>
                </c:pt>
                <c:pt idx="285">
                  <c:v>4</c:v>
                </c:pt>
                <c:pt idx="286">
                  <c:v>4</c:v>
                </c:pt>
                <c:pt idx="287">
                  <c:v>4</c:v>
                </c:pt>
                <c:pt idx="288">
                  <c:v>4</c:v>
                </c:pt>
                <c:pt idx="289">
                  <c:v>4</c:v>
                </c:pt>
                <c:pt idx="290">
                  <c:v>3</c:v>
                </c:pt>
                <c:pt idx="291">
                  <c:v>4</c:v>
                </c:pt>
                <c:pt idx="292">
                  <c:v>3</c:v>
                </c:pt>
                <c:pt idx="293">
                  <c:v>3</c:v>
                </c:pt>
                <c:pt idx="294">
                  <c:v>4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4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2</c:v>
                </c:pt>
                <c:pt idx="313">
                  <c:v>2</c:v>
                </c:pt>
                <c:pt idx="314">
                  <c:v>2</c:v>
                </c:pt>
                <c:pt idx="315">
                  <c:v>4</c:v>
                </c:pt>
                <c:pt idx="316">
                  <c:v>4</c:v>
                </c:pt>
                <c:pt idx="317">
                  <c:v>1</c:v>
                </c:pt>
                <c:pt idx="318">
                  <c:v>4</c:v>
                </c:pt>
                <c:pt idx="319">
                  <c:v>4</c:v>
                </c:pt>
                <c:pt idx="320">
                  <c:v>4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4</c:v>
                </c:pt>
                <c:pt idx="326">
                  <c:v>4</c:v>
                </c:pt>
                <c:pt idx="327">
                  <c:v>3</c:v>
                </c:pt>
                <c:pt idx="328">
                  <c:v>4</c:v>
                </c:pt>
                <c:pt idx="329">
                  <c:v>4</c:v>
                </c:pt>
                <c:pt idx="330">
                  <c:v>4</c:v>
                </c:pt>
                <c:pt idx="331">
                  <c:v>4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3</c:v>
                </c:pt>
                <c:pt idx="336">
                  <c:v>3</c:v>
                </c:pt>
                <c:pt idx="337">
                  <c:v>3</c:v>
                </c:pt>
                <c:pt idx="338">
                  <c:v>4</c:v>
                </c:pt>
                <c:pt idx="339">
                  <c:v>4</c:v>
                </c:pt>
                <c:pt idx="340">
                  <c:v>4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4</c:v>
                </c:pt>
                <c:pt idx="346">
                  <c:v>4</c:v>
                </c:pt>
                <c:pt idx="347">
                  <c:v>4</c:v>
                </c:pt>
                <c:pt idx="348">
                  <c:v>3</c:v>
                </c:pt>
                <c:pt idx="349">
                  <c:v>3</c:v>
                </c:pt>
                <c:pt idx="350">
                  <c:v>4</c:v>
                </c:pt>
                <c:pt idx="351">
                  <c:v>3</c:v>
                </c:pt>
                <c:pt idx="352">
                  <c:v>3</c:v>
                </c:pt>
                <c:pt idx="353">
                  <c:v>3</c:v>
                </c:pt>
                <c:pt idx="354">
                  <c:v>4</c:v>
                </c:pt>
                <c:pt idx="355">
                  <c:v>4</c:v>
                </c:pt>
                <c:pt idx="356">
                  <c:v>4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2</c:v>
                </c:pt>
                <c:pt idx="362">
                  <c:v>2</c:v>
                </c:pt>
                <c:pt idx="363">
                  <c:v>2</c:v>
                </c:pt>
                <c:pt idx="364">
                  <c:v>4</c:v>
                </c:pt>
                <c:pt idx="365">
                  <c:v>4</c:v>
                </c:pt>
                <c:pt idx="366">
                  <c:v>4</c:v>
                </c:pt>
                <c:pt idx="367">
                  <c:v>4</c:v>
                </c:pt>
                <c:pt idx="368">
                  <c:v>3</c:v>
                </c:pt>
                <c:pt idx="369">
                  <c:v>3</c:v>
                </c:pt>
                <c:pt idx="370">
                  <c:v>4</c:v>
                </c:pt>
                <c:pt idx="371">
                  <c:v>4</c:v>
                </c:pt>
                <c:pt idx="372">
                  <c:v>4</c:v>
                </c:pt>
                <c:pt idx="373">
                  <c:v>4</c:v>
                </c:pt>
                <c:pt idx="374">
                  <c:v>4</c:v>
                </c:pt>
                <c:pt idx="375">
                  <c:v>3</c:v>
                </c:pt>
                <c:pt idx="376">
                  <c:v>3</c:v>
                </c:pt>
                <c:pt idx="377">
                  <c:v>4</c:v>
                </c:pt>
                <c:pt idx="378">
                  <c:v>3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3</c:v>
                </c:pt>
                <c:pt idx="383">
                  <c:v>3</c:v>
                </c:pt>
                <c:pt idx="384">
                  <c:v>3</c:v>
                </c:pt>
                <c:pt idx="385">
                  <c:v>3</c:v>
                </c:pt>
                <c:pt idx="386">
                  <c:v>4</c:v>
                </c:pt>
                <c:pt idx="387">
                  <c:v>3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2</c:v>
                </c:pt>
                <c:pt idx="393">
                  <c:v>2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2</c:v>
                </c:pt>
                <c:pt idx="398">
                  <c:v>2</c:v>
                </c:pt>
                <c:pt idx="399">
                  <c:v>2</c:v>
                </c:pt>
                <c:pt idx="400">
                  <c:v>1</c:v>
                </c:pt>
                <c:pt idx="401">
                  <c:v>1</c:v>
                </c:pt>
                <c:pt idx="402">
                  <c:v>2</c:v>
                </c:pt>
                <c:pt idx="403">
                  <c:v>2</c:v>
                </c:pt>
                <c:pt idx="404">
                  <c:v>2</c:v>
                </c:pt>
                <c:pt idx="405">
                  <c:v>4</c:v>
                </c:pt>
                <c:pt idx="406">
                  <c:v>4</c:v>
                </c:pt>
                <c:pt idx="407">
                  <c:v>4</c:v>
                </c:pt>
                <c:pt idx="408">
                  <c:v>4</c:v>
                </c:pt>
                <c:pt idx="409">
                  <c:v>4</c:v>
                </c:pt>
                <c:pt idx="410">
                  <c:v>3</c:v>
                </c:pt>
                <c:pt idx="4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DD-40FD-B7CA-528619C05455}"/>
            </c:ext>
          </c:extLst>
        </c:ser>
        <c:ser>
          <c:idx val="1"/>
          <c:order val="1"/>
          <c:tx>
            <c:strRef>
              <c:f>US!$AQ$6</c:f>
              <c:strCache>
                <c:ptCount val="1"/>
                <c:pt idx="0">
                  <c:v>avec seuil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US!$AO$7:$AO$418</c:f>
              <c:numCache>
                <c:formatCode>m/d/yyyy</c:formatCode>
                <c:ptCount val="412"/>
                <c:pt idx="0">
                  <c:v>33024</c:v>
                </c:pt>
                <c:pt idx="1">
                  <c:v>33054</c:v>
                </c:pt>
                <c:pt idx="2">
                  <c:v>33085</c:v>
                </c:pt>
                <c:pt idx="3">
                  <c:v>33116</c:v>
                </c:pt>
                <c:pt idx="4">
                  <c:v>33146</c:v>
                </c:pt>
                <c:pt idx="5">
                  <c:v>33177</c:v>
                </c:pt>
                <c:pt idx="6">
                  <c:v>33207</c:v>
                </c:pt>
                <c:pt idx="7">
                  <c:v>33238</c:v>
                </c:pt>
                <c:pt idx="8">
                  <c:v>33269</c:v>
                </c:pt>
                <c:pt idx="9">
                  <c:v>33297</c:v>
                </c:pt>
                <c:pt idx="10">
                  <c:v>33328</c:v>
                </c:pt>
                <c:pt idx="11">
                  <c:v>33358</c:v>
                </c:pt>
                <c:pt idx="12">
                  <c:v>33389</c:v>
                </c:pt>
                <c:pt idx="13">
                  <c:v>33419</c:v>
                </c:pt>
                <c:pt idx="14">
                  <c:v>33450</c:v>
                </c:pt>
                <c:pt idx="15">
                  <c:v>33481</c:v>
                </c:pt>
                <c:pt idx="16">
                  <c:v>33511</c:v>
                </c:pt>
                <c:pt idx="17">
                  <c:v>33542</c:v>
                </c:pt>
                <c:pt idx="18">
                  <c:v>33572</c:v>
                </c:pt>
                <c:pt idx="19">
                  <c:v>33603</c:v>
                </c:pt>
                <c:pt idx="20">
                  <c:v>33634</c:v>
                </c:pt>
                <c:pt idx="21">
                  <c:v>33663</c:v>
                </c:pt>
                <c:pt idx="22">
                  <c:v>33694</c:v>
                </c:pt>
                <c:pt idx="23">
                  <c:v>33724</c:v>
                </c:pt>
                <c:pt idx="24">
                  <c:v>33755</c:v>
                </c:pt>
                <c:pt idx="25">
                  <c:v>33785</c:v>
                </c:pt>
                <c:pt idx="26">
                  <c:v>33816</c:v>
                </c:pt>
                <c:pt idx="27">
                  <c:v>33847</c:v>
                </c:pt>
                <c:pt idx="28">
                  <c:v>33877</c:v>
                </c:pt>
                <c:pt idx="29">
                  <c:v>33908</c:v>
                </c:pt>
                <c:pt idx="30">
                  <c:v>33938</c:v>
                </c:pt>
                <c:pt idx="31">
                  <c:v>33969</c:v>
                </c:pt>
                <c:pt idx="32">
                  <c:v>34000</c:v>
                </c:pt>
                <c:pt idx="33">
                  <c:v>34028</c:v>
                </c:pt>
                <c:pt idx="34">
                  <c:v>34059</c:v>
                </c:pt>
                <c:pt idx="35">
                  <c:v>34089</c:v>
                </c:pt>
                <c:pt idx="36">
                  <c:v>34120</c:v>
                </c:pt>
                <c:pt idx="37">
                  <c:v>34150</c:v>
                </c:pt>
                <c:pt idx="38">
                  <c:v>34181</c:v>
                </c:pt>
                <c:pt idx="39">
                  <c:v>34212</c:v>
                </c:pt>
                <c:pt idx="40">
                  <c:v>34242</c:v>
                </c:pt>
                <c:pt idx="41">
                  <c:v>34273</c:v>
                </c:pt>
                <c:pt idx="42">
                  <c:v>34303</c:v>
                </c:pt>
                <c:pt idx="43">
                  <c:v>34334</c:v>
                </c:pt>
                <c:pt idx="44">
                  <c:v>34365</c:v>
                </c:pt>
                <c:pt idx="45">
                  <c:v>34393</c:v>
                </c:pt>
                <c:pt idx="46">
                  <c:v>34424</c:v>
                </c:pt>
                <c:pt idx="47">
                  <c:v>34454</c:v>
                </c:pt>
                <c:pt idx="48">
                  <c:v>34485</c:v>
                </c:pt>
                <c:pt idx="49">
                  <c:v>34515</c:v>
                </c:pt>
                <c:pt idx="50">
                  <c:v>34546</c:v>
                </c:pt>
                <c:pt idx="51">
                  <c:v>34577</c:v>
                </c:pt>
                <c:pt idx="52">
                  <c:v>34607</c:v>
                </c:pt>
                <c:pt idx="53">
                  <c:v>34638</c:v>
                </c:pt>
                <c:pt idx="54">
                  <c:v>34668</c:v>
                </c:pt>
                <c:pt idx="55">
                  <c:v>34699</c:v>
                </c:pt>
                <c:pt idx="56">
                  <c:v>34730</c:v>
                </c:pt>
                <c:pt idx="57">
                  <c:v>34758</c:v>
                </c:pt>
                <c:pt idx="58">
                  <c:v>34789</c:v>
                </c:pt>
                <c:pt idx="59">
                  <c:v>34819</c:v>
                </c:pt>
                <c:pt idx="60">
                  <c:v>34850</c:v>
                </c:pt>
                <c:pt idx="61">
                  <c:v>34880</c:v>
                </c:pt>
                <c:pt idx="62">
                  <c:v>34911</c:v>
                </c:pt>
                <c:pt idx="63">
                  <c:v>34942</c:v>
                </c:pt>
                <c:pt idx="64">
                  <c:v>34972</c:v>
                </c:pt>
                <c:pt idx="65">
                  <c:v>35003</c:v>
                </c:pt>
                <c:pt idx="66">
                  <c:v>35033</c:v>
                </c:pt>
                <c:pt idx="67">
                  <c:v>35064</c:v>
                </c:pt>
                <c:pt idx="68">
                  <c:v>35095</c:v>
                </c:pt>
                <c:pt idx="69">
                  <c:v>35124</c:v>
                </c:pt>
                <c:pt idx="70">
                  <c:v>35155</c:v>
                </c:pt>
                <c:pt idx="71">
                  <c:v>35185</c:v>
                </c:pt>
                <c:pt idx="72">
                  <c:v>35216</c:v>
                </c:pt>
                <c:pt idx="73">
                  <c:v>35246</c:v>
                </c:pt>
                <c:pt idx="74">
                  <c:v>35277</c:v>
                </c:pt>
                <c:pt idx="75">
                  <c:v>35308</c:v>
                </c:pt>
                <c:pt idx="76">
                  <c:v>35338</c:v>
                </c:pt>
                <c:pt idx="77">
                  <c:v>35369</c:v>
                </c:pt>
                <c:pt idx="78">
                  <c:v>35399</c:v>
                </c:pt>
                <c:pt idx="79">
                  <c:v>35430</c:v>
                </c:pt>
                <c:pt idx="80">
                  <c:v>35461</c:v>
                </c:pt>
                <c:pt idx="81">
                  <c:v>35489</c:v>
                </c:pt>
                <c:pt idx="82">
                  <c:v>35520</c:v>
                </c:pt>
                <c:pt idx="83">
                  <c:v>35550</c:v>
                </c:pt>
                <c:pt idx="84">
                  <c:v>35581</c:v>
                </c:pt>
                <c:pt idx="85">
                  <c:v>35611</c:v>
                </c:pt>
                <c:pt idx="86">
                  <c:v>35642</c:v>
                </c:pt>
                <c:pt idx="87">
                  <c:v>35673</c:v>
                </c:pt>
                <c:pt idx="88">
                  <c:v>35703</c:v>
                </c:pt>
                <c:pt idx="89">
                  <c:v>35734</c:v>
                </c:pt>
                <c:pt idx="90">
                  <c:v>35764</c:v>
                </c:pt>
                <c:pt idx="91">
                  <c:v>35795</c:v>
                </c:pt>
                <c:pt idx="92">
                  <c:v>35826</c:v>
                </c:pt>
                <c:pt idx="93">
                  <c:v>35854</c:v>
                </c:pt>
                <c:pt idx="94">
                  <c:v>35885</c:v>
                </c:pt>
                <c:pt idx="95">
                  <c:v>35915</c:v>
                </c:pt>
                <c:pt idx="96">
                  <c:v>35946</c:v>
                </c:pt>
                <c:pt idx="97">
                  <c:v>35976</c:v>
                </c:pt>
                <c:pt idx="98">
                  <c:v>36007</c:v>
                </c:pt>
                <c:pt idx="99">
                  <c:v>36038</c:v>
                </c:pt>
                <c:pt idx="100">
                  <c:v>36068</c:v>
                </c:pt>
                <c:pt idx="101">
                  <c:v>36099</c:v>
                </c:pt>
                <c:pt idx="102">
                  <c:v>36129</c:v>
                </c:pt>
                <c:pt idx="103">
                  <c:v>36160</c:v>
                </c:pt>
                <c:pt idx="104">
                  <c:v>36191</c:v>
                </c:pt>
                <c:pt idx="105">
                  <c:v>36219</c:v>
                </c:pt>
                <c:pt idx="106">
                  <c:v>36250</c:v>
                </c:pt>
                <c:pt idx="107">
                  <c:v>36280</c:v>
                </c:pt>
                <c:pt idx="108">
                  <c:v>36311</c:v>
                </c:pt>
                <c:pt idx="109">
                  <c:v>36341</c:v>
                </c:pt>
                <c:pt idx="110">
                  <c:v>36372</c:v>
                </c:pt>
                <c:pt idx="111">
                  <c:v>36403</c:v>
                </c:pt>
                <c:pt idx="112">
                  <c:v>36433</c:v>
                </c:pt>
                <c:pt idx="113">
                  <c:v>36464</c:v>
                </c:pt>
                <c:pt idx="114">
                  <c:v>36494</c:v>
                </c:pt>
                <c:pt idx="115">
                  <c:v>36525</c:v>
                </c:pt>
                <c:pt idx="116">
                  <c:v>36556</c:v>
                </c:pt>
                <c:pt idx="117">
                  <c:v>36585</c:v>
                </c:pt>
                <c:pt idx="118">
                  <c:v>36616</c:v>
                </c:pt>
                <c:pt idx="119">
                  <c:v>36646</c:v>
                </c:pt>
                <c:pt idx="120">
                  <c:v>36677</c:v>
                </c:pt>
                <c:pt idx="121">
                  <c:v>36707</c:v>
                </c:pt>
                <c:pt idx="122">
                  <c:v>36738</c:v>
                </c:pt>
                <c:pt idx="123">
                  <c:v>36769</c:v>
                </c:pt>
                <c:pt idx="124">
                  <c:v>36799</c:v>
                </c:pt>
                <c:pt idx="125">
                  <c:v>36830</c:v>
                </c:pt>
                <c:pt idx="126">
                  <c:v>36860</c:v>
                </c:pt>
                <c:pt idx="127">
                  <c:v>36891</c:v>
                </c:pt>
                <c:pt idx="128">
                  <c:v>36922</c:v>
                </c:pt>
                <c:pt idx="129">
                  <c:v>36950</c:v>
                </c:pt>
                <c:pt idx="130">
                  <c:v>36981</c:v>
                </c:pt>
                <c:pt idx="131">
                  <c:v>37011</c:v>
                </c:pt>
                <c:pt idx="132">
                  <c:v>37042</c:v>
                </c:pt>
                <c:pt idx="133">
                  <c:v>37072</c:v>
                </c:pt>
                <c:pt idx="134">
                  <c:v>37103</c:v>
                </c:pt>
                <c:pt idx="135">
                  <c:v>37134</c:v>
                </c:pt>
                <c:pt idx="136">
                  <c:v>37164</c:v>
                </c:pt>
                <c:pt idx="137">
                  <c:v>37195</c:v>
                </c:pt>
                <c:pt idx="138">
                  <c:v>37225</c:v>
                </c:pt>
                <c:pt idx="139">
                  <c:v>37256</c:v>
                </c:pt>
                <c:pt idx="140">
                  <c:v>37287</c:v>
                </c:pt>
                <c:pt idx="141">
                  <c:v>37315</c:v>
                </c:pt>
                <c:pt idx="142">
                  <c:v>37346</c:v>
                </c:pt>
                <c:pt idx="143">
                  <c:v>37376</c:v>
                </c:pt>
                <c:pt idx="144">
                  <c:v>37407</c:v>
                </c:pt>
                <c:pt idx="145">
                  <c:v>37437</c:v>
                </c:pt>
                <c:pt idx="146">
                  <c:v>37468</c:v>
                </c:pt>
                <c:pt idx="147">
                  <c:v>37499</c:v>
                </c:pt>
                <c:pt idx="148">
                  <c:v>37529</c:v>
                </c:pt>
                <c:pt idx="149">
                  <c:v>37560</c:v>
                </c:pt>
                <c:pt idx="150">
                  <c:v>37590</c:v>
                </c:pt>
                <c:pt idx="151">
                  <c:v>37621</c:v>
                </c:pt>
                <c:pt idx="152">
                  <c:v>37652</c:v>
                </c:pt>
                <c:pt idx="153">
                  <c:v>37680</c:v>
                </c:pt>
                <c:pt idx="154">
                  <c:v>37711</c:v>
                </c:pt>
                <c:pt idx="155">
                  <c:v>37741</c:v>
                </c:pt>
                <c:pt idx="156">
                  <c:v>37772</c:v>
                </c:pt>
                <c:pt idx="157">
                  <c:v>37802</c:v>
                </c:pt>
                <c:pt idx="158">
                  <c:v>37833</c:v>
                </c:pt>
                <c:pt idx="159">
                  <c:v>37864</c:v>
                </c:pt>
                <c:pt idx="160">
                  <c:v>37894</c:v>
                </c:pt>
                <c:pt idx="161">
                  <c:v>37925</c:v>
                </c:pt>
                <c:pt idx="162">
                  <c:v>37955</c:v>
                </c:pt>
                <c:pt idx="163">
                  <c:v>37986</c:v>
                </c:pt>
                <c:pt idx="164">
                  <c:v>38017</c:v>
                </c:pt>
                <c:pt idx="165">
                  <c:v>38046</c:v>
                </c:pt>
                <c:pt idx="166">
                  <c:v>38077</c:v>
                </c:pt>
                <c:pt idx="167">
                  <c:v>38107</c:v>
                </c:pt>
                <c:pt idx="168">
                  <c:v>38138</c:v>
                </c:pt>
                <c:pt idx="169">
                  <c:v>38168</c:v>
                </c:pt>
                <c:pt idx="170">
                  <c:v>38199</c:v>
                </c:pt>
                <c:pt idx="171">
                  <c:v>38230</c:v>
                </c:pt>
                <c:pt idx="172">
                  <c:v>38260</c:v>
                </c:pt>
                <c:pt idx="173">
                  <c:v>38291</c:v>
                </c:pt>
                <c:pt idx="174">
                  <c:v>38321</c:v>
                </c:pt>
                <c:pt idx="175">
                  <c:v>38352</c:v>
                </c:pt>
                <c:pt idx="176">
                  <c:v>38383</c:v>
                </c:pt>
                <c:pt idx="177">
                  <c:v>38411</c:v>
                </c:pt>
                <c:pt idx="178">
                  <c:v>38442</c:v>
                </c:pt>
                <c:pt idx="179">
                  <c:v>38472</c:v>
                </c:pt>
                <c:pt idx="180">
                  <c:v>38503</c:v>
                </c:pt>
                <c:pt idx="181">
                  <c:v>38533</c:v>
                </c:pt>
                <c:pt idx="182">
                  <c:v>38564</c:v>
                </c:pt>
                <c:pt idx="183">
                  <c:v>38595</c:v>
                </c:pt>
                <c:pt idx="184">
                  <c:v>38625</c:v>
                </c:pt>
                <c:pt idx="185">
                  <c:v>38656</c:v>
                </c:pt>
                <c:pt idx="186">
                  <c:v>38686</c:v>
                </c:pt>
                <c:pt idx="187">
                  <c:v>38717</c:v>
                </c:pt>
                <c:pt idx="188">
                  <c:v>38748</c:v>
                </c:pt>
                <c:pt idx="189">
                  <c:v>38776</c:v>
                </c:pt>
                <c:pt idx="190">
                  <c:v>38807</c:v>
                </c:pt>
                <c:pt idx="191">
                  <c:v>38837</c:v>
                </c:pt>
                <c:pt idx="192">
                  <c:v>38868</c:v>
                </c:pt>
                <c:pt idx="193">
                  <c:v>38898</c:v>
                </c:pt>
                <c:pt idx="194">
                  <c:v>38929</c:v>
                </c:pt>
                <c:pt idx="195">
                  <c:v>38960</c:v>
                </c:pt>
                <c:pt idx="196">
                  <c:v>38990</c:v>
                </c:pt>
                <c:pt idx="197">
                  <c:v>39021</c:v>
                </c:pt>
                <c:pt idx="198">
                  <c:v>39051</c:v>
                </c:pt>
                <c:pt idx="199">
                  <c:v>39082</c:v>
                </c:pt>
                <c:pt idx="200">
                  <c:v>39113</c:v>
                </c:pt>
                <c:pt idx="201">
                  <c:v>39141</c:v>
                </c:pt>
                <c:pt idx="202">
                  <c:v>39172</c:v>
                </c:pt>
                <c:pt idx="203">
                  <c:v>39202</c:v>
                </c:pt>
                <c:pt idx="204">
                  <c:v>39233</c:v>
                </c:pt>
                <c:pt idx="205">
                  <c:v>39263</c:v>
                </c:pt>
                <c:pt idx="206">
                  <c:v>39294</c:v>
                </c:pt>
                <c:pt idx="207">
                  <c:v>39325</c:v>
                </c:pt>
                <c:pt idx="208">
                  <c:v>39355</c:v>
                </c:pt>
                <c:pt idx="209">
                  <c:v>39386</c:v>
                </c:pt>
                <c:pt idx="210">
                  <c:v>39416</c:v>
                </c:pt>
                <c:pt idx="211">
                  <c:v>39447</c:v>
                </c:pt>
                <c:pt idx="212">
                  <c:v>39478</c:v>
                </c:pt>
                <c:pt idx="213">
                  <c:v>39507</c:v>
                </c:pt>
                <c:pt idx="214">
                  <c:v>39538</c:v>
                </c:pt>
                <c:pt idx="215">
                  <c:v>39568</c:v>
                </c:pt>
                <c:pt idx="216">
                  <c:v>39599</c:v>
                </c:pt>
                <c:pt idx="217">
                  <c:v>39629</c:v>
                </c:pt>
                <c:pt idx="218">
                  <c:v>39660</c:v>
                </c:pt>
                <c:pt idx="219">
                  <c:v>39691</c:v>
                </c:pt>
                <c:pt idx="220">
                  <c:v>39721</c:v>
                </c:pt>
                <c:pt idx="221">
                  <c:v>39752</c:v>
                </c:pt>
                <c:pt idx="222">
                  <c:v>39782</c:v>
                </c:pt>
                <c:pt idx="223">
                  <c:v>39813</c:v>
                </c:pt>
                <c:pt idx="224">
                  <c:v>39844</c:v>
                </c:pt>
                <c:pt idx="225">
                  <c:v>39872</c:v>
                </c:pt>
                <c:pt idx="226">
                  <c:v>39903</c:v>
                </c:pt>
                <c:pt idx="227">
                  <c:v>39933</c:v>
                </c:pt>
                <c:pt idx="228">
                  <c:v>39964</c:v>
                </c:pt>
                <c:pt idx="229">
                  <c:v>39994</c:v>
                </c:pt>
                <c:pt idx="230">
                  <c:v>40025</c:v>
                </c:pt>
                <c:pt idx="231">
                  <c:v>40056</c:v>
                </c:pt>
                <c:pt idx="232">
                  <c:v>40086</c:v>
                </c:pt>
                <c:pt idx="233">
                  <c:v>40117</c:v>
                </c:pt>
                <c:pt idx="234">
                  <c:v>40147</c:v>
                </c:pt>
                <c:pt idx="235">
                  <c:v>40178</c:v>
                </c:pt>
                <c:pt idx="236">
                  <c:v>40209</c:v>
                </c:pt>
                <c:pt idx="237">
                  <c:v>40237</c:v>
                </c:pt>
                <c:pt idx="238">
                  <c:v>40268</c:v>
                </c:pt>
                <c:pt idx="239">
                  <c:v>40298</c:v>
                </c:pt>
                <c:pt idx="240">
                  <c:v>40329</c:v>
                </c:pt>
                <c:pt idx="241">
                  <c:v>40359</c:v>
                </c:pt>
                <c:pt idx="242">
                  <c:v>40390</c:v>
                </c:pt>
                <c:pt idx="243">
                  <c:v>40421</c:v>
                </c:pt>
                <c:pt idx="244">
                  <c:v>40451</c:v>
                </c:pt>
                <c:pt idx="245">
                  <c:v>40482</c:v>
                </c:pt>
                <c:pt idx="246">
                  <c:v>40512</c:v>
                </c:pt>
                <c:pt idx="247">
                  <c:v>40543</c:v>
                </c:pt>
                <c:pt idx="248">
                  <c:v>40574</c:v>
                </c:pt>
                <c:pt idx="249">
                  <c:v>40602</c:v>
                </c:pt>
                <c:pt idx="250">
                  <c:v>40633</c:v>
                </c:pt>
                <c:pt idx="251">
                  <c:v>40663</c:v>
                </c:pt>
                <c:pt idx="252">
                  <c:v>40694</c:v>
                </c:pt>
                <c:pt idx="253">
                  <c:v>40724</c:v>
                </c:pt>
                <c:pt idx="254">
                  <c:v>40755</c:v>
                </c:pt>
                <c:pt idx="255">
                  <c:v>40786</c:v>
                </c:pt>
                <c:pt idx="256">
                  <c:v>40816</c:v>
                </c:pt>
                <c:pt idx="257">
                  <c:v>40847</c:v>
                </c:pt>
                <c:pt idx="258">
                  <c:v>40877</c:v>
                </c:pt>
                <c:pt idx="259">
                  <c:v>40908</c:v>
                </c:pt>
                <c:pt idx="260">
                  <c:v>40939</c:v>
                </c:pt>
                <c:pt idx="261">
                  <c:v>40968</c:v>
                </c:pt>
                <c:pt idx="262">
                  <c:v>40999</c:v>
                </c:pt>
                <c:pt idx="263">
                  <c:v>41029</c:v>
                </c:pt>
                <c:pt idx="264">
                  <c:v>41060</c:v>
                </c:pt>
                <c:pt idx="265">
                  <c:v>41090</c:v>
                </c:pt>
                <c:pt idx="266">
                  <c:v>41121</c:v>
                </c:pt>
                <c:pt idx="267">
                  <c:v>41152</c:v>
                </c:pt>
                <c:pt idx="268">
                  <c:v>41182</c:v>
                </c:pt>
                <c:pt idx="269">
                  <c:v>41213</c:v>
                </c:pt>
                <c:pt idx="270">
                  <c:v>41243</c:v>
                </c:pt>
                <c:pt idx="271">
                  <c:v>41274</c:v>
                </c:pt>
                <c:pt idx="272">
                  <c:v>41305</c:v>
                </c:pt>
                <c:pt idx="273">
                  <c:v>41333</c:v>
                </c:pt>
                <c:pt idx="274">
                  <c:v>41364</c:v>
                </c:pt>
                <c:pt idx="275">
                  <c:v>41394</c:v>
                </c:pt>
                <c:pt idx="276">
                  <c:v>41425</c:v>
                </c:pt>
                <c:pt idx="277">
                  <c:v>41455</c:v>
                </c:pt>
                <c:pt idx="278">
                  <c:v>41486</c:v>
                </c:pt>
                <c:pt idx="279">
                  <c:v>41517</c:v>
                </c:pt>
                <c:pt idx="280">
                  <c:v>41547</c:v>
                </c:pt>
                <c:pt idx="281">
                  <c:v>41578</c:v>
                </c:pt>
                <c:pt idx="282">
                  <c:v>41608</c:v>
                </c:pt>
                <c:pt idx="283">
                  <c:v>41639</c:v>
                </c:pt>
                <c:pt idx="284">
                  <c:v>41670</c:v>
                </c:pt>
                <c:pt idx="285">
                  <c:v>41698</c:v>
                </c:pt>
                <c:pt idx="286">
                  <c:v>41729</c:v>
                </c:pt>
                <c:pt idx="287">
                  <c:v>41759</c:v>
                </c:pt>
                <c:pt idx="288">
                  <c:v>41790</c:v>
                </c:pt>
                <c:pt idx="289">
                  <c:v>41820</c:v>
                </c:pt>
                <c:pt idx="290">
                  <c:v>41851</c:v>
                </c:pt>
                <c:pt idx="291">
                  <c:v>41882</c:v>
                </c:pt>
                <c:pt idx="292">
                  <c:v>41912</c:v>
                </c:pt>
                <c:pt idx="293">
                  <c:v>41943</c:v>
                </c:pt>
                <c:pt idx="294">
                  <c:v>41973</c:v>
                </c:pt>
                <c:pt idx="295">
                  <c:v>42004</c:v>
                </c:pt>
                <c:pt idx="296">
                  <c:v>42035</c:v>
                </c:pt>
                <c:pt idx="297">
                  <c:v>42063</c:v>
                </c:pt>
                <c:pt idx="298">
                  <c:v>42094</c:v>
                </c:pt>
                <c:pt idx="299">
                  <c:v>42124</c:v>
                </c:pt>
                <c:pt idx="300">
                  <c:v>42155</c:v>
                </c:pt>
                <c:pt idx="301">
                  <c:v>42185</c:v>
                </c:pt>
                <c:pt idx="302">
                  <c:v>42216</c:v>
                </c:pt>
                <c:pt idx="303">
                  <c:v>42247</c:v>
                </c:pt>
                <c:pt idx="304">
                  <c:v>42277</c:v>
                </c:pt>
                <c:pt idx="305">
                  <c:v>42308</c:v>
                </c:pt>
                <c:pt idx="306">
                  <c:v>42338</c:v>
                </c:pt>
                <c:pt idx="307">
                  <c:v>42369</c:v>
                </c:pt>
                <c:pt idx="308">
                  <c:v>42400</c:v>
                </c:pt>
                <c:pt idx="309">
                  <c:v>42429</c:v>
                </c:pt>
                <c:pt idx="310">
                  <c:v>42460</c:v>
                </c:pt>
                <c:pt idx="311">
                  <c:v>42490</c:v>
                </c:pt>
                <c:pt idx="312">
                  <c:v>42521</c:v>
                </c:pt>
                <c:pt idx="313">
                  <c:v>42551</c:v>
                </c:pt>
                <c:pt idx="314">
                  <c:v>42582</c:v>
                </c:pt>
                <c:pt idx="315">
                  <c:v>42613</c:v>
                </c:pt>
                <c:pt idx="316">
                  <c:v>42643</c:v>
                </c:pt>
                <c:pt idx="317">
                  <c:v>42674</c:v>
                </c:pt>
                <c:pt idx="318">
                  <c:v>42704</c:v>
                </c:pt>
                <c:pt idx="319">
                  <c:v>42735</c:v>
                </c:pt>
                <c:pt idx="320">
                  <c:v>42766</c:v>
                </c:pt>
                <c:pt idx="321">
                  <c:v>42794</c:v>
                </c:pt>
                <c:pt idx="322">
                  <c:v>42825</c:v>
                </c:pt>
                <c:pt idx="323">
                  <c:v>42855</c:v>
                </c:pt>
                <c:pt idx="324">
                  <c:v>42886</c:v>
                </c:pt>
                <c:pt idx="325">
                  <c:v>42916</c:v>
                </c:pt>
                <c:pt idx="326">
                  <c:v>42947</c:v>
                </c:pt>
                <c:pt idx="327">
                  <c:v>42978</c:v>
                </c:pt>
                <c:pt idx="328">
                  <c:v>43008</c:v>
                </c:pt>
                <c:pt idx="329">
                  <c:v>43039</c:v>
                </c:pt>
                <c:pt idx="330">
                  <c:v>43069</c:v>
                </c:pt>
                <c:pt idx="331">
                  <c:v>43100</c:v>
                </c:pt>
                <c:pt idx="332">
                  <c:v>43131</c:v>
                </c:pt>
                <c:pt idx="333">
                  <c:v>43159</c:v>
                </c:pt>
                <c:pt idx="334">
                  <c:v>43190</c:v>
                </c:pt>
                <c:pt idx="335">
                  <c:v>43220</c:v>
                </c:pt>
                <c:pt idx="336">
                  <c:v>43251</c:v>
                </c:pt>
                <c:pt idx="337">
                  <c:v>43281</c:v>
                </c:pt>
                <c:pt idx="338">
                  <c:v>43312</c:v>
                </c:pt>
                <c:pt idx="339">
                  <c:v>43343</c:v>
                </c:pt>
                <c:pt idx="340">
                  <c:v>43373</c:v>
                </c:pt>
                <c:pt idx="341">
                  <c:v>43404</c:v>
                </c:pt>
                <c:pt idx="342">
                  <c:v>43434</c:v>
                </c:pt>
                <c:pt idx="343">
                  <c:v>43465</c:v>
                </c:pt>
                <c:pt idx="344">
                  <c:v>43496</c:v>
                </c:pt>
                <c:pt idx="345">
                  <c:v>43524</c:v>
                </c:pt>
                <c:pt idx="346">
                  <c:v>43555</c:v>
                </c:pt>
                <c:pt idx="347">
                  <c:v>43585</c:v>
                </c:pt>
                <c:pt idx="348">
                  <c:v>43616</c:v>
                </c:pt>
                <c:pt idx="349">
                  <c:v>43646</c:v>
                </c:pt>
                <c:pt idx="350">
                  <c:v>43677</c:v>
                </c:pt>
                <c:pt idx="351">
                  <c:v>43708</c:v>
                </c:pt>
                <c:pt idx="352">
                  <c:v>43738</c:v>
                </c:pt>
                <c:pt idx="353">
                  <c:v>43769</c:v>
                </c:pt>
                <c:pt idx="354">
                  <c:v>43799</c:v>
                </c:pt>
                <c:pt idx="355">
                  <c:v>43830</c:v>
                </c:pt>
                <c:pt idx="356">
                  <c:v>43861</c:v>
                </c:pt>
                <c:pt idx="357">
                  <c:v>43890</c:v>
                </c:pt>
                <c:pt idx="358">
                  <c:v>43921</c:v>
                </c:pt>
                <c:pt idx="359">
                  <c:v>43951</c:v>
                </c:pt>
                <c:pt idx="360">
                  <c:v>43982</c:v>
                </c:pt>
                <c:pt idx="361">
                  <c:v>44012</c:v>
                </c:pt>
                <c:pt idx="362">
                  <c:v>44043</c:v>
                </c:pt>
                <c:pt idx="363">
                  <c:v>44074</c:v>
                </c:pt>
                <c:pt idx="364">
                  <c:v>44104</c:v>
                </c:pt>
                <c:pt idx="365">
                  <c:v>44135</c:v>
                </c:pt>
                <c:pt idx="366">
                  <c:v>44165</c:v>
                </c:pt>
                <c:pt idx="367">
                  <c:v>44196</c:v>
                </c:pt>
                <c:pt idx="368">
                  <c:v>44227</c:v>
                </c:pt>
                <c:pt idx="369">
                  <c:v>44255</c:v>
                </c:pt>
                <c:pt idx="370">
                  <c:v>44286</c:v>
                </c:pt>
                <c:pt idx="371">
                  <c:v>44316</c:v>
                </c:pt>
                <c:pt idx="372">
                  <c:v>44347</c:v>
                </c:pt>
                <c:pt idx="373">
                  <c:v>44377</c:v>
                </c:pt>
                <c:pt idx="374">
                  <c:v>44408</c:v>
                </c:pt>
                <c:pt idx="375">
                  <c:v>44439</c:v>
                </c:pt>
                <c:pt idx="376">
                  <c:v>44469</c:v>
                </c:pt>
                <c:pt idx="377">
                  <c:v>44500</c:v>
                </c:pt>
                <c:pt idx="378">
                  <c:v>44530</c:v>
                </c:pt>
                <c:pt idx="379">
                  <c:v>44561</c:v>
                </c:pt>
                <c:pt idx="380">
                  <c:v>44592</c:v>
                </c:pt>
                <c:pt idx="381">
                  <c:v>44620</c:v>
                </c:pt>
                <c:pt idx="382">
                  <c:v>44651</c:v>
                </c:pt>
                <c:pt idx="383">
                  <c:v>44681</c:v>
                </c:pt>
                <c:pt idx="384">
                  <c:v>44712</c:v>
                </c:pt>
                <c:pt idx="385">
                  <c:v>44742</c:v>
                </c:pt>
                <c:pt idx="386">
                  <c:v>44773</c:v>
                </c:pt>
                <c:pt idx="387">
                  <c:v>44804</c:v>
                </c:pt>
                <c:pt idx="388">
                  <c:v>44834</c:v>
                </c:pt>
                <c:pt idx="389">
                  <c:v>44865</c:v>
                </c:pt>
                <c:pt idx="390">
                  <c:v>44895</c:v>
                </c:pt>
                <c:pt idx="391">
                  <c:v>44926</c:v>
                </c:pt>
                <c:pt idx="392">
                  <c:v>44957</c:v>
                </c:pt>
                <c:pt idx="393">
                  <c:v>44985</c:v>
                </c:pt>
                <c:pt idx="394">
                  <c:v>45016</c:v>
                </c:pt>
                <c:pt idx="395">
                  <c:v>45046</c:v>
                </c:pt>
                <c:pt idx="396">
                  <c:v>45077</c:v>
                </c:pt>
                <c:pt idx="397">
                  <c:v>45107</c:v>
                </c:pt>
                <c:pt idx="398">
                  <c:v>45138</c:v>
                </c:pt>
                <c:pt idx="399">
                  <c:v>45169</c:v>
                </c:pt>
                <c:pt idx="400">
                  <c:v>45199</c:v>
                </c:pt>
                <c:pt idx="401">
                  <c:v>45230</c:v>
                </c:pt>
                <c:pt idx="402">
                  <c:v>45260</c:v>
                </c:pt>
                <c:pt idx="403">
                  <c:v>45291</c:v>
                </c:pt>
                <c:pt idx="404">
                  <c:v>45322</c:v>
                </c:pt>
                <c:pt idx="405">
                  <c:v>45351</c:v>
                </c:pt>
                <c:pt idx="406">
                  <c:v>45382</c:v>
                </c:pt>
                <c:pt idx="407">
                  <c:v>45412</c:v>
                </c:pt>
                <c:pt idx="408">
                  <c:v>45443</c:v>
                </c:pt>
                <c:pt idx="409">
                  <c:v>45473</c:v>
                </c:pt>
                <c:pt idx="410">
                  <c:v>45504</c:v>
                </c:pt>
                <c:pt idx="411">
                  <c:v>45534</c:v>
                </c:pt>
              </c:numCache>
            </c:numRef>
          </c:cat>
          <c:val>
            <c:numRef>
              <c:f>US!$AQ$7:$AQ$418</c:f>
              <c:numCache>
                <c:formatCode>General</c:formatCode>
                <c:ptCount val="412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3</c:v>
                </c:pt>
                <c:pt idx="19">
                  <c:v>1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3</c:v>
                </c:pt>
                <c:pt idx="68">
                  <c:v>3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3</c:v>
                </c:pt>
                <c:pt idx="113">
                  <c:v>3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4</c:v>
                </c:pt>
                <c:pt idx="166">
                  <c:v>4</c:v>
                </c:pt>
                <c:pt idx="167">
                  <c:v>4</c:v>
                </c:pt>
                <c:pt idx="168">
                  <c:v>4</c:v>
                </c:pt>
                <c:pt idx="169">
                  <c:v>4</c:v>
                </c:pt>
                <c:pt idx="170">
                  <c:v>4</c:v>
                </c:pt>
                <c:pt idx="171">
                  <c:v>4</c:v>
                </c:pt>
                <c:pt idx="172">
                  <c:v>4</c:v>
                </c:pt>
                <c:pt idx="173">
                  <c:v>4</c:v>
                </c:pt>
                <c:pt idx="174">
                  <c:v>4</c:v>
                </c:pt>
                <c:pt idx="175">
                  <c:v>4</c:v>
                </c:pt>
                <c:pt idx="176">
                  <c:v>4</c:v>
                </c:pt>
                <c:pt idx="177">
                  <c:v>4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4</c:v>
                </c:pt>
                <c:pt idx="205">
                  <c:v>3</c:v>
                </c:pt>
                <c:pt idx="206">
                  <c:v>3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4</c:v>
                </c:pt>
                <c:pt idx="240">
                  <c:v>4</c:v>
                </c:pt>
                <c:pt idx="241">
                  <c:v>1</c:v>
                </c:pt>
                <c:pt idx="242">
                  <c:v>1</c:v>
                </c:pt>
                <c:pt idx="243">
                  <c:v>4</c:v>
                </c:pt>
                <c:pt idx="244">
                  <c:v>4</c:v>
                </c:pt>
                <c:pt idx="245">
                  <c:v>4</c:v>
                </c:pt>
                <c:pt idx="246">
                  <c:v>4</c:v>
                </c:pt>
                <c:pt idx="247">
                  <c:v>4</c:v>
                </c:pt>
                <c:pt idx="248">
                  <c:v>4</c:v>
                </c:pt>
                <c:pt idx="249">
                  <c:v>4</c:v>
                </c:pt>
                <c:pt idx="250">
                  <c:v>4</c:v>
                </c:pt>
                <c:pt idx="251">
                  <c:v>4</c:v>
                </c:pt>
                <c:pt idx="252">
                  <c:v>4</c:v>
                </c:pt>
                <c:pt idx="253">
                  <c:v>4</c:v>
                </c:pt>
                <c:pt idx="254">
                  <c:v>4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2</c:v>
                </c:pt>
                <c:pt idx="270">
                  <c:v>4</c:v>
                </c:pt>
                <c:pt idx="271">
                  <c:v>4</c:v>
                </c:pt>
                <c:pt idx="272">
                  <c:v>3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3</c:v>
                </c:pt>
                <c:pt idx="278">
                  <c:v>3</c:v>
                </c:pt>
                <c:pt idx="279">
                  <c:v>3</c:v>
                </c:pt>
                <c:pt idx="280">
                  <c:v>3</c:v>
                </c:pt>
                <c:pt idx="281">
                  <c:v>3</c:v>
                </c:pt>
                <c:pt idx="282">
                  <c:v>4</c:v>
                </c:pt>
                <c:pt idx="283">
                  <c:v>4</c:v>
                </c:pt>
                <c:pt idx="284">
                  <c:v>4</c:v>
                </c:pt>
                <c:pt idx="285">
                  <c:v>4</c:v>
                </c:pt>
                <c:pt idx="286">
                  <c:v>4</c:v>
                </c:pt>
                <c:pt idx="287">
                  <c:v>4</c:v>
                </c:pt>
                <c:pt idx="288">
                  <c:v>4</c:v>
                </c:pt>
                <c:pt idx="289">
                  <c:v>4</c:v>
                </c:pt>
                <c:pt idx="290">
                  <c:v>4</c:v>
                </c:pt>
                <c:pt idx="291">
                  <c:v>4</c:v>
                </c:pt>
                <c:pt idx="292">
                  <c:v>4</c:v>
                </c:pt>
                <c:pt idx="293">
                  <c:v>4</c:v>
                </c:pt>
                <c:pt idx="294">
                  <c:v>4</c:v>
                </c:pt>
                <c:pt idx="295">
                  <c:v>4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4</c:v>
                </c:pt>
                <c:pt idx="316">
                  <c:v>4</c:v>
                </c:pt>
                <c:pt idx="317">
                  <c:v>1</c:v>
                </c:pt>
                <c:pt idx="318">
                  <c:v>4</c:v>
                </c:pt>
                <c:pt idx="319">
                  <c:v>4</c:v>
                </c:pt>
                <c:pt idx="320">
                  <c:v>4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4</c:v>
                </c:pt>
                <c:pt idx="326">
                  <c:v>4</c:v>
                </c:pt>
                <c:pt idx="327">
                  <c:v>4</c:v>
                </c:pt>
                <c:pt idx="328">
                  <c:v>4</c:v>
                </c:pt>
                <c:pt idx="329">
                  <c:v>4</c:v>
                </c:pt>
                <c:pt idx="330">
                  <c:v>4</c:v>
                </c:pt>
                <c:pt idx="331">
                  <c:v>4</c:v>
                </c:pt>
                <c:pt idx="332">
                  <c:v>4</c:v>
                </c:pt>
                <c:pt idx="333">
                  <c:v>4</c:v>
                </c:pt>
                <c:pt idx="334">
                  <c:v>3</c:v>
                </c:pt>
                <c:pt idx="335">
                  <c:v>3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4</c:v>
                </c:pt>
                <c:pt idx="340">
                  <c:v>4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3</c:v>
                </c:pt>
                <c:pt idx="353">
                  <c:v>3</c:v>
                </c:pt>
                <c:pt idx="354">
                  <c:v>3</c:v>
                </c:pt>
                <c:pt idx="355">
                  <c:v>3</c:v>
                </c:pt>
                <c:pt idx="356">
                  <c:v>3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2</c:v>
                </c:pt>
                <c:pt idx="362">
                  <c:v>2</c:v>
                </c:pt>
                <c:pt idx="363">
                  <c:v>2</c:v>
                </c:pt>
                <c:pt idx="364">
                  <c:v>4</c:v>
                </c:pt>
                <c:pt idx="365">
                  <c:v>4</c:v>
                </c:pt>
                <c:pt idx="366">
                  <c:v>4</c:v>
                </c:pt>
                <c:pt idx="367">
                  <c:v>4</c:v>
                </c:pt>
                <c:pt idx="368">
                  <c:v>4</c:v>
                </c:pt>
                <c:pt idx="369">
                  <c:v>3</c:v>
                </c:pt>
                <c:pt idx="370">
                  <c:v>4</c:v>
                </c:pt>
                <c:pt idx="371">
                  <c:v>4</c:v>
                </c:pt>
                <c:pt idx="372">
                  <c:v>4</c:v>
                </c:pt>
                <c:pt idx="373">
                  <c:v>4</c:v>
                </c:pt>
                <c:pt idx="374">
                  <c:v>4</c:v>
                </c:pt>
                <c:pt idx="375">
                  <c:v>4</c:v>
                </c:pt>
                <c:pt idx="376">
                  <c:v>3</c:v>
                </c:pt>
                <c:pt idx="377">
                  <c:v>4</c:v>
                </c:pt>
                <c:pt idx="378">
                  <c:v>4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3</c:v>
                </c:pt>
                <c:pt idx="383">
                  <c:v>3</c:v>
                </c:pt>
                <c:pt idx="384">
                  <c:v>3</c:v>
                </c:pt>
                <c:pt idx="385">
                  <c:v>3</c:v>
                </c:pt>
                <c:pt idx="386">
                  <c:v>3</c:v>
                </c:pt>
                <c:pt idx="387">
                  <c:v>3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2</c:v>
                </c:pt>
                <c:pt idx="393">
                  <c:v>2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2</c:v>
                </c:pt>
                <c:pt idx="399">
                  <c:v>2</c:v>
                </c:pt>
                <c:pt idx="400">
                  <c:v>2</c:v>
                </c:pt>
                <c:pt idx="401">
                  <c:v>1</c:v>
                </c:pt>
                <c:pt idx="402">
                  <c:v>2</c:v>
                </c:pt>
                <c:pt idx="403">
                  <c:v>2</c:v>
                </c:pt>
                <c:pt idx="404">
                  <c:v>2</c:v>
                </c:pt>
                <c:pt idx="405">
                  <c:v>4</c:v>
                </c:pt>
                <c:pt idx="406">
                  <c:v>4</c:v>
                </c:pt>
                <c:pt idx="407">
                  <c:v>4</c:v>
                </c:pt>
                <c:pt idx="408">
                  <c:v>4</c:v>
                </c:pt>
                <c:pt idx="409">
                  <c:v>4</c:v>
                </c:pt>
                <c:pt idx="410">
                  <c:v>3</c:v>
                </c:pt>
                <c:pt idx="4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DD-40FD-B7CA-528619C05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7702687"/>
        <c:axId val="417705087"/>
      </c:lineChart>
      <c:dateAx>
        <c:axId val="41770268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17705087"/>
        <c:crosses val="autoZero"/>
        <c:auto val="1"/>
        <c:lblOffset val="100"/>
        <c:baseTimeUnit val="months"/>
      </c:dateAx>
      <c:valAx>
        <c:axId val="41770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17702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2000" b="1"/>
              <a:t>Macro Cycle 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5.8823631602034299E-2"/>
          <c:y val="0.14304360505661429"/>
          <c:w val="0.88917384361703822"/>
          <c:h val="0.64721924252222096"/>
        </c:manualLayout>
      </c:layout>
      <c:lineChart>
        <c:grouping val="standard"/>
        <c:varyColors val="0"/>
        <c:ser>
          <c:idx val="0"/>
          <c:order val="0"/>
          <c:tx>
            <c:strRef>
              <c:f>US!$AE$4</c:f>
              <c:strCache>
                <c:ptCount val="1"/>
                <c:pt idx="0">
                  <c:v>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US!$AD$5:$AD$450</c:f>
              <c:numCache>
                <c:formatCode>m/d/yyyy</c:formatCode>
                <c:ptCount val="446"/>
                <c:pt idx="0">
                  <c:v>32963</c:v>
                </c:pt>
                <c:pt idx="1">
                  <c:v>32993</c:v>
                </c:pt>
                <c:pt idx="2">
                  <c:v>33024</c:v>
                </c:pt>
                <c:pt idx="3">
                  <c:v>33054</c:v>
                </c:pt>
                <c:pt idx="4">
                  <c:v>33085</c:v>
                </c:pt>
                <c:pt idx="5">
                  <c:v>33116</c:v>
                </c:pt>
                <c:pt idx="6">
                  <c:v>33146</c:v>
                </c:pt>
                <c:pt idx="7">
                  <c:v>33177</c:v>
                </c:pt>
                <c:pt idx="8">
                  <c:v>33207</c:v>
                </c:pt>
                <c:pt idx="9">
                  <c:v>33238</c:v>
                </c:pt>
                <c:pt idx="10">
                  <c:v>33269</c:v>
                </c:pt>
                <c:pt idx="11">
                  <c:v>33297</c:v>
                </c:pt>
                <c:pt idx="12">
                  <c:v>33328</c:v>
                </c:pt>
                <c:pt idx="13">
                  <c:v>33358</c:v>
                </c:pt>
                <c:pt idx="14">
                  <c:v>33389</c:v>
                </c:pt>
                <c:pt idx="15">
                  <c:v>33419</c:v>
                </c:pt>
                <c:pt idx="16">
                  <c:v>33450</c:v>
                </c:pt>
                <c:pt idx="17">
                  <c:v>33481</c:v>
                </c:pt>
                <c:pt idx="18">
                  <c:v>33511</c:v>
                </c:pt>
                <c:pt idx="19">
                  <c:v>33542</c:v>
                </c:pt>
                <c:pt idx="20">
                  <c:v>33572</c:v>
                </c:pt>
                <c:pt idx="21">
                  <c:v>33603</c:v>
                </c:pt>
                <c:pt idx="22">
                  <c:v>33634</c:v>
                </c:pt>
                <c:pt idx="23">
                  <c:v>33663</c:v>
                </c:pt>
                <c:pt idx="24">
                  <c:v>33694</c:v>
                </c:pt>
                <c:pt idx="25">
                  <c:v>33724</c:v>
                </c:pt>
                <c:pt idx="26">
                  <c:v>33755</c:v>
                </c:pt>
                <c:pt idx="27">
                  <c:v>33785</c:v>
                </c:pt>
                <c:pt idx="28">
                  <c:v>33816</c:v>
                </c:pt>
                <c:pt idx="29">
                  <c:v>33847</c:v>
                </c:pt>
                <c:pt idx="30">
                  <c:v>33877</c:v>
                </c:pt>
                <c:pt idx="31">
                  <c:v>33908</c:v>
                </c:pt>
                <c:pt idx="32">
                  <c:v>33938</c:v>
                </c:pt>
                <c:pt idx="33">
                  <c:v>33969</c:v>
                </c:pt>
                <c:pt idx="34">
                  <c:v>34000</c:v>
                </c:pt>
                <c:pt idx="35">
                  <c:v>34028</c:v>
                </c:pt>
                <c:pt idx="36">
                  <c:v>34059</c:v>
                </c:pt>
                <c:pt idx="37">
                  <c:v>34089</c:v>
                </c:pt>
                <c:pt idx="38">
                  <c:v>34120</c:v>
                </c:pt>
                <c:pt idx="39">
                  <c:v>34150</c:v>
                </c:pt>
                <c:pt idx="40">
                  <c:v>34181</c:v>
                </c:pt>
                <c:pt idx="41">
                  <c:v>34212</c:v>
                </c:pt>
                <c:pt idx="42">
                  <c:v>34242</c:v>
                </c:pt>
                <c:pt idx="43">
                  <c:v>34273</c:v>
                </c:pt>
                <c:pt idx="44">
                  <c:v>34303</c:v>
                </c:pt>
                <c:pt idx="45">
                  <c:v>34334</c:v>
                </c:pt>
                <c:pt idx="46">
                  <c:v>34365</c:v>
                </c:pt>
                <c:pt idx="47">
                  <c:v>34393</c:v>
                </c:pt>
                <c:pt idx="48">
                  <c:v>34424</c:v>
                </c:pt>
                <c:pt idx="49">
                  <c:v>34454</c:v>
                </c:pt>
                <c:pt idx="50">
                  <c:v>34485</c:v>
                </c:pt>
                <c:pt idx="51">
                  <c:v>34515</c:v>
                </c:pt>
                <c:pt idx="52">
                  <c:v>34546</c:v>
                </c:pt>
                <c:pt idx="53">
                  <c:v>34577</c:v>
                </c:pt>
                <c:pt idx="54">
                  <c:v>34607</c:v>
                </c:pt>
                <c:pt idx="55">
                  <c:v>34638</c:v>
                </c:pt>
                <c:pt idx="56">
                  <c:v>34668</c:v>
                </c:pt>
                <c:pt idx="57">
                  <c:v>34699</c:v>
                </c:pt>
                <c:pt idx="58">
                  <c:v>34730</c:v>
                </c:pt>
                <c:pt idx="59">
                  <c:v>34758</c:v>
                </c:pt>
                <c:pt idx="60">
                  <c:v>34789</c:v>
                </c:pt>
                <c:pt idx="61">
                  <c:v>34819</c:v>
                </c:pt>
                <c:pt idx="62">
                  <c:v>34850</c:v>
                </c:pt>
                <c:pt idx="63">
                  <c:v>34880</c:v>
                </c:pt>
                <c:pt idx="64">
                  <c:v>34911</c:v>
                </c:pt>
                <c:pt idx="65">
                  <c:v>34942</c:v>
                </c:pt>
                <c:pt idx="66">
                  <c:v>34972</c:v>
                </c:pt>
                <c:pt idx="67">
                  <c:v>35003</c:v>
                </c:pt>
                <c:pt idx="68">
                  <c:v>35033</c:v>
                </c:pt>
                <c:pt idx="69">
                  <c:v>35064</c:v>
                </c:pt>
                <c:pt idx="70">
                  <c:v>35095</c:v>
                </c:pt>
                <c:pt idx="71">
                  <c:v>35124</c:v>
                </c:pt>
                <c:pt idx="72">
                  <c:v>35155</c:v>
                </c:pt>
                <c:pt idx="73">
                  <c:v>35185</c:v>
                </c:pt>
                <c:pt idx="74">
                  <c:v>35216</c:v>
                </c:pt>
                <c:pt idx="75">
                  <c:v>35246</c:v>
                </c:pt>
                <c:pt idx="76">
                  <c:v>35277</c:v>
                </c:pt>
                <c:pt idx="77">
                  <c:v>35308</c:v>
                </c:pt>
                <c:pt idx="78">
                  <c:v>35338</c:v>
                </c:pt>
                <c:pt idx="79">
                  <c:v>35369</c:v>
                </c:pt>
                <c:pt idx="80">
                  <c:v>35399</c:v>
                </c:pt>
                <c:pt idx="81">
                  <c:v>35430</c:v>
                </c:pt>
                <c:pt idx="82">
                  <c:v>35461</c:v>
                </c:pt>
                <c:pt idx="83">
                  <c:v>35489</c:v>
                </c:pt>
                <c:pt idx="84">
                  <c:v>35520</c:v>
                </c:pt>
                <c:pt idx="85">
                  <c:v>35550</c:v>
                </c:pt>
                <c:pt idx="86">
                  <c:v>35581</c:v>
                </c:pt>
                <c:pt idx="87">
                  <c:v>35611</c:v>
                </c:pt>
                <c:pt idx="88">
                  <c:v>35642</c:v>
                </c:pt>
                <c:pt idx="89">
                  <c:v>35673</c:v>
                </c:pt>
                <c:pt idx="90">
                  <c:v>35703</c:v>
                </c:pt>
                <c:pt idx="91">
                  <c:v>35734</c:v>
                </c:pt>
                <c:pt idx="92">
                  <c:v>35764</c:v>
                </c:pt>
                <c:pt idx="93">
                  <c:v>35795</c:v>
                </c:pt>
                <c:pt idx="94">
                  <c:v>35826</c:v>
                </c:pt>
                <c:pt idx="95">
                  <c:v>35854</c:v>
                </c:pt>
                <c:pt idx="96">
                  <c:v>35885</c:v>
                </c:pt>
                <c:pt idx="97">
                  <c:v>35915</c:v>
                </c:pt>
                <c:pt idx="98">
                  <c:v>35946</c:v>
                </c:pt>
                <c:pt idx="99">
                  <c:v>35976</c:v>
                </c:pt>
                <c:pt idx="100">
                  <c:v>36007</c:v>
                </c:pt>
                <c:pt idx="101">
                  <c:v>36038</c:v>
                </c:pt>
                <c:pt idx="102">
                  <c:v>36068</c:v>
                </c:pt>
                <c:pt idx="103">
                  <c:v>36099</c:v>
                </c:pt>
                <c:pt idx="104">
                  <c:v>36129</c:v>
                </c:pt>
                <c:pt idx="105">
                  <c:v>36160</c:v>
                </c:pt>
                <c:pt idx="106">
                  <c:v>36191</c:v>
                </c:pt>
                <c:pt idx="107">
                  <c:v>36219</c:v>
                </c:pt>
                <c:pt idx="108">
                  <c:v>36250</c:v>
                </c:pt>
                <c:pt idx="109">
                  <c:v>36280</c:v>
                </c:pt>
                <c:pt idx="110">
                  <c:v>36311</c:v>
                </c:pt>
                <c:pt idx="111">
                  <c:v>36341</c:v>
                </c:pt>
                <c:pt idx="112">
                  <c:v>36372</c:v>
                </c:pt>
                <c:pt idx="113">
                  <c:v>36403</c:v>
                </c:pt>
                <c:pt idx="114">
                  <c:v>36433</c:v>
                </c:pt>
                <c:pt idx="115">
                  <c:v>36464</c:v>
                </c:pt>
                <c:pt idx="116">
                  <c:v>36494</c:v>
                </c:pt>
                <c:pt idx="117">
                  <c:v>36525</c:v>
                </c:pt>
                <c:pt idx="118">
                  <c:v>36556</c:v>
                </c:pt>
                <c:pt idx="119">
                  <c:v>36585</c:v>
                </c:pt>
                <c:pt idx="120">
                  <c:v>36616</c:v>
                </c:pt>
                <c:pt idx="121">
                  <c:v>36646</c:v>
                </c:pt>
                <c:pt idx="122">
                  <c:v>36677</c:v>
                </c:pt>
                <c:pt idx="123">
                  <c:v>36707</c:v>
                </c:pt>
                <c:pt idx="124">
                  <c:v>36738</c:v>
                </c:pt>
                <c:pt idx="125">
                  <c:v>36769</c:v>
                </c:pt>
                <c:pt idx="126">
                  <c:v>36799</c:v>
                </c:pt>
                <c:pt idx="127">
                  <c:v>36830</c:v>
                </c:pt>
                <c:pt idx="128">
                  <c:v>36860</c:v>
                </c:pt>
                <c:pt idx="129">
                  <c:v>36891</c:v>
                </c:pt>
                <c:pt idx="130">
                  <c:v>36922</c:v>
                </c:pt>
                <c:pt idx="131">
                  <c:v>36950</c:v>
                </c:pt>
                <c:pt idx="132">
                  <c:v>36981</c:v>
                </c:pt>
                <c:pt idx="133">
                  <c:v>37011</c:v>
                </c:pt>
                <c:pt idx="134">
                  <c:v>37042</c:v>
                </c:pt>
                <c:pt idx="135">
                  <c:v>37072</c:v>
                </c:pt>
                <c:pt idx="136">
                  <c:v>37103</c:v>
                </c:pt>
                <c:pt idx="137">
                  <c:v>37134</c:v>
                </c:pt>
                <c:pt idx="138">
                  <c:v>37164</c:v>
                </c:pt>
                <c:pt idx="139">
                  <c:v>37195</c:v>
                </c:pt>
                <c:pt idx="140">
                  <c:v>37225</c:v>
                </c:pt>
                <c:pt idx="141">
                  <c:v>37256</c:v>
                </c:pt>
                <c:pt idx="142">
                  <c:v>37287</c:v>
                </c:pt>
                <c:pt idx="143">
                  <c:v>37315</c:v>
                </c:pt>
                <c:pt idx="144">
                  <c:v>37346</c:v>
                </c:pt>
                <c:pt idx="145">
                  <c:v>37376</c:v>
                </c:pt>
                <c:pt idx="146">
                  <c:v>37407</c:v>
                </c:pt>
                <c:pt idx="147">
                  <c:v>37437</c:v>
                </c:pt>
                <c:pt idx="148">
                  <c:v>37468</c:v>
                </c:pt>
                <c:pt idx="149">
                  <c:v>37499</c:v>
                </c:pt>
                <c:pt idx="150">
                  <c:v>37529</c:v>
                </c:pt>
                <c:pt idx="151">
                  <c:v>37560</c:v>
                </c:pt>
                <c:pt idx="152">
                  <c:v>37590</c:v>
                </c:pt>
                <c:pt idx="153">
                  <c:v>37621</c:v>
                </c:pt>
                <c:pt idx="154">
                  <c:v>37652</c:v>
                </c:pt>
                <c:pt idx="155">
                  <c:v>37680</c:v>
                </c:pt>
                <c:pt idx="156">
                  <c:v>37711</c:v>
                </c:pt>
                <c:pt idx="157">
                  <c:v>37741</c:v>
                </c:pt>
                <c:pt idx="158">
                  <c:v>37772</c:v>
                </c:pt>
                <c:pt idx="159">
                  <c:v>37802</c:v>
                </c:pt>
                <c:pt idx="160">
                  <c:v>37833</c:v>
                </c:pt>
                <c:pt idx="161">
                  <c:v>37864</c:v>
                </c:pt>
                <c:pt idx="162">
                  <c:v>37894</c:v>
                </c:pt>
                <c:pt idx="163">
                  <c:v>37925</c:v>
                </c:pt>
                <c:pt idx="164">
                  <c:v>37955</c:v>
                </c:pt>
                <c:pt idx="165">
                  <c:v>37986</c:v>
                </c:pt>
                <c:pt idx="166">
                  <c:v>38017</c:v>
                </c:pt>
                <c:pt idx="167">
                  <c:v>38046</c:v>
                </c:pt>
                <c:pt idx="168">
                  <c:v>38077</c:v>
                </c:pt>
                <c:pt idx="169">
                  <c:v>38107</c:v>
                </c:pt>
                <c:pt idx="170">
                  <c:v>38138</c:v>
                </c:pt>
                <c:pt idx="171">
                  <c:v>38168</c:v>
                </c:pt>
                <c:pt idx="172">
                  <c:v>38199</c:v>
                </c:pt>
                <c:pt idx="173">
                  <c:v>38230</c:v>
                </c:pt>
                <c:pt idx="174">
                  <c:v>38260</c:v>
                </c:pt>
                <c:pt idx="175">
                  <c:v>38291</c:v>
                </c:pt>
                <c:pt idx="176">
                  <c:v>38321</c:v>
                </c:pt>
                <c:pt idx="177">
                  <c:v>38352</c:v>
                </c:pt>
                <c:pt idx="178">
                  <c:v>38383</c:v>
                </c:pt>
                <c:pt idx="179">
                  <c:v>38411</c:v>
                </c:pt>
                <c:pt idx="180">
                  <c:v>38442</c:v>
                </c:pt>
                <c:pt idx="181">
                  <c:v>38472</c:v>
                </c:pt>
                <c:pt idx="182">
                  <c:v>38503</c:v>
                </c:pt>
                <c:pt idx="183">
                  <c:v>38533</c:v>
                </c:pt>
                <c:pt idx="184">
                  <c:v>38564</c:v>
                </c:pt>
                <c:pt idx="185">
                  <c:v>38595</c:v>
                </c:pt>
                <c:pt idx="186">
                  <c:v>38625</c:v>
                </c:pt>
                <c:pt idx="187">
                  <c:v>38656</c:v>
                </c:pt>
                <c:pt idx="188">
                  <c:v>38686</c:v>
                </c:pt>
                <c:pt idx="189">
                  <c:v>38717</c:v>
                </c:pt>
                <c:pt idx="190">
                  <c:v>38748</c:v>
                </c:pt>
                <c:pt idx="191">
                  <c:v>38776</c:v>
                </c:pt>
                <c:pt idx="192">
                  <c:v>38807</c:v>
                </c:pt>
                <c:pt idx="193">
                  <c:v>38837</c:v>
                </c:pt>
                <c:pt idx="194">
                  <c:v>38868</c:v>
                </c:pt>
                <c:pt idx="195">
                  <c:v>38898</c:v>
                </c:pt>
                <c:pt idx="196">
                  <c:v>38929</c:v>
                </c:pt>
                <c:pt idx="197">
                  <c:v>38960</c:v>
                </c:pt>
                <c:pt idx="198">
                  <c:v>38990</c:v>
                </c:pt>
                <c:pt idx="199">
                  <c:v>39021</c:v>
                </c:pt>
                <c:pt idx="200">
                  <c:v>39051</c:v>
                </c:pt>
                <c:pt idx="201">
                  <c:v>39082</c:v>
                </c:pt>
                <c:pt idx="202">
                  <c:v>39113</c:v>
                </c:pt>
                <c:pt idx="203">
                  <c:v>39141</c:v>
                </c:pt>
                <c:pt idx="204">
                  <c:v>39172</c:v>
                </c:pt>
                <c:pt idx="205">
                  <c:v>39202</c:v>
                </c:pt>
                <c:pt idx="206">
                  <c:v>39233</c:v>
                </c:pt>
                <c:pt idx="207">
                  <c:v>39263</c:v>
                </c:pt>
                <c:pt idx="208">
                  <c:v>39294</c:v>
                </c:pt>
                <c:pt idx="209">
                  <c:v>39325</c:v>
                </c:pt>
                <c:pt idx="210">
                  <c:v>39355</c:v>
                </c:pt>
                <c:pt idx="211">
                  <c:v>39386</c:v>
                </c:pt>
                <c:pt idx="212">
                  <c:v>39416</c:v>
                </c:pt>
                <c:pt idx="213">
                  <c:v>39447</c:v>
                </c:pt>
                <c:pt idx="214">
                  <c:v>39478</c:v>
                </c:pt>
                <c:pt idx="215">
                  <c:v>39507</c:v>
                </c:pt>
                <c:pt idx="216">
                  <c:v>39538</c:v>
                </c:pt>
                <c:pt idx="217">
                  <c:v>39568</c:v>
                </c:pt>
                <c:pt idx="218">
                  <c:v>39599</c:v>
                </c:pt>
                <c:pt idx="219">
                  <c:v>39629</c:v>
                </c:pt>
                <c:pt idx="220">
                  <c:v>39660</c:v>
                </c:pt>
                <c:pt idx="221">
                  <c:v>39691</c:v>
                </c:pt>
                <c:pt idx="222">
                  <c:v>39721</c:v>
                </c:pt>
                <c:pt idx="223">
                  <c:v>39752</c:v>
                </c:pt>
                <c:pt idx="224">
                  <c:v>39782</c:v>
                </c:pt>
                <c:pt idx="225">
                  <c:v>39813</c:v>
                </c:pt>
                <c:pt idx="226">
                  <c:v>39844</c:v>
                </c:pt>
                <c:pt idx="227">
                  <c:v>39872</c:v>
                </c:pt>
                <c:pt idx="228">
                  <c:v>39903</c:v>
                </c:pt>
                <c:pt idx="229">
                  <c:v>39933</c:v>
                </c:pt>
                <c:pt idx="230">
                  <c:v>39964</c:v>
                </c:pt>
                <c:pt idx="231">
                  <c:v>39994</c:v>
                </c:pt>
                <c:pt idx="232">
                  <c:v>40025</c:v>
                </c:pt>
                <c:pt idx="233">
                  <c:v>40056</c:v>
                </c:pt>
                <c:pt idx="234">
                  <c:v>40086</c:v>
                </c:pt>
                <c:pt idx="235">
                  <c:v>40117</c:v>
                </c:pt>
                <c:pt idx="236">
                  <c:v>40147</c:v>
                </c:pt>
                <c:pt idx="237">
                  <c:v>40178</c:v>
                </c:pt>
                <c:pt idx="238">
                  <c:v>40209</c:v>
                </c:pt>
                <c:pt idx="239">
                  <c:v>40237</c:v>
                </c:pt>
                <c:pt idx="240">
                  <c:v>40268</c:v>
                </c:pt>
                <c:pt idx="241">
                  <c:v>40298</c:v>
                </c:pt>
                <c:pt idx="242">
                  <c:v>40329</c:v>
                </c:pt>
                <c:pt idx="243">
                  <c:v>40359</c:v>
                </c:pt>
                <c:pt idx="244">
                  <c:v>40390</c:v>
                </c:pt>
                <c:pt idx="245">
                  <c:v>40421</c:v>
                </c:pt>
                <c:pt idx="246">
                  <c:v>40451</c:v>
                </c:pt>
                <c:pt idx="247">
                  <c:v>40482</c:v>
                </c:pt>
                <c:pt idx="248">
                  <c:v>40512</c:v>
                </c:pt>
                <c:pt idx="249">
                  <c:v>40543</c:v>
                </c:pt>
                <c:pt idx="250">
                  <c:v>40574</c:v>
                </c:pt>
                <c:pt idx="251">
                  <c:v>40602</c:v>
                </c:pt>
                <c:pt idx="252">
                  <c:v>40633</c:v>
                </c:pt>
                <c:pt idx="253">
                  <c:v>40663</c:v>
                </c:pt>
                <c:pt idx="254">
                  <c:v>40694</c:v>
                </c:pt>
                <c:pt idx="255">
                  <c:v>40724</c:v>
                </c:pt>
                <c:pt idx="256">
                  <c:v>40755</c:v>
                </c:pt>
                <c:pt idx="257">
                  <c:v>40786</c:v>
                </c:pt>
                <c:pt idx="258">
                  <c:v>40816</c:v>
                </c:pt>
                <c:pt idx="259">
                  <c:v>40847</c:v>
                </c:pt>
                <c:pt idx="260">
                  <c:v>40877</c:v>
                </c:pt>
                <c:pt idx="261">
                  <c:v>40908</c:v>
                </c:pt>
                <c:pt idx="262">
                  <c:v>40939</c:v>
                </c:pt>
                <c:pt idx="263">
                  <c:v>40968</c:v>
                </c:pt>
                <c:pt idx="264">
                  <c:v>40999</c:v>
                </c:pt>
                <c:pt idx="265">
                  <c:v>41029</c:v>
                </c:pt>
                <c:pt idx="266">
                  <c:v>41060</c:v>
                </c:pt>
                <c:pt idx="267">
                  <c:v>41090</c:v>
                </c:pt>
                <c:pt idx="268">
                  <c:v>41121</c:v>
                </c:pt>
                <c:pt idx="269">
                  <c:v>41152</c:v>
                </c:pt>
                <c:pt idx="270">
                  <c:v>41182</c:v>
                </c:pt>
                <c:pt idx="271">
                  <c:v>41213</c:v>
                </c:pt>
                <c:pt idx="272">
                  <c:v>41243</c:v>
                </c:pt>
                <c:pt idx="273">
                  <c:v>41274</c:v>
                </c:pt>
                <c:pt idx="274">
                  <c:v>41305</c:v>
                </c:pt>
                <c:pt idx="275">
                  <c:v>41333</c:v>
                </c:pt>
                <c:pt idx="276">
                  <c:v>41364</c:v>
                </c:pt>
                <c:pt idx="277">
                  <c:v>41394</c:v>
                </c:pt>
                <c:pt idx="278">
                  <c:v>41425</c:v>
                </c:pt>
                <c:pt idx="279">
                  <c:v>41455</c:v>
                </c:pt>
                <c:pt idx="280">
                  <c:v>41486</c:v>
                </c:pt>
                <c:pt idx="281">
                  <c:v>41517</c:v>
                </c:pt>
                <c:pt idx="282">
                  <c:v>41547</c:v>
                </c:pt>
                <c:pt idx="283">
                  <c:v>41578</c:v>
                </c:pt>
                <c:pt idx="284">
                  <c:v>41608</c:v>
                </c:pt>
                <c:pt idx="285">
                  <c:v>41639</c:v>
                </c:pt>
                <c:pt idx="286">
                  <c:v>41670</c:v>
                </c:pt>
                <c:pt idx="287">
                  <c:v>41698</c:v>
                </c:pt>
                <c:pt idx="288">
                  <c:v>41729</c:v>
                </c:pt>
                <c:pt idx="289">
                  <c:v>41759</c:v>
                </c:pt>
                <c:pt idx="290">
                  <c:v>41790</c:v>
                </c:pt>
                <c:pt idx="291">
                  <c:v>41820</c:v>
                </c:pt>
                <c:pt idx="292">
                  <c:v>41851</c:v>
                </c:pt>
                <c:pt idx="293">
                  <c:v>41882</c:v>
                </c:pt>
                <c:pt idx="294">
                  <c:v>41912</c:v>
                </c:pt>
                <c:pt idx="295">
                  <c:v>41943</c:v>
                </c:pt>
                <c:pt idx="296">
                  <c:v>41973</c:v>
                </c:pt>
                <c:pt idx="297">
                  <c:v>42004</c:v>
                </c:pt>
                <c:pt idx="298">
                  <c:v>42035</c:v>
                </c:pt>
                <c:pt idx="299">
                  <c:v>42063</c:v>
                </c:pt>
                <c:pt idx="300">
                  <c:v>42094</c:v>
                </c:pt>
                <c:pt idx="301">
                  <c:v>42124</c:v>
                </c:pt>
                <c:pt idx="302">
                  <c:v>42155</c:v>
                </c:pt>
                <c:pt idx="303">
                  <c:v>42185</c:v>
                </c:pt>
                <c:pt idx="304">
                  <c:v>42216</c:v>
                </c:pt>
                <c:pt idx="305">
                  <c:v>42247</c:v>
                </c:pt>
                <c:pt idx="306">
                  <c:v>42277</c:v>
                </c:pt>
                <c:pt idx="307">
                  <c:v>42308</c:v>
                </c:pt>
                <c:pt idx="308">
                  <c:v>42338</c:v>
                </c:pt>
                <c:pt idx="309">
                  <c:v>42369</c:v>
                </c:pt>
                <c:pt idx="310">
                  <c:v>42400</c:v>
                </c:pt>
                <c:pt idx="311">
                  <c:v>42429</c:v>
                </c:pt>
                <c:pt idx="312">
                  <c:v>42460</c:v>
                </c:pt>
                <c:pt idx="313">
                  <c:v>42490</c:v>
                </c:pt>
                <c:pt idx="314">
                  <c:v>42521</c:v>
                </c:pt>
                <c:pt idx="315">
                  <c:v>42551</c:v>
                </c:pt>
                <c:pt idx="316">
                  <c:v>42582</c:v>
                </c:pt>
                <c:pt idx="317">
                  <c:v>42613</c:v>
                </c:pt>
                <c:pt idx="318">
                  <c:v>42643</c:v>
                </c:pt>
                <c:pt idx="319">
                  <c:v>42674</c:v>
                </c:pt>
                <c:pt idx="320">
                  <c:v>42704</c:v>
                </c:pt>
                <c:pt idx="321">
                  <c:v>42735</c:v>
                </c:pt>
                <c:pt idx="322">
                  <c:v>42766</c:v>
                </c:pt>
                <c:pt idx="323">
                  <c:v>42794</c:v>
                </c:pt>
                <c:pt idx="324">
                  <c:v>42825</c:v>
                </c:pt>
                <c:pt idx="325">
                  <c:v>42855</c:v>
                </c:pt>
                <c:pt idx="326">
                  <c:v>42886</c:v>
                </c:pt>
                <c:pt idx="327">
                  <c:v>42916</c:v>
                </c:pt>
                <c:pt idx="328">
                  <c:v>42947</c:v>
                </c:pt>
                <c:pt idx="329">
                  <c:v>42978</c:v>
                </c:pt>
                <c:pt idx="330">
                  <c:v>43008</c:v>
                </c:pt>
                <c:pt idx="331">
                  <c:v>43039</c:v>
                </c:pt>
                <c:pt idx="332">
                  <c:v>43069</c:v>
                </c:pt>
                <c:pt idx="333">
                  <c:v>43100</c:v>
                </c:pt>
                <c:pt idx="334">
                  <c:v>43131</c:v>
                </c:pt>
                <c:pt idx="335">
                  <c:v>43159</c:v>
                </c:pt>
                <c:pt idx="336">
                  <c:v>43190</c:v>
                </c:pt>
                <c:pt idx="337">
                  <c:v>43220</c:v>
                </c:pt>
                <c:pt idx="338">
                  <c:v>43251</c:v>
                </c:pt>
                <c:pt idx="339">
                  <c:v>43281</c:v>
                </c:pt>
                <c:pt idx="340">
                  <c:v>43312</c:v>
                </c:pt>
                <c:pt idx="341">
                  <c:v>43343</c:v>
                </c:pt>
                <c:pt idx="342">
                  <c:v>43373</c:v>
                </c:pt>
                <c:pt idx="343">
                  <c:v>43404</c:v>
                </c:pt>
                <c:pt idx="344">
                  <c:v>43434</c:v>
                </c:pt>
                <c:pt idx="345">
                  <c:v>43465</c:v>
                </c:pt>
                <c:pt idx="346">
                  <c:v>43496</c:v>
                </c:pt>
                <c:pt idx="347">
                  <c:v>43524</c:v>
                </c:pt>
                <c:pt idx="348">
                  <c:v>43555</c:v>
                </c:pt>
                <c:pt idx="349">
                  <c:v>43585</c:v>
                </c:pt>
                <c:pt idx="350">
                  <c:v>43616</c:v>
                </c:pt>
                <c:pt idx="351">
                  <c:v>43646</c:v>
                </c:pt>
                <c:pt idx="352">
                  <c:v>43677</c:v>
                </c:pt>
                <c:pt idx="353">
                  <c:v>43708</c:v>
                </c:pt>
                <c:pt idx="354">
                  <c:v>43738</c:v>
                </c:pt>
                <c:pt idx="355">
                  <c:v>43769</c:v>
                </c:pt>
                <c:pt idx="356">
                  <c:v>43799</c:v>
                </c:pt>
                <c:pt idx="357">
                  <c:v>43830</c:v>
                </c:pt>
                <c:pt idx="358">
                  <c:v>43861</c:v>
                </c:pt>
                <c:pt idx="359">
                  <c:v>43890</c:v>
                </c:pt>
                <c:pt idx="360">
                  <c:v>43921</c:v>
                </c:pt>
                <c:pt idx="361">
                  <c:v>43951</c:v>
                </c:pt>
                <c:pt idx="362">
                  <c:v>43982</c:v>
                </c:pt>
                <c:pt idx="363">
                  <c:v>44012</c:v>
                </c:pt>
                <c:pt idx="364">
                  <c:v>44043</c:v>
                </c:pt>
                <c:pt idx="365">
                  <c:v>44074</c:v>
                </c:pt>
                <c:pt idx="366">
                  <c:v>44104</c:v>
                </c:pt>
                <c:pt idx="367">
                  <c:v>44135</c:v>
                </c:pt>
                <c:pt idx="368">
                  <c:v>44165</c:v>
                </c:pt>
                <c:pt idx="369">
                  <c:v>44196</c:v>
                </c:pt>
                <c:pt idx="370">
                  <c:v>44227</c:v>
                </c:pt>
                <c:pt idx="371">
                  <c:v>44255</c:v>
                </c:pt>
                <c:pt idx="372">
                  <c:v>44286</c:v>
                </c:pt>
                <c:pt idx="373">
                  <c:v>44316</c:v>
                </c:pt>
                <c:pt idx="374">
                  <c:v>44347</c:v>
                </c:pt>
                <c:pt idx="375">
                  <c:v>44377</c:v>
                </c:pt>
                <c:pt idx="376">
                  <c:v>44408</c:v>
                </c:pt>
                <c:pt idx="377">
                  <c:v>44439</c:v>
                </c:pt>
                <c:pt idx="378">
                  <c:v>44469</c:v>
                </c:pt>
                <c:pt idx="379">
                  <c:v>44500</c:v>
                </c:pt>
                <c:pt idx="380">
                  <c:v>44530</c:v>
                </c:pt>
                <c:pt idx="381">
                  <c:v>44561</c:v>
                </c:pt>
                <c:pt idx="382">
                  <c:v>44592</c:v>
                </c:pt>
                <c:pt idx="383">
                  <c:v>44620</c:v>
                </c:pt>
                <c:pt idx="384">
                  <c:v>44651</c:v>
                </c:pt>
                <c:pt idx="385">
                  <c:v>44681</c:v>
                </c:pt>
                <c:pt idx="386">
                  <c:v>44712</c:v>
                </c:pt>
                <c:pt idx="387">
                  <c:v>44742</c:v>
                </c:pt>
                <c:pt idx="388">
                  <c:v>44773</c:v>
                </c:pt>
                <c:pt idx="389">
                  <c:v>44804</c:v>
                </c:pt>
                <c:pt idx="390">
                  <c:v>44834</c:v>
                </c:pt>
                <c:pt idx="391">
                  <c:v>44865</c:v>
                </c:pt>
                <c:pt idx="392">
                  <c:v>44895</c:v>
                </c:pt>
                <c:pt idx="393">
                  <c:v>44926</c:v>
                </c:pt>
                <c:pt idx="394">
                  <c:v>44957</c:v>
                </c:pt>
                <c:pt idx="395">
                  <c:v>44985</c:v>
                </c:pt>
                <c:pt idx="396">
                  <c:v>45016</c:v>
                </c:pt>
                <c:pt idx="397">
                  <c:v>45046</c:v>
                </c:pt>
                <c:pt idx="398">
                  <c:v>45077</c:v>
                </c:pt>
                <c:pt idx="399">
                  <c:v>45107</c:v>
                </c:pt>
                <c:pt idx="400">
                  <c:v>45138</c:v>
                </c:pt>
                <c:pt idx="401">
                  <c:v>45169</c:v>
                </c:pt>
                <c:pt idx="402">
                  <c:v>45199</c:v>
                </c:pt>
                <c:pt idx="403">
                  <c:v>45230</c:v>
                </c:pt>
                <c:pt idx="404">
                  <c:v>45260</c:v>
                </c:pt>
                <c:pt idx="405">
                  <c:v>45291</c:v>
                </c:pt>
                <c:pt idx="406">
                  <c:v>45322</c:v>
                </c:pt>
                <c:pt idx="407">
                  <c:v>45351</c:v>
                </c:pt>
                <c:pt idx="408">
                  <c:v>45382</c:v>
                </c:pt>
                <c:pt idx="409">
                  <c:v>45412</c:v>
                </c:pt>
                <c:pt idx="410">
                  <c:v>45443</c:v>
                </c:pt>
                <c:pt idx="411">
                  <c:v>45473</c:v>
                </c:pt>
                <c:pt idx="412">
                  <c:v>45504</c:v>
                </c:pt>
                <c:pt idx="413">
                  <c:v>45534</c:v>
                </c:pt>
                <c:pt idx="414">
                  <c:v>45565</c:v>
                </c:pt>
                <c:pt idx="415">
                  <c:v>45596</c:v>
                </c:pt>
                <c:pt idx="416">
                  <c:v>45626</c:v>
                </c:pt>
                <c:pt idx="417">
                  <c:v>45657</c:v>
                </c:pt>
                <c:pt idx="418">
                  <c:v>45688</c:v>
                </c:pt>
                <c:pt idx="419">
                  <c:v>45716</c:v>
                </c:pt>
              </c:numCache>
            </c:numRef>
          </c:cat>
          <c:val>
            <c:numRef>
              <c:f>US!$AE$5:$AE$450</c:f>
              <c:numCache>
                <c:formatCode>General</c:formatCode>
                <c:ptCount val="44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-4.5399164703885331E-2</c:v>
                </c:pt>
                <c:pt idx="17">
                  <c:v>3.3779789509449244E-2</c:v>
                </c:pt>
                <c:pt idx="18">
                  <c:v>7.2882160408347121E-2</c:v>
                </c:pt>
                <c:pt idx="19">
                  <c:v>8.4287192873786318E-2</c:v>
                </c:pt>
                <c:pt idx="20">
                  <c:v>1.8474756541120921E-2</c:v>
                </c:pt>
                <c:pt idx="21">
                  <c:v>-3.7633681118553086E-2</c:v>
                </c:pt>
                <c:pt idx="22">
                  <c:v>6.6371563000234529E-2</c:v>
                </c:pt>
                <c:pt idx="23">
                  <c:v>0.219147854817895</c:v>
                </c:pt>
                <c:pt idx="24">
                  <c:v>0.36657408233115857</c:v>
                </c:pt>
                <c:pt idx="25">
                  <c:v>0.46094687318496019</c:v>
                </c:pt>
                <c:pt idx="26">
                  <c:v>0.47882571069088298</c:v>
                </c:pt>
                <c:pt idx="27">
                  <c:v>0.51930988768943576</c:v>
                </c:pt>
                <c:pt idx="28">
                  <c:v>0.56967786606158299</c:v>
                </c:pt>
                <c:pt idx="29">
                  <c:v>#N/A</c:v>
                </c:pt>
                <c:pt idx="30">
                  <c:v>#N/A</c:v>
                </c:pt>
                <c:pt idx="31">
                  <c:v>0.42670223463678725</c:v>
                </c:pt>
                <c:pt idx="32">
                  <c:v>0.46189452481075743</c:v>
                </c:pt>
                <c:pt idx="33">
                  <c:v>0.5872433991033279</c:v>
                </c:pt>
                <c:pt idx="34">
                  <c:v>0.5897801480861522</c:v>
                </c:pt>
                <c:pt idx="35">
                  <c:v>0.60407556338159885</c:v>
                </c:pt>
                <c:pt idx="36">
                  <c:v>0.57631394145420678</c:v>
                </c:pt>
                <c:pt idx="37">
                  <c:v>0.61931742677612145</c:v>
                </c:pt>
                <c:pt idx="38">
                  <c:v>0.57732365628129045</c:v>
                </c:pt>
                <c:pt idx="39">
                  <c:v>0.58016320924112275</c:v>
                </c:pt>
                <c:pt idx="40">
                  <c:v>0.57888276119831183</c:v>
                </c:pt>
                <c:pt idx="41">
                  <c:v>0.57647731266588376</c:v>
                </c:pt>
                <c:pt idx="42">
                  <c:v>0.58856398287428868</c:v>
                </c:pt>
                <c:pt idx="43">
                  <c:v>0.64443166980057098</c:v>
                </c:pt>
                <c:pt idx="44">
                  <c:v>0.72240245254377189</c:v>
                </c:pt>
                <c:pt idx="45">
                  <c:v>0.76253347152334228</c:v>
                </c:pt>
                <c:pt idx="46">
                  <c:v>0.73296182782100794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0.72625635385542686</c:v>
                </c:pt>
                <c:pt idx="53">
                  <c:v>0.79716694755208461</c:v>
                </c:pt>
                <c:pt idx="54">
                  <c:v>0.76439837499974062</c:v>
                </c:pt>
                <c:pt idx="55">
                  <c:v>0.79652774312481434</c:v>
                </c:pt>
                <c:pt idx="56">
                  <c:v>0.82506160178878785</c:v>
                </c:pt>
                <c:pt idx="57">
                  <c:v>0.79621094505171053</c:v>
                </c:pt>
                <c:pt idx="58">
                  <c:v>0.76556492366651863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0.4732851192241419</c:v>
                </c:pt>
                <c:pt idx="65">
                  <c:v>0.53275955888162507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0.33985461563375369</c:v>
                </c:pt>
                <c:pt idx="71">
                  <c:v>0.40834802381449753</c:v>
                </c:pt>
                <c:pt idx="72">
                  <c:v>0.4076485881637294</c:v>
                </c:pt>
                <c:pt idx="73">
                  <c:v>0.4833952023552483</c:v>
                </c:pt>
                <c:pt idx="74">
                  <c:v>0.55185876445672977</c:v>
                </c:pt>
                <c:pt idx="75">
                  <c:v>0.53570001817747093</c:v>
                </c:pt>
                <c:pt idx="76">
                  <c:v>0.51210922867870989</c:v>
                </c:pt>
                <c:pt idx="77">
                  <c:v>0.54610233123255025</c:v>
                </c:pt>
                <c:pt idx="78">
                  <c:v>0.53057136910400071</c:v>
                </c:pt>
                <c:pt idx="79">
                  <c:v>0.53650901868208778</c:v>
                </c:pt>
                <c:pt idx="80">
                  <c:v>0.55405492176678361</c:v>
                </c:pt>
                <c:pt idx="81">
                  <c:v>0.55875901156325025</c:v>
                </c:pt>
                <c:pt idx="82">
                  <c:v>0.61450130326772401</c:v>
                </c:pt>
                <c:pt idx="83">
                  <c:v>0.72754635024551351</c:v>
                </c:pt>
                <c:pt idx="84">
                  <c:v>0.72128996928917855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0.66232704430362732</c:v>
                </c:pt>
                <c:pt idx="93">
                  <c:v>0.66546413031345719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0.11778331267874183</c:v>
                </c:pt>
                <c:pt idx="105">
                  <c:v>0.11932035811075496</c:v>
                </c:pt>
                <c:pt idx="106">
                  <c:v>0.15932369809464431</c:v>
                </c:pt>
                <c:pt idx="107">
                  <c:v>0.23503201322857981</c:v>
                </c:pt>
                <c:pt idx="108">
                  <c:v>#N/A</c:v>
                </c:pt>
                <c:pt idx="109">
                  <c:v>0.20633457294800794</c:v>
                </c:pt>
                <c:pt idx="110">
                  <c:v>0.23252410979533139</c:v>
                </c:pt>
                <c:pt idx="111">
                  <c:v>0.2375646014582074</c:v>
                </c:pt>
                <c:pt idx="112">
                  <c:v>0.24683354981534555</c:v>
                </c:pt>
                <c:pt idx="113">
                  <c:v>0.23620381248395647</c:v>
                </c:pt>
                <c:pt idx="114">
                  <c:v>0.17536793433511982</c:v>
                </c:pt>
                <c:pt idx="115">
                  <c:v>0.21174699827688342</c:v>
                </c:pt>
                <c:pt idx="116">
                  <c:v>0.2723794662679716</c:v>
                </c:pt>
                <c:pt idx="117">
                  <c:v>0.33501281179069065</c:v>
                </c:pt>
                <c:pt idx="118">
                  <c:v>0.35211286543034376</c:v>
                </c:pt>
                <c:pt idx="119">
                  <c:v>0.34958144552268444</c:v>
                </c:pt>
                <c:pt idx="120">
                  <c:v>0.37839509059417398</c:v>
                </c:pt>
                <c:pt idx="121">
                  <c:v>0.36758251740926318</c:v>
                </c:pt>
                <c:pt idx="122">
                  <c:v>0.29357121222035049</c:v>
                </c:pt>
                <c:pt idx="123">
                  <c:v>#N/A</c:v>
                </c:pt>
                <c:pt idx="124">
                  <c:v>0.20518882544121228</c:v>
                </c:pt>
                <c:pt idx="125">
                  <c:v>0.20552150905410316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-4.8162738348636588E-2</c:v>
                </c:pt>
                <c:pt idx="162">
                  <c:v>1.1012747535270311E-2</c:v>
                </c:pt>
                <c:pt idx="163">
                  <c:v>9.5554701305900089E-2</c:v>
                </c:pt>
                <c:pt idx="164">
                  <c:v>0.17747403347917312</c:v>
                </c:pt>
                <c:pt idx="165">
                  <c:v>0.20309355484669969</c:v>
                </c:pt>
                <c:pt idx="166">
                  <c:v>0.23072879739720847</c:v>
                </c:pt>
                <c:pt idx="167">
                  <c:v>0.30052415036627678</c:v>
                </c:pt>
                <c:pt idx="168">
                  <c:v>0.3457890381937061</c:v>
                </c:pt>
                <c:pt idx="169">
                  <c:v>0.39499155685395437</c:v>
                </c:pt>
                <c:pt idx="170">
                  <c:v>0.43571399883239559</c:v>
                </c:pt>
                <c:pt idx="171">
                  <c:v>0.42408410223452603</c:v>
                </c:pt>
                <c:pt idx="172">
                  <c:v>0.46681676582495885</c:v>
                </c:pt>
                <c:pt idx="173">
                  <c:v>0.47717732097393645</c:v>
                </c:pt>
                <c:pt idx="174">
                  <c:v>0.5049621774509101</c:v>
                </c:pt>
                <c:pt idx="175">
                  <c:v>0.52102065915012796</c:v>
                </c:pt>
                <c:pt idx="176">
                  <c:v>0.55965864674688692</c:v>
                </c:pt>
                <c:pt idx="177">
                  <c:v>0.63999176219675147</c:v>
                </c:pt>
                <c:pt idx="178">
                  <c:v>0.64042787997067729</c:v>
                </c:pt>
                <c:pt idx="179">
                  <c:v>0.66935310826994343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0.54461868548116321</c:v>
                </c:pt>
                <c:pt idx="184">
                  <c:v>0.5596574348917589</c:v>
                </c:pt>
                <c:pt idx="185">
                  <c:v>#N/A</c:v>
                </c:pt>
                <c:pt idx="186">
                  <c:v>0.37618611362867582</c:v>
                </c:pt>
                <c:pt idx="187">
                  <c:v>0.40952698760813955</c:v>
                </c:pt>
                <c:pt idx="188">
                  <c:v>0.49617214704891072</c:v>
                </c:pt>
                <c:pt idx="189">
                  <c:v>0.52928747286724387</c:v>
                </c:pt>
                <c:pt idx="190">
                  <c:v>0.58798487582735204</c:v>
                </c:pt>
                <c:pt idx="191">
                  <c:v>0.61759984417110225</c:v>
                </c:pt>
                <c:pt idx="192">
                  <c:v>0.58971704312779272</c:v>
                </c:pt>
                <c:pt idx="193">
                  <c:v>0.54679954151818988</c:v>
                </c:pt>
                <c:pt idx="194">
                  <c:v>#N/A</c:v>
                </c:pt>
                <c:pt idx="195">
                  <c:v>#N/A</c:v>
                </c:pt>
                <c:pt idx="196">
                  <c:v>0.41474220915412041</c:v>
                </c:pt>
                <c:pt idx="197">
                  <c:v>0.41941719886337786</c:v>
                </c:pt>
                <c:pt idx="198">
                  <c:v>0.37295300923276969</c:v>
                </c:pt>
                <c:pt idx="199">
                  <c:v>0.38425240160143032</c:v>
                </c:pt>
                <c:pt idx="200">
                  <c:v>0.42476352146320451</c:v>
                </c:pt>
                <c:pt idx="201">
                  <c:v>0.47703259307346391</c:v>
                </c:pt>
                <c:pt idx="202">
                  <c:v>0.48345641472934492</c:v>
                </c:pt>
                <c:pt idx="203">
                  <c:v>0.48742431266784525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-6.7459360505740862E-2</c:v>
                </c:pt>
                <c:pt idx="241">
                  <c:v>7.6703859738395302E-2</c:v>
                </c:pt>
                <c:pt idx="242">
                  <c:v>0.10208914766749812</c:v>
                </c:pt>
                <c:pt idx="243">
                  <c:v>#N/A</c:v>
                </c:pt>
                <c:pt idx="244">
                  <c:v>-9.6925118392241189E-2</c:v>
                </c:pt>
                <c:pt idx="245">
                  <c:v>4.5254569781853923E-2</c:v>
                </c:pt>
                <c:pt idx="246">
                  <c:v>3.3387396030389205E-2</c:v>
                </c:pt>
                <c:pt idx="247">
                  <c:v>2.5620890661728277E-2</c:v>
                </c:pt>
                <c:pt idx="248">
                  <c:v>2.9906790686772086E-2</c:v>
                </c:pt>
                <c:pt idx="249">
                  <c:v>7.9147336704678412E-2</c:v>
                </c:pt>
                <c:pt idx="250">
                  <c:v>8.4176959607481422E-2</c:v>
                </c:pt>
                <c:pt idx="251">
                  <c:v>6.7831094073894663E-2</c:v>
                </c:pt>
                <c:pt idx="252">
                  <c:v>9.879623953556195E-2</c:v>
                </c:pt>
                <c:pt idx="253">
                  <c:v>7.4806594222472267E-2</c:v>
                </c:pt>
                <c:pt idx="254">
                  <c:v>5.0448459414522209E-2</c:v>
                </c:pt>
                <c:pt idx="255">
                  <c:v>6.9613956663201582E-2</c:v>
                </c:pt>
                <c:pt idx="256">
                  <c:v>4.6463859468734589E-2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-6.0603670334849438E-2</c:v>
                </c:pt>
                <c:pt idx="272">
                  <c:v>4.9685742983309952E-2</c:v>
                </c:pt>
                <c:pt idx="273">
                  <c:v>7.5341723505793878E-2</c:v>
                </c:pt>
                <c:pt idx="274">
                  <c:v>9.5882734430062511E-3</c:v>
                </c:pt>
                <c:pt idx="275">
                  <c:v>4.9513812165976501E-2</c:v>
                </c:pt>
                <c:pt idx="276">
                  <c:v>7.7921629335036824E-2</c:v>
                </c:pt>
                <c:pt idx="277">
                  <c:v>0.10336259679273314</c:v>
                </c:pt>
                <c:pt idx="278">
                  <c:v>0.11159276034316784</c:v>
                </c:pt>
                <c:pt idx="279">
                  <c:v>8.1540757509001374E-2</c:v>
                </c:pt>
                <c:pt idx="280">
                  <c:v>0.10589114889166326</c:v>
                </c:pt>
                <c:pt idx="281">
                  <c:v>0.1470719094120847</c:v>
                </c:pt>
                <c:pt idx="282">
                  <c:v>0.16984699772964054</c:v>
                </c:pt>
                <c:pt idx="283">
                  <c:v>0.18032397405851119</c:v>
                </c:pt>
                <c:pt idx="284">
                  <c:v>0.24662426986092642</c:v>
                </c:pt>
                <c:pt idx="285">
                  <c:v>0.27786041317783511</c:v>
                </c:pt>
                <c:pt idx="286">
                  <c:v>0.24656331837669754</c:v>
                </c:pt>
                <c:pt idx="287">
                  <c:v>0.31285063923024786</c:v>
                </c:pt>
                <c:pt idx="288">
                  <c:v>0.39305202204962719</c:v>
                </c:pt>
                <c:pt idx="289">
                  <c:v>0.44049597872002894</c:v>
                </c:pt>
                <c:pt idx="290">
                  <c:v>0.46525754910300249</c:v>
                </c:pt>
                <c:pt idx="291">
                  <c:v>0.50195896715410138</c:v>
                </c:pt>
                <c:pt idx="292">
                  <c:v>0.48995289810609149</c:v>
                </c:pt>
                <c:pt idx="293">
                  <c:v>0.49440475669130995</c:v>
                </c:pt>
                <c:pt idx="294">
                  <c:v>0.48385158694337749</c:v>
                </c:pt>
                <c:pt idx="295">
                  <c:v>0.46443724557360588</c:v>
                </c:pt>
                <c:pt idx="296">
                  <c:v>0.48522879353967363</c:v>
                </c:pt>
                <c:pt idx="297">
                  <c:v>0.45449515192632123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0.18806263173689475</c:v>
                </c:pt>
                <c:pt idx="304">
                  <c:v>0.21807771896460704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-2.3125949743496032E-2</c:v>
                </c:pt>
                <c:pt idx="317">
                  <c:v>9.7944766152185184E-3</c:v>
                </c:pt>
                <c:pt idx="318">
                  <c:v>1.4452549188972161E-2</c:v>
                </c:pt>
                <c:pt idx="319">
                  <c:v>-5.2543209662485463E-3</c:v>
                </c:pt>
                <c:pt idx="320">
                  <c:v>3.2061908690950477E-2</c:v>
                </c:pt>
                <c:pt idx="321">
                  <c:v>9.9882244714029622E-2</c:v>
                </c:pt>
                <c:pt idx="322">
                  <c:v>0.12162058883416753</c:v>
                </c:pt>
                <c:pt idx="323">
                  <c:v>0.14232102033461161</c:v>
                </c:pt>
                <c:pt idx="324">
                  <c:v>0.19495979538086505</c:v>
                </c:pt>
                <c:pt idx="325">
                  <c:v>0.2600562502882276</c:v>
                </c:pt>
                <c:pt idx="326">
                  <c:v>0.31705558304699183</c:v>
                </c:pt>
                <c:pt idx="327">
                  <c:v>0.34074683210587187</c:v>
                </c:pt>
                <c:pt idx="328">
                  <c:v>0.35912250109206201</c:v>
                </c:pt>
                <c:pt idx="329">
                  <c:v>0.34321041964446064</c:v>
                </c:pt>
                <c:pt idx="330">
                  <c:v>0.38970860709124394</c:v>
                </c:pt>
                <c:pt idx="331">
                  <c:v>0.49131799429751211</c:v>
                </c:pt>
                <c:pt idx="332">
                  <c:v>0.56181952114999389</c:v>
                </c:pt>
                <c:pt idx="333">
                  <c:v>0.56886845898588201</c:v>
                </c:pt>
                <c:pt idx="334">
                  <c:v>0.53253586749308746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0.34790661044869203</c:v>
                </c:pt>
                <c:pt idx="340">
                  <c:v>0.37068451737990565</c:v>
                </c:pt>
                <c:pt idx="341">
                  <c:v>0.42499115879026894</c:v>
                </c:pt>
                <c:pt idx="342">
                  <c:v>0.42606010967140595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0.15343122338752863</c:v>
                </c:pt>
                <c:pt idx="347">
                  <c:v>0.17522956608571935</c:v>
                </c:pt>
                <c:pt idx="348">
                  <c:v>0.20947721997856208</c:v>
                </c:pt>
                <c:pt idx="349">
                  <c:v>0.23577722933012649</c:v>
                </c:pt>
                <c:pt idx="350">
                  <c:v>#N/A</c:v>
                </c:pt>
                <c:pt idx="351">
                  <c:v>0.19427744877111208</c:v>
                </c:pt>
                <c:pt idx="352">
                  <c:v>0.19954615473498152</c:v>
                </c:pt>
                <c:pt idx="353">
                  <c:v>#N/A</c:v>
                </c:pt>
                <c:pt idx="354">
                  <c:v>#N/A</c:v>
                </c:pt>
                <c:pt idx="355">
                  <c:v>1.0162933347224706E-2</c:v>
                </c:pt>
                <c:pt idx="356">
                  <c:v>4.5204673934174787E-2</c:v>
                </c:pt>
                <c:pt idx="357">
                  <c:v>7.5728176181116796E-2</c:v>
                </c:pt>
                <c:pt idx="358">
                  <c:v>0.1178633550604076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-6.9867527664886853E-2</c:v>
                </c:pt>
                <c:pt idx="366">
                  <c:v>9.5727733321004926E-5</c:v>
                </c:pt>
                <c:pt idx="367">
                  <c:v>1.6794810706873275E-2</c:v>
                </c:pt>
                <c:pt idx="368">
                  <c:v>1.8718338287147418E-2</c:v>
                </c:pt>
                <c:pt idx="369">
                  <c:v>7.4259027484891049E-2</c:v>
                </c:pt>
                <c:pt idx="370">
                  <c:v>6.4994382151697103E-2</c:v>
                </c:pt>
                <c:pt idx="371">
                  <c:v>1.0491456193008869E-2</c:v>
                </c:pt>
                <c:pt idx="372">
                  <c:v>0.2683040491325468</c:v>
                </c:pt>
                <c:pt idx="373">
                  <c:v>0.41505072944795279</c:v>
                </c:pt>
                <c:pt idx="374">
                  <c:v>0.56047691450983173</c:v>
                </c:pt>
                <c:pt idx="375">
                  <c:v>0.6921319375108933</c:v>
                </c:pt>
                <c:pt idx="376">
                  <c:v>0.74596202986574323</c:v>
                </c:pt>
                <c:pt idx="377">
                  <c:v>0.70681236158127914</c:v>
                </c:pt>
                <c:pt idx="378">
                  <c:v>0.65402205830334181</c:v>
                </c:pt>
                <c:pt idx="379">
                  <c:v>0.73653314305052564</c:v>
                </c:pt>
                <c:pt idx="380">
                  <c:v>0.73334198319021671</c:v>
                </c:pt>
                <c:pt idx="381">
                  <c:v>0.6796233484355505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2.0521078776587792E-2</c:v>
                </c:pt>
                <c:pt idx="388">
                  <c:v>2.4359527007078469E-2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-8.7860304084873581E-2</c:v>
                </c:pt>
                <c:pt idx="407">
                  <c:v>1.0704869170224496E-2</c:v>
                </c:pt>
                <c:pt idx="408">
                  <c:v>8.0281049638528765E-2</c:v>
                </c:pt>
                <c:pt idx="409">
                  <c:v>0.11029851799154805</c:v>
                </c:pt>
                <c:pt idx="410">
                  <c:v>0.14509367059122955</c:v>
                </c:pt>
                <c:pt idx="411">
                  <c:v>0.20070041242727465</c:v>
                </c:pt>
                <c:pt idx="412">
                  <c:v>#N/A</c:v>
                </c:pt>
                <c:pt idx="413">
                  <c:v>0.16445227371245166</c:v>
                </c:pt>
                <c:pt idx="414">
                  <c:v>0.18680085934076646</c:v>
                </c:pt>
                <c:pt idx="415">
                  <c:v>0.14519656056501173</c:v>
                </c:pt>
                <c:pt idx="416">
                  <c:v>0.17103644398580153</c:v>
                </c:pt>
                <c:pt idx="417">
                  <c:v>0.16972487699530267</c:v>
                </c:pt>
                <c:pt idx="418">
                  <c:v>0.19568152023345958</c:v>
                </c:pt>
                <c:pt idx="419">
                  <c:v>0.21841351605783271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F4-47D9-A1DF-9A23B0EF7B11}"/>
            </c:ext>
          </c:extLst>
        </c:ser>
        <c:ser>
          <c:idx val="1"/>
          <c:order val="1"/>
          <c:tx>
            <c:strRef>
              <c:f>US!$AF$4</c:f>
              <c:strCache>
                <c:ptCount val="1"/>
                <c:pt idx="0">
                  <c:v>SD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US!$AD$5:$AD$450</c:f>
              <c:numCache>
                <c:formatCode>m/d/yyyy</c:formatCode>
                <c:ptCount val="446"/>
                <c:pt idx="0">
                  <c:v>32963</c:v>
                </c:pt>
                <c:pt idx="1">
                  <c:v>32993</c:v>
                </c:pt>
                <c:pt idx="2">
                  <c:v>33024</c:v>
                </c:pt>
                <c:pt idx="3">
                  <c:v>33054</c:v>
                </c:pt>
                <c:pt idx="4">
                  <c:v>33085</c:v>
                </c:pt>
                <c:pt idx="5">
                  <c:v>33116</c:v>
                </c:pt>
                <c:pt idx="6">
                  <c:v>33146</c:v>
                </c:pt>
                <c:pt idx="7">
                  <c:v>33177</c:v>
                </c:pt>
                <c:pt idx="8">
                  <c:v>33207</c:v>
                </c:pt>
                <c:pt idx="9">
                  <c:v>33238</c:v>
                </c:pt>
                <c:pt idx="10">
                  <c:v>33269</c:v>
                </c:pt>
                <c:pt idx="11">
                  <c:v>33297</c:v>
                </c:pt>
                <c:pt idx="12">
                  <c:v>33328</c:v>
                </c:pt>
                <c:pt idx="13">
                  <c:v>33358</c:v>
                </c:pt>
                <c:pt idx="14">
                  <c:v>33389</c:v>
                </c:pt>
                <c:pt idx="15">
                  <c:v>33419</c:v>
                </c:pt>
                <c:pt idx="16">
                  <c:v>33450</c:v>
                </c:pt>
                <c:pt idx="17">
                  <c:v>33481</c:v>
                </c:pt>
                <c:pt idx="18">
                  <c:v>33511</c:v>
                </c:pt>
                <c:pt idx="19">
                  <c:v>33542</c:v>
                </c:pt>
                <c:pt idx="20">
                  <c:v>33572</c:v>
                </c:pt>
                <c:pt idx="21">
                  <c:v>33603</c:v>
                </c:pt>
                <c:pt idx="22">
                  <c:v>33634</c:v>
                </c:pt>
                <c:pt idx="23">
                  <c:v>33663</c:v>
                </c:pt>
                <c:pt idx="24">
                  <c:v>33694</c:v>
                </c:pt>
                <c:pt idx="25">
                  <c:v>33724</c:v>
                </c:pt>
                <c:pt idx="26">
                  <c:v>33755</c:v>
                </c:pt>
                <c:pt idx="27">
                  <c:v>33785</c:v>
                </c:pt>
                <c:pt idx="28">
                  <c:v>33816</c:v>
                </c:pt>
                <c:pt idx="29">
                  <c:v>33847</c:v>
                </c:pt>
                <c:pt idx="30">
                  <c:v>33877</c:v>
                </c:pt>
                <c:pt idx="31">
                  <c:v>33908</c:v>
                </c:pt>
                <c:pt idx="32">
                  <c:v>33938</c:v>
                </c:pt>
                <c:pt idx="33">
                  <c:v>33969</c:v>
                </c:pt>
                <c:pt idx="34">
                  <c:v>34000</c:v>
                </c:pt>
                <c:pt idx="35">
                  <c:v>34028</c:v>
                </c:pt>
                <c:pt idx="36">
                  <c:v>34059</c:v>
                </c:pt>
                <c:pt idx="37">
                  <c:v>34089</c:v>
                </c:pt>
                <c:pt idx="38">
                  <c:v>34120</c:v>
                </c:pt>
                <c:pt idx="39">
                  <c:v>34150</c:v>
                </c:pt>
                <c:pt idx="40">
                  <c:v>34181</c:v>
                </c:pt>
                <c:pt idx="41">
                  <c:v>34212</c:v>
                </c:pt>
                <c:pt idx="42">
                  <c:v>34242</c:v>
                </c:pt>
                <c:pt idx="43">
                  <c:v>34273</c:v>
                </c:pt>
                <c:pt idx="44">
                  <c:v>34303</c:v>
                </c:pt>
                <c:pt idx="45">
                  <c:v>34334</c:v>
                </c:pt>
                <c:pt idx="46">
                  <c:v>34365</c:v>
                </c:pt>
                <c:pt idx="47">
                  <c:v>34393</c:v>
                </c:pt>
                <c:pt idx="48">
                  <c:v>34424</c:v>
                </c:pt>
                <c:pt idx="49">
                  <c:v>34454</c:v>
                </c:pt>
                <c:pt idx="50">
                  <c:v>34485</c:v>
                </c:pt>
                <c:pt idx="51">
                  <c:v>34515</c:v>
                </c:pt>
                <c:pt idx="52">
                  <c:v>34546</c:v>
                </c:pt>
                <c:pt idx="53">
                  <c:v>34577</c:v>
                </c:pt>
                <c:pt idx="54">
                  <c:v>34607</c:v>
                </c:pt>
                <c:pt idx="55">
                  <c:v>34638</c:v>
                </c:pt>
                <c:pt idx="56">
                  <c:v>34668</c:v>
                </c:pt>
                <c:pt idx="57">
                  <c:v>34699</c:v>
                </c:pt>
                <c:pt idx="58">
                  <c:v>34730</c:v>
                </c:pt>
                <c:pt idx="59">
                  <c:v>34758</c:v>
                </c:pt>
                <c:pt idx="60">
                  <c:v>34789</c:v>
                </c:pt>
                <c:pt idx="61">
                  <c:v>34819</c:v>
                </c:pt>
                <c:pt idx="62">
                  <c:v>34850</c:v>
                </c:pt>
                <c:pt idx="63">
                  <c:v>34880</c:v>
                </c:pt>
                <c:pt idx="64">
                  <c:v>34911</c:v>
                </c:pt>
                <c:pt idx="65">
                  <c:v>34942</c:v>
                </c:pt>
                <c:pt idx="66">
                  <c:v>34972</c:v>
                </c:pt>
                <c:pt idx="67">
                  <c:v>35003</c:v>
                </c:pt>
                <c:pt idx="68">
                  <c:v>35033</c:v>
                </c:pt>
                <c:pt idx="69">
                  <c:v>35064</c:v>
                </c:pt>
                <c:pt idx="70">
                  <c:v>35095</c:v>
                </c:pt>
                <c:pt idx="71">
                  <c:v>35124</c:v>
                </c:pt>
                <c:pt idx="72">
                  <c:v>35155</c:v>
                </c:pt>
                <c:pt idx="73">
                  <c:v>35185</c:v>
                </c:pt>
                <c:pt idx="74">
                  <c:v>35216</c:v>
                </c:pt>
                <c:pt idx="75">
                  <c:v>35246</c:v>
                </c:pt>
                <c:pt idx="76">
                  <c:v>35277</c:v>
                </c:pt>
                <c:pt idx="77">
                  <c:v>35308</c:v>
                </c:pt>
                <c:pt idx="78">
                  <c:v>35338</c:v>
                </c:pt>
                <c:pt idx="79">
                  <c:v>35369</c:v>
                </c:pt>
                <c:pt idx="80">
                  <c:v>35399</c:v>
                </c:pt>
                <c:pt idx="81">
                  <c:v>35430</c:v>
                </c:pt>
                <c:pt idx="82">
                  <c:v>35461</c:v>
                </c:pt>
                <c:pt idx="83">
                  <c:v>35489</c:v>
                </c:pt>
                <c:pt idx="84">
                  <c:v>35520</c:v>
                </c:pt>
                <c:pt idx="85">
                  <c:v>35550</c:v>
                </c:pt>
                <c:pt idx="86">
                  <c:v>35581</c:v>
                </c:pt>
                <c:pt idx="87">
                  <c:v>35611</c:v>
                </c:pt>
                <c:pt idx="88">
                  <c:v>35642</c:v>
                </c:pt>
                <c:pt idx="89">
                  <c:v>35673</c:v>
                </c:pt>
                <c:pt idx="90">
                  <c:v>35703</c:v>
                </c:pt>
                <c:pt idx="91">
                  <c:v>35734</c:v>
                </c:pt>
                <c:pt idx="92">
                  <c:v>35764</c:v>
                </c:pt>
                <c:pt idx="93">
                  <c:v>35795</c:v>
                </c:pt>
                <c:pt idx="94">
                  <c:v>35826</c:v>
                </c:pt>
                <c:pt idx="95">
                  <c:v>35854</c:v>
                </c:pt>
                <c:pt idx="96">
                  <c:v>35885</c:v>
                </c:pt>
                <c:pt idx="97">
                  <c:v>35915</c:v>
                </c:pt>
                <c:pt idx="98">
                  <c:v>35946</c:v>
                </c:pt>
                <c:pt idx="99">
                  <c:v>35976</c:v>
                </c:pt>
                <c:pt idx="100">
                  <c:v>36007</c:v>
                </c:pt>
                <c:pt idx="101">
                  <c:v>36038</c:v>
                </c:pt>
                <c:pt idx="102">
                  <c:v>36068</c:v>
                </c:pt>
                <c:pt idx="103">
                  <c:v>36099</c:v>
                </c:pt>
                <c:pt idx="104">
                  <c:v>36129</c:v>
                </c:pt>
                <c:pt idx="105">
                  <c:v>36160</c:v>
                </c:pt>
                <c:pt idx="106">
                  <c:v>36191</c:v>
                </c:pt>
                <c:pt idx="107">
                  <c:v>36219</c:v>
                </c:pt>
                <c:pt idx="108">
                  <c:v>36250</c:v>
                </c:pt>
                <c:pt idx="109">
                  <c:v>36280</c:v>
                </c:pt>
                <c:pt idx="110">
                  <c:v>36311</c:v>
                </c:pt>
                <c:pt idx="111">
                  <c:v>36341</c:v>
                </c:pt>
                <c:pt idx="112">
                  <c:v>36372</c:v>
                </c:pt>
                <c:pt idx="113">
                  <c:v>36403</c:v>
                </c:pt>
                <c:pt idx="114">
                  <c:v>36433</c:v>
                </c:pt>
                <c:pt idx="115">
                  <c:v>36464</c:v>
                </c:pt>
                <c:pt idx="116">
                  <c:v>36494</c:v>
                </c:pt>
                <c:pt idx="117">
                  <c:v>36525</c:v>
                </c:pt>
                <c:pt idx="118">
                  <c:v>36556</c:v>
                </c:pt>
                <c:pt idx="119">
                  <c:v>36585</c:v>
                </c:pt>
                <c:pt idx="120">
                  <c:v>36616</c:v>
                </c:pt>
                <c:pt idx="121">
                  <c:v>36646</c:v>
                </c:pt>
                <c:pt idx="122">
                  <c:v>36677</c:v>
                </c:pt>
                <c:pt idx="123">
                  <c:v>36707</c:v>
                </c:pt>
                <c:pt idx="124">
                  <c:v>36738</c:v>
                </c:pt>
                <c:pt idx="125">
                  <c:v>36769</c:v>
                </c:pt>
                <c:pt idx="126">
                  <c:v>36799</c:v>
                </c:pt>
                <c:pt idx="127">
                  <c:v>36830</c:v>
                </c:pt>
                <c:pt idx="128">
                  <c:v>36860</c:v>
                </c:pt>
                <c:pt idx="129">
                  <c:v>36891</c:v>
                </c:pt>
                <c:pt idx="130">
                  <c:v>36922</c:v>
                </c:pt>
                <c:pt idx="131">
                  <c:v>36950</c:v>
                </c:pt>
                <c:pt idx="132">
                  <c:v>36981</c:v>
                </c:pt>
                <c:pt idx="133">
                  <c:v>37011</c:v>
                </c:pt>
                <c:pt idx="134">
                  <c:v>37042</c:v>
                </c:pt>
                <c:pt idx="135">
                  <c:v>37072</c:v>
                </c:pt>
                <c:pt idx="136">
                  <c:v>37103</c:v>
                </c:pt>
                <c:pt idx="137">
                  <c:v>37134</c:v>
                </c:pt>
                <c:pt idx="138">
                  <c:v>37164</c:v>
                </c:pt>
                <c:pt idx="139">
                  <c:v>37195</c:v>
                </c:pt>
                <c:pt idx="140">
                  <c:v>37225</c:v>
                </c:pt>
                <c:pt idx="141">
                  <c:v>37256</c:v>
                </c:pt>
                <c:pt idx="142">
                  <c:v>37287</c:v>
                </c:pt>
                <c:pt idx="143">
                  <c:v>37315</c:v>
                </c:pt>
                <c:pt idx="144">
                  <c:v>37346</c:v>
                </c:pt>
                <c:pt idx="145">
                  <c:v>37376</c:v>
                </c:pt>
                <c:pt idx="146">
                  <c:v>37407</c:v>
                </c:pt>
                <c:pt idx="147">
                  <c:v>37437</c:v>
                </c:pt>
                <c:pt idx="148">
                  <c:v>37468</c:v>
                </c:pt>
                <c:pt idx="149">
                  <c:v>37499</c:v>
                </c:pt>
                <c:pt idx="150">
                  <c:v>37529</c:v>
                </c:pt>
                <c:pt idx="151">
                  <c:v>37560</c:v>
                </c:pt>
                <c:pt idx="152">
                  <c:v>37590</c:v>
                </c:pt>
                <c:pt idx="153">
                  <c:v>37621</c:v>
                </c:pt>
                <c:pt idx="154">
                  <c:v>37652</c:v>
                </c:pt>
                <c:pt idx="155">
                  <c:v>37680</c:v>
                </c:pt>
                <c:pt idx="156">
                  <c:v>37711</c:v>
                </c:pt>
                <c:pt idx="157">
                  <c:v>37741</c:v>
                </c:pt>
                <c:pt idx="158">
                  <c:v>37772</c:v>
                </c:pt>
                <c:pt idx="159">
                  <c:v>37802</c:v>
                </c:pt>
                <c:pt idx="160">
                  <c:v>37833</c:v>
                </c:pt>
                <c:pt idx="161">
                  <c:v>37864</c:v>
                </c:pt>
                <c:pt idx="162">
                  <c:v>37894</c:v>
                </c:pt>
                <c:pt idx="163">
                  <c:v>37925</c:v>
                </c:pt>
                <c:pt idx="164">
                  <c:v>37955</c:v>
                </c:pt>
                <c:pt idx="165">
                  <c:v>37986</c:v>
                </c:pt>
                <c:pt idx="166">
                  <c:v>38017</c:v>
                </c:pt>
                <c:pt idx="167">
                  <c:v>38046</c:v>
                </c:pt>
                <c:pt idx="168">
                  <c:v>38077</c:v>
                </c:pt>
                <c:pt idx="169">
                  <c:v>38107</c:v>
                </c:pt>
                <c:pt idx="170">
                  <c:v>38138</c:v>
                </c:pt>
                <c:pt idx="171">
                  <c:v>38168</c:v>
                </c:pt>
                <c:pt idx="172">
                  <c:v>38199</c:v>
                </c:pt>
                <c:pt idx="173">
                  <c:v>38230</c:v>
                </c:pt>
                <c:pt idx="174">
                  <c:v>38260</c:v>
                </c:pt>
                <c:pt idx="175">
                  <c:v>38291</c:v>
                </c:pt>
                <c:pt idx="176">
                  <c:v>38321</c:v>
                </c:pt>
                <c:pt idx="177">
                  <c:v>38352</c:v>
                </c:pt>
                <c:pt idx="178">
                  <c:v>38383</c:v>
                </c:pt>
                <c:pt idx="179">
                  <c:v>38411</c:v>
                </c:pt>
                <c:pt idx="180">
                  <c:v>38442</c:v>
                </c:pt>
                <c:pt idx="181">
                  <c:v>38472</c:v>
                </c:pt>
                <c:pt idx="182">
                  <c:v>38503</c:v>
                </c:pt>
                <c:pt idx="183">
                  <c:v>38533</c:v>
                </c:pt>
                <c:pt idx="184">
                  <c:v>38564</c:v>
                </c:pt>
                <c:pt idx="185">
                  <c:v>38595</c:v>
                </c:pt>
                <c:pt idx="186">
                  <c:v>38625</c:v>
                </c:pt>
                <c:pt idx="187">
                  <c:v>38656</c:v>
                </c:pt>
                <c:pt idx="188">
                  <c:v>38686</c:v>
                </c:pt>
                <c:pt idx="189">
                  <c:v>38717</c:v>
                </c:pt>
                <c:pt idx="190">
                  <c:v>38748</c:v>
                </c:pt>
                <c:pt idx="191">
                  <c:v>38776</c:v>
                </c:pt>
                <c:pt idx="192">
                  <c:v>38807</c:v>
                </c:pt>
                <c:pt idx="193">
                  <c:v>38837</c:v>
                </c:pt>
                <c:pt idx="194">
                  <c:v>38868</c:v>
                </c:pt>
                <c:pt idx="195">
                  <c:v>38898</c:v>
                </c:pt>
                <c:pt idx="196">
                  <c:v>38929</c:v>
                </c:pt>
                <c:pt idx="197">
                  <c:v>38960</c:v>
                </c:pt>
                <c:pt idx="198">
                  <c:v>38990</c:v>
                </c:pt>
                <c:pt idx="199">
                  <c:v>39021</c:v>
                </c:pt>
                <c:pt idx="200">
                  <c:v>39051</c:v>
                </c:pt>
                <c:pt idx="201">
                  <c:v>39082</c:v>
                </c:pt>
                <c:pt idx="202">
                  <c:v>39113</c:v>
                </c:pt>
                <c:pt idx="203">
                  <c:v>39141</c:v>
                </c:pt>
                <c:pt idx="204">
                  <c:v>39172</c:v>
                </c:pt>
                <c:pt idx="205">
                  <c:v>39202</c:v>
                </c:pt>
                <c:pt idx="206">
                  <c:v>39233</c:v>
                </c:pt>
                <c:pt idx="207">
                  <c:v>39263</c:v>
                </c:pt>
                <c:pt idx="208">
                  <c:v>39294</c:v>
                </c:pt>
                <c:pt idx="209">
                  <c:v>39325</c:v>
                </c:pt>
                <c:pt idx="210">
                  <c:v>39355</c:v>
                </c:pt>
                <c:pt idx="211">
                  <c:v>39386</c:v>
                </c:pt>
                <c:pt idx="212">
                  <c:v>39416</c:v>
                </c:pt>
                <c:pt idx="213">
                  <c:v>39447</c:v>
                </c:pt>
                <c:pt idx="214">
                  <c:v>39478</c:v>
                </c:pt>
                <c:pt idx="215">
                  <c:v>39507</c:v>
                </c:pt>
                <c:pt idx="216">
                  <c:v>39538</c:v>
                </c:pt>
                <c:pt idx="217">
                  <c:v>39568</c:v>
                </c:pt>
                <c:pt idx="218">
                  <c:v>39599</c:v>
                </c:pt>
                <c:pt idx="219">
                  <c:v>39629</c:v>
                </c:pt>
                <c:pt idx="220">
                  <c:v>39660</c:v>
                </c:pt>
                <c:pt idx="221">
                  <c:v>39691</c:v>
                </c:pt>
                <c:pt idx="222">
                  <c:v>39721</c:v>
                </c:pt>
                <c:pt idx="223">
                  <c:v>39752</c:v>
                </c:pt>
                <c:pt idx="224">
                  <c:v>39782</c:v>
                </c:pt>
                <c:pt idx="225">
                  <c:v>39813</c:v>
                </c:pt>
                <c:pt idx="226">
                  <c:v>39844</c:v>
                </c:pt>
                <c:pt idx="227">
                  <c:v>39872</c:v>
                </c:pt>
                <c:pt idx="228">
                  <c:v>39903</c:v>
                </c:pt>
                <c:pt idx="229">
                  <c:v>39933</c:v>
                </c:pt>
                <c:pt idx="230">
                  <c:v>39964</c:v>
                </c:pt>
                <c:pt idx="231">
                  <c:v>39994</c:v>
                </c:pt>
                <c:pt idx="232">
                  <c:v>40025</c:v>
                </c:pt>
                <c:pt idx="233">
                  <c:v>40056</c:v>
                </c:pt>
                <c:pt idx="234">
                  <c:v>40086</c:v>
                </c:pt>
                <c:pt idx="235">
                  <c:v>40117</c:v>
                </c:pt>
                <c:pt idx="236">
                  <c:v>40147</c:v>
                </c:pt>
                <c:pt idx="237">
                  <c:v>40178</c:v>
                </c:pt>
                <c:pt idx="238">
                  <c:v>40209</c:v>
                </c:pt>
                <c:pt idx="239">
                  <c:v>40237</c:v>
                </c:pt>
                <c:pt idx="240">
                  <c:v>40268</c:v>
                </c:pt>
                <c:pt idx="241">
                  <c:v>40298</c:v>
                </c:pt>
                <c:pt idx="242">
                  <c:v>40329</c:v>
                </c:pt>
                <c:pt idx="243">
                  <c:v>40359</c:v>
                </c:pt>
                <c:pt idx="244">
                  <c:v>40390</c:v>
                </c:pt>
                <c:pt idx="245">
                  <c:v>40421</c:v>
                </c:pt>
                <c:pt idx="246">
                  <c:v>40451</c:v>
                </c:pt>
                <c:pt idx="247">
                  <c:v>40482</c:v>
                </c:pt>
                <c:pt idx="248">
                  <c:v>40512</c:v>
                </c:pt>
                <c:pt idx="249">
                  <c:v>40543</c:v>
                </c:pt>
                <c:pt idx="250">
                  <c:v>40574</c:v>
                </c:pt>
                <c:pt idx="251">
                  <c:v>40602</c:v>
                </c:pt>
                <c:pt idx="252">
                  <c:v>40633</c:v>
                </c:pt>
                <c:pt idx="253">
                  <c:v>40663</c:v>
                </c:pt>
                <c:pt idx="254">
                  <c:v>40694</c:v>
                </c:pt>
                <c:pt idx="255">
                  <c:v>40724</c:v>
                </c:pt>
                <c:pt idx="256">
                  <c:v>40755</c:v>
                </c:pt>
                <c:pt idx="257">
                  <c:v>40786</c:v>
                </c:pt>
                <c:pt idx="258">
                  <c:v>40816</c:v>
                </c:pt>
                <c:pt idx="259">
                  <c:v>40847</c:v>
                </c:pt>
                <c:pt idx="260">
                  <c:v>40877</c:v>
                </c:pt>
                <c:pt idx="261">
                  <c:v>40908</c:v>
                </c:pt>
                <c:pt idx="262">
                  <c:v>40939</c:v>
                </c:pt>
                <c:pt idx="263">
                  <c:v>40968</c:v>
                </c:pt>
                <c:pt idx="264">
                  <c:v>40999</c:v>
                </c:pt>
                <c:pt idx="265">
                  <c:v>41029</c:v>
                </c:pt>
                <c:pt idx="266">
                  <c:v>41060</c:v>
                </c:pt>
                <c:pt idx="267">
                  <c:v>41090</c:v>
                </c:pt>
                <c:pt idx="268">
                  <c:v>41121</c:v>
                </c:pt>
                <c:pt idx="269">
                  <c:v>41152</c:v>
                </c:pt>
                <c:pt idx="270">
                  <c:v>41182</c:v>
                </c:pt>
                <c:pt idx="271">
                  <c:v>41213</c:v>
                </c:pt>
                <c:pt idx="272">
                  <c:v>41243</c:v>
                </c:pt>
                <c:pt idx="273">
                  <c:v>41274</c:v>
                </c:pt>
                <c:pt idx="274">
                  <c:v>41305</c:v>
                </c:pt>
                <c:pt idx="275">
                  <c:v>41333</c:v>
                </c:pt>
                <c:pt idx="276">
                  <c:v>41364</c:v>
                </c:pt>
                <c:pt idx="277">
                  <c:v>41394</c:v>
                </c:pt>
                <c:pt idx="278">
                  <c:v>41425</c:v>
                </c:pt>
                <c:pt idx="279">
                  <c:v>41455</c:v>
                </c:pt>
                <c:pt idx="280">
                  <c:v>41486</c:v>
                </c:pt>
                <c:pt idx="281">
                  <c:v>41517</c:v>
                </c:pt>
                <c:pt idx="282">
                  <c:v>41547</c:v>
                </c:pt>
                <c:pt idx="283">
                  <c:v>41578</c:v>
                </c:pt>
                <c:pt idx="284">
                  <c:v>41608</c:v>
                </c:pt>
                <c:pt idx="285">
                  <c:v>41639</c:v>
                </c:pt>
                <c:pt idx="286">
                  <c:v>41670</c:v>
                </c:pt>
                <c:pt idx="287">
                  <c:v>41698</c:v>
                </c:pt>
                <c:pt idx="288">
                  <c:v>41729</c:v>
                </c:pt>
                <c:pt idx="289">
                  <c:v>41759</c:v>
                </c:pt>
                <c:pt idx="290">
                  <c:v>41790</c:v>
                </c:pt>
                <c:pt idx="291">
                  <c:v>41820</c:v>
                </c:pt>
                <c:pt idx="292">
                  <c:v>41851</c:v>
                </c:pt>
                <c:pt idx="293">
                  <c:v>41882</c:v>
                </c:pt>
                <c:pt idx="294">
                  <c:v>41912</c:v>
                </c:pt>
                <c:pt idx="295">
                  <c:v>41943</c:v>
                </c:pt>
                <c:pt idx="296">
                  <c:v>41973</c:v>
                </c:pt>
                <c:pt idx="297">
                  <c:v>42004</c:v>
                </c:pt>
                <c:pt idx="298">
                  <c:v>42035</c:v>
                </c:pt>
                <c:pt idx="299">
                  <c:v>42063</c:v>
                </c:pt>
                <c:pt idx="300">
                  <c:v>42094</c:v>
                </c:pt>
                <c:pt idx="301">
                  <c:v>42124</c:v>
                </c:pt>
                <c:pt idx="302">
                  <c:v>42155</c:v>
                </c:pt>
                <c:pt idx="303">
                  <c:v>42185</c:v>
                </c:pt>
                <c:pt idx="304">
                  <c:v>42216</c:v>
                </c:pt>
                <c:pt idx="305">
                  <c:v>42247</c:v>
                </c:pt>
                <c:pt idx="306">
                  <c:v>42277</c:v>
                </c:pt>
                <c:pt idx="307">
                  <c:v>42308</c:v>
                </c:pt>
                <c:pt idx="308">
                  <c:v>42338</c:v>
                </c:pt>
                <c:pt idx="309">
                  <c:v>42369</c:v>
                </c:pt>
                <c:pt idx="310">
                  <c:v>42400</c:v>
                </c:pt>
                <c:pt idx="311">
                  <c:v>42429</c:v>
                </c:pt>
                <c:pt idx="312">
                  <c:v>42460</c:v>
                </c:pt>
                <c:pt idx="313">
                  <c:v>42490</c:v>
                </c:pt>
                <c:pt idx="314">
                  <c:v>42521</c:v>
                </c:pt>
                <c:pt idx="315">
                  <c:v>42551</c:v>
                </c:pt>
                <c:pt idx="316">
                  <c:v>42582</c:v>
                </c:pt>
                <c:pt idx="317">
                  <c:v>42613</c:v>
                </c:pt>
                <c:pt idx="318">
                  <c:v>42643</c:v>
                </c:pt>
                <c:pt idx="319">
                  <c:v>42674</c:v>
                </c:pt>
                <c:pt idx="320">
                  <c:v>42704</c:v>
                </c:pt>
                <c:pt idx="321">
                  <c:v>42735</c:v>
                </c:pt>
                <c:pt idx="322">
                  <c:v>42766</c:v>
                </c:pt>
                <c:pt idx="323">
                  <c:v>42794</c:v>
                </c:pt>
                <c:pt idx="324">
                  <c:v>42825</c:v>
                </c:pt>
                <c:pt idx="325">
                  <c:v>42855</c:v>
                </c:pt>
                <c:pt idx="326">
                  <c:v>42886</c:v>
                </c:pt>
                <c:pt idx="327">
                  <c:v>42916</c:v>
                </c:pt>
                <c:pt idx="328">
                  <c:v>42947</c:v>
                </c:pt>
                <c:pt idx="329">
                  <c:v>42978</c:v>
                </c:pt>
                <c:pt idx="330">
                  <c:v>43008</c:v>
                </c:pt>
                <c:pt idx="331">
                  <c:v>43039</c:v>
                </c:pt>
                <c:pt idx="332">
                  <c:v>43069</c:v>
                </c:pt>
                <c:pt idx="333">
                  <c:v>43100</c:v>
                </c:pt>
                <c:pt idx="334">
                  <c:v>43131</c:v>
                </c:pt>
                <c:pt idx="335">
                  <c:v>43159</c:v>
                </c:pt>
                <c:pt idx="336">
                  <c:v>43190</c:v>
                </c:pt>
                <c:pt idx="337">
                  <c:v>43220</c:v>
                </c:pt>
                <c:pt idx="338">
                  <c:v>43251</c:v>
                </c:pt>
                <c:pt idx="339">
                  <c:v>43281</c:v>
                </c:pt>
                <c:pt idx="340">
                  <c:v>43312</c:v>
                </c:pt>
                <c:pt idx="341">
                  <c:v>43343</c:v>
                </c:pt>
                <c:pt idx="342">
                  <c:v>43373</c:v>
                </c:pt>
                <c:pt idx="343">
                  <c:v>43404</c:v>
                </c:pt>
                <c:pt idx="344">
                  <c:v>43434</c:v>
                </c:pt>
                <c:pt idx="345">
                  <c:v>43465</c:v>
                </c:pt>
                <c:pt idx="346">
                  <c:v>43496</c:v>
                </c:pt>
                <c:pt idx="347">
                  <c:v>43524</c:v>
                </c:pt>
                <c:pt idx="348">
                  <c:v>43555</c:v>
                </c:pt>
                <c:pt idx="349">
                  <c:v>43585</c:v>
                </c:pt>
                <c:pt idx="350">
                  <c:v>43616</c:v>
                </c:pt>
                <c:pt idx="351">
                  <c:v>43646</c:v>
                </c:pt>
                <c:pt idx="352">
                  <c:v>43677</c:v>
                </c:pt>
                <c:pt idx="353">
                  <c:v>43708</c:v>
                </c:pt>
                <c:pt idx="354">
                  <c:v>43738</c:v>
                </c:pt>
                <c:pt idx="355">
                  <c:v>43769</c:v>
                </c:pt>
                <c:pt idx="356">
                  <c:v>43799</c:v>
                </c:pt>
                <c:pt idx="357">
                  <c:v>43830</c:v>
                </c:pt>
                <c:pt idx="358">
                  <c:v>43861</c:v>
                </c:pt>
                <c:pt idx="359">
                  <c:v>43890</c:v>
                </c:pt>
                <c:pt idx="360">
                  <c:v>43921</c:v>
                </c:pt>
                <c:pt idx="361">
                  <c:v>43951</c:v>
                </c:pt>
                <c:pt idx="362">
                  <c:v>43982</c:v>
                </c:pt>
                <c:pt idx="363">
                  <c:v>44012</c:v>
                </c:pt>
                <c:pt idx="364">
                  <c:v>44043</c:v>
                </c:pt>
                <c:pt idx="365">
                  <c:v>44074</c:v>
                </c:pt>
                <c:pt idx="366">
                  <c:v>44104</c:v>
                </c:pt>
                <c:pt idx="367">
                  <c:v>44135</c:v>
                </c:pt>
                <c:pt idx="368">
                  <c:v>44165</c:v>
                </c:pt>
                <c:pt idx="369">
                  <c:v>44196</c:v>
                </c:pt>
                <c:pt idx="370">
                  <c:v>44227</c:v>
                </c:pt>
                <c:pt idx="371">
                  <c:v>44255</c:v>
                </c:pt>
                <c:pt idx="372">
                  <c:v>44286</c:v>
                </c:pt>
                <c:pt idx="373">
                  <c:v>44316</c:v>
                </c:pt>
                <c:pt idx="374">
                  <c:v>44347</c:v>
                </c:pt>
                <c:pt idx="375">
                  <c:v>44377</c:v>
                </c:pt>
                <c:pt idx="376">
                  <c:v>44408</c:v>
                </c:pt>
                <c:pt idx="377">
                  <c:v>44439</c:v>
                </c:pt>
                <c:pt idx="378">
                  <c:v>44469</c:v>
                </c:pt>
                <c:pt idx="379">
                  <c:v>44500</c:v>
                </c:pt>
                <c:pt idx="380">
                  <c:v>44530</c:v>
                </c:pt>
                <c:pt idx="381">
                  <c:v>44561</c:v>
                </c:pt>
                <c:pt idx="382">
                  <c:v>44592</c:v>
                </c:pt>
                <c:pt idx="383">
                  <c:v>44620</c:v>
                </c:pt>
                <c:pt idx="384">
                  <c:v>44651</c:v>
                </c:pt>
                <c:pt idx="385">
                  <c:v>44681</c:v>
                </c:pt>
                <c:pt idx="386">
                  <c:v>44712</c:v>
                </c:pt>
                <c:pt idx="387">
                  <c:v>44742</c:v>
                </c:pt>
                <c:pt idx="388">
                  <c:v>44773</c:v>
                </c:pt>
                <c:pt idx="389">
                  <c:v>44804</c:v>
                </c:pt>
                <c:pt idx="390">
                  <c:v>44834</c:v>
                </c:pt>
                <c:pt idx="391">
                  <c:v>44865</c:v>
                </c:pt>
                <c:pt idx="392">
                  <c:v>44895</c:v>
                </c:pt>
                <c:pt idx="393">
                  <c:v>44926</c:v>
                </c:pt>
                <c:pt idx="394">
                  <c:v>44957</c:v>
                </c:pt>
                <c:pt idx="395">
                  <c:v>44985</c:v>
                </c:pt>
                <c:pt idx="396">
                  <c:v>45016</c:v>
                </c:pt>
                <c:pt idx="397">
                  <c:v>45046</c:v>
                </c:pt>
                <c:pt idx="398">
                  <c:v>45077</c:v>
                </c:pt>
                <c:pt idx="399">
                  <c:v>45107</c:v>
                </c:pt>
                <c:pt idx="400">
                  <c:v>45138</c:v>
                </c:pt>
                <c:pt idx="401">
                  <c:v>45169</c:v>
                </c:pt>
                <c:pt idx="402">
                  <c:v>45199</c:v>
                </c:pt>
                <c:pt idx="403">
                  <c:v>45230</c:v>
                </c:pt>
                <c:pt idx="404">
                  <c:v>45260</c:v>
                </c:pt>
                <c:pt idx="405">
                  <c:v>45291</c:v>
                </c:pt>
                <c:pt idx="406">
                  <c:v>45322</c:v>
                </c:pt>
                <c:pt idx="407">
                  <c:v>45351</c:v>
                </c:pt>
                <c:pt idx="408">
                  <c:v>45382</c:v>
                </c:pt>
                <c:pt idx="409">
                  <c:v>45412</c:v>
                </c:pt>
                <c:pt idx="410">
                  <c:v>45443</c:v>
                </c:pt>
                <c:pt idx="411">
                  <c:v>45473</c:v>
                </c:pt>
                <c:pt idx="412">
                  <c:v>45504</c:v>
                </c:pt>
                <c:pt idx="413">
                  <c:v>45534</c:v>
                </c:pt>
                <c:pt idx="414">
                  <c:v>45565</c:v>
                </c:pt>
                <c:pt idx="415">
                  <c:v>45596</c:v>
                </c:pt>
                <c:pt idx="416">
                  <c:v>45626</c:v>
                </c:pt>
                <c:pt idx="417">
                  <c:v>45657</c:v>
                </c:pt>
                <c:pt idx="418">
                  <c:v>45688</c:v>
                </c:pt>
                <c:pt idx="419">
                  <c:v>45716</c:v>
                </c:pt>
              </c:numCache>
            </c:numRef>
          </c:cat>
          <c:val>
            <c:numRef>
              <c:f>US!$AF$5:$AF$450</c:f>
              <c:numCache>
                <c:formatCode>General</c:formatCode>
                <c:ptCount val="446"/>
                <c:pt idx="0">
                  <c:v>0.36138903659090915</c:v>
                </c:pt>
                <c:pt idx="1">
                  <c:v>0.27820323911704542</c:v>
                </c:pt>
                <c:pt idx="2">
                  <c:v>0.27813788005959661</c:v>
                </c:pt>
                <c:pt idx="3">
                  <c:v>0.28111081401533883</c:v>
                </c:pt>
                <c:pt idx="4">
                  <c:v>0.23192607224824002</c:v>
                </c:pt>
                <c:pt idx="5">
                  <c:v>7.8574534157491591E-2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0.56967786606158299</c:v>
                </c:pt>
                <c:pt idx="29">
                  <c:v>0.5011311940067591</c:v>
                </c:pt>
                <c:pt idx="30">
                  <c:v>0.46053873121483274</c:v>
                </c:pt>
                <c:pt idx="31">
                  <c:v>0.42670223463678725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0.73296182782100794</c:v>
                </c:pt>
                <c:pt idx="47">
                  <c:v>0.72098052871020235</c:v>
                </c:pt>
                <c:pt idx="48">
                  <c:v>0.75605392893688572</c:v>
                </c:pt>
                <c:pt idx="49">
                  <c:v>0.79250193850805506</c:v>
                </c:pt>
                <c:pt idx="50">
                  <c:v>0.78924353807871384</c:v>
                </c:pt>
                <c:pt idx="51">
                  <c:v>0.74452653495355314</c:v>
                </c:pt>
                <c:pt idx="52">
                  <c:v>0.72625635385542686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0.76556492366651863</c:v>
                </c:pt>
                <c:pt idx="59">
                  <c:v>0.68642574383065169</c:v>
                </c:pt>
                <c:pt idx="60">
                  <c:v>0.60862751433891593</c:v>
                </c:pt>
                <c:pt idx="61">
                  <c:v>0.54985335934323398</c:v>
                </c:pt>
                <c:pt idx="62">
                  <c:v>0.53598822715768502</c:v>
                </c:pt>
                <c:pt idx="63">
                  <c:v>0.49255576878138113</c:v>
                </c:pt>
                <c:pt idx="64">
                  <c:v>0.4732851192241419</c:v>
                </c:pt>
                <c:pt idx="65">
                  <c:v>0.53275955888162507</c:v>
                </c:pt>
                <c:pt idx="66">
                  <c:v>0.51858962710036205</c:v>
                </c:pt>
                <c:pt idx="67">
                  <c:v>0.47571610814948606</c:v>
                </c:pt>
                <c:pt idx="68">
                  <c:v>0.45968425732688256</c:v>
                </c:pt>
                <c:pt idx="69">
                  <c:v>0.3862913985341756</c:v>
                </c:pt>
                <c:pt idx="70">
                  <c:v>0.33985461563375369</c:v>
                </c:pt>
                <c:pt idx="71">
                  <c:v>0.40834802381449753</c:v>
                </c:pt>
                <c:pt idx="72">
                  <c:v>0.4076485881637294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0.72128996928917855</c:v>
                </c:pt>
                <c:pt idx="85">
                  <c:v>0.67793361463267166</c:v>
                </c:pt>
                <c:pt idx="86">
                  <c:v>0.64377401309872395</c:v>
                </c:pt>
                <c:pt idx="87">
                  <c:v>0.69255677277467864</c:v>
                </c:pt>
                <c:pt idx="88">
                  <c:v>0.7478331834429861</c:v>
                </c:pt>
                <c:pt idx="89">
                  <c:v>0.76633993002537149</c:v>
                </c:pt>
                <c:pt idx="90">
                  <c:v>0.77804366928632229</c:v>
                </c:pt>
                <c:pt idx="91">
                  <c:v>0.70641507626699329</c:v>
                </c:pt>
                <c:pt idx="92">
                  <c:v>0.66232704430362732</c:v>
                </c:pt>
                <c:pt idx="93">
                  <c:v>0.66546413031345719</c:v>
                </c:pt>
                <c:pt idx="94">
                  <c:v>0.65194908226503101</c:v>
                </c:pt>
                <c:pt idx="95">
                  <c:v>0.69155979677404256</c:v>
                </c:pt>
                <c:pt idx="96">
                  <c:v>0.64851907696616773</c:v>
                </c:pt>
                <c:pt idx="97">
                  <c:v>0.62095433434899172</c:v>
                </c:pt>
                <c:pt idx="98">
                  <c:v>0.57693194724134722</c:v>
                </c:pt>
                <c:pt idx="99">
                  <c:v>0.45711219750483595</c:v>
                </c:pt>
                <c:pt idx="100">
                  <c:v>0.38840248871595773</c:v>
                </c:pt>
                <c:pt idx="101">
                  <c:v>0.30555769420409695</c:v>
                </c:pt>
                <c:pt idx="102">
                  <c:v>0.19736051090138387</c:v>
                </c:pt>
                <c:pt idx="103">
                  <c:v>0.14613827393085316</c:v>
                </c:pt>
                <c:pt idx="104">
                  <c:v>0.11778331267874183</c:v>
                </c:pt>
                <c:pt idx="105">
                  <c:v>#N/A</c:v>
                </c:pt>
                <c:pt idx="106">
                  <c:v>#N/A</c:v>
                </c:pt>
                <c:pt idx="107">
                  <c:v>0.23503201322857981</c:v>
                </c:pt>
                <c:pt idx="108">
                  <c:v>0.20959825968570728</c:v>
                </c:pt>
                <c:pt idx="109">
                  <c:v>0.20633457294800794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0.29357121222035049</c:v>
                </c:pt>
                <c:pt idx="123">
                  <c:v>0.23623388014664148</c:v>
                </c:pt>
                <c:pt idx="124">
                  <c:v>0.20518882544121228</c:v>
                </c:pt>
                <c:pt idx="125">
                  <c:v>0.20552150905410316</c:v>
                </c:pt>
                <c:pt idx="126">
                  <c:v>0.19172628874641101</c:v>
                </c:pt>
                <c:pt idx="127">
                  <c:v>0.14232659940822934</c:v>
                </c:pt>
                <c:pt idx="128">
                  <c:v>5.5843942895065779E-2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0.66935310826994343</c:v>
                </c:pt>
                <c:pt idx="180">
                  <c:v>0.60874106514028226</c:v>
                </c:pt>
                <c:pt idx="181">
                  <c:v>0.56849267293893813</c:v>
                </c:pt>
                <c:pt idx="182">
                  <c:v>0.54626161319679534</c:v>
                </c:pt>
                <c:pt idx="183">
                  <c:v>0.54461868548116321</c:v>
                </c:pt>
                <c:pt idx="184">
                  <c:v>0.5596574348917589</c:v>
                </c:pt>
                <c:pt idx="185">
                  <c:v>0.50598008708397124</c:v>
                </c:pt>
                <c:pt idx="186">
                  <c:v>0.37618611362867582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0.54679954151818988</c:v>
                </c:pt>
                <c:pt idx="194">
                  <c:v>0.50895383559459662</c:v>
                </c:pt>
                <c:pt idx="195">
                  <c:v>0.46281132017740922</c:v>
                </c:pt>
                <c:pt idx="196">
                  <c:v>0.41474220915412041</c:v>
                </c:pt>
                <c:pt idx="197">
                  <c:v>0.41941719886337786</c:v>
                </c:pt>
                <c:pt idx="198">
                  <c:v>0.37295300923276969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0.48742431266784525</c:v>
                </c:pt>
                <c:pt idx="204">
                  <c:v>0.44306363673932764</c:v>
                </c:pt>
                <c:pt idx="205">
                  <c:v>0.41507990117771015</c:v>
                </c:pt>
                <c:pt idx="206">
                  <c:v>0.3776477054784263</c:v>
                </c:pt>
                <c:pt idx="207">
                  <c:v>0.31241404873525669</c:v>
                </c:pt>
                <c:pt idx="208">
                  <c:v>0.19864892666389034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0.45449515192632123</c:v>
                </c:pt>
                <c:pt idx="298">
                  <c:v>0.36718758680913788</c:v>
                </c:pt>
                <c:pt idx="299">
                  <c:v>0.31514022729580632</c:v>
                </c:pt>
                <c:pt idx="300">
                  <c:v>0.28478022660741059</c:v>
                </c:pt>
                <c:pt idx="301">
                  <c:v>0.26687723929702584</c:v>
                </c:pt>
                <c:pt idx="302">
                  <c:v>0.2312440615519189</c:v>
                </c:pt>
                <c:pt idx="303">
                  <c:v>0.18806263173689475</c:v>
                </c:pt>
                <c:pt idx="304">
                  <c:v>0.21807771896460704</c:v>
                </c:pt>
                <c:pt idx="305">
                  <c:v>0.12693209276758305</c:v>
                </c:pt>
                <c:pt idx="306">
                  <c:v>8.0282825874276417E-2</c:v>
                </c:pt>
                <c:pt idx="307">
                  <c:v>4.8554188227380363E-2</c:v>
                </c:pt>
                <c:pt idx="308">
                  <c:v>1.5934187537122422E-2</c:v>
                </c:pt>
                <c:pt idx="309">
                  <c:v>7.1140447708607016E-3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0.53253586749308746</c:v>
                </c:pt>
                <c:pt idx="335">
                  <c:v>0.50529046230301211</c:v>
                </c:pt>
                <c:pt idx="336">
                  <c:v>0.43435291077392629</c:v>
                </c:pt>
                <c:pt idx="337">
                  <c:v>0.40118058143063007</c:v>
                </c:pt>
                <c:pt idx="338">
                  <c:v>0.36887076890471865</c:v>
                </c:pt>
                <c:pt idx="339">
                  <c:v>0.34790661044869203</c:v>
                </c:pt>
                <c:pt idx="340">
                  <c:v>#N/A</c:v>
                </c:pt>
                <c:pt idx="341">
                  <c:v>#N/A</c:v>
                </c:pt>
                <c:pt idx="342">
                  <c:v>0.42606010967140595</c:v>
                </c:pt>
                <c:pt idx="343">
                  <c:v>0.36345524250596428</c:v>
                </c:pt>
                <c:pt idx="344">
                  <c:v>0.31619296270994623</c:v>
                </c:pt>
                <c:pt idx="345">
                  <c:v>0.20319704129215704</c:v>
                </c:pt>
                <c:pt idx="346">
                  <c:v>0.15343122338752863</c:v>
                </c:pt>
                <c:pt idx="347">
                  <c:v>#N/A</c:v>
                </c:pt>
                <c:pt idx="348">
                  <c:v>#N/A</c:v>
                </c:pt>
                <c:pt idx="349">
                  <c:v>0.23577722933012649</c:v>
                </c:pt>
                <c:pt idx="350">
                  <c:v>0.21149449033467677</c:v>
                </c:pt>
                <c:pt idx="351">
                  <c:v>0.19427744877111208</c:v>
                </c:pt>
                <c:pt idx="352">
                  <c:v>0.19954615473498152</c:v>
                </c:pt>
                <c:pt idx="353">
                  <c:v>0.16388814131732993</c:v>
                </c:pt>
                <c:pt idx="354">
                  <c:v>8.7174780587345443E-2</c:v>
                </c:pt>
                <c:pt idx="355">
                  <c:v>1.0162933347224706E-2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0.6796233484355505</c:v>
                </c:pt>
                <c:pt idx="382">
                  <c:v>0.56658455413141851</c:v>
                </c:pt>
                <c:pt idx="383">
                  <c:v>0.47354933302214608</c:v>
                </c:pt>
                <c:pt idx="384">
                  <c:v>0.36478600947447082</c:v>
                </c:pt>
                <c:pt idx="385">
                  <c:v>0.22592855291061026</c:v>
                </c:pt>
                <c:pt idx="386">
                  <c:v>0.11579666453178204</c:v>
                </c:pt>
                <c:pt idx="387">
                  <c:v>2.0521078776587792E-2</c:v>
                </c:pt>
                <c:pt idx="388">
                  <c:v>2.4359527007078469E-2</c:v>
                </c:pt>
                <c:pt idx="389">
                  <c:v>2.0997361355515623E-2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0.20070041242727465</c:v>
                </c:pt>
                <c:pt idx="412">
                  <c:v>0.12970776647641047</c:v>
                </c:pt>
                <c:pt idx="413">
                  <c:v>0.16445227371245166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F4-47D9-A1DF-9A23B0EF7B11}"/>
            </c:ext>
          </c:extLst>
        </c:ser>
        <c:ser>
          <c:idx val="2"/>
          <c:order val="2"/>
          <c:tx>
            <c:strRef>
              <c:f>US!$AG$4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US!$AD$5:$AD$450</c:f>
              <c:numCache>
                <c:formatCode>m/d/yyyy</c:formatCode>
                <c:ptCount val="446"/>
                <c:pt idx="0">
                  <c:v>32963</c:v>
                </c:pt>
                <c:pt idx="1">
                  <c:v>32993</c:v>
                </c:pt>
                <c:pt idx="2">
                  <c:v>33024</c:v>
                </c:pt>
                <c:pt idx="3">
                  <c:v>33054</c:v>
                </c:pt>
                <c:pt idx="4">
                  <c:v>33085</c:v>
                </c:pt>
                <c:pt idx="5">
                  <c:v>33116</c:v>
                </c:pt>
                <c:pt idx="6">
                  <c:v>33146</c:v>
                </c:pt>
                <c:pt idx="7">
                  <c:v>33177</c:v>
                </c:pt>
                <c:pt idx="8">
                  <c:v>33207</c:v>
                </c:pt>
                <c:pt idx="9">
                  <c:v>33238</c:v>
                </c:pt>
                <c:pt idx="10">
                  <c:v>33269</c:v>
                </c:pt>
                <c:pt idx="11">
                  <c:v>33297</c:v>
                </c:pt>
                <c:pt idx="12">
                  <c:v>33328</c:v>
                </c:pt>
                <c:pt idx="13">
                  <c:v>33358</c:v>
                </c:pt>
                <c:pt idx="14">
                  <c:v>33389</c:v>
                </c:pt>
                <c:pt idx="15">
                  <c:v>33419</c:v>
                </c:pt>
                <c:pt idx="16">
                  <c:v>33450</c:v>
                </c:pt>
                <c:pt idx="17">
                  <c:v>33481</c:v>
                </c:pt>
                <c:pt idx="18">
                  <c:v>33511</c:v>
                </c:pt>
                <c:pt idx="19">
                  <c:v>33542</c:v>
                </c:pt>
                <c:pt idx="20">
                  <c:v>33572</c:v>
                </c:pt>
                <c:pt idx="21">
                  <c:v>33603</c:v>
                </c:pt>
                <c:pt idx="22">
                  <c:v>33634</c:v>
                </c:pt>
                <c:pt idx="23">
                  <c:v>33663</c:v>
                </c:pt>
                <c:pt idx="24">
                  <c:v>33694</c:v>
                </c:pt>
                <c:pt idx="25">
                  <c:v>33724</c:v>
                </c:pt>
                <c:pt idx="26">
                  <c:v>33755</c:v>
                </c:pt>
                <c:pt idx="27">
                  <c:v>33785</c:v>
                </c:pt>
                <c:pt idx="28">
                  <c:v>33816</c:v>
                </c:pt>
                <c:pt idx="29">
                  <c:v>33847</c:v>
                </c:pt>
                <c:pt idx="30">
                  <c:v>33877</c:v>
                </c:pt>
                <c:pt idx="31">
                  <c:v>33908</c:v>
                </c:pt>
                <c:pt idx="32">
                  <c:v>33938</c:v>
                </c:pt>
                <c:pt idx="33">
                  <c:v>33969</c:v>
                </c:pt>
                <c:pt idx="34">
                  <c:v>34000</c:v>
                </c:pt>
                <c:pt idx="35">
                  <c:v>34028</c:v>
                </c:pt>
                <c:pt idx="36">
                  <c:v>34059</c:v>
                </c:pt>
                <c:pt idx="37">
                  <c:v>34089</c:v>
                </c:pt>
                <c:pt idx="38">
                  <c:v>34120</c:v>
                </c:pt>
                <c:pt idx="39">
                  <c:v>34150</c:v>
                </c:pt>
                <c:pt idx="40">
                  <c:v>34181</c:v>
                </c:pt>
                <c:pt idx="41">
                  <c:v>34212</c:v>
                </c:pt>
                <c:pt idx="42">
                  <c:v>34242</c:v>
                </c:pt>
                <c:pt idx="43">
                  <c:v>34273</c:v>
                </c:pt>
                <c:pt idx="44">
                  <c:v>34303</c:v>
                </c:pt>
                <c:pt idx="45">
                  <c:v>34334</c:v>
                </c:pt>
                <c:pt idx="46">
                  <c:v>34365</c:v>
                </c:pt>
                <c:pt idx="47">
                  <c:v>34393</c:v>
                </c:pt>
                <c:pt idx="48">
                  <c:v>34424</c:v>
                </c:pt>
                <c:pt idx="49">
                  <c:v>34454</c:v>
                </c:pt>
                <c:pt idx="50">
                  <c:v>34485</c:v>
                </c:pt>
                <c:pt idx="51">
                  <c:v>34515</c:v>
                </c:pt>
                <c:pt idx="52">
                  <c:v>34546</c:v>
                </c:pt>
                <c:pt idx="53">
                  <c:v>34577</c:v>
                </c:pt>
                <c:pt idx="54">
                  <c:v>34607</c:v>
                </c:pt>
                <c:pt idx="55">
                  <c:v>34638</c:v>
                </c:pt>
                <c:pt idx="56">
                  <c:v>34668</c:v>
                </c:pt>
                <c:pt idx="57">
                  <c:v>34699</c:v>
                </c:pt>
                <c:pt idx="58">
                  <c:v>34730</c:v>
                </c:pt>
                <c:pt idx="59">
                  <c:v>34758</c:v>
                </c:pt>
                <c:pt idx="60">
                  <c:v>34789</c:v>
                </c:pt>
                <c:pt idx="61">
                  <c:v>34819</c:v>
                </c:pt>
                <c:pt idx="62">
                  <c:v>34850</c:v>
                </c:pt>
                <c:pt idx="63">
                  <c:v>34880</c:v>
                </c:pt>
                <c:pt idx="64">
                  <c:v>34911</c:v>
                </c:pt>
                <c:pt idx="65">
                  <c:v>34942</c:v>
                </c:pt>
                <c:pt idx="66">
                  <c:v>34972</c:v>
                </c:pt>
                <c:pt idx="67">
                  <c:v>35003</c:v>
                </c:pt>
                <c:pt idx="68">
                  <c:v>35033</c:v>
                </c:pt>
                <c:pt idx="69">
                  <c:v>35064</c:v>
                </c:pt>
                <c:pt idx="70">
                  <c:v>35095</c:v>
                </c:pt>
                <c:pt idx="71">
                  <c:v>35124</c:v>
                </c:pt>
                <c:pt idx="72">
                  <c:v>35155</c:v>
                </c:pt>
                <c:pt idx="73">
                  <c:v>35185</c:v>
                </c:pt>
                <c:pt idx="74">
                  <c:v>35216</c:v>
                </c:pt>
                <c:pt idx="75">
                  <c:v>35246</c:v>
                </c:pt>
                <c:pt idx="76">
                  <c:v>35277</c:v>
                </c:pt>
                <c:pt idx="77">
                  <c:v>35308</c:v>
                </c:pt>
                <c:pt idx="78">
                  <c:v>35338</c:v>
                </c:pt>
                <c:pt idx="79">
                  <c:v>35369</c:v>
                </c:pt>
                <c:pt idx="80">
                  <c:v>35399</c:v>
                </c:pt>
                <c:pt idx="81">
                  <c:v>35430</c:v>
                </c:pt>
                <c:pt idx="82">
                  <c:v>35461</c:v>
                </c:pt>
                <c:pt idx="83">
                  <c:v>35489</c:v>
                </c:pt>
                <c:pt idx="84">
                  <c:v>35520</c:v>
                </c:pt>
                <c:pt idx="85">
                  <c:v>35550</c:v>
                </c:pt>
                <c:pt idx="86">
                  <c:v>35581</c:v>
                </c:pt>
                <c:pt idx="87">
                  <c:v>35611</c:v>
                </c:pt>
                <c:pt idx="88">
                  <c:v>35642</c:v>
                </c:pt>
                <c:pt idx="89">
                  <c:v>35673</c:v>
                </c:pt>
                <c:pt idx="90">
                  <c:v>35703</c:v>
                </c:pt>
                <c:pt idx="91">
                  <c:v>35734</c:v>
                </c:pt>
                <c:pt idx="92">
                  <c:v>35764</c:v>
                </c:pt>
                <c:pt idx="93">
                  <c:v>35795</c:v>
                </c:pt>
                <c:pt idx="94">
                  <c:v>35826</c:v>
                </c:pt>
                <c:pt idx="95">
                  <c:v>35854</c:v>
                </c:pt>
                <c:pt idx="96">
                  <c:v>35885</c:v>
                </c:pt>
                <c:pt idx="97">
                  <c:v>35915</c:v>
                </c:pt>
                <c:pt idx="98">
                  <c:v>35946</c:v>
                </c:pt>
                <c:pt idx="99">
                  <c:v>35976</c:v>
                </c:pt>
                <c:pt idx="100">
                  <c:v>36007</c:v>
                </c:pt>
                <c:pt idx="101">
                  <c:v>36038</c:v>
                </c:pt>
                <c:pt idx="102">
                  <c:v>36068</c:v>
                </c:pt>
                <c:pt idx="103">
                  <c:v>36099</c:v>
                </c:pt>
                <c:pt idx="104">
                  <c:v>36129</c:v>
                </c:pt>
                <c:pt idx="105">
                  <c:v>36160</c:v>
                </c:pt>
                <c:pt idx="106">
                  <c:v>36191</c:v>
                </c:pt>
                <c:pt idx="107">
                  <c:v>36219</c:v>
                </c:pt>
                <c:pt idx="108">
                  <c:v>36250</c:v>
                </c:pt>
                <c:pt idx="109">
                  <c:v>36280</c:v>
                </c:pt>
                <c:pt idx="110">
                  <c:v>36311</c:v>
                </c:pt>
                <c:pt idx="111">
                  <c:v>36341</c:v>
                </c:pt>
                <c:pt idx="112">
                  <c:v>36372</c:v>
                </c:pt>
                <c:pt idx="113">
                  <c:v>36403</c:v>
                </c:pt>
                <c:pt idx="114">
                  <c:v>36433</c:v>
                </c:pt>
                <c:pt idx="115">
                  <c:v>36464</c:v>
                </c:pt>
                <c:pt idx="116">
                  <c:v>36494</c:v>
                </c:pt>
                <c:pt idx="117">
                  <c:v>36525</c:v>
                </c:pt>
                <c:pt idx="118">
                  <c:v>36556</c:v>
                </c:pt>
                <c:pt idx="119">
                  <c:v>36585</c:v>
                </c:pt>
                <c:pt idx="120">
                  <c:v>36616</c:v>
                </c:pt>
                <c:pt idx="121">
                  <c:v>36646</c:v>
                </c:pt>
                <c:pt idx="122">
                  <c:v>36677</c:v>
                </c:pt>
                <c:pt idx="123">
                  <c:v>36707</c:v>
                </c:pt>
                <c:pt idx="124">
                  <c:v>36738</c:v>
                </c:pt>
                <c:pt idx="125">
                  <c:v>36769</c:v>
                </c:pt>
                <c:pt idx="126">
                  <c:v>36799</c:v>
                </c:pt>
                <c:pt idx="127">
                  <c:v>36830</c:v>
                </c:pt>
                <c:pt idx="128">
                  <c:v>36860</c:v>
                </c:pt>
                <c:pt idx="129">
                  <c:v>36891</c:v>
                </c:pt>
                <c:pt idx="130">
                  <c:v>36922</c:v>
                </c:pt>
                <c:pt idx="131">
                  <c:v>36950</c:v>
                </c:pt>
                <c:pt idx="132">
                  <c:v>36981</c:v>
                </c:pt>
                <c:pt idx="133">
                  <c:v>37011</c:v>
                </c:pt>
                <c:pt idx="134">
                  <c:v>37042</c:v>
                </c:pt>
                <c:pt idx="135">
                  <c:v>37072</c:v>
                </c:pt>
                <c:pt idx="136">
                  <c:v>37103</c:v>
                </c:pt>
                <c:pt idx="137">
                  <c:v>37134</c:v>
                </c:pt>
                <c:pt idx="138">
                  <c:v>37164</c:v>
                </c:pt>
                <c:pt idx="139">
                  <c:v>37195</c:v>
                </c:pt>
                <c:pt idx="140">
                  <c:v>37225</c:v>
                </c:pt>
                <c:pt idx="141">
                  <c:v>37256</c:v>
                </c:pt>
                <c:pt idx="142">
                  <c:v>37287</c:v>
                </c:pt>
                <c:pt idx="143">
                  <c:v>37315</c:v>
                </c:pt>
                <c:pt idx="144">
                  <c:v>37346</c:v>
                </c:pt>
                <c:pt idx="145">
                  <c:v>37376</c:v>
                </c:pt>
                <c:pt idx="146">
                  <c:v>37407</c:v>
                </c:pt>
                <c:pt idx="147">
                  <c:v>37437</c:v>
                </c:pt>
                <c:pt idx="148">
                  <c:v>37468</c:v>
                </c:pt>
                <c:pt idx="149">
                  <c:v>37499</c:v>
                </c:pt>
                <c:pt idx="150">
                  <c:v>37529</c:v>
                </c:pt>
                <c:pt idx="151">
                  <c:v>37560</c:v>
                </c:pt>
                <c:pt idx="152">
                  <c:v>37590</c:v>
                </c:pt>
                <c:pt idx="153">
                  <c:v>37621</c:v>
                </c:pt>
                <c:pt idx="154">
                  <c:v>37652</c:v>
                </c:pt>
                <c:pt idx="155">
                  <c:v>37680</c:v>
                </c:pt>
                <c:pt idx="156">
                  <c:v>37711</c:v>
                </c:pt>
                <c:pt idx="157">
                  <c:v>37741</c:v>
                </c:pt>
                <c:pt idx="158">
                  <c:v>37772</c:v>
                </c:pt>
                <c:pt idx="159">
                  <c:v>37802</c:v>
                </c:pt>
                <c:pt idx="160">
                  <c:v>37833</c:v>
                </c:pt>
                <c:pt idx="161">
                  <c:v>37864</c:v>
                </c:pt>
                <c:pt idx="162">
                  <c:v>37894</c:v>
                </c:pt>
                <c:pt idx="163">
                  <c:v>37925</c:v>
                </c:pt>
                <c:pt idx="164">
                  <c:v>37955</c:v>
                </c:pt>
                <c:pt idx="165">
                  <c:v>37986</c:v>
                </c:pt>
                <c:pt idx="166">
                  <c:v>38017</c:v>
                </c:pt>
                <c:pt idx="167">
                  <c:v>38046</c:v>
                </c:pt>
                <c:pt idx="168">
                  <c:v>38077</c:v>
                </c:pt>
                <c:pt idx="169">
                  <c:v>38107</c:v>
                </c:pt>
                <c:pt idx="170">
                  <c:v>38138</c:v>
                </c:pt>
                <c:pt idx="171">
                  <c:v>38168</c:v>
                </c:pt>
                <c:pt idx="172">
                  <c:v>38199</c:v>
                </c:pt>
                <c:pt idx="173">
                  <c:v>38230</c:v>
                </c:pt>
                <c:pt idx="174">
                  <c:v>38260</c:v>
                </c:pt>
                <c:pt idx="175">
                  <c:v>38291</c:v>
                </c:pt>
                <c:pt idx="176">
                  <c:v>38321</c:v>
                </c:pt>
                <c:pt idx="177">
                  <c:v>38352</c:v>
                </c:pt>
                <c:pt idx="178">
                  <c:v>38383</c:v>
                </c:pt>
                <c:pt idx="179">
                  <c:v>38411</c:v>
                </c:pt>
                <c:pt idx="180">
                  <c:v>38442</c:v>
                </c:pt>
                <c:pt idx="181">
                  <c:v>38472</c:v>
                </c:pt>
                <c:pt idx="182">
                  <c:v>38503</c:v>
                </c:pt>
                <c:pt idx="183">
                  <c:v>38533</c:v>
                </c:pt>
                <c:pt idx="184">
                  <c:v>38564</c:v>
                </c:pt>
                <c:pt idx="185">
                  <c:v>38595</c:v>
                </c:pt>
                <c:pt idx="186">
                  <c:v>38625</c:v>
                </c:pt>
                <c:pt idx="187">
                  <c:v>38656</c:v>
                </c:pt>
                <c:pt idx="188">
                  <c:v>38686</c:v>
                </c:pt>
                <c:pt idx="189">
                  <c:v>38717</c:v>
                </c:pt>
                <c:pt idx="190">
                  <c:v>38748</c:v>
                </c:pt>
                <c:pt idx="191">
                  <c:v>38776</c:v>
                </c:pt>
                <c:pt idx="192">
                  <c:v>38807</c:v>
                </c:pt>
                <c:pt idx="193">
                  <c:v>38837</c:v>
                </c:pt>
                <c:pt idx="194">
                  <c:v>38868</c:v>
                </c:pt>
                <c:pt idx="195">
                  <c:v>38898</c:v>
                </c:pt>
                <c:pt idx="196">
                  <c:v>38929</c:v>
                </c:pt>
                <c:pt idx="197">
                  <c:v>38960</c:v>
                </c:pt>
                <c:pt idx="198">
                  <c:v>38990</c:v>
                </c:pt>
                <c:pt idx="199">
                  <c:v>39021</c:v>
                </c:pt>
                <c:pt idx="200">
                  <c:v>39051</c:v>
                </c:pt>
                <c:pt idx="201">
                  <c:v>39082</c:v>
                </c:pt>
                <c:pt idx="202">
                  <c:v>39113</c:v>
                </c:pt>
                <c:pt idx="203">
                  <c:v>39141</c:v>
                </c:pt>
                <c:pt idx="204">
                  <c:v>39172</c:v>
                </c:pt>
                <c:pt idx="205">
                  <c:v>39202</c:v>
                </c:pt>
                <c:pt idx="206">
                  <c:v>39233</c:v>
                </c:pt>
                <c:pt idx="207">
                  <c:v>39263</c:v>
                </c:pt>
                <c:pt idx="208">
                  <c:v>39294</c:v>
                </c:pt>
                <c:pt idx="209">
                  <c:v>39325</c:v>
                </c:pt>
                <c:pt idx="210">
                  <c:v>39355</c:v>
                </c:pt>
                <c:pt idx="211">
                  <c:v>39386</c:v>
                </c:pt>
                <c:pt idx="212">
                  <c:v>39416</c:v>
                </c:pt>
                <c:pt idx="213">
                  <c:v>39447</c:v>
                </c:pt>
                <c:pt idx="214">
                  <c:v>39478</c:v>
                </c:pt>
                <c:pt idx="215">
                  <c:v>39507</c:v>
                </c:pt>
                <c:pt idx="216">
                  <c:v>39538</c:v>
                </c:pt>
                <c:pt idx="217">
                  <c:v>39568</c:v>
                </c:pt>
                <c:pt idx="218">
                  <c:v>39599</c:v>
                </c:pt>
                <c:pt idx="219">
                  <c:v>39629</c:v>
                </c:pt>
                <c:pt idx="220">
                  <c:v>39660</c:v>
                </c:pt>
                <c:pt idx="221">
                  <c:v>39691</c:v>
                </c:pt>
                <c:pt idx="222">
                  <c:v>39721</c:v>
                </c:pt>
                <c:pt idx="223">
                  <c:v>39752</c:v>
                </c:pt>
                <c:pt idx="224">
                  <c:v>39782</c:v>
                </c:pt>
                <c:pt idx="225">
                  <c:v>39813</c:v>
                </c:pt>
                <c:pt idx="226">
                  <c:v>39844</c:v>
                </c:pt>
                <c:pt idx="227">
                  <c:v>39872</c:v>
                </c:pt>
                <c:pt idx="228">
                  <c:v>39903</c:v>
                </c:pt>
                <c:pt idx="229">
                  <c:v>39933</c:v>
                </c:pt>
                <c:pt idx="230">
                  <c:v>39964</c:v>
                </c:pt>
                <c:pt idx="231">
                  <c:v>39994</c:v>
                </c:pt>
                <c:pt idx="232">
                  <c:v>40025</c:v>
                </c:pt>
                <c:pt idx="233">
                  <c:v>40056</c:v>
                </c:pt>
                <c:pt idx="234">
                  <c:v>40086</c:v>
                </c:pt>
                <c:pt idx="235">
                  <c:v>40117</c:v>
                </c:pt>
                <c:pt idx="236">
                  <c:v>40147</c:v>
                </c:pt>
                <c:pt idx="237">
                  <c:v>40178</c:v>
                </c:pt>
                <c:pt idx="238">
                  <c:v>40209</c:v>
                </c:pt>
                <c:pt idx="239">
                  <c:v>40237</c:v>
                </c:pt>
                <c:pt idx="240">
                  <c:v>40268</c:v>
                </c:pt>
                <c:pt idx="241">
                  <c:v>40298</c:v>
                </c:pt>
                <c:pt idx="242">
                  <c:v>40329</c:v>
                </c:pt>
                <c:pt idx="243">
                  <c:v>40359</c:v>
                </c:pt>
                <c:pt idx="244">
                  <c:v>40390</c:v>
                </c:pt>
                <c:pt idx="245">
                  <c:v>40421</c:v>
                </c:pt>
                <c:pt idx="246">
                  <c:v>40451</c:v>
                </c:pt>
                <c:pt idx="247">
                  <c:v>40482</c:v>
                </c:pt>
                <c:pt idx="248">
                  <c:v>40512</c:v>
                </c:pt>
                <c:pt idx="249">
                  <c:v>40543</c:v>
                </c:pt>
                <c:pt idx="250">
                  <c:v>40574</c:v>
                </c:pt>
                <c:pt idx="251">
                  <c:v>40602</c:v>
                </c:pt>
                <c:pt idx="252">
                  <c:v>40633</c:v>
                </c:pt>
                <c:pt idx="253">
                  <c:v>40663</c:v>
                </c:pt>
                <c:pt idx="254">
                  <c:v>40694</c:v>
                </c:pt>
                <c:pt idx="255">
                  <c:v>40724</c:v>
                </c:pt>
                <c:pt idx="256">
                  <c:v>40755</c:v>
                </c:pt>
                <c:pt idx="257">
                  <c:v>40786</c:v>
                </c:pt>
                <c:pt idx="258">
                  <c:v>40816</c:v>
                </c:pt>
                <c:pt idx="259">
                  <c:v>40847</c:v>
                </c:pt>
                <c:pt idx="260">
                  <c:v>40877</c:v>
                </c:pt>
                <c:pt idx="261">
                  <c:v>40908</c:v>
                </c:pt>
                <c:pt idx="262">
                  <c:v>40939</c:v>
                </c:pt>
                <c:pt idx="263">
                  <c:v>40968</c:v>
                </c:pt>
                <c:pt idx="264">
                  <c:v>40999</c:v>
                </c:pt>
                <c:pt idx="265">
                  <c:v>41029</c:v>
                </c:pt>
                <c:pt idx="266">
                  <c:v>41060</c:v>
                </c:pt>
                <c:pt idx="267">
                  <c:v>41090</c:v>
                </c:pt>
                <c:pt idx="268">
                  <c:v>41121</c:v>
                </c:pt>
                <c:pt idx="269">
                  <c:v>41152</c:v>
                </c:pt>
                <c:pt idx="270">
                  <c:v>41182</c:v>
                </c:pt>
                <c:pt idx="271">
                  <c:v>41213</c:v>
                </c:pt>
                <c:pt idx="272">
                  <c:v>41243</c:v>
                </c:pt>
                <c:pt idx="273">
                  <c:v>41274</c:v>
                </c:pt>
                <c:pt idx="274">
                  <c:v>41305</c:v>
                </c:pt>
                <c:pt idx="275">
                  <c:v>41333</c:v>
                </c:pt>
                <c:pt idx="276">
                  <c:v>41364</c:v>
                </c:pt>
                <c:pt idx="277">
                  <c:v>41394</c:v>
                </c:pt>
                <c:pt idx="278">
                  <c:v>41425</c:v>
                </c:pt>
                <c:pt idx="279">
                  <c:v>41455</c:v>
                </c:pt>
                <c:pt idx="280">
                  <c:v>41486</c:v>
                </c:pt>
                <c:pt idx="281">
                  <c:v>41517</c:v>
                </c:pt>
                <c:pt idx="282">
                  <c:v>41547</c:v>
                </c:pt>
                <c:pt idx="283">
                  <c:v>41578</c:v>
                </c:pt>
                <c:pt idx="284">
                  <c:v>41608</c:v>
                </c:pt>
                <c:pt idx="285">
                  <c:v>41639</c:v>
                </c:pt>
                <c:pt idx="286">
                  <c:v>41670</c:v>
                </c:pt>
                <c:pt idx="287">
                  <c:v>41698</c:v>
                </c:pt>
                <c:pt idx="288">
                  <c:v>41729</c:v>
                </c:pt>
                <c:pt idx="289">
                  <c:v>41759</c:v>
                </c:pt>
                <c:pt idx="290">
                  <c:v>41790</c:v>
                </c:pt>
                <c:pt idx="291">
                  <c:v>41820</c:v>
                </c:pt>
                <c:pt idx="292">
                  <c:v>41851</c:v>
                </c:pt>
                <c:pt idx="293">
                  <c:v>41882</c:v>
                </c:pt>
                <c:pt idx="294">
                  <c:v>41912</c:v>
                </c:pt>
                <c:pt idx="295">
                  <c:v>41943</c:v>
                </c:pt>
                <c:pt idx="296">
                  <c:v>41973</c:v>
                </c:pt>
                <c:pt idx="297">
                  <c:v>42004</c:v>
                </c:pt>
                <c:pt idx="298">
                  <c:v>42035</c:v>
                </c:pt>
                <c:pt idx="299">
                  <c:v>42063</c:v>
                </c:pt>
                <c:pt idx="300">
                  <c:v>42094</c:v>
                </c:pt>
                <c:pt idx="301">
                  <c:v>42124</c:v>
                </c:pt>
                <c:pt idx="302">
                  <c:v>42155</c:v>
                </c:pt>
                <c:pt idx="303">
                  <c:v>42185</c:v>
                </c:pt>
                <c:pt idx="304">
                  <c:v>42216</c:v>
                </c:pt>
                <c:pt idx="305">
                  <c:v>42247</c:v>
                </c:pt>
                <c:pt idx="306">
                  <c:v>42277</c:v>
                </c:pt>
                <c:pt idx="307">
                  <c:v>42308</c:v>
                </c:pt>
                <c:pt idx="308">
                  <c:v>42338</c:v>
                </c:pt>
                <c:pt idx="309">
                  <c:v>42369</c:v>
                </c:pt>
                <c:pt idx="310">
                  <c:v>42400</c:v>
                </c:pt>
                <c:pt idx="311">
                  <c:v>42429</c:v>
                </c:pt>
                <c:pt idx="312">
                  <c:v>42460</c:v>
                </c:pt>
                <c:pt idx="313">
                  <c:v>42490</c:v>
                </c:pt>
                <c:pt idx="314">
                  <c:v>42521</c:v>
                </c:pt>
                <c:pt idx="315">
                  <c:v>42551</c:v>
                </c:pt>
                <c:pt idx="316">
                  <c:v>42582</c:v>
                </c:pt>
                <c:pt idx="317">
                  <c:v>42613</c:v>
                </c:pt>
                <c:pt idx="318">
                  <c:v>42643</c:v>
                </c:pt>
                <c:pt idx="319">
                  <c:v>42674</c:v>
                </c:pt>
                <c:pt idx="320">
                  <c:v>42704</c:v>
                </c:pt>
                <c:pt idx="321">
                  <c:v>42735</c:v>
                </c:pt>
                <c:pt idx="322">
                  <c:v>42766</c:v>
                </c:pt>
                <c:pt idx="323">
                  <c:v>42794</c:v>
                </c:pt>
                <c:pt idx="324">
                  <c:v>42825</c:v>
                </c:pt>
                <c:pt idx="325">
                  <c:v>42855</c:v>
                </c:pt>
                <c:pt idx="326">
                  <c:v>42886</c:v>
                </c:pt>
                <c:pt idx="327">
                  <c:v>42916</c:v>
                </c:pt>
                <c:pt idx="328">
                  <c:v>42947</c:v>
                </c:pt>
                <c:pt idx="329">
                  <c:v>42978</c:v>
                </c:pt>
                <c:pt idx="330">
                  <c:v>43008</c:v>
                </c:pt>
                <c:pt idx="331">
                  <c:v>43039</c:v>
                </c:pt>
                <c:pt idx="332">
                  <c:v>43069</c:v>
                </c:pt>
                <c:pt idx="333">
                  <c:v>43100</c:v>
                </c:pt>
                <c:pt idx="334">
                  <c:v>43131</c:v>
                </c:pt>
                <c:pt idx="335">
                  <c:v>43159</c:v>
                </c:pt>
                <c:pt idx="336">
                  <c:v>43190</c:v>
                </c:pt>
                <c:pt idx="337">
                  <c:v>43220</c:v>
                </c:pt>
                <c:pt idx="338">
                  <c:v>43251</c:v>
                </c:pt>
                <c:pt idx="339">
                  <c:v>43281</c:v>
                </c:pt>
                <c:pt idx="340">
                  <c:v>43312</c:v>
                </c:pt>
                <c:pt idx="341">
                  <c:v>43343</c:v>
                </c:pt>
                <c:pt idx="342">
                  <c:v>43373</c:v>
                </c:pt>
                <c:pt idx="343">
                  <c:v>43404</c:v>
                </c:pt>
                <c:pt idx="344">
                  <c:v>43434</c:v>
                </c:pt>
                <c:pt idx="345">
                  <c:v>43465</c:v>
                </c:pt>
                <c:pt idx="346">
                  <c:v>43496</c:v>
                </c:pt>
                <c:pt idx="347">
                  <c:v>43524</c:v>
                </c:pt>
                <c:pt idx="348">
                  <c:v>43555</c:v>
                </c:pt>
                <c:pt idx="349">
                  <c:v>43585</c:v>
                </c:pt>
                <c:pt idx="350">
                  <c:v>43616</c:v>
                </c:pt>
                <c:pt idx="351">
                  <c:v>43646</c:v>
                </c:pt>
                <c:pt idx="352">
                  <c:v>43677</c:v>
                </c:pt>
                <c:pt idx="353">
                  <c:v>43708</c:v>
                </c:pt>
                <c:pt idx="354">
                  <c:v>43738</c:v>
                </c:pt>
                <c:pt idx="355">
                  <c:v>43769</c:v>
                </c:pt>
                <c:pt idx="356">
                  <c:v>43799</c:v>
                </c:pt>
                <c:pt idx="357">
                  <c:v>43830</c:v>
                </c:pt>
                <c:pt idx="358">
                  <c:v>43861</c:v>
                </c:pt>
                <c:pt idx="359">
                  <c:v>43890</c:v>
                </c:pt>
                <c:pt idx="360">
                  <c:v>43921</c:v>
                </c:pt>
                <c:pt idx="361">
                  <c:v>43951</c:v>
                </c:pt>
                <c:pt idx="362">
                  <c:v>43982</c:v>
                </c:pt>
                <c:pt idx="363">
                  <c:v>44012</c:v>
                </c:pt>
                <c:pt idx="364">
                  <c:v>44043</c:v>
                </c:pt>
                <c:pt idx="365">
                  <c:v>44074</c:v>
                </c:pt>
                <c:pt idx="366">
                  <c:v>44104</c:v>
                </c:pt>
                <c:pt idx="367">
                  <c:v>44135</c:v>
                </c:pt>
                <c:pt idx="368">
                  <c:v>44165</c:v>
                </c:pt>
                <c:pt idx="369">
                  <c:v>44196</c:v>
                </c:pt>
                <c:pt idx="370">
                  <c:v>44227</c:v>
                </c:pt>
                <c:pt idx="371">
                  <c:v>44255</c:v>
                </c:pt>
                <c:pt idx="372">
                  <c:v>44286</c:v>
                </c:pt>
                <c:pt idx="373">
                  <c:v>44316</c:v>
                </c:pt>
                <c:pt idx="374">
                  <c:v>44347</c:v>
                </c:pt>
                <c:pt idx="375">
                  <c:v>44377</c:v>
                </c:pt>
                <c:pt idx="376">
                  <c:v>44408</c:v>
                </c:pt>
                <c:pt idx="377">
                  <c:v>44439</c:v>
                </c:pt>
                <c:pt idx="378">
                  <c:v>44469</c:v>
                </c:pt>
                <c:pt idx="379">
                  <c:v>44500</c:v>
                </c:pt>
                <c:pt idx="380">
                  <c:v>44530</c:v>
                </c:pt>
                <c:pt idx="381">
                  <c:v>44561</c:v>
                </c:pt>
                <c:pt idx="382">
                  <c:v>44592</c:v>
                </c:pt>
                <c:pt idx="383">
                  <c:v>44620</c:v>
                </c:pt>
                <c:pt idx="384">
                  <c:v>44651</c:v>
                </c:pt>
                <c:pt idx="385">
                  <c:v>44681</c:v>
                </c:pt>
                <c:pt idx="386">
                  <c:v>44712</c:v>
                </c:pt>
                <c:pt idx="387">
                  <c:v>44742</c:v>
                </c:pt>
                <c:pt idx="388">
                  <c:v>44773</c:v>
                </c:pt>
                <c:pt idx="389">
                  <c:v>44804</c:v>
                </c:pt>
                <c:pt idx="390">
                  <c:v>44834</c:v>
                </c:pt>
                <c:pt idx="391">
                  <c:v>44865</c:v>
                </c:pt>
                <c:pt idx="392">
                  <c:v>44895</c:v>
                </c:pt>
                <c:pt idx="393">
                  <c:v>44926</c:v>
                </c:pt>
                <c:pt idx="394">
                  <c:v>44957</c:v>
                </c:pt>
                <c:pt idx="395">
                  <c:v>44985</c:v>
                </c:pt>
                <c:pt idx="396">
                  <c:v>45016</c:v>
                </c:pt>
                <c:pt idx="397">
                  <c:v>45046</c:v>
                </c:pt>
                <c:pt idx="398">
                  <c:v>45077</c:v>
                </c:pt>
                <c:pt idx="399">
                  <c:v>45107</c:v>
                </c:pt>
                <c:pt idx="400">
                  <c:v>45138</c:v>
                </c:pt>
                <c:pt idx="401">
                  <c:v>45169</c:v>
                </c:pt>
                <c:pt idx="402">
                  <c:v>45199</c:v>
                </c:pt>
                <c:pt idx="403">
                  <c:v>45230</c:v>
                </c:pt>
                <c:pt idx="404">
                  <c:v>45260</c:v>
                </c:pt>
                <c:pt idx="405">
                  <c:v>45291</c:v>
                </c:pt>
                <c:pt idx="406">
                  <c:v>45322</c:v>
                </c:pt>
                <c:pt idx="407">
                  <c:v>45351</c:v>
                </c:pt>
                <c:pt idx="408">
                  <c:v>45382</c:v>
                </c:pt>
                <c:pt idx="409">
                  <c:v>45412</c:v>
                </c:pt>
                <c:pt idx="410">
                  <c:v>45443</c:v>
                </c:pt>
                <c:pt idx="411">
                  <c:v>45473</c:v>
                </c:pt>
                <c:pt idx="412">
                  <c:v>45504</c:v>
                </c:pt>
                <c:pt idx="413">
                  <c:v>45534</c:v>
                </c:pt>
                <c:pt idx="414">
                  <c:v>45565</c:v>
                </c:pt>
                <c:pt idx="415">
                  <c:v>45596</c:v>
                </c:pt>
                <c:pt idx="416">
                  <c:v>45626</c:v>
                </c:pt>
                <c:pt idx="417">
                  <c:v>45657</c:v>
                </c:pt>
                <c:pt idx="418">
                  <c:v>45688</c:v>
                </c:pt>
                <c:pt idx="419">
                  <c:v>45716</c:v>
                </c:pt>
              </c:numCache>
            </c:numRef>
          </c:cat>
          <c:val>
            <c:numRef>
              <c:f>US!$AG$5:$AG$450</c:f>
              <c:numCache>
                <c:formatCode>General</c:formatCode>
                <c:ptCount val="44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7.8574534157491591E-2</c:v>
                </c:pt>
                <c:pt idx="6">
                  <c:v>-0.17059032694102988</c:v>
                </c:pt>
                <c:pt idx="7">
                  <c:v>-0.35846023954129352</c:v>
                </c:pt>
                <c:pt idx="8">
                  <c:v>-0.49347037128994553</c:v>
                </c:pt>
                <c:pt idx="9">
                  <c:v>-0.57870526514937692</c:v>
                </c:pt>
                <c:pt idx="10">
                  <c:v>-0.60437600369638655</c:v>
                </c:pt>
                <c:pt idx="11">
                  <c:v>-0.61925060108889607</c:v>
                </c:pt>
                <c:pt idx="12">
                  <c:v>-0.571995190724082</c:v>
                </c:pt>
                <c:pt idx="13">
                  <c:v>-0.41870143285912181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1.8474756541120921E-2</c:v>
                </c:pt>
                <c:pt idx="21">
                  <c:v>-3.7633681118553086E-2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5.5843942895065779E-2</c:v>
                </c:pt>
                <c:pt idx="129">
                  <c:v>-1.2136261739118914E-2</c:v>
                </c:pt>
                <c:pt idx="130">
                  <c:v>-0.10269356396165186</c:v>
                </c:pt>
                <c:pt idx="131">
                  <c:v>-0.17931587345985381</c:v>
                </c:pt>
                <c:pt idx="132">
                  <c:v>-0.3083103813419773</c:v>
                </c:pt>
                <c:pt idx="133">
                  <c:v>-0.37255047743224101</c:v>
                </c:pt>
                <c:pt idx="134">
                  <c:v>-0.37904357409132511</c:v>
                </c:pt>
                <c:pt idx="135">
                  <c:v>-0.40522957320257025</c:v>
                </c:pt>
                <c:pt idx="136">
                  <c:v>-0.42373075483983763</c:v>
                </c:pt>
                <c:pt idx="137">
                  <c:v>-0.44351709221048397</c:v>
                </c:pt>
                <c:pt idx="138">
                  <c:v>-0.58130294640084579</c:v>
                </c:pt>
                <c:pt idx="139">
                  <c:v>-0.6492288070016683</c:v>
                </c:pt>
                <c:pt idx="140">
                  <c:v>-0.66044177246073843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-0.24669129811621068</c:v>
                </c:pt>
                <c:pt idx="149">
                  <c:v>-0.41748669232497576</c:v>
                </c:pt>
                <c:pt idx="150">
                  <c:v>-0.48777780181343722</c:v>
                </c:pt>
                <c:pt idx="151">
                  <c:v>-0.4917122123131023</c:v>
                </c:pt>
                <c:pt idx="152">
                  <c:v>-0.44545572814221113</c:v>
                </c:pt>
                <c:pt idx="153">
                  <c:v>-0.44957396662869265</c:v>
                </c:pt>
                <c:pt idx="154">
                  <c:v>-0.41065178485401144</c:v>
                </c:pt>
                <c:pt idx="155">
                  <c:v>-0.43561587830564769</c:v>
                </c:pt>
                <c:pt idx="156">
                  <c:v>-0.47231712568432571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0.19864892666389034</c:v>
                </c:pt>
                <c:pt idx="209">
                  <c:v>-2.8746790114216741E-3</c:v>
                </c:pt>
                <c:pt idx="210">
                  <c:v>-9.0332603902257405E-2</c:v>
                </c:pt>
                <c:pt idx="211">
                  <c:v>-0.11132893883556857</c:v>
                </c:pt>
                <c:pt idx="212">
                  <c:v>-0.37684367590992174</c:v>
                </c:pt>
                <c:pt idx="213">
                  <c:v>-0.46096332167560722</c:v>
                </c:pt>
                <c:pt idx="214">
                  <c:v>-0.56320520851394829</c:v>
                </c:pt>
                <c:pt idx="215">
                  <c:v>-0.69494972104763186</c:v>
                </c:pt>
                <c:pt idx="216">
                  <c:v>-0.81604164568236848</c:v>
                </c:pt>
                <c:pt idx="217">
                  <c:v>-0.88759574624125182</c:v>
                </c:pt>
                <c:pt idx="218">
                  <c:v>-0.91457535313898042</c:v>
                </c:pt>
                <c:pt idx="219">
                  <c:v>-0.96888126916627104</c:v>
                </c:pt>
                <c:pt idx="220">
                  <c:v>-1.0417229190104655</c:v>
                </c:pt>
                <c:pt idx="221">
                  <c:v>-1.1335138713558572</c:v>
                </c:pt>
                <c:pt idx="222">
                  <c:v>-1.3636009015069095</c:v>
                </c:pt>
                <c:pt idx="223">
                  <c:v>-1.5005596710919022</c:v>
                </c:pt>
                <c:pt idx="224">
                  <c:v>-1.6446805723518763</c:v>
                </c:pt>
                <c:pt idx="225">
                  <c:v>-1.7277029789787808</c:v>
                </c:pt>
                <c:pt idx="226">
                  <c:v>-1.7730227226758322</c:v>
                </c:pt>
                <c:pt idx="227">
                  <c:v>-1.7849639860088202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0.10208914766749812</c:v>
                </c:pt>
                <c:pt idx="243">
                  <c:v>-9.8127822520947705E-2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4.6463859468734589E-2</c:v>
                </c:pt>
                <c:pt idx="257">
                  <c:v>-1.5885291388945677E-2</c:v>
                </c:pt>
                <c:pt idx="258">
                  <c:v>-0.26580831028718965</c:v>
                </c:pt>
                <c:pt idx="259">
                  <c:v>-0.25851528802516227</c:v>
                </c:pt>
                <c:pt idx="260">
                  <c:v>-0.27482015652435687</c:v>
                </c:pt>
                <c:pt idx="261">
                  <c:v>#N/A</c:v>
                </c:pt>
                <c:pt idx="262">
                  <c:v>#N/A</c:v>
                </c:pt>
                <c:pt idx="263">
                  <c:v>-0.18894680615799225</c:v>
                </c:pt>
                <c:pt idx="264">
                  <c:v>-0.19037434304983719</c:v>
                </c:pt>
                <c:pt idx="265">
                  <c:v>-1.1826769246228261E-2</c:v>
                </c:pt>
                <c:pt idx="266">
                  <c:v>-7.016253932923501E-2</c:v>
                </c:pt>
                <c:pt idx="267">
                  <c:v>-0.11884076130222124</c:v>
                </c:pt>
                <c:pt idx="268">
                  <c:v>-0.15622639092199728</c:v>
                </c:pt>
                <c:pt idx="269">
                  <c:v>-0.17138842200922805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7.1140447708607016E-3</c:v>
                </c:pt>
                <c:pt idx="310">
                  <c:v>-3.2808118524709738E-3</c:v>
                </c:pt>
                <c:pt idx="311">
                  <c:v>-4.8369005474516759E-2</c:v>
                </c:pt>
                <c:pt idx="312">
                  <c:v>-7.7788439823370401E-2</c:v>
                </c:pt>
                <c:pt idx="313">
                  <c:v>-8.4816453337346165E-2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1.4452549188972161E-2</c:v>
                </c:pt>
                <c:pt idx="319">
                  <c:v>-5.2543209662485463E-3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0.1178633550604076</c:v>
                </c:pt>
                <c:pt idx="359">
                  <c:v>-0.14823624946123959</c:v>
                </c:pt>
                <c:pt idx="360">
                  <c:v>-0.98080310302961815</c:v>
                </c:pt>
                <c:pt idx="361">
                  <c:v>-1.1038386440819632</c:v>
                </c:pt>
                <c:pt idx="362">
                  <c:v>-1.1879401074180371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2.0997361355515623E-2</c:v>
                </c:pt>
                <c:pt idx="390">
                  <c:v>-5.4394491176260877E-2</c:v>
                </c:pt>
                <c:pt idx="391">
                  <c:v>-0.13621908187284471</c:v>
                </c:pt>
                <c:pt idx="392">
                  <c:v>-0.20520711717544765</c:v>
                </c:pt>
                <c:pt idx="393">
                  <c:v>-0.2345410715077178</c:v>
                </c:pt>
                <c:pt idx="394">
                  <c:v>#N/A</c:v>
                </c:pt>
                <c:pt idx="395">
                  <c:v>-0.1666881128406239</c:v>
                </c:pt>
                <c:pt idx="396">
                  <c:v>-0.24043602795377336</c:v>
                </c:pt>
                <c:pt idx="397">
                  <c:v>-0.24826633021422068</c:v>
                </c:pt>
                <c:pt idx="398">
                  <c:v>-0.29581729428498599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F4-47D9-A1DF-9A23B0EF7B11}"/>
            </c:ext>
          </c:extLst>
        </c:ser>
        <c:ser>
          <c:idx val="3"/>
          <c:order val="3"/>
          <c:tx>
            <c:strRef>
              <c:f>US!$AH$4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US!$AD$5:$AD$450</c:f>
              <c:numCache>
                <c:formatCode>m/d/yyyy</c:formatCode>
                <c:ptCount val="446"/>
                <c:pt idx="0">
                  <c:v>32963</c:v>
                </c:pt>
                <c:pt idx="1">
                  <c:v>32993</c:v>
                </c:pt>
                <c:pt idx="2">
                  <c:v>33024</c:v>
                </c:pt>
                <c:pt idx="3">
                  <c:v>33054</c:v>
                </c:pt>
                <c:pt idx="4">
                  <c:v>33085</c:v>
                </c:pt>
                <c:pt idx="5">
                  <c:v>33116</c:v>
                </c:pt>
                <c:pt idx="6">
                  <c:v>33146</c:v>
                </c:pt>
                <c:pt idx="7">
                  <c:v>33177</c:v>
                </c:pt>
                <c:pt idx="8">
                  <c:v>33207</c:v>
                </c:pt>
                <c:pt idx="9">
                  <c:v>33238</c:v>
                </c:pt>
                <c:pt idx="10">
                  <c:v>33269</c:v>
                </c:pt>
                <c:pt idx="11">
                  <c:v>33297</c:v>
                </c:pt>
                <c:pt idx="12">
                  <c:v>33328</c:v>
                </c:pt>
                <c:pt idx="13">
                  <c:v>33358</c:v>
                </c:pt>
                <c:pt idx="14">
                  <c:v>33389</c:v>
                </c:pt>
                <c:pt idx="15">
                  <c:v>33419</c:v>
                </c:pt>
                <c:pt idx="16">
                  <c:v>33450</c:v>
                </c:pt>
                <c:pt idx="17">
                  <c:v>33481</c:v>
                </c:pt>
                <c:pt idx="18">
                  <c:v>33511</c:v>
                </c:pt>
                <c:pt idx="19">
                  <c:v>33542</c:v>
                </c:pt>
                <c:pt idx="20">
                  <c:v>33572</c:v>
                </c:pt>
                <c:pt idx="21">
                  <c:v>33603</c:v>
                </c:pt>
                <c:pt idx="22">
                  <c:v>33634</c:v>
                </c:pt>
                <c:pt idx="23">
                  <c:v>33663</c:v>
                </c:pt>
                <c:pt idx="24">
                  <c:v>33694</c:v>
                </c:pt>
                <c:pt idx="25">
                  <c:v>33724</c:v>
                </c:pt>
                <c:pt idx="26">
                  <c:v>33755</c:v>
                </c:pt>
                <c:pt idx="27">
                  <c:v>33785</c:v>
                </c:pt>
                <c:pt idx="28">
                  <c:v>33816</c:v>
                </c:pt>
                <c:pt idx="29">
                  <c:v>33847</c:v>
                </c:pt>
                <c:pt idx="30">
                  <c:v>33877</c:v>
                </c:pt>
                <c:pt idx="31">
                  <c:v>33908</c:v>
                </c:pt>
                <c:pt idx="32">
                  <c:v>33938</c:v>
                </c:pt>
                <c:pt idx="33">
                  <c:v>33969</c:v>
                </c:pt>
                <c:pt idx="34">
                  <c:v>34000</c:v>
                </c:pt>
                <c:pt idx="35">
                  <c:v>34028</c:v>
                </c:pt>
                <c:pt idx="36">
                  <c:v>34059</c:v>
                </c:pt>
                <c:pt idx="37">
                  <c:v>34089</c:v>
                </c:pt>
                <c:pt idx="38">
                  <c:v>34120</c:v>
                </c:pt>
                <c:pt idx="39">
                  <c:v>34150</c:v>
                </c:pt>
                <c:pt idx="40">
                  <c:v>34181</c:v>
                </c:pt>
                <c:pt idx="41">
                  <c:v>34212</c:v>
                </c:pt>
                <c:pt idx="42">
                  <c:v>34242</c:v>
                </c:pt>
                <c:pt idx="43">
                  <c:v>34273</c:v>
                </c:pt>
                <c:pt idx="44">
                  <c:v>34303</c:v>
                </c:pt>
                <c:pt idx="45">
                  <c:v>34334</c:v>
                </c:pt>
                <c:pt idx="46">
                  <c:v>34365</c:v>
                </c:pt>
                <c:pt idx="47">
                  <c:v>34393</c:v>
                </c:pt>
                <c:pt idx="48">
                  <c:v>34424</c:v>
                </c:pt>
                <c:pt idx="49">
                  <c:v>34454</c:v>
                </c:pt>
                <c:pt idx="50">
                  <c:v>34485</c:v>
                </c:pt>
                <c:pt idx="51">
                  <c:v>34515</c:v>
                </c:pt>
                <c:pt idx="52">
                  <c:v>34546</c:v>
                </c:pt>
                <c:pt idx="53">
                  <c:v>34577</c:v>
                </c:pt>
                <c:pt idx="54">
                  <c:v>34607</c:v>
                </c:pt>
                <c:pt idx="55">
                  <c:v>34638</c:v>
                </c:pt>
                <c:pt idx="56">
                  <c:v>34668</c:v>
                </c:pt>
                <c:pt idx="57">
                  <c:v>34699</c:v>
                </c:pt>
                <c:pt idx="58">
                  <c:v>34730</c:v>
                </c:pt>
                <c:pt idx="59">
                  <c:v>34758</c:v>
                </c:pt>
                <c:pt idx="60">
                  <c:v>34789</c:v>
                </c:pt>
                <c:pt idx="61">
                  <c:v>34819</c:v>
                </c:pt>
                <c:pt idx="62">
                  <c:v>34850</c:v>
                </c:pt>
                <c:pt idx="63">
                  <c:v>34880</c:v>
                </c:pt>
                <c:pt idx="64">
                  <c:v>34911</c:v>
                </c:pt>
                <c:pt idx="65">
                  <c:v>34942</c:v>
                </c:pt>
                <c:pt idx="66">
                  <c:v>34972</c:v>
                </c:pt>
                <c:pt idx="67">
                  <c:v>35003</c:v>
                </c:pt>
                <c:pt idx="68">
                  <c:v>35033</c:v>
                </c:pt>
                <c:pt idx="69">
                  <c:v>35064</c:v>
                </c:pt>
                <c:pt idx="70">
                  <c:v>35095</c:v>
                </c:pt>
                <c:pt idx="71">
                  <c:v>35124</c:v>
                </c:pt>
                <c:pt idx="72">
                  <c:v>35155</c:v>
                </c:pt>
                <c:pt idx="73">
                  <c:v>35185</c:v>
                </c:pt>
                <c:pt idx="74">
                  <c:v>35216</c:v>
                </c:pt>
                <c:pt idx="75">
                  <c:v>35246</c:v>
                </c:pt>
                <c:pt idx="76">
                  <c:v>35277</c:v>
                </c:pt>
                <c:pt idx="77">
                  <c:v>35308</c:v>
                </c:pt>
                <c:pt idx="78">
                  <c:v>35338</c:v>
                </c:pt>
                <c:pt idx="79">
                  <c:v>35369</c:v>
                </c:pt>
                <c:pt idx="80">
                  <c:v>35399</c:v>
                </c:pt>
                <c:pt idx="81">
                  <c:v>35430</c:v>
                </c:pt>
                <c:pt idx="82">
                  <c:v>35461</c:v>
                </c:pt>
                <c:pt idx="83">
                  <c:v>35489</c:v>
                </c:pt>
                <c:pt idx="84">
                  <c:v>35520</c:v>
                </c:pt>
                <c:pt idx="85">
                  <c:v>35550</c:v>
                </c:pt>
                <c:pt idx="86">
                  <c:v>35581</c:v>
                </c:pt>
                <c:pt idx="87">
                  <c:v>35611</c:v>
                </c:pt>
                <c:pt idx="88">
                  <c:v>35642</c:v>
                </c:pt>
                <c:pt idx="89">
                  <c:v>35673</c:v>
                </c:pt>
                <c:pt idx="90">
                  <c:v>35703</c:v>
                </c:pt>
                <c:pt idx="91">
                  <c:v>35734</c:v>
                </c:pt>
                <c:pt idx="92">
                  <c:v>35764</c:v>
                </c:pt>
                <c:pt idx="93">
                  <c:v>35795</c:v>
                </c:pt>
                <c:pt idx="94">
                  <c:v>35826</c:v>
                </c:pt>
                <c:pt idx="95">
                  <c:v>35854</c:v>
                </c:pt>
                <c:pt idx="96">
                  <c:v>35885</c:v>
                </c:pt>
                <c:pt idx="97">
                  <c:v>35915</c:v>
                </c:pt>
                <c:pt idx="98">
                  <c:v>35946</c:v>
                </c:pt>
                <c:pt idx="99">
                  <c:v>35976</c:v>
                </c:pt>
                <c:pt idx="100">
                  <c:v>36007</c:v>
                </c:pt>
                <c:pt idx="101">
                  <c:v>36038</c:v>
                </c:pt>
                <c:pt idx="102">
                  <c:v>36068</c:v>
                </c:pt>
                <c:pt idx="103">
                  <c:v>36099</c:v>
                </c:pt>
                <c:pt idx="104">
                  <c:v>36129</c:v>
                </c:pt>
                <c:pt idx="105">
                  <c:v>36160</c:v>
                </c:pt>
                <c:pt idx="106">
                  <c:v>36191</c:v>
                </c:pt>
                <c:pt idx="107">
                  <c:v>36219</c:v>
                </c:pt>
                <c:pt idx="108">
                  <c:v>36250</c:v>
                </c:pt>
                <c:pt idx="109">
                  <c:v>36280</c:v>
                </c:pt>
                <c:pt idx="110">
                  <c:v>36311</c:v>
                </c:pt>
                <c:pt idx="111">
                  <c:v>36341</c:v>
                </c:pt>
                <c:pt idx="112">
                  <c:v>36372</c:v>
                </c:pt>
                <c:pt idx="113">
                  <c:v>36403</c:v>
                </c:pt>
                <c:pt idx="114">
                  <c:v>36433</c:v>
                </c:pt>
                <c:pt idx="115">
                  <c:v>36464</c:v>
                </c:pt>
                <c:pt idx="116">
                  <c:v>36494</c:v>
                </c:pt>
                <c:pt idx="117">
                  <c:v>36525</c:v>
                </c:pt>
                <c:pt idx="118">
                  <c:v>36556</c:v>
                </c:pt>
                <c:pt idx="119">
                  <c:v>36585</c:v>
                </c:pt>
                <c:pt idx="120">
                  <c:v>36616</c:v>
                </c:pt>
                <c:pt idx="121">
                  <c:v>36646</c:v>
                </c:pt>
                <c:pt idx="122">
                  <c:v>36677</c:v>
                </c:pt>
                <c:pt idx="123">
                  <c:v>36707</c:v>
                </c:pt>
                <c:pt idx="124">
                  <c:v>36738</c:v>
                </c:pt>
                <c:pt idx="125">
                  <c:v>36769</c:v>
                </c:pt>
                <c:pt idx="126">
                  <c:v>36799</c:v>
                </c:pt>
                <c:pt idx="127">
                  <c:v>36830</c:v>
                </c:pt>
                <c:pt idx="128">
                  <c:v>36860</c:v>
                </c:pt>
                <c:pt idx="129">
                  <c:v>36891</c:v>
                </c:pt>
                <c:pt idx="130">
                  <c:v>36922</c:v>
                </c:pt>
                <c:pt idx="131">
                  <c:v>36950</c:v>
                </c:pt>
                <c:pt idx="132">
                  <c:v>36981</c:v>
                </c:pt>
                <c:pt idx="133">
                  <c:v>37011</c:v>
                </c:pt>
                <c:pt idx="134">
                  <c:v>37042</c:v>
                </c:pt>
                <c:pt idx="135">
                  <c:v>37072</c:v>
                </c:pt>
                <c:pt idx="136">
                  <c:v>37103</c:v>
                </c:pt>
                <c:pt idx="137">
                  <c:v>37134</c:v>
                </c:pt>
                <c:pt idx="138">
                  <c:v>37164</c:v>
                </c:pt>
                <c:pt idx="139">
                  <c:v>37195</c:v>
                </c:pt>
                <c:pt idx="140">
                  <c:v>37225</c:v>
                </c:pt>
                <c:pt idx="141">
                  <c:v>37256</c:v>
                </c:pt>
                <c:pt idx="142">
                  <c:v>37287</c:v>
                </c:pt>
                <c:pt idx="143">
                  <c:v>37315</c:v>
                </c:pt>
                <c:pt idx="144">
                  <c:v>37346</c:v>
                </c:pt>
                <c:pt idx="145">
                  <c:v>37376</c:v>
                </c:pt>
                <c:pt idx="146">
                  <c:v>37407</c:v>
                </c:pt>
                <c:pt idx="147">
                  <c:v>37437</c:v>
                </c:pt>
                <c:pt idx="148">
                  <c:v>37468</c:v>
                </c:pt>
                <c:pt idx="149">
                  <c:v>37499</c:v>
                </c:pt>
                <c:pt idx="150">
                  <c:v>37529</c:v>
                </c:pt>
                <c:pt idx="151">
                  <c:v>37560</c:v>
                </c:pt>
                <c:pt idx="152">
                  <c:v>37590</c:v>
                </c:pt>
                <c:pt idx="153">
                  <c:v>37621</c:v>
                </c:pt>
                <c:pt idx="154">
                  <c:v>37652</c:v>
                </c:pt>
                <c:pt idx="155">
                  <c:v>37680</c:v>
                </c:pt>
                <c:pt idx="156">
                  <c:v>37711</c:v>
                </c:pt>
                <c:pt idx="157">
                  <c:v>37741</c:v>
                </c:pt>
                <c:pt idx="158">
                  <c:v>37772</c:v>
                </c:pt>
                <c:pt idx="159">
                  <c:v>37802</c:v>
                </c:pt>
                <c:pt idx="160">
                  <c:v>37833</c:v>
                </c:pt>
                <c:pt idx="161">
                  <c:v>37864</c:v>
                </c:pt>
                <c:pt idx="162">
                  <c:v>37894</c:v>
                </c:pt>
                <c:pt idx="163">
                  <c:v>37925</c:v>
                </c:pt>
                <c:pt idx="164">
                  <c:v>37955</c:v>
                </c:pt>
                <c:pt idx="165">
                  <c:v>37986</c:v>
                </c:pt>
                <c:pt idx="166">
                  <c:v>38017</c:v>
                </c:pt>
                <c:pt idx="167">
                  <c:v>38046</c:v>
                </c:pt>
                <c:pt idx="168">
                  <c:v>38077</c:v>
                </c:pt>
                <c:pt idx="169">
                  <c:v>38107</c:v>
                </c:pt>
                <c:pt idx="170">
                  <c:v>38138</c:v>
                </c:pt>
                <c:pt idx="171">
                  <c:v>38168</c:v>
                </c:pt>
                <c:pt idx="172">
                  <c:v>38199</c:v>
                </c:pt>
                <c:pt idx="173">
                  <c:v>38230</c:v>
                </c:pt>
                <c:pt idx="174">
                  <c:v>38260</c:v>
                </c:pt>
                <c:pt idx="175">
                  <c:v>38291</c:v>
                </c:pt>
                <c:pt idx="176">
                  <c:v>38321</c:v>
                </c:pt>
                <c:pt idx="177">
                  <c:v>38352</c:v>
                </c:pt>
                <c:pt idx="178">
                  <c:v>38383</c:v>
                </c:pt>
                <c:pt idx="179">
                  <c:v>38411</c:v>
                </c:pt>
                <c:pt idx="180">
                  <c:v>38442</c:v>
                </c:pt>
                <c:pt idx="181">
                  <c:v>38472</c:v>
                </c:pt>
                <c:pt idx="182">
                  <c:v>38503</c:v>
                </c:pt>
                <c:pt idx="183">
                  <c:v>38533</c:v>
                </c:pt>
                <c:pt idx="184">
                  <c:v>38564</c:v>
                </c:pt>
                <c:pt idx="185">
                  <c:v>38595</c:v>
                </c:pt>
                <c:pt idx="186">
                  <c:v>38625</c:v>
                </c:pt>
                <c:pt idx="187">
                  <c:v>38656</c:v>
                </c:pt>
                <c:pt idx="188">
                  <c:v>38686</c:v>
                </c:pt>
                <c:pt idx="189">
                  <c:v>38717</c:v>
                </c:pt>
                <c:pt idx="190">
                  <c:v>38748</c:v>
                </c:pt>
                <c:pt idx="191">
                  <c:v>38776</c:v>
                </c:pt>
                <c:pt idx="192">
                  <c:v>38807</c:v>
                </c:pt>
                <c:pt idx="193">
                  <c:v>38837</c:v>
                </c:pt>
                <c:pt idx="194">
                  <c:v>38868</c:v>
                </c:pt>
                <c:pt idx="195">
                  <c:v>38898</c:v>
                </c:pt>
                <c:pt idx="196">
                  <c:v>38929</c:v>
                </c:pt>
                <c:pt idx="197">
                  <c:v>38960</c:v>
                </c:pt>
                <c:pt idx="198">
                  <c:v>38990</c:v>
                </c:pt>
                <c:pt idx="199">
                  <c:v>39021</c:v>
                </c:pt>
                <c:pt idx="200">
                  <c:v>39051</c:v>
                </c:pt>
                <c:pt idx="201">
                  <c:v>39082</c:v>
                </c:pt>
                <c:pt idx="202">
                  <c:v>39113</c:v>
                </c:pt>
                <c:pt idx="203">
                  <c:v>39141</c:v>
                </c:pt>
                <c:pt idx="204">
                  <c:v>39172</c:v>
                </c:pt>
                <c:pt idx="205">
                  <c:v>39202</c:v>
                </c:pt>
                <c:pt idx="206">
                  <c:v>39233</c:v>
                </c:pt>
                <c:pt idx="207">
                  <c:v>39263</c:v>
                </c:pt>
                <c:pt idx="208">
                  <c:v>39294</c:v>
                </c:pt>
                <c:pt idx="209">
                  <c:v>39325</c:v>
                </c:pt>
                <c:pt idx="210">
                  <c:v>39355</c:v>
                </c:pt>
                <c:pt idx="211">
                  <c:v>39386</c:v>
                </c:pt>
                <c:pt idx="212">
                  <c:v>39416</c:v>
                </c:pt>
                <c:pt idx="213">
                  <c:v>39447</c:v>
                </c:pt>
                <c:pt idx="214">
                  <c:v>39478</c:v>
                </c:pt>
                <c:pt idx="215">
                  <c:v>39507</c:v>
                </c:pt>
                <c:pt idx="216">
                  <c:v>39538</c:v>
                </c:pt>
                <c:pt idx="217">
                  <c:v>39568</c:v>
                </c:pt>
                <c:pt idx="218">
                  <c:v>39599</c:v>
                </c:pt>
                <c:pt idx="219">
                  <c:v>39629</c:v>
                </c:pt>
                <c:pt idx="220">
                  <c:v>39660</c:v>
                </c:pt>
                <c:pt idx="221">
                  <c:v>39691</c:v>
                </c:pt>
                <c:pt idx="222">
                  <c:v>39721</c:v>
                </c:pt>
                <c:pt idx="223">
                  <c:v>39752</c:v>
                </c:pt>
                <c:pt idx="224">
                  <c:v>39782</c:v>
                </c:pt>
                <c:pt idx="225">
                  <c:v>39813</c:v>
                </c:pt>
                <c:pt idx="226">
                  <c:v>39844</c:v>
                </c:pt>
                <c:pt idx="227">
                  <c:v>39872</c:v>
                </c:pt>
                <c:pt idx="228">
                  <c:v>39903</c:v>
                </c:pt>
                <c:pt idx="229">
                  <c:v>39933</c:v>
                </c:pt>
                <c:pt idx="230">
                  <c:v>39964</c:v>
                </c:pt>
                <c:pt idx="231">
                  <c:v>39994</c:v>
                </c:pt>
                <c:pt idx="232">
                  <c:v>40025</c:v>
                </c:pt>
                <c:pt idx="233">
                  <c:v>40056</c:v>
                </c:pt>
                <c:pt idx="234">
                  <c:v>40086</c:v>
                </c:pt>
                <c:pt idx="235">
                  <c:v>40117</c:v>
                </c:pt>
                <c:pt idx="236">
                  <c:v>40147</c:v>
                </c:pt>
                <c:pt idx="237">
                  <c:v>40178</c:v>
                </c:pt>
                <c:pt idx="238">
                  <c:v>40209</c:v>
                </c:pt>
                <c:pt idx="239">
                  <c:v>40237</c:v>
                </c:pt>
                <c:pt idx="240">
                  <c:v>40268</c:v>
                </c:pt>
                <c:pt idx="241">
                  <c:v>40298</c:v>
                </c:pt>
                <c:pt idx="242">
                  <c:v>40329</c:v>
                </c:pt>
                <c:pt idx="243">
                  <c:v>40359</c:v>
                </c:pt>
                <c:pt idx="244">
                  <c:v>40390</c:v>
                </c:pt>
                <c:pt idx="245">
                  <c:v>40421</c:v>
                </c:pt>
                <c:pt idx="246">
                  <c:v>40451</c:v>
                </c:pt>
                <c:pt idx="247">
                  <c:v>40482</c:v>
                </c:pt>
                <c:pt idx="248">
                  <c:v>40512</c:v>
                </c:pt>
                <c:pt idx="249">
                  <c:v>40543</c:v>
                </c:pt>
                <c:pt idx="250">
                  <c:v>40574</c:v>
                </c:pt>
                <c:pt idx="251">
                  <c:v>40602</c:v>
                </c:pt>
                <c:pt idx="252">
                  <c:v>40633</c:v>
                </c:pt>
                <c:pt idx="253">
                  <c:v>40663</c:v>
                </c:pt>
                <c:pt idx="254">
                  <c:v>40694</c:v>
                </c:pt>
                <c:pt idx="255">
                  <c:v>40724</c:v>
                </c:pt>
                <c:pt idx="256">
                  <c:v>40755</c:v>
                </c:pt>
                <c:pt idx="257">
                  <c:v>40786</c:v>
                </c:pt>
                <c:pt idx="258">
                  <c:v>40816</c:v>
                </c:pt>
                <c:pt idx="259">
                  <c:v>40847</c:v>
                </c:pt>
                <c:pt idx="260">
                  <c:v>40877</c:v>
                </c:pt>
                <c:pt idx="261">
                  <c:v>40908</c:v>
                </c:pt>
                <c:pt idx="262">
                  <c:v>40939</c:v>
                </c:pt>
                <c:pt idx="263">
                  <c:v>40968</c:v>
                </c:pt>
                <c:pt idx="264">
                  <c:v>40999</c:v>
                </c:pt>
                <c:pt idx="265">
                  <c:v>41029</c:v>
                </c:pt>
                <c:pt idx="266">
                  <c:v>41060</c:v>
                </c:pt>
                <c:pt idx="267">
                  <c:v>41090</c:v>
                </c:pt>
                <c:pt idx="268">
                  <c:v>41121</c:v>
                </c:pt>
                <c:pt idx="269">
                  <c:v>41152</c:v>
                </c:pt>
                <c:pt idx="270">
                  <c:v>41182</c:v>
                </c:pt>
                <c:pt idx="271">
                  <c:v>41213</c:v>
                </c:pt>
                <c:pt idx="272">
                  <c:v>41243</c:v>
                </c:pt>
                <c:pt idx="273">
                  <c:v>41274</c:v>
                </c:pt>
                <c:pt idx="274">
                  <c:v>41305</c:v>
                </c:pt>
                <c:pt idx="275">
                  <c:v>41333</c:v>
                </c:pt>
                <c:pt idx="276">
                  <c:v>41364</c:v>
                </c:pt>
                <c:pt idx="277">
                  <c:v>41394</c:v>
                </c:pt>
                <c:pt idx="278">
                  <c:v>41425</c:v>
                </c:pt>
                <c:pt idx="279">
                  <c:v>41455</c:v>
                </c:pt>
                <c:pt idx="280">
                  <c:v>41486</c:v>
                </c:pt>
                <c:pt idx="281">
                  <c:v>41517</c:v>
                </c:pt>
                <c:pt idx="282">
                  <c:v>41547</c:v>
                </c:pt>
                <c:pt idx="283">
                  <c:v>41578</c:v>
                </c:pt>
                <c:pt idx="284">
                  <c:v>41608</c:v>
                </c:pt>
                <c:pt idx="285">
                  <c:v>41639</c:v>
                </c:pt>
                <c:pt idx="286">
                  <c:v>41670</c:v>
                </c:pt>
                <c:pt idx="287">
                  <c:v>41698</c:v>
                </c:pt>
                <c:pt idx="288">
                  <c:v>41729</c:v>
                </c:pt>
                <c:pt idx="289">
                  <c:v>41759</c:v>
                </c:pt>
                <c:pt idx="290">
                  <c:v>41790</c:v>
                </c:pt>
                <c:pt idx="291">
                  <c:v>41820</c:v>
                </c:pt>
                <c:pt idx="292">
                  <c:v>41851</c:v>
                </c:pt>
                <c:pt idx="293">
                  <c:v>41882</c:v>
                </c:pt>
                <c:pt idx="294">
                  <c:v>41912</c:v>
                </c:pt>
                <c:pt idx="295">
                  <c:v>41943</c:v>
                </c:pt>
                <c:pt idx="296">
                  <c:v>41973</c:v>
                </c:pt>
                <c:pt idx="297">
                  <c:v>42004</c:v>
                </c:pt>
                <c:pt idx="298">
                  <c:v>42035</c:v>
                </c:pt>
                <c:pt idx="299">
                  <c:v>42063</c:v>
                </c:pt>
                <c:pt idx="300">
                  <c:v>42094</c:v>
                </c:pt>
                <c:pt idx="301">
                  <c:v>42124</c:v>
                </c:pt>
                <c:pt idx="302">
                  <c:v>42155</c:v>
                </c:pt>
                <c:pt idx="303">
                  <c:v>42185</c:v>
                </c:pt>
                <c:pt idx="304">
                  <c:v>42216</c:v>
                </c:pt>
                <c:pt idx="305">
                  <c:v>42247</c:v>
                </c:pt>
                <c:pt idx="306">
                  <c:v>42277</c:v>
                </c:pt>
                <c:pt idx="307">
                  <c:v>42308</c:v>
                </c:pt>
                <c:pt idx="308">
                  <c:v>42338</c:v>
                </c:pt>
                <c:pt idx="309">
                  <c:v>42369</c:v>
                </c:pt>
                <c:pt idx="310">
                  <c:v>42400</c:v>
                </c:pt>
                <c:pt idx="311">
                  <c:v>42429</c:v>
                </c:pt>
                <c:pt idx="312">
                  <c:v>42460</c:v>
                </c:pt>
                <c:pt idx="313">
                  <c:v>42490</c:v>
                </c:pt>
                <c:pt idx="314">
                  <c:v>42521</c:v>
                </c:pt>
                <c:pt idx="315">
                  <c:v>42551</c:v>
                </c:pt>
                <c:pt idx="316">
                  <c:v>42582</c:v>
                </c:pt>
                <c:pt idx="317">
                  <c:v>42613</c:v>
                </c:pt>
                <c:pt idx="318">
                  <c:v>42643</c:v>
                </c:pt>
                <c:pt idx="319">
                  <c:v>42674</c:v>
                </c:pt>
                <c:pt idx="320">
                  <c:v>42704</c:v>
                </c:pt>
                <c:pt idx="321">
                  <c:v>42735</c:v>
                </c:pt>
                <c:pt idx="322">
                  <c:v>42766</c:v>
                </c:pt>
                <c:pt idx="323">
                  <c:v>42794</c:v>
                </c:pt>
                <c:pt idx="324">
                  <c:v>42825</c:v>
                </c:pt>
                <c:pt idx="325">
                  <c:v>42855</c:v>
                </c:pt>
                <c:pt idx="326">
                  <c:v>42886</c:v>
                </c:pt>
                <c:pt idx="327">
                  <c:v>42916</c:v>
                </c:pt>
                <c:pt idx="328">
                  <c:v>42947</c:v>
                </c:pt>
                <c:pt idx="329">
                  <c:v>42978</c:v>
                </c:pt>
                <c:pt idx="330">
                  <c:v>43008</c:v>
                </c:pt>
                <c:pt idx="331">
                  <c:v>43039</c:v>
                </c:pt>
                <c:pt idx="332">
                  <c:v>43069</c:v>
                </c:pt>
                <c:pt idx="333">
                  <c:v>43100</c:v>
                </c:pt>
                <c:pt idx="334">
                  <c:v>43131</c:v>
                </c:pt>
                <c:pt idx="335">
                  <c:v>43159</c:v>
                </c:pt>
                <c:pt idx="336">
                  <c:v>43190</c:v>
                </c:pt>
                <c:pt idx="337">
                  <c:v>43220</c:v>
                </c:pt>
                <c:pt idx="338">
                  <c:v>43251</c:v>
                </c:pt>
                <c:pt idx="339">
                  <c:v>43281</c:v>
                </c:pt>
                <c:pt idx="340">
                  <c:v>43312</c:v>
                </c:pt>
                <c:pt idx="341">
                  <c:v>43343</c:v>
                </c:pt>
                <c:pt idx="342">
                  <c:v>43373</c:v>
                </c:pt>
                <c:pt idx="343">
                  <c:v>43404</c:v>
                </c:pt>
                <c:pt idx="344">
                  <c:v>43434</c:v>
                </c:pt>
                <c:pt idx="345">
                  <c:v>43465</c:v>
                </c:pt>
                <c:pt idx="346">
                  <c:v>43496</c:v>
                </c:pt>
                <c:pt idx="347">
                  <c:v>43524</c:v>
                </c:pt>
                <c:pt idx="348">
                  <c:v>43555</c:v>
                </c:pt>
                <c:pt idx="349">
                  <c:v>43585</c:v>
                </c:pt>
                <c:pt idx="350">
                  <c:v>43616</c:v>
                </c:pt>
                <c:pt idx="351">
                  <c:v>43646</c:v>
                </c:pt>
                <c:pt idx="352">
                  <c:v>43677</c:v>
                </c:pt>
                <c:pt idx="353">
                  <c:v>43708</c:v>
                </c:pt>
                <c:pt idx="354">
                  <c:v>43738</c:v>
                </c:pt>
                <c:pt idx="355">
                  <c:v>43769</c:v>
                </c:pt>
                <c:pt idx="356">
                  <c:v>43799</c:v>
                </c:pt>
                <c:pt idx="357">
                  <c:v>43830</c:v>
                </c:pt>
                <c:pt idx="358">
                  <c:v>43861</c:v>
                </c:pt>
                <c:pt idx="359">
                  <c:v>43890</c:v>
                </c:pt>
                <c:pt idx="360">
                  <c:v>43921</c:v>
                </c:pt>
                <c:pt idx="361">
                  <c:v>43951</c:v>
                </c:pt>
                <c:pt idx="362">
                  <c:v>43982</c:v>
                </c:pt>
                <c:pt idx="363">
                  <c:v>44012</c:v>
                </c:pt>
                <c:pt idx="364">
                  <c:v>44043</c:v>
                </c:pt>
                <c:pt idx="365">
                  <c:v>44074</c:v>
                </c:pt>
                <c:pt idx="366">
                  <c:v>44104</c:v>
                </c:pt>
                <c:pt idx="367">
                  <c:v>44135</c:v>
                </c:pt>
                <c:pt idx="368">
                  <c:v>44165</c:v>
                </c:pt>
                <c:pt idx="369">
                  <c:v>44196</c:v>
                </c:pt>
                <c:pt idx="370">
                  <c:v>44227</c:v>
                </c:pt>
                <c:pt idx="371">
                  <c:v>44255</c:v>
                </c:pt>
                <c:pt idx="372">
                  <c:v>44286</c:v>
                </c:pt>
                <c:pt idx="373">
                  <c:v>44316</c:v>
                </c:pt>
                <c:pt idx="374">
                  <c:v>44347</c:v>
                </c:pt>
                <c:pt idx="375">
                  <c:v>44377</c:v>
                </c:pt>
                <c:pt idx="376">
                  <c:v>44408</c:v>
                </c:pt>
                <c:pt idx="377">
                  <c:v>44439</c:v>
                </c:pt>
                <c:pt idx="378">
                  <c:v>44469</c:v>
                </c:pt>
                <c:pt idx="379">
                  <c:v>44500</c:v>
                </c:pt>
                <c:pt idx="380">
                  <c:v>44530</c:v>
                </c:pt>
                <c:pt idx="381">
                  <c:v>44561</c:v>
                </c:pt>
                <c:pt idx="382">
                  <c:v>44592</c:v>
                </c:pt>
                <c:pt idx="383">
                  <c:v>44620</c:v>
                </c:pt>
                <c:pt idx="384">
                  <c:v>44651</c:v>
                </c:pt>
                <c:pt idx="385">
                  <c:v>44681</c:v>
                </c:pt>
                <c:pt idx="386">
                  <c:v>44712</c:v>
                </c:pt>
                <c:pt idx="387">
                  <c:v>44742</c:v>
                </c:pt>
                <c:pt idx="388">
                  <c:v>44773</c:v>
                </c:pt>
                <c:pt idx="389">
                  <c:v>44804</c:v>
                </c:pt>
                <c:pt idx="390">
                  <c:v>44834</c:v>
                </c:pt>
                <c:pt idx="391">
                  <c:v>44865</c:v>
                </c:pt>
                <c:pt idx="392">
                  <c:v>44895</c:v>
                </c:pt>
                <c:pt idx="393">
                  <c:v>44926</c:v>
                </c:pt>
                <c:pt idx="394">
                  <c:v>44957</c:v>
                </c:pt>
                <c:pt idx="395">
                  <c:v>44985</c:v>
                </c:pt>
                <c:pt idx="396">
                  <c:v>45016</c:v>
                </c:pt>
                <c:pt idx="397">
                  <c:v>45046</c:v>
                </c:pt>
                <c:pt idx="398">
                  <c:v>45077</c:v>
                </c:pt>
                <c:pt idx="399">
                  <c:v>45107</c:v>
                </c:pt>
                <c:pt idx="400">
                  <c:v>45138</c:v>
                </c:pt>
                <c:pt idx="401">
                  <c:v>45169</c:v>
                </c:pt>
                <c:pt idx="402">
                  <c:v>45199</c:v>
                </c:pt>
                <c:pt idx="403">
                  <c:v>45230</c:v>
                </c:pt>
                <c:pt idx="404">
                  <c:v>45260</c:v>
                </c:pt>
                <c:pt idx="405">
                  <c:v>45291</c:v>
                </c:pt>
                <c:pt idx="406">
                  <c:v>45322</c:v>
                </c:pt>
                <c:pt idx="407">
                  <c:v>45351</c:v>
                </c:pt>
                <c:pt idx="408">
                  <c:v>45382</c:v>
                </c:pt>
                <c:pt idx="409">
                  <c:v>45412</c:v>
                </c:pt>
                <c:pt idx="410">
                  <c:v>45443</c:v>
                </c:pt>
                <c:pt idx="411">
                  <c:v>45473</c:v>
                </c:pt>
                <c:pt idx="412">
                  <c:v>45504</c:v>
                </c:pt>
                <c:pt idx="413">
                  <c:v>45534</c:v>
                </c:pt>
                <c:pt idx="414">
                  <c:v>45565</c:v>
                </c:pt>
                <c:pt idx="415">
                  <c:v>45596</c:v>
                </c:pt>
                <c:pt idx="416">
                  <c:v>45626</c:v>
                </c:pt>
                <c:pt idx="417">
                  <c:v>45657</c:v>
                </c:pt>
                <c:pt idx="418">
                  <c:v>45688</c:v>
                </c:pt>
                <c:pt idx="419">
                  <c:v>45716</c:v>
                </c:pt>
              </c:numCache>
            </c:numRef>
          </c:cat>
          <c:val>
            <c:numRef>
              <c:f>US!$AH$5:$AH$450</c:f>
              <c:numCache>
                <c:formatCode>General</c:formatCode>
                <c:ptCount val="44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-0.41870143285912181</c:v>
                </c:pt>
                <c:pt idx="14">
                  <c:v>-0.24296003653972656</c:v>
                </c:pt>
                <c:pt idx="15">
                  <c:v>-0.14098768680772267</c:v>
                </c:pt>
                <c:pt idx="16">
                  <c:v>-4.5399164703885331E-2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-0.66044177246073843</c:v>
                </c:pt>
                <c:pt idx="141">
                  <c:v>-0.6264333054912461</c:v>
                </c:pt>
                <c:pt idx="142">
                  <c:v>-0.53711940024442273</c:v>
                </c:pt>
                <c:pt idx="143">
                  <c:v>-0.47993182094748954</c:v>
                </c:pt>
                <c:pt idx="144">
                  <c:v>-0.39618149993200047</c:v>
                </c:pt>
                <c:pt idx="145">
                  <c:v>-0.31417170063319855</c:v>
                </c:pt>
                <c:pt idx="146">
                  <c:v>-0.22978053958910055</c:v>
                </c:pt>
                <c:pt idx="147">
                  <c:v>-0.20011373830620693</c:v>
                </c:pt>
                <c:pt idx="148">
                  <c:v>-0.24669129811621068</c:v>
                </c:pt>
                <c:pt idx="149">
                  <c:v>#N/A</c:v>
                </c:pt>
                <c:pt idx="150">
                  <c:v>#N/A</c:v>
                </c:pt>
                <c:pt idx="151">
                  <c:v>-0.4917122123131023</c:v>
                </c:pt>
                <c:pt idx="152">
                  <c:v>-0.44545572814221113</c:v>
                </c:pt>
                <c:pt idx="153">
                  <c:v>-0.44957396662869265</c:v>
                </c:pt>
                <c:pt idx="154">
                  <c:v>-0.41065178485401144</c:v>
                </c:pt>
                <c:pt idx="155">
                  <c:v>#N/A</c:v>
                </c:pt>
                <c:pt idx="156">
                  <c:v>-0.47231712568432571</c:v>
                </c:pt>
                <c:pt idx="157">
                  <c:v>-0.45720958191854527</c:v>
                </c:pt>
                <c:pt idx="158">
                  <c:v>-0.40232418135860942</c:v>
                </c:pt>
                <c:pt idx="159">
                  <c:v>-0.33510549497163578</c:v>
                </c:pt>
                <c:pt idx="160">
                  <c:v>-0.10967288135219358</c:v>
                </c:pt>
                <c:pt idx="161">
                  <c:v>-4.8162738348636588E-2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-1.7849639860088202</c:v>
                </c:pt>
                <c:pt idx="228">
                  <c:v>-1.7776471652162993</c:v>
                </c:pt>
                <c:pt idx="229">
                  <c:v>-1.7354171154719196</c:v>
                </c:pt>
                <c:pt idx="230">
                  <c:v>-1.6647166195628258</c:v>
                </c:pt>
                <c:pt idx="231">
                  <c:v>-1.5849920003661946</c:v>
                </c:pt>
                <c:pt idx="232">
                  <c:v>-1.4596666104091232</c:v>
                </c:pt>
                <c:pt idx="233">
                  <c:v>-1.2905777116462902</c:v>
                </c:pt>
                <c:pt idx="234">
                  <c:v>-1.1232987524625422</c:v>
                </c:pt>
                <c:pt idx="235">
                  <c:v>-0.98229188667102618</c:v>
                </c:pt>
                <c:pt idx="236">
                  <c:v>-0.8138660723601655</c:v>
                </c:pt>
                <c:pt idx="237">
                  <c:v>-0.64902622518078612</c:v>
                </c:pt>
                <c:pt idx="238">
                  <c:v>-0.52133904640637363</c:v>
                </c:pt>
                <c:pt idx="239">
                  <c:v>-0.23891247845685309</c:v>
                </c:pt>
                <c:pt idx="240">
                  <c:v>-6.7459360505740862E-2</c:v>
                </c:pt>
                <c:pt idx="241">
                  <c:v>#N/A</c:v>
                </c:pt>
                <c:pt idx="242">
                  <c:v>#N/A</c:v>
                </c:pt>
                <c:pt idx="243">
                  <c:v>-9.8127822520947705E-2</c:v>
                </c:pt>
                <c:pt idx="244">
                  <c:v>-9.6925118392241189E-2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-0.26580831028718965</c:v>
                </c:pt>
                <c:pt idx="259">
                  <c:v>-0.25851528802516227</c:v>
                </c:pt>
                <c:pt idx="260">
                  <c:v>-0.27482015652435687</c:v>
                </c:pt>
                <c:pt idx="261">
                  <c:v>-0.25852136913162016</c:v>
                </c:pt>
                <c:pt idx="262">
                  <c:v>-0.2064697610673539</c:v>
                </c:pt>
                <c:pt idx="263">
                  <c:v>-0.18894680615799225</c:v>
                </c:pt>
                <c:pt idx="264">
                  <c:v>-0.19037434304983719</c:v>
                </c:pt>
                <c:pt idx="265">
                  <c:v>-1.1826769246228261E-2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-0.17138842200922805</c:v>
                </c:pt>
                <c:pt idx="270">
                  <c:v>-0.12420709582750716</c:v>
                </c:pt>
                <c:pt idx="271">
                  <c:v>-6.0603670334849438E-2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-8.4816453337346165E-2</c:v>
                </c:pt>
                <c:pt idx="314">
                  <c:v>-7.2675868227111626E-2</c:v>
                </c:pt>
                <c:pt idx="315">
                  <c:v>-4.2964085782384781E-2</c:v>
                </c:pt>
                <c:pt idx="316">
                  <c:v>-2.3125949743496032E-2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-1.1879401074180371</c:v>
                </c:pt>
                <c:pt idx="363">
                  <c:v>-0.97523422069122134</c:v>
                </c:pt>
                <c:pt idx="364">
                  <c:v>-0.28511937075117072</c:v>
                </c:pt>
                <c:pt idx="365">
                  <c:v>-6.9867527664886853E-2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-0.2345410715077178</c:v>
                </c:pt>
                <c:pt idx="394">
                  <c:v>-0.17520443976438185</c:v>
                </c:pt>
                <c:pt idx="395">
                  <c:v>-0.1666881128406239</c:v>
                </c:pt>
                <c:pt idx="396">
                  <c:v>#N/A</c:v>
                </c:pt>
                <c:pt idx="397">
                  <c:v>#N/A</c:v>
                </c:pt>
                <c:pt idx="398">
                  <c:v>-0.29581729428498599</c:v>
                </c:pt>
                <c:pt idx="399">
                  <c:v>-0.29294741586831041</c:v>
                </c:pt>
                <c:pt idx="400">
                  <c:v>-0.18982285090533624</c:v>
                </c:pt>
                <c:pt idx="401">
                  <c:v>-0.14136988794276995</c:v>
                </c:pt>
                <c:pt idx="402">
                  <c:v>-0.15145698965180779</c:v>
                </c:pt>
                <c:pt idx="403">
                  <c:v>-0.21190400282831531</c:v>
                </c:pt>
                <c:pt idx="404">
                  <c:v>-0.13782401679497272</c:v>
                </c:pt>
                <c:pt idx="405">
                  <c:v>-0.10132184678113274</c:v>
                </c:pt>
                <c:pt idx="406">
                  <c:v>-8.7860304084873581E-2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6F4-47D9-A1DF-9A23B0EF7B11}"/>
            </c:ext>
          </c:extLst>
        </c:ser>
        <c:ser>
          <c:idx val="4"/>
          <c:order val="4"/>
          <c:tx>
            <c:v>Reference</c:v>
          </c:tx>
          <c:spPr>
            <a:ln w="28575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US!$AA$5:$AA$418</c:f>
              <c:numCache>
                <c:formatCode>General</c:formatCode>
                <c:ptCount val="4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6F4-47D9-A1DF-9A23B0EF7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9180943"/>
        <c:axId val="839183855"/>
      </c:lineChart>
      <c:lineChart>
        <c:grouping val="standard"/>
        <c:varyColors val="0"/>
        <c:ser>
          <c:idx val="5"/>
          <c:order val="5"/>
          <c:tx>
            <c:v>Eco Surprise</c:v>
          </c:tx>
          <c:spPr>
            <a:ln w="28575" cap="rnd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US!$AB$5:$AB$449</c:f>
              <c:numCache>
                <c:formatCode>General</c:formatCode>
                <c:ptCount val="4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-7.9</c:v>
                </c:pt>
                <c:pt idx="155">
                  <c:v>-37.5</c:v>
                </c:pt>
                <c:pt idx="156">
                  <c:v>-91.7</c:v>
                </c:pt>
                <c:pt idx="157">
                  <c:v>-41.9</c:v>
                </c:pt>
                <c:pt idx="158">
                  <c:v>-43.2</c:v>
                </c:pt>
                <c:pt idx="159">
                  <c:v>17.899999999999999</c:v>
                </c:pt>
                <c:pt idx="160">
                  <c:v>16.100000000000001</c:v>
                </c:pt>
                <c:pt idx="161">
                  <c:v>68.3</c:v>
                </c:pt>
                <c:pt idx="162">
                  <c:v>29.5</c:v>
                </c:pt>
                <c:pt idx="163">
                  <c:v>62.1</c:v>
                </c:pt>
                <c:pt idx="164">
                  <c:v>79.5</c:v>
                </c:pt>
                <c:pt idx="165">
                  <c:v>62</c:v>
                </c:pt>
                <c:pt idx="166">
                  <c:v>37.1</c:v>
                </c:pt>
                <c:pt idx="167">
                  <c:v>-17</c:v>
                </c:pt>
                <c:pt idx="168">
                  <c:v>-44.7</c:v>
                </c:pt>
                <c:pt idx="169">
                  <c:v>30.7</c:v>
                </c:pt>
                <c:pt idx="170">
                  <c:v>43.5</c:v>
                </c:pt>
                <c:pt idx="171">
                  <c:v>15.8</c:v>
                </c:pt>
                <c:pt idx="172">
                  <c:v>-18.7</c:v>
                </c:pt>
                <c:pt idx="173">
                  <c:v>-102.1</c:v>
                </c:pt>
                <c:pt idx="174">
                  <c:v>-81.3</c:v>
                </c:pt>
                <c:pt idx="175">
                  <c:v>-69.8</c:v>
                </c:pt>
                <c:pt idx="176">
                  <c:v>23.2</c:v>
                </c:pt>
                <c:pt idx="177">
                  <c:v>19.8</c:v>
                </c:pt>
                <c:pt idx="178">
                  <c:v>-17.2</c:v>
                </c:pt>
                <c:pt idx="179">
                  <c:v>-20</c:v>
                </c:pt>
                <c:pt idx="180">
                  <c:v>-7.8</c:v>
                </c:pt>
                <c:pt idx="181">
                  <c:v>10.4</c:v>
                </c:pt>
                <c:pt idx="182">
                  <c:v>17.2</c:v>
                </c:pt>
                <c:pt idx="183">
                  <c:v>-7</c:v>
                </c:pt>
                <c:pt idx="184">
                  <c:v>25</c:v>
                </c:pt>
                <c:pt idx="185">
                  <c:v>7.4</c:v>
                </c:pt>
                <c:pt idx="186">
                  <c:v>2.2999999999999998</c:v>
                </c:pt>
                <c:pt idx="187">
                  <c:v>17.399999999999999</c:v>
                </c:pt>
                <c:pt idx="188">
                  <c:v>73.5</c:v>
                </c:pt>
                <c:pt idx="189">
                  <c:v>44.9</c:v>
                </c:pt>
                <c:pt idx="190">
                  <c:v>-23</c:v>
                </c:pt>
                <c:pt idx="191">
                  <c:v>-55.4</c:v>
                </c:pt>
                <c:pt idx="192">
                  <c:v>-25.9</c:v>
                </c:pt>
                <c:pt idx="193">
                  <c:v>37.200000000000003</c:v>
                </c:pt>
                <c:pt idx="194">
                  <c:v>52.4</c:v>
                </c:pt>
                <c:pt idx="195">
                  <c:v>43.8</c:v>
                </c:pt>
                <c:pt idx="196">
                  <c:v>-2.2000000000000002</c:v>
                </c:pt>
                <c:pt idx="197">
                  <c:v>-7.6</c:v>
                </c:pt>
                <c:pt idx="198">
                  <c:v>-42.7</c:v>
                </c:pt>
                <c:pt idx="199">
                  <c:v>-52.6</c:v>
                </c:pt>
                <c:pt idx="200">
                  <c:v>-54.9</c:v>
                </c:pt>
                <c:pt idx="201">
                  <c:v>22</c:v>
                </c:pt>
                <c:pt idx="202">
                  <c:v>73.099999999999994</c:v>
                </c:pt>
                <c:pt idx="203">
                  <c:v>25.5</c:v>
                </c:pt>
                <c:pt idx="204">
                  <c:v>-14.1</c:v>
                </c:pt>
                <c:pt idx="205">
                  <c:v>-26.8</c:v>
                </c:pt>
                <c:pt idx="206">
                  <c:v>3.1</c:v>
                </c:pt>
                <c:pt idx="207">
                  <c:v>38.799999999999997</c:v>
                </c:pt>
                <c:pt idx="208">
                  <c:v>66.5</c:v>
                </c:pt>
                <c:pt idx="209">
                  <c:v>59.1</c:v>
                </c:pt>
                <c:pt idx="210">
                  <c:v>-12.6</c:v>
                </c:pt>
                <c:pt idx="211">
                  <c:v>-36.6</c:v>
                </c:pt>
                <c:pt idx="212">
                  <c:v>-39.9</c:v>
                </c:pt>
                <c:pt idx="213">
                  <c:v>24.6</c:v>
                </c:pt>
                <c:pt idx="214">
                  <c:v>-20.399999999999999</c:v>
                </c:pt>
                <c:pt idx="215">
                  <c:v>-64.599999999999994</c:v>
                </c:pt>
                <c:pt idx="216">
                  <c:v>-89.9</c:v>
                </c:pt>
                <c:pt idx="217">
                  <c:v>-73.2</c:v>
                </c:pt>
                <c:pt idx="218">
                  <c:v>-11.4</c:v>
                </c:pt>
                <c:pt idx="219">
                  <c:v>9.3000000000000007</c:v>
                </c:pt>
                <c:pt idx="220">
                  <c:v>23.4</c:v>
                </c:pt>
                <c:pt idx="221">
                  <c:v>51.9</c:v>
                </c:pt>
                <c:pt idx="222">
                  <c:v>27</c:v>
                </c:pt>
                <c:pt idx="223">
                  <c:v>-71.400000000000006</c:v>
                </c:pt>
                <c:pt idx="224">
                  <c:v>-117.6</c:v>
                </c:pt>
                <c:pt idx="225">
                  <c:v>-112.6</c:v>
                </c:pt>
                <c:pt idx="226">
                  <c:v>-65.900000000000006</c:v>
                </c:pt>
                <c:pt idx="227">
                  <c:v>-36.6</c:v>
                </c:pt>
                <c:pt idx="228">
                  <c:v>-11.2</c:v>
                </c:pt>
                <c:pt idx="229">
                  <c:v>11.5</c:v>
                </c:pt>
                <c:pt idx="230">
                  <c:v>59.9</c:v>
                </c:pt>
                <c:pt idx="231">
                  <c:v>44.7</c:v>
                </c:pt>
                <c:pt idx="232">
                  <c:v>30.9</c:v>
                </c:pt>
                <c:pt idx="233">
                  <c:v>66.599999999999994</c:v>
                </c:pt>
                <c:pt idx="234">
                  <c:v>48.5</c:v>
                </c:pt>
                <c:pt idx="235">
                  <c:v>22.6</c:v>
                </c:pt>
                <c:pt idx="236">
                  <c:v>-21.4</c:v>
                </c:pt>
                <c:pt idx="237">
                  <c:v>18.399999999999999</c:v>
                </c:pt>
                <c:pt idx="238">
                  <c:v>14.8</c:v>
                </c:pt>
                <c:pt idx="239">
                  <c:v>23.7</c:v>
                </c:pt>
                <c:pt idx="240">
                  <c:v>33.799999999999997</c:v>
                </c:pt>
                <c:pt idx="241">
                  <c:v>20.3</c:v>
                </c:pt>
                <c:pt idx="242">
                  <c:v>21.7</c:v>
                </c:pt>
                <c:pt idx="243">
                  <c:v>-35.9</c:v>
                </c:pt>
                <c:pt idx="244">
                  <c:v>-41.1</c:v>
                </c:pt>
                <c:pt idx="245">
                  <c:v>-53.1</c:v>
                </c:pt>
                <c:pt idx="246">
                  <c:v>-7.9</c:v>
                </c:pt>
                <c:pt idx="247">
                  <c:v>1.7</c:v>
                </c:pt>
                <c:pt idx="248">
                  <c:v>22.4</c:v>
                </c:pt>
                <c:pt idx="249">
                  <c:v>14.6</c:v>
                </c:pt>
                <c:pt idx="250">
                  <c:v>28.7</c:v>
                </c:pt>
                <c:pt idx="251">
                  <c:v>74.5</c:v>
                </c:pt>
                <c:pt idx="252">
                  <c:v>42.9</c:v>
                </c:pt>
                <c:pt idx="253">
                  <c:v>11.7</c:v>
                </c:pt>
                <c:pt idx="254">
                  <c:v>-71.400000000000006</c:v>
                </c:pt>
                <c:pt idx="255">
                  <c:v>-93.6</c:v>
                </c:pt>
                <c:pt idx="256">
                  <c:v>-91.4</c:v>
                </c:pt>
                <c:pt idx="257">
                  <c:v>-53.1</c:v>
                </c:pt>
                <c:pt idx="258">
                  <c:v>-29.5</c:v>
                </c:pt>
                <c:pt idx="259">
                  <c:v>18</c:v>
                </c:pt>
                <c:pt idx="260">
                  <c:v>61.8</c:v>
                </c:pt>
                <c:pt idx="261">
                  <c:v>69.5</c:v>
                </c:pt>
                <c:pt idx="262">
                  <c:v>53.2</c:v>
                </c:pt>
                <c:pt idx="263">
                  <c:v>49.9</c:v>
                </c:pt>
                <c:pt idx="264">
                  <c:v>21.5</c:v>
                </c:pt>
                <c:pt idx="265">
                  <c:v>-14</c:v>
                </c:pt>
                <c:pt idx="266">
                  <c:v>-35.9</c:v>
                </c:pt>
                <c:pt idx="267">
                  <c:v>-60.9</c:v>
                </c:pt>
                <c:pt idx="268">
                  <c:v>-41.9</c:v>
                </c:pt>
                <c:pt idx="269">
                  <c:v>-3.4</c:v>
                </c:pt>
                <c:pt idx="270">
                  <c:v>5.8</c:v>
                </c:pt>
                <c:pt idx="271">
                  <c:v>48.1</c:v>
                </c:pt>
                <c:pt idx="272">
                  <c:v>43.1</c:v>
                </c:pt>
                <c:pt idx="273">
                  <c:v>39.9</c:v>
                </c:pt>
                <c:pt idx="274">
                  <c:v>-27.9</c:v>
                </c:pt>
                <c:pt idx="275">
                  <c:v>2.8</c:v>
                </c:pt>
                <c:pt idx="276">
                  <c:v>18.899999999999999</c:v>
                </c:pt>
                <c:pt idx="277">
                  <c:v>-1.7</c:v>
                </c:pt>
                <c:pt idx="278">
                  <c:v>-14.4</c:v>
                </c:pt>
                <c:pt idx="279">
                  <c:v>-9</c:v>
                </c:pt>
                <c:pt idx="280">
                  <c:v>4</c:v>
                </c:pt>
                <c:pt idx="281">
                  <c:v>25.4</c:v>
                </c:pt>
                <c:pt idx="282">
                  <c:v>50.5</c:v>
                </c:pt>
                <c:pt idx="283">
                  <c:v>3.8</c:v>
                </c:pt>
                <c:pt idx="284">
                  <c:v>8.6</c:v>
                </c:pt>
                <c:pt idx="285">
                  <c:v>52.2</c:v>
                </c:pt>
                <c:pt idx="286">
                  <c:v>49</c:v>
                </c:pt>
                <c:pt idx="287">
                  <c:v>-13.4</c:v>
                </c:pt>
                <c:pt idx="288">
                  <c:v>-32.6</c:v>
                </c:pt>
                <c:pt idx="289">
                  <c:v>-32.5</c:v>
                </c:pt>
                <c:pt idx="290">
                  <c:v>1.9</c:v>
                </c:pt>
                <c:pt idx="291">
                  <c:v>-22</c:v>
                </c:pt>
                <c:pt idx="292">
                  <c:v>-12.5</c:v>
                </c:pt>
                <c:pt idx="293">
                  <c:v>34.6</c:v>
                </c:pt>
                <c:pt idx="294">
                  <c:v>17.899999999999999</c:v>
                </c:pt>
                <c:pt idx="295">
                  <c:v>18</c:v>
                </c:pt>
                <c:pt idx="296">
                  <c:v>6.1</c:v>
                </c:pt>
                <c:pt idx="297">
                  <c:v>34.700000000000003</c:v>
                </c:pt>
                <c:pt idx="298">
                  <c:v>-4</c:v>
                </c:pt>
                <c:pt idx="299">
                  <c:v>-47.1</c:v>
                </c:pt>
                <c:pt idx="300">
                  <c:v>-58.6</c:v>
                </c:pt>
                <c:pt idx="301">
                  <c:v>-62.2</c:v>
                </c:pt>
                <c:pt idx="302">
                  <c:v>-54.2</c:v>
                </c:pt>
                <c:pt idx="303">
                  <c:v>-28.8</c:v>
                </c:pt>
                <c:pt idx="304">
                  <c:v>-15.4</c:v>
                </c:pt>
                <c:pt idx="305">
                  <c:v>-8.1999999999999993</c:v>
                </c:pt>
                <c:pt idx="306">
                  <c:v>-20.5</c:v>
                </c:pt>
                <c:pt idx="307">
                  <c:v>-10</c:v>
                </c:pt>
                <c:pt idx="308">
                  <c:v>-14.4</c:v>
                </c:pt>
                <c:pt idx="309">
                  <c:v>-31.8</c:v>
                </c:pt>
                <c:pt idx="310">
                  <c:v>-47.1</c:v>
                </c:pt>
                <c:pt idx="311">
                  <c:v>-19.399999999999999</c:v>
                </c:pt>
                <c:pt idx="312">
                  <c:v>-5.2</c:v>
                </c:pt>
                <c:pt idx="313">
                  <c:v>-27.8</c:v>
                </c:pt>
                <c:pt idx="314">
                  <c:v>-18.600000000000001</c:v>
                </c:pt>
                <c:pt idx="315">
                  <c:v>-19.8</c:v>
                </c:pt>
                <c:pt idx="316">
                  <c:v>16.3</c:v>
                </c:pt>
                <c:pt idx="317">
                  <c:v>13.5</c:v>
                </c:pt>
                <c:pt idx="318">
                  <c:v>-5.0999999999999996</c:v>
                </c:pt>
                <c:pt idx="319">
                  <c:v>-8.1</c:v>
                </c:pt>
                <c:pt idx="320">
                  <c:v>17.8</c:v>
                </c:pt>
                <c:pt idx="321">
                  <c:v>24.3</c:v>
                </c:pt>
                <c:pt idx="322">
                  <c:v>31.8</c:v>
                </c:pt>
                <c:pt idx="323">
                  <c:v>34.700000000000003</c:v>
                </c:pt>
                <c:pt idx="324">
                  <c:v>48</c:v>
                </c:pt>
                <c:pt idx="325">
                  <c:v>-4.8</c:v>
                </c:pt>
                <c:pt idx="326">
                  <c:v>-38.200000000000003</c:v>
                </c:pt>
                <c:pt idx="327">
                  <c:v>-72.599999999999994</c:v>
                </c:pt>
                <c:pt idx="328">
                  <c:v>-43.1</c:v>
                </c:pt>
                <c:pt idx="329">
                  <c:v>-23.1</c:v>
                </c:pt>
                <c:pt idx="330">
                  <c:v>-9.3000000000000007</c:v>
                </c:pt>
                <c:pt idx="331">
                  <c:v>40.200000000000003</c:v>
                </c:pt>
                <c:pt idx="332">
                  <c:v>59.4</c:v>
                </c:pt>
                <c:pt idx="333">
                  <c:v>75.7</c:v>
                </c:pt>
                <c:pt idx="334">
                  <c:v>38.5</c:v>
                </c:pt>
                <c:pt idx="335">
                  <c:v>32.9</c:v>
                </c:pt>
                <c:pt idx="336">
                  <c:v>48.7</c:v>
                </c:pt>
                <c:pt idx="337">
                  <c:v>41.8</c:v>
                </c:pt>
                <c:pt idx="338">
                  <c:v>11.1</c:v>
                </c:pt>
                <c:pt idx="339">
                  <c:v>1.1000000000000001</c:v>
                </c:pt>
                <c:pt idx="340">
                  <c:v>-2.2000000000000002</c:v>
                </c:pt>
                <c:pt idx="341">
                  <c:v>-17.7</c:v>
                </c:pt>
                <c:pt idx="342">
                  <c:v>-5.2</c:v>
                </c:pt>
                <c:pt idx="343">
                  <c:v>5.4</c:v>
                </c:pt>
                <c:pt idx="344">
                  <c:v>-5.3</c:v>
                </c:pt>
                <c:pt idx="345">
                  <c:v>-23.8</c:v>
                </c:pt>
                <c:pt idx="346">
                  <c:v>4.5</c:v>
                </c:pt>
                <c:pt idx="347">
                  <c:v>-29.8</c:v>
                </c:pt>
                <c:pt idx="348">
                  <c:v>-35.9</c:v>
                </c:pt>
                <c:pt idx="349">
                  <c:v>-58.7</c:v>
                </c:pt>
                <c:pt idx="350">
                  <c:v>-32.299999999999997</c:v>
                </c:pt>
                <c:pt idx="351">
                  <c:v>-68.3</c:v>
                </c:pt>
                <c:pt idx="352">
                  <c:v>-33.799999999999997</c:v>
                </c:pt>
                <c:pt idx="353">
                  <c:v>-12.6</c:v>
                </c:pt>
                <c:pt idx="354">
                  <c:v>43</c:v>
                </c:pt>
                <c:pt idx="355">
                  <c:v>4.7</c:v>
                </c:pt>
                <c:pt idx="356">
                  <c:v>13.8</c:v>
                </c:pt>
                <c:pt idx="357">
                  <c:v>-3.1</c:v>
                </c:pt>
                <c:pt idx="358">
                  <c:v>7.6</c:v>
                </c:pt>
                <c:pt idx="359">
                  <c:v>49.3</c:v>
                </c:pt>
                <c:pt idx="360">
                  <c:v>-2.9</c:v>
                </c:pt>
                <c:pt idx="361">
                  <c:v>-144.6</c:v>
                </c:pt>
                <c:pt idx="362">
                  <c:v>-55.1</c:v>
                </c:pt>
                <c:pt idx="363">
                  <c:v>181.2</c:v>
                </c:pt>
                <c:pt idx="364">
                  <c:v>246.8</c:v>
                </c:pt>
                <c:pt idx="365">
                  <c:v>210.8</c:v>
                </c:pt>
                <c:pt idx="366">
                  <c:v>172.9</c:v>
                </c:pt>
                <c:pt idx="367">
                  <c:v>114.5</c:v>
                </c:pt>
                <c:pt idx="368">
                  <c:v>77.8</c:v>
                </c:pt>
                <c:pt idx="369">
                  <c:v>48.2</c:v>
                </c:pt>
                <c:pt idx="370">
                  <c:v>65.3</c:v>
                </c:pt>
                <c:pt idx="371">
                  <c:v>86.5</c:v>
                </c:pt>
                <c:pt idx="372">
                  <c:v>28.1</c:v>
                </c:pt>
                <c:pt idx="373">
                  <c:v>42</c:v>
                </c:pt>
                <c:pt idx="374">
                  <c:v>4.4000000000000004</c:v>
                </c:pt>
                <c:pt idx="375">
                  <c:v>18.8</c:v>
                </c:pt>
                <c:pt idx="376">
                  <c:v>3.2</c:v>
                </c:pt>
                <c:pt idx="377">
                  <c:v>-56.3</c:v>
                </c:pt>
                <c:pt idx="378">
                  <c:v>-33.200000000000003</c:v>
                </c:pt>
                <c:pt idx="379">
                  <c:v>-16.100000000000001</c:v>
                </c:pt>
                <c:pt idx="380">
                  <c:v>22.5</c:v>
                </c:pt>
                <c:pt idx="381">
                  <c:v>19.5</c:v>
                </c:pt>
                <c:pt idx="382">
                  <c:v>-6.7</c:v>
                </c:pt>
                <c:pt idx="383">
                  <c:v>40.1</c:v>
                </c:pt>
                <c:pt idx="384">
                  <c:v>55.4</c:v>
                </c:pt>
                <c:pt idx="385">
                  <c:v>62</c:v>
                </c:pt>
                <c:pt idx="386">
                  <c:v>-37.799999999999997</c:v>
                </c:pt>
                <c:pt idx="387">
                  <c:v>-71.599999999999994</c:v>
                </c:pt>
                <c:pt idx="388">
                  <c:v>-61.8</c:v>
                </c:pt>
                <c:pt idx="389">
                  <c:v>-27.6</c:v>
                </c:pt>
                <c:pt idx="390">
                  <c:v>17.899999999999999</c:v>
                </c:pt>
                <c:pt idx="391">
                  <c:v>8.1</c:v>
                </c:pt>
                <c:pt idx="392">
                  <c:v>8.9</c:v>
                </c:pt>
                <c:pt idx="393">
                  <c:v>-4.4000000000000004</c:v>
                </c:pt>
                <c:pt idx="394">
                  <c:v>-6.1</c:v>
                </c:pt>
                <c:pt idx="395">
                  <c:v>38.6</c:v>
                </c:pt>
                <c:pt idx="396">
                  <c:v>57</c:v>
                </c:pt>
                <c:pt idx="397">
                  <c:v>22</c:v>
                </c:pt>
                <c:pt idx="398">
                  <c:v>23.7</c:v>
                </c:pt>
                <c:pt idx="399">
                  <c:v>54.4</c:v>
                </c:pt>
                <c:pt idx="400">
                  <c:v>76.099999999999994</c:v>
                </c:pt>
                <c:pt idx="401">
                  <c:v>46.4</c:v>
                </c:pt>
                <c:pt idx="402">
                  <c:v>45.1</c:v>
                </c:pt>
                <c:pt idx="403">
                  <c:v>61.4</c:v>
                </c:pt>
                <c:pt idx="404">
                  <c:v>28</c:v>
                </c:pt>
                <c:pt idx="405">
                  <c:v>8.1999999999999993</c:v>
                </c:pt>
                <c:pt idx="406">
                  <c:v>30</c:v>
                </c:pt>
                <c:pt idx="407">
                  <c:v>38.299999999999997</c:v>
                </c:pt>
                <c:pt idx="408">
                  <c:v>33.5</c:v>
                </c:pt>
                <c:pt idx="409">
                  <c:v>7.6</c:v>
                </c:pt>
                <c:pt idx="410">
                  <c:v>-7.6</c:v>
                </c:pt>
                <c:pt idx="411">
                  <c:v>-28.5</c:v>
                </c:pt>
                <c:pt idx="412">
                  <c:v>-25.2</c:v>
                </c:pt>
                <c:pt idx="413">
                  <c:v>-24.2</c:v>
                </c:pt>
                <c:pt idx="414">
                  <c:v>-0.8</c:v>
                </c:pt>
                <c:pt idx="415">
                  <c:v>38.6</c:v>
                </c:pt>
                <c:pt idx="416">
                  <c:v>0</c:v>
                </c:pt>
                <c:pt idx="417">
                  <c:v>-1.7</c:v>
                </c:pt>
                <c:pt idx="418">
                  <c:v>12.4</c:v>
                </c:pt>
                <c:pt idx="419">
                  <c:v>-16.5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6F4-47D9-A1DF-9A23B0EF7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3271280"/>
        <c:axId val="753269360"/>
      </c:lineChart>
      <c:dateAx>
        <c:axId val="839180943"/>
        <c:scaling>
          <c:orientation val="minMax"/>
          <c:min val="36951"/>
        </c:scaling>
        <c:delete val="0"/>
        <c:axPos val="b"/>
        <c:numFmt formatCode="[$-40C]mmm\-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9183855"/>
        <c:crosses val="autoZero"/>
        <c:auto val="1"/>
        <c:lblOffset val="100"/>
        <c:baseTimeUnit val="months"/>
      </c:dateAx>
      <c:valAx>
        <c:axId val="83918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9180943"/>
        <c:crosses val="autoZero"/>
        <c:crossBetween val="between"/>
      </c:valAx>
      <c:valAx>
        <c:axId val="75326936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53271280"/>
        <c:crosses val="max"/>
        <c:crossBetween val="between"/>
      </c:valAx>
      <c:catAx>
        <c:axId val="753271280"/>
        <c:scaling>
          <c:orientation val="minMax"/>
        </c:scaling>
        <c:delete val="1"/>
        <c:axPos val="b"/>
        <c:majorTickMark val="out"/>
        <c:minorTickMark val="none"/>
        <c:tickLblPos val="nextTo"/>
        <c:crossAx val="7532693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677637</xdr:colOff>
      <xdr:row>52</xdr:row>
      <xdr:rowOff>34018</xdr:rowOff>
    </xdr:from>
    <xdr:to>
      <xdr:col>53</xdr:col>
      <xdr:colOff>366032</xdr:colOff>
      <xdr:row>73</xdr:row>
      <xdr:rowOff>72118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CBA3D1E-DF71-4EF7-ADAB-08A2F84CDB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276225</xdr:colOff>
      <xdr:row>11</xdr:row>
      <xdr:rowOff>0</xdr:rowOff>
    </xdr:from>
    <xdr:to>
      <xdr:col>11</xdr:col>
      <xdr:colOff>781050</xdr:colOff>
      <xdr:row>25</xdr:row>
      <xdr:rowOff>76200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A896338-D790-7F56-9E22-86BC0F03B8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867254</xdr:colOff>
      <xdr:row>6</xdr:row>
      <xdr:rowOff>187618</xdr:rowOff>
    </xdr:from>
    <xdr:to>
      <xdr:col>34</xdr:col>
      <xdr:colOff>213390</xdr:colOff>
      <xdr:row>28</xdr:row>
      <xdr:rowOff>35218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115EB24E-3E6A-413B-AF21-54CCB835FF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41</xdr:col>
      <xdr:colOff>404132</xdr:colOff>
      <xdr:row>5</xdr:row>
      <xdr:rowOff>24493</xdr:rowOff>
    </xdr:from>
    <xdr:to>
      <xdr:col>47</xdr:col>
      <xdr:colOff>542246</xdr:colOff>
      <xdr:row>26</xdr:row>
      <xdr:rowOff>62593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6E9684B9-0832-4A51-8931-65BE0D78C8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586067</xdr:colOff>
      <xdr:row>30</xdr:row>
      <xdr:rowOff>142875</xdr:rowOff>
    </xdr:from>
    <xdr:to>
      <xdr:col>35</xdr:col>
      <xdr:colOff>352761</xdr:colOff>
      <xdr:row>52</xdr:row>
      <xdr:rowOff>55245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415211B2-2530-4575-B2D5-60A0C81E05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41</xdr:col>
      <xdr:colOff>142875</xdr:colOff>
      <xdr:row>388</xdr:row>
      <xdr:rowOff>152399</xdr:rowOff>
    </xdr:from>
    <xdr:to>
      <xdr:col>51</xdr:col>
      <xdr:colOff>42862</xdr:colOff>
      <xdr:row>413</xdr:row>
      <xdr:rowOff>142874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F800664-03B8-DC3B-50C5-9864D265B9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750795</xdr:colOff>
      <xdr:row>7</xdr:row>
      <xdr:rowOff>123264</xdr:rowOff>
    </xdr:from>
    <xdr:to>
      <xdr:col>33</xdr:col>
      <xdr:colOff>300318</xdr:colOff>
      <xdr:row>29</xdr:row>
      <xdr:rowOff>78441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17ABB1F6-44AD-4E22-9685-0115EBA226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27C8E-E77C-42C8-B0E7-9EC4CD562670}">
  <sheetPr codeName="Feuil1"/>
  <dimension ref="A1:BG308"/>
  <sheetViews>
    <sheetView tabSelected="1" zoomScale="85" zoomScaleNormal="85" workbookViewId="0">
      <pane xSplit="2" ySplit="4" topLeftCell="C177" activePane="bottomRight" state="frozen"/>
      <selection pane="topRight" activeCell="C1" sqref="C1"/>
      <selection pane="bottomLeft" activeCell="A5" sqref="A5"/>
      <selection pane="bottomRight" activeCell="M311" sqref="M311"/>
    </sheetView>
  </sheetViews>
  <sheetFormatPr defaultColWidth="10.90625" defaultRowHeight="14.5"/>
  <cols>
    <col min="1" max="1" width="12.453125" style="1" bestFit="1" customWidth="1"/>
    <col min="2" max="2" width="10.54296875" style="1" customWidth="1"/>
    <col min="3" max="3" width="11" style="1" bestFit="1" customWidth="1"/>
    <col min="4" max="4" width="11" style="1" customWidth="1"/>
    <col min="5" max="5" width="14.7265625" style="1" bestFit="1" customWidth="1"/>
    <col min="6" max="6" width="9.81640625" style="12" bestFit="1" customWidth="1"/>
    <col min="7" max="7" width="17.81640625" style="1" bestFit="1" customWidth="1"/>
    <col min="8" max="8" width="10.54296875" style="12" customWidth="1"/>
    <col min="9" max="9" width="11.54296875" style="12" bestFit="1" customWidth="1"/>
    <col min="10" max="10" width="15.453125" style="1" bestFit="1" customWidth="1"/>
    <col min="11" max="11" width="11.08984375" style="12" bestFit="1" customWidth="1"/>
    <col min="12" max="12" width="12" style="1" bestFit="1" customWidth="1"/>
    <col min="13" max="13" width="10.54296875" style="1" customWidth="1"/>
    <col min="14" max="14" width="12.453125" style="12" customWidth="1"/>
    <col min="16" max="16" width="12.81640625" style="29" bestFit="1" customWidth="1"/>
    <col min="17" max="17" width="9.54296875" style="1" bestFit="1" customWidth="1"/>
    <col min="22" max="22" width="17.26953125" bestFit="1" customWidth="1"/>
    <col min="23" max="23" width="16.6328125" bestFit="1" customWidth="1"/>
    <col min="25" max="25" width="16.81640625" customWidth="1"/>
  </cols>
  <sheetData>
    <row r="1" spans="1:59" ht="29">
      <c r="B1" s="36" t="s">
        <v>0</v>
      </c>
      <c r="C1" s="36"/>
      <c r="D1" s="36"/>
      <c r="E1" s="36" t="s">
        <v>1</v>
      </c>
      <c r="F1" s="36"/>
      <c r="G1" s="37" t="s">
        <v>2</v>
      </c>
      <c r="H1" s="38"/>
      <c r="I1" s="39"/>
      <c r="J1" s="36" t="s">
        <v>3</v>
      </c>
      <c r="K1" s="36"/>
      <c r="L1" s="36" t="s">
        <v>4</v>
      </c>
      <c r="M1" s="36"/>
      <c r="N1" s="36"/>
      <c r="P1" s="43" t="s">
        <v>54</v>
      </c>
      <c r="Q1" s="43"/>
      <c r="R1" s="30">
        <v>0.05</v>
      </c>
      <c r="S1" s="30"/>
      <c r="T1" s="30" t="s">
        <v>55</v>
      </c>
      <c r="U1" s="30">
        <v>0.1</v>
      </c>
      <c r="Y1" s="26">
        <f ca="1">TODAY()</f>
        <v>46199</v>
      </c>
      <c r="Z1" s="23" t="str">
        <f ca="1">TEXT(Z3,"mmm-aaaa")</f>
        <v>12月-星期五</v>
      </c>
      <c r="AA1" s="23" t="str">
        <f t="shared" ref="AA1:AF1" ca="1" si="0">TEXT(AA3,"mmm-aaaa")</f>
        <v>1月-星期一</v>
      </c>
      <c r="AB1" s="23" t="str">
        <f t="shared" ca="1" si="0"/>
        <v>2月-星期四</v>
      </c>
      <c r="AC1" s="23" t="str">
        <f t="shared" ca="1" si="0"/>
        <v>3月-星期四</v>
      </c>
      <c r="AD1" s="23" t="str">
        <f t="shared" ca="1" si="0"/>
        <v>4月-星期日</v>
      </c>
      <c r="AE1" s="23" t="str">
        <f t="shared" ca="1" si="0"/>
        <v>5月-星期二</v>
      </c>
      <c r="AF1" s="23" t="str">
        <f t="shared" ca="1" si="0"/>
        <v>6月-星期五</v>
      </c>
      <c r="BF1" s="14" t="s">
        <v>24</v>
      </c>
      <c r="BG1" s="15">
        <v>0.71499999999999997</v>
      </c>
    </row>
    <row r="2" spans="1:59" ht="18.5">
      <c r="B2" s="40" t="s">
        <v>5</v>
      </c>
      <c r="C2" s="40"/>
      <c r="D2" s="40"/>
      <c r="E2" s="1" t="s">
        <v>6</v>
      </c>
      <c r="F2" s="2"/>
      <c r="G2" s="40" t="s">
        <v>7</v>
      </c>
      <c r="H2" s="40"/>
      <c r="I2" s="40"/>
      <c r="J2" s="1" t="s">
        <v>8</v>
      </c>
      <c r="K2" s="2"/>
      <c r="L2" s="40" t="s">
        <v>4</v>
      </c>
      <c r="M2" s="40"/>
      <c r="N2" s="40"/>
      <c r="P2" s="27"/>
      <c r="Q2" s="2"/>
      <c r="Y2" s="24" t="s">
        <v>46</v>
      </c>
      <c r="Z2" s="19">
        <f t="shared" ref="Z2:AE2" ca="1" si="1">VLOOKUP(Z$3,$A:$T,20,1)</f>
        <v>0</v>
      </c>
      <c r="AA2" s="19">
        <f t="shared" ca="1" si="1"/>
        <v>0</v>
      </c>
      <c r="AB2" s="19">
        <f t="shared" ca="1" si="1"/>
        <v>0</v>
      </c>
      <c r="AC2" s="19">
        <f t="shared" ca="1" si="1"/>
        <v>0</v>
      </c>
      <c r="AD2" s="19">
        <f t="shared" ca="1" si="1"/>
        <v>0</v>
      </c>
      <c r="AE2" s="19">
        <f t="shared" ca="1" si="1"/>
        <v>0</v>
      </c>
      <c r="AF2" s="19">
        <f ca="1">VLOOKUP(AF$3,$A:$T,20,1)</f>
        <v>0</v>
      </c>
    </row>
    <row r="3" spans="1:59" ht="43.5">
      <c r="A3" s="3" t="s">
        <v>9</v>
      </c>
      <c r="B3" s="3" t="s">
        <v>10</v>
      </c>
      <c r="C3" s="3" t="s">
        <v>11</v>
      </c>
      <c r="D3" s="4" t="s">
        <v>12</v>
      </c>
      <c r="E3" s="3" t="s">
        <v>1</v>
      </c>
      <c r="F3" s="4" t="s">
        <v>13</v>
      </c>
      <c r="G3" s="3" t="s">
        <v>7</v>
      </c>
      <c r="H3" s="4" t="s">
        <v>14</v>
      </c>
      <c r="I3" s="4" t="s">
        <v>15</v>
      </c>
      <c r="J3" s="3" t="s">
        <v>16</v>
      </c>
      <c r="K3" s="4" t="s">
        <v>17</v>
      </c>
      <c r="L3" s="5" t="s">
        <v>4</v>
      </c>
      <c r="M3" s="5" t="s">
        <v>18</v>
      </c>
      <c r="N3" s="6" t="s">
        <v>18</v>
      </c>
      <c r="P3" s="41" t="s">
        <v>20</v>
      </c>
      <c r="Q3" s="42"/>
      <c r="R3" s="42"/>
      <c r="S3" s="33"/>
      <c r="T3" s="33"/>
      <c r="U3" s="33"/>
      <c r="Z3" s="17">
        <f ca="1">EDATE($Y$1,-6)</f>
        <v>46017</v>
      </c>
      <c r="AA3" s="17">
        <f ca="1">EDATE($Y$1,-5)</f>
        <v>46048</v>
      </c>
      <c r="AB3" s="17">
        <f ca="1">EDATE($Y$1,-4)</f>
        <v>46079</v>
      </c>
      <c r="AC3" s="17">
        <f ca="1">EDATE($Y$1,-3)</f>
        <v>46107</v>
      </c>
      <c r="AD3" s="17">
        <f ca="1">EDATE($Y$1,-2)</f>
        <v>46138</v>
      </c>
      <c r="AE3" s="17">
        <f ca="1">EDATE($Y$1,-1)</f>
        <v>46168</v>
      </c>
      <c r="AF3" s="17">
        <f ca="1">EDATE($Y$1,0)</f>
        <v>46199</v>
      </c>
    </row>
    <row r="4" spans="1:59" ht="29">
      <c r="A4" s="7">
        <v>36981</v>
      </c>
      <c r="B4" s="8">
        <v>100.86</v>
      </c>
      <c r="C4" s="8">
        <f>B4-100</f>
        <v>0.85999999999999943</v>
      </c>
      <c r="D4" s="9">
        <f>C4/4+0.03</f>
        <v>0.24499999999999986</v>
      </c>
      <c r="E4" s="8">
        <v>43.1</v>
      </c>
      <c r="F4" s="10">
        <f>E4-50</f>
        <v>-6.8999999999999986</v>
      </c>
      <c r="G4" s="8">
        <v>-1.0803</v>
      </c>
      <c r="H4" s="10">
        <f>G4</f>
        <v>-1.0803</v>
      </c>
      <c r="I4" s="10">
        <f>MAX(IF(H4&lt;-1,-1*SQRT(-H4),IF(H4&gt;1,H4,H4)),-2)+0.2</f>
        <v>-0.83937481208657361</v>
      </c>
      <c r="J4" s="1">
        <v>-0.68</v>
      </c>
      <c r="K4" s="10">
        <f>J4</f>
        <v>-0.68</v>
      </c>
      <c r="L4" s="8">
        <v>-0.56599999999999995</v>
      </c>
      <c r="M4" s="11">
        <f>L4</f>
        <v>-0.56599999999999995</v>
      </c>
      <c r="N4" s="9">
        <f>IF(M4&lt;-1,-(-M4^(0.5)/2),IF(M4&lt;0,0.5*M4,M4))*1+0*IF(M4&gt;0,M4*6,M4)/6</f>
        <v>-0.28299999999999997</v>
      </c>
      <c r="P4" s="28" t="s">
        <v>21</v>
      </c>
      <c r="Q4" s="13" t="s">
        <v>22</v>
      </c>
      <c r="R4" s="13" t="s">
        <v>47</v>
      </c>
      <c r="S4" s="3"/>
      <c r="T4" s="3" t="s">
        <v>53</v>
      </c>
      <c r="U4" s="3"/>
      <c r="AC4" s="35" t="s">
        <v>48</v>
      </c>
      <c r="AD4" s="35"/>
      <c r="AE4" s="35"/>
      <c r="AF4" s="35"/>
      <c r="AL4" s="35" t="s">
        <v>49</v>
      </c>
      <c r="AM4" s="35"/>
      <c r="AN4" s="35"/>
    </row>
    <row r="5" spans="1:59">
      <c r="A5" s="7">
        <v>37011</v>
      </c>
      <c r="B5" s="8">
        <v>100.52770000000001</v>
      </c>
      <c r="C5" s="8">
        <f t="shared" ref="C5:C68" si="2">$BG$1*C4+(1-$BG$1)*(B5-100)</f>
        <v>0.76529450000000243</v>
      </c>
      <c r="D5" s="9">
        <f t="shared" ref="D5:D68" si="3">C5/4+0.03</f>
        <v>0.22132362500000061</v>
      </c>
      <c r="E5" s="8">
        <v>42.7</v>
      </c>
      <c r="F5" s="10">
        <f t="shared" ref="F5:F68" si="4">$BG$1*F4+(1-$BG$1)*(E5-50)</f>
        <v>-7.0139999999999976</v>
      </c>
      <c r="G5" s="8">
        <v>-1.1085</v>
      </c>
      <c r="H5" s="10">
        <f t="shared" ref="H5:H68" si="5">$BG$1*H4 + (1-$BG$1)*G5</f>
        <v>-1.0883370000000001</v>
      </c>
      <c r="I5" s="10">
        <f t="shared" ref="I5:I68" si="6">MAX(IF(H5&lt;-1,-1*SQRT(-H5),IF(H5&gt;1,H5,H5)),-2)+0.2</f>
        <v>-0.84323391432602501</v>
      </c>
      <c r="J5" s="1">
        <v>-0.85</v>
      </c>
      <c r="K5" s="10">
        <f>$BG$1*K4+(1-$BG$1) * MAX(AVERAGE($J$4:$J$256)-3*STDEVA($J$4:$J$256),MIN(J5,AVERAGE($J$4:$J$256)+3*STDEVA($J$4:$J$256)))</f>
        <v>-0.72845000000000004</v>
      </c>
      <c r="L5" s="8">
        <v>-0.61699999999999999</v>
      </c>
      <c r="M5" s="11">
        <f>$BG$1*M4+(1-$BG$1)*L5</f>
        <v>-0.58053500000000002</v>
      </c>
      <c r="N5" s="9">
        <f t="shared" ref="N5:N68" si="7">IF(M5&lt;-1,-(-M5^(0.5)/2),IF(M5&lt;0,0.5*M5,M5))*1+0*IF(M5&gt;0,M5*6,M5)/6</f>
        <v>-0.29026750000000001</v>
      </c>
      <c r="V5" s="1" t="s">
        <v>25</v>
      </c>
      <c r="W5" s="1" t="s">
        <v>26</v>
      </c>
      <c r="X5" s="1" t="s">
        <v>23</v>
      </c>
      <c r="Y5" s="1" t="s">
        <v>27</v>
      </c>
      <c r="Z5" s="1" t="s">
        <v>28</v>
      </c>
      <c r="AA5" s="1"/>
      <c r="AC5" s="31" t="s">
        <v>26</v>
      </c>
      <c r="AD5" s="31" t="s">
        <v>23</v>
      </c>
      <c r="AE5" s="31" t="s">
        <v>27</v>
      </c>
      <c r="AF5" s="31" t="s">
        <v>28</v>
      </c>
    </row>
    <row r="6" spans="1:59">
      <c r="A6" s="7">
        <v>37042</v>
      </c>
      <c r="B6" s="8">
        <v>100.19109999999999</v>
      </c>
      <c r="C6" s="8">
        <f t="shared" si="2"/>
        <v>0.60164906749999936</v>
      </c>
      <c r="D6" s="9">
        <f t="shared" si="3"/>
        <v>0.18041226687499984</v>
      </c>
      <c r="E6" s="8">
        <v>41.3</v>
      </c>
      <c r="F6" s="10">
        <f t="shared" si="4"/>
        <v>-7.49451</v>
      </c>
      <c r="G6" s="8">
        <v>-0.77559999999999996</v>
      </c>
      <c r="H6" s="10">
        <f t="shared" si="5"/>
        <v>-0.99920695500000001</v>
      </c>
      <c r="I6" s="10">
        <f t="shared" si="6"/>
        <v>-0.79920695500000005</v>
      </c>
      <c r="J6" s="1">
        <v>-0.46</v>
      </c>
      <c r="K6" s="10">
        <f t="shared" ref="K6:K69" si="8">$BG$1*K5+(1-$BG$1) * MAX(AVERAGE($J$4:$J$256)-3*STDEVA($J$4:$J$256),MIN(J6,AVERAGE($J$4:$J$256)+3*STDEVA($J$4:$J$256)))</f>
        <v>-0.65194174999999999</v>
      </c>
      <c r="L6" s="8">
        <v>0.127</v>
      </c>
      <c r="M6" s="11">
        <f t="shared" ref="M6:M69" si="9">$BG$1*M5+(1-$BG$1)*L6</f>
        <v>-0.378887525</v>
      </c>
      <c r="N6" s="9">
        <f>IF(M6&lt;-1,-(-M6^(0.5)/2),IF(M6&lt;0,0.5*M6,M6))*1+0*IF(M6&gt;0,M6*6,M6)/6</f>
        <v>-0.1894437625</v>
      </c>
      <c r="P6" s="29">
        <f t="shared" ref="P6:P69" si="10">AVERAGE(D5,I6,N6)</f>
        <v>-0.25577569749999984</v>
      </c>
      <c r="R6" s="1" t="s">
        <v>27</v>
      </c>
      <c r="S6" s="18">
        <f t="shared" ref="S6:S69" si="11">IF(R6&lt;&gt;Q5,P6,S5)</f>
        <v>-0.25577569749999984</v>
      </c>
      <c r="T6" t="str">
        <f>R6</f>
        <v>C</v>
      </c>
      <c r="U6" s="1"/>
      <c r="V6" s="1" t="s">
        <v>19</v>
      </c>
      <c r="W6" s="1" t="e">
        <f>IF(OR($Q6=W$5,$Q7=W$5),$P6,NA())</f>
        <v>#N/A</v>
      </c>
      <c r="X6" s="1" t="e">
        <f>IF(OR($Q6=X$5,$Q7=X$5),$P6,NA())</f>
        <v>#N/A</v>
      </c>
      <c r="Y6" s="1">
        <f>IF(OR($Q6=Y$5,$Q7=Y$5),$P6,NA())</f>
        <v>-0.25577569749999984</v>
      </c>
      <c r="Z6" s="1" t="e">
        <f>IF(OR($Q6=Z$5,$Q7=Z$5),$P6,NA())</f>
        <v>#N/A</v>
      </c>
      <c r="AA6" s="1">
        <v>0</v>
      </c>
      <c r="AC6" s="31" t="e">
        <f>IF(OR($T6=AC$5,$T7=AC$5),$P6,NA())</f>
        <v>#N/A</v>
      </c>
      <c r="AD6" s="31" t="e">
        <f>IF(OR($T6=AD$5,$T7=AD$5),$P6,NA())</f>
        <v>#N/A</v>
      </c>
      <c r="AE6" s="31">
        <f>IF(OR($T6=AE$5,$T7=AE$5),$P6,NA())</f>
        <v>-0.25577569749999984</v>
      </c>
      <c r="AF6" s="31" t="e">
        <f>IF(OR($T6=AF$5,$T7=AF$5),$P6,NA())</f>
        <v>#N/A</v>
      </c>
      <c r="AM6" t="s">
        <v>50</v>
      </c>
      <c r="AN6" t="s">
        <v>48</v>
      </c>
    </row>
    <row r="7" spans="1:59">
      <c r="A7" s="7">
        <v>37072</v>
      </c>
      <c r="B7" s="8">
        <v>99.852200000000011</v>
      </c>
      <c r="C7" s="8">
        <f t="shared" si="2"/>
        <v>0.38805608326250252</v>
      </c>
      <c r="D7" s="9">
        <f>C7/4+0.03</f>
        <v>0.12701402081562563</v>
      </c>
      <c r="E7" s="8">
        <v>43.2</v>
      </c>
      <c r="F7" s="10">
        <f t="shared" si="4"/>
        <v>-7.2965746499999993</v>
      </c>
      <c r="G7" s="8">
        <v>-1.1241000000000001</v>
      </c>
      <c r="H7" s="10">
        <f t="shared" si="5"/>
        <v>-1.0348014728249999</v>
      </c>
      <c r="I7" s="10">
        <f>MAX(IF(H7&lt;-1,-1*SQRT(-H7),IF(H7&gt;1,H7,H7)),-2)+0.2</f>
        <v>-0.81725192200604857</v>
      </c>
      <c r="J7" s="1">
        <v>-0.9</v>
      </c>
      <c r="K7" s="10">
        <f t="shared" si="8"/>
        <v>-0.72263835125000009</v>
      </c>
      <c r="L7" s="8">
        <v>2.1000000000000001E-2</v>
      </c>
      <c r="M7" s="11">
        <f t="shared" si="9"/>
        <v>-0.26491958037499996</v>
      </c>
      <c r="N7" s="9">
        <f t="shared" si="7"/>
        <v>-0.13245979018749998</v>
      </c>
      <c r="P7" s="29">
        <f>AVERAGE(D6,I7,N7)</f>
        <v>-0.2564331484395162</v>
      </c>
      <c r="Q7" s="1" t="str">
        <f>IF(P7-P6&gt;0,IF(P7&gt;=0,"E","R"),IF(P7&gt;=0,"SD","C"))</f>
        <v>C</v>
      </c>
      <c r="R7" t="str">
        <f t="shared" ref="R7:R70" si="12">IF(OR(ABS($P7-$P6)&gt;$R$1,P7*P6&lt;0),Q7,R6)</f>
        <v>C</v>
      </c>
      <c r="S7" s="18">
        <f t="shared" si="11"/>
        <v>-0.2564331484395162</v>
      </c>
      <c r="T7" t="str">
        <f t="shared" ref="T7:T16" si="13">IF(OR(ABS($S7-$S6)&gt;$R$1,S7*S6&lt;0),Q7,T6)</f>
        <v>C</v>
      </c>
      <c r="V7" s="1" t="s">
        <v>19</v>
      </c>
      <c r="W7" s="1" t="e">
        <f t="shared" ref="W7:W70" si="14">IF(OR($Q7=W$5,$Q8=W$5),$P7,NA())</f>
        <v>#N/A</v>
      </c>
      <c r="X7" s="1" t="e">
        <f t="shared" ref="X7:X70" si="15">IF(OR($Q7=X$5,$Q8=X$5),$P7,NA())</f>
        <v>#N/A</v>
      </c>
      <c r="Y7" s="1">
        <f t="shared" ref="Y7:Y70" si="16">IF(OR($Q7=Y$5,$Q8=Y$5),$P7,NA())</f>
        <v>-0.2564331484395162</v>
      </c>
      <c r="Z7" s="1" t="e">
        <f t="shared" ref="Z7:Z70" si="17">IF(OR($Q7=Z$5,$Q8=Z$5),$P7,NA())</f>
        <v>#N/A</v>
      </c>
      <c r="AA7" s="1">
        <v>0</v>
      </c>
      <c r="AC7" s="31" t="e">
        <f t="shared" ref="AC7:AC70" si="18">IF(OR($T7=AC$5,$T8=AC$5),$P7,NA())</f>
        <v>#N/A</v>
      </c>
      <c r="AD7" s="31" t="e">
        <f t="shared" ref="AD7:AD70" si="19">IF(OR($T7=AD$5,$T8=AD$5),$P7,NA())</f>
        <v>#N/A</v>
      </c>
      <c r="AE7" s="31">
        <f t="shared" ref="AE7:AE70" si="20">IF(OR($T7=AE$5,$T8=AE$5),$P7,NA())</f>
        <v>-0.2564331484395162</v>
      </c>
      <c r="AF7" s="31" t="e">
        <f t="shared" ref="AF7:AF70" si="21">IF(OR($T7=AF$5,$T8=AF$5),$P7,NA())</f>
        <v>#N/A</v>
      </c>
      <c r="AL7" s="17">
        <f t="shared" ref="AL7:AL70" si="22">A7</f>
        <v>37072</v>
      </c>
      <c r="AM7">
        <f>IF($Q7="E",4,IF($Q7="R",2,IF($Q7="SD",3,1)))</f>
        <v>1</v>
      </c>
      <c r="AN7">
        <f>IF($R7="E",4,IF($R7="R",2,IF($R7="SD",3,1)))</f>
        <v>1</v>
      </c>
    </row>
    <row r="8" spans="1:59">
      <c r="A8" s="7">
        <v>37103</v>
      </c>
      <c r="B8" s="8">
        <v>99.523899999999998</v>
      </c>
      <c r="C8" s="8">
        <f t="shared" si="2"/>
        <v>0.14177159953268859</v>
      </c>
      <c r="D8" s="9">
        <f t="shared" si="3"/>
        <v>6.5442899883172145E-2</v>
      </c>
      <c r="E8" s="8">
        <v>43.5</v>
      </c>
      <c r="F8" s="10">
        <f t="shared" si="4"/>
        <v>-7.0695508747499991</v>
      </c>
      <c r="G8" s="8">
        <v>-0.88180000000000003</v>
      </c>
      <c r="H8" s="10">
        <f t="shared" si="5"/>
        <v>-0.99119605306987491</v>
      </c>
      <c r="I8" s="10">
        <f t="shared" si="6"/>
        <v>-0.79119605306987495</v>
      </c>
      <c r="J8" s="1">
        <v>-0.5</v>
      </c>
      <c r="K8" s="10">
        <f t="shared" si="8"/>
        <v>-0.65918642114375015</v>
      </c>
      <c r="L8" s="8">
        <v>-0.52900000000000003</v>
      </c>
      <c r="M8" s="11">
        <f t="shared" si="9"/>
        <v>-0.340182499968125</v>
      </c>
      <c r="N8" s="9">
        <f t="shared" si="7"/>
        <v>-0.1700912499840625</v>
      </c>
      <c r="P8" s="29">
        <f t="shared" si="10"/>
        <v>-0.27809109407943727</v>
      </c>
      <c r="Q8" s="1" t="str">
        <f t="shared" ref="Q8:Q71" si="23">IF(P8-P7&gt;0,IF(P8&gt;=0,"E","R"),IF(P8&gt;=0,"SD","C"))</f>
        <v>C</v>
      </c>
      <c r="R8" t="str">
        <f t="shared" si="12"/>
        <v>C</v>
      </c>
      <c r="S8" s="18">
        <f t="shared" si="11"/>
        <v>-0.2564331484395162</v>
      </c>
      <c r="T8" t="str">
        <f t="shared" si="13"/>
        <v>C</v>
      </c>
      <c r="V8" s="1" t="s">
        <v>19</v>
      </c>
      <c r="W8" s="1" t="e">
        <f t="shared" si="14"/>
        <v>#N/A</v>
      </c>
      <c r="X8" s="1" t="e">
        <f t="shared" si="15"/>
        <v>#N/A</v>
      </c>
      <c r="Y8" s="1">
        <f t="shared" si="16"/>
        <v>-0.27809109407943727</v>
      </c>
      <c r="Z8" s="1" t="e">
        <f t="shared" si="17"/>
        <v>#N/A</v>
      </c>
      <c r="AA8" s="1">
        <v>0</v>
      </c>
      <c r="AC8" s="31" t="e">
        <f t="shared" si="18"/>
        <v>#N/A</v>
      </c>
      <c r="AD8" s="31" t="e">
        <f t="shared" si="19"/>
        <v>#N/A</v>
      </c>
      <c r="AE8" s="31">
        <f t="shared" si="20"/>
        <v>-0.27809109407943727</v>
      </c>
      <c r="AF8" s="31" t="e">
        <f t="shared" si="21"/>
        <v>#N/A</v>
      </c>
      <c r="AL8" s="17">
        <f t="shared" si="22"/>
        <v>37103</v>
      </c>
      <c r="AM8">
        <f t="shared" ref="AM8:AM71" si="24">IF($Q8="E",4,IF($Q8="R",2,IF($Q8="SD",3,1)))</f>
        <v>1</v>
      </c>
      <c r="AN8">
        <f t="shared" ref="AN8:AN71" si="25">IF($R8="E",4,IF($R8="R",2,IF($R8="SD",3,1)))</f>
        <v>1</v>
      </c>
    </row>
    <row r="9" spans="1:59">
      <c r="A9" s="7">
        <v>37134</v>
      </c>
      <c r="B9" s="8">
        <v>99.226199999999992</v>
      </c>
      <c r="C9" s="8">
        <f>$BG$1*C8+(1-$BG$1)*(B9-100)</f>
        <v>-0.11916630633413011</v>
      </c>
      <c r="D9" s="9">
        <f>C9/4+0.03</f>
        <v>2.0842341646747087E-4</v>
      </c>
      <c r="E9" s="8">
        <v>46.3</v>
      </c>
      <c r="F9" s="10">
        <f t="shared" si="4"/>
        <v>-6.1092288754462496</v>
      </c>
      <c r="G9" s="8">
        <v>-0.82450000000000001</v>
      </c>
      <c r="H9" s="10">
        <f t="shared" si="5"/>
        <v>-0.94368767794496056</v>
      </c>
      <c r="I9" s="10">
        <f t="shared" si="6"/>
        <v>-0.7436876779449606</v>
      </c>
      <c r="J9" s="1">
        <v>-0.44</v>
      </c>
      <c r="K9" s="10">
        <f t="shared" si="8"/>
        <v>-0.5967182911177813</v>
      </c>
      <c r="L9" s="8">
        <v>-0.95699999999999996</v>
      </c>
      <c r="M9" s="11">
        <f t="shared" si="9"/>
        <v>-0.51597548747720934</v>
      </c>
      <c r="N9" s="9">
        <f t="shared" si="7"/>
        <v>-0.25798774373860467</v>
      </c>
      <c r="P9" s="29">
        <f t="shared" si="10"/>
        <v>-0.31207750726679767</v>
      </c>
      <c r="Q9" s="1" t="str">
        <f t="shared" si="23"/>
        <v>C</v>
      </c>
      <c r="R9" t="str">
        <f t="shared" si="12"/>
        <v>C</v>
      </c>
      <c r="S9" s="18">
        <f t="shared" si="11"/>
        <v>-0.2564331484395162</v>
      </c>
      <c r="T9" t="str">
        <f t="shared" si="13"/>
        <v>C</v>
      </c>
      <c r="V9" s="1" t="s">
        <v>19</v>
      </c>
      <c r="W9" s="1" t="e">
        <f t="shared" si="14"/>
        <v>#N/A</v>
      </c>
      <c r="X9" s="1" t="e">
        <f t="shared" si="15"/>
        <v>#N/A</v>
      </c>
      <c r="Y9" s="1">
        <f t="shared" si="16"/>
        <v>-0.31207750726679767</v>
      </c>
      <c r="Z9" s="1" t="e">
        <f t="shared" si="17"/>
        <v>#N/A</v>
      </c>
      <c r="AA9" s="1">
        <v>0</v>
      </c>
      <c r="AC9" s="31" t="e">
        <f t="shared" si="18"/>
        <v>#N/A</v>
      </c>
      <c r="AD9" s="31" t="e">
        <f t="shared" si="19"/>
        <v>#N/A</v>
      </c>
      <c r="AE9" s="31">
        <f t="shared" si="20"/>
        <v>-0.31207750726679767</v>
      </c>
      <c r="AF9" s="31" t="e">
        <f t="shared" si="21"/>
        <v>#N/A</v>
      </c>
      <c r="AL9" s="17">
        <f t="shared" si="22"/>
        <v>37134</v>
      </c>
      <c r="AM9">
        <f t="shared" si="24"/>
        <v>1</v>
      </c>
      <c r="AN9">
        <f t="shared" si="25"/>
        <v>1</v>
      </c>
    </row>
    <row r="10" spans="1:59">
      <c r="A10" s="7">
        <v>37164</v>
      </c>
      <c r="B10" s="8">
        <v>98.977400000000003</v>
      </c>
      <c r="C10" s="8">
        <f t="shared" si="2"/>
        <v>-0.37664490902890219</v>
      </c>
      <c r="D10" s="9">
        <f t="shared" si="3"/>
        <v>-6.4161227257225548E-2</v>
      </c>
      <c r="E10" s="8">
        <v>46.2</v>
      </c>
      <c r="F10" s="10">
        <f t="shared" si="4"/>
        <v>-5.451098645944068</v>
      </c>
      <c r="G10" s="8">
        <v>-1.42</v>
      </c>
      <c r="H10" s="10">
        <f t="shared" si="5"/>
        <v>-1.0794366897306469</v>
      </c>
      <c r="I10" s="10">
        <f t="shared" si="6"/>
        <v>-0.83895942641214183</v>
      </c>
      <c r="J10" s="1">
        <v>-1.04</v>
      </c>
      <c r="K10" s="10">
        <f t="shared" si="8"/>
        <v>-0.72305357814921367</v>
      </c>
      <c r="L10" s="8">
        <v>-1.6020000000000001</v>
      </c>
      <c r="M10" s="11">
        <f t="shared" si="9"/>
        <v>-0.82549247354620481</v>
      </c>
      <c r="N10" s="9">
        <f t="shared" si="7"/>
        <v>-0.4127462367731024</v>
      </c>
      <c r="P10" s="29">
        <f t="shared" si="10"/>
        <v>-0.41716574658959232</v>
      </c>
      <c r="Q10" s="1" t="str">
        <f t="shared" si="23"/>
        <v>C</v>
      </c>
      <c r="R10" t="str">
        <f t="shared" si="12"/>
        <v>C</v>
      </c>
      <c r="S10" s="18">
        <f t="shared" si="11"/>
        <v>-0.2564331484395162</v>
      </c>
      <c r="T10" t="str">
        <f t="shared" si="13"/>
        <v>C</v>
      </c>
      <c r="V10" s="1" t="s">
        <v>19</v>
      </c>
      <c r="W10" s="1" t="e">
        <f t="shared" si="14"/>
        <v>#N/A</v>
      </c>
      <c r="X10" s="1" t="e">
        <f t="shared" si="15"/>
        <v>#N/A</v>
      </c>
      <c r="Y10" s="1">
        <f t="shared" si="16"/>
        <v>-0.41716574658959232</v>
      </c>
      <c r="Z10" s="1" t="e">
        <f t="shared" si="17"/>
        <v>#N/A</v>
      </c>
      <c r="AA10" s="1">
        <v>0</v>
      </c>
      <c r="AC10" s="31" t="e">
        <f t="shared" si="18"/>
        <v>#N/A</v>
      </c>
      <c r="AD10" s="31" t="e">
        <f t="shared" si="19"/>
        <v>#N/A</v>
      </c>
      <c r="AE10" s="31">
        <f t="shared" si="20"/>
        <v>-0.41716574658959232</v>
      </c>
      <c r="AF10" s="31" t="e">
        <f t="shared" si="21"/>
        <v>#N/A</v>
      </c>
      <c r="AL10" s="17">
        <f t="shared" si="22"/>
        <v>37164</v>
      </c>
      <c r="AM10">
        <f t="shared" si="24"/>
        <v>1</v>
      </c>
      <c r="AN10">
        <f t="shared" si="25"/>
        <v>1</v>
      </c>
    </row>
    <row r="11" spans="1:59">
      <c r="A11" s="7">
        <v>37195</v>
      </c>
      <c r="B11" s="8">
        <v>98.815300000000008</v>
      </c>
      <c r="C11" s="8">
        <f t="shared" si="2"/>
        <v>-0.6069406099556629</v>
      </c>
      <c r="D11" s="9">
        <f t="shared" si="3"/>
        <v>-0.12173515248891573</v>
      </c>
      <c r="E11" s="8">
        <v>40.799999999999997</v>
      </c>
      <c r="F11" s="10">
        <f t="shared" si="4"/>
        <v>-6.5195355318500097</v>
      </c>
      <c r="G11" s="8">
        <v>-0.56720000000000004</v>
      </c>
      <c r="H11" s="10">
        <f t="shared" si="5"/>
        <v>-0.93344923315741246</v>
      </c>
      <c r="I11" s="10">
        <f t="shared" si="6"/>
        <v>-0.73344923315741251</v>
      </c>
      <c r="J11" s="1">
        <v>-0.22</v>
      </c>
      <c r="K11" s="10">
        <f t="shared" si="8"/>
        <v>-0.57968330837668769</v>
      </c>
      <c r="L11" s="8">
        <v>-1.575</v>
      </c>
      <c r="M11" s="11">
        <f t="shared" si="9"/>
        <v>-1.0391021185855365</v>
      </c>
      <c r="N11" s="9">
        <f>IF(M11&lt;-1,-(-M11^(0.5)/2),IF(M11&lt;0,0.5*M11,M11))*1+0*IF(M11&gt;0,M11*6,M11)/6</f>
        <v>-0.50968179253960422</v>
      </c>
      <c r="P11" s="29">
        <f t="shared" si="10"/>
        <v>-0.43576408431808078</v>
      </c>
      <c r="Q11" s="1" t="str">
        <f t="shared" si="23"/>
        <v>C</v>
      </c>
      <c r="R11" t="str">
        <f t="shared" si="12"/>
        <v>C</v>
      </c>
      <c r="S11" s="18">
        <f t="shared" si="11"/>
        <v>-0.2564331484395162</v>
      </c>
      <c r="T11" t="str">
        <f t="shared" si="13"/>
        <v>C</v>
      </c>
      <c r="V11" s="1" t="s">
        <v>19</v>
      </c>
      <c r="W11" s="1" t="e">
        <f t="shared" si="14"/>
        <v>#N/A</v>
      </c>
      <c r="X11" s="1" t="e">
        <f t="shared" si="15"/>
        <v>#N/A</v>
      </c>
      <c r="Y11" s="1">
        <f t="shared" si="16"/>
        <v>-0.43576408431808078</v>
      </c>
      <c r="Z11" s="1" t="e">
        <f t="shared" si="17"/>
        <v>#N/A</v>
      </c>
      <c r="AA11" s="1">
        <v>0</v>
      </c>
      <c r="AC11" s="31" t="e">
        <f t="shared" si="18"/>
        <v>#N/A</v>
      </c>
      <c r="AD11" s="31" t="e">
        <f t="shared" si="19"/>
        <v>#N/A</v>
      </c>
      <c r="AE11" s="31">
        <f t="shared" si="20"/>
        <v>-0.43576408431808078</v>
      </c>
      <c r="AF11" s="31" t="e">
        <f t="shared" si="21"/>
        <v>#N/A</v>
      </c>
      <c r="AL11" s="17">
        <f t="shared" si="22"/>
        <v>37195</v>
      </c>
      <c r="AM11">
        <f t="shared" si="24"/>
        <v>1</v>
      </c>
      <c r="AN11">
        <f t="shared" si="25"/>
        <v>1</v>
      </c>
    </row>
    <row r="12" spans="1:59">
      <c r="A12" s="7">
        <v>37225</v>
      </c>
      <c r="B12" s="8">
        <v>98.756200000000007</v>
      </c>
      <c r="C12" s="8">
        <f t="shared" si="2"/>
        <v>-0.78844553611829704</v>
      </c>
      <c r="D12" s="9">
        <f t="shared" si="3"/>
        <v>-0.16711138402957426</v>
      </c>
      <c r="E12" s="8">
        <v>44.1</v>
      </c>
      <c r="F12" s="10">
        <f t="shared" si="4"/>
        <v>-6.3429679052727561</v>
      </c>
      <c r="G12" s="8">
        <v>-0.84640000000000004</v>
      </c>
      <c r="H12" s="10">
        <f t="shared" si="5"/>
        <v>-0.90864020170754989</v>
      </c>
      <c r="I12" s="10">
        <f t="shared" si="6"/>
        <v>-0.70864020170754993</v>
      </c>
      <c r="J12" s="1">
        <v>-0.77</v>
      </c>
      <c r="K12" s="10">
        <f t="shared" si="8"/>
        <v>-0.63392356548933171</v>
      </c>
      <c r="L12" s="8">
        <v>-1.133</v>
      </c>
      <c r="M12" s="11">
        <f t="shared" si="9"/>
        <v>-1.0658630147886585</v>
      </c>
      <c r="N12" s="9">
        <f t="shared" si="7"/>
        <v>-0.5162032096928153</v>
      </c>
      <c r="P12" s="29">
        <f t="shared" si="10"/>
        <v>-0.44885952129642703</v>
      </c>
      <c r="Q12" s="1" t="str">
        <f t="shared" si="23"/>
        <v>C</v>
      </c>
      <c r="R12" t="str">
        <f t="shared" si="12"/>
        <v>C</v>
      </c>
      <c r="S12" s="18">
        <f t="shared" si="11"/>
        <v>-0.2564331484395162</v>
      </c>
      <c r="T12" t="str">
        <f t="shared" si="13"/>
        <v>C</v>
      </c>
      <c r="V12" s="1" t="s">
        <v>19</v>
      </c>
      <c r="W12" s="1" t="e">
        <f t="shared" si="14"/>
        <v>#N/A</v>
      </c>
      <c r="X12" s="1" t="e">
        <f t="shared" si="15"/>
        <v>#N/A</v>
      </c>
      <c r="Y12" s="1">
        <f t="shared" si="16"/>
        <v>-0.44885952129642703</v>
      </c>
      <c r="Z12" s="1">
        <f t="shared" si="17"/>
        <v>-0.44885952129642703</v>
      </c>
      <c r="AA12" s="1">
        <v>0</v>
      </c>
      <c r="AC12" s="31" t="e">
        <f t="shared" si="18"/>
        <v>#N/A</v>
      </c>
      <c r="AD12" s="31" t="e">
        <f t="shared" si="19"/>
        <v>#N/A</v>
      </c>
      <c r="AE12" s="31">
        <f t="shared" si="20"/>
        <v>-0.44885952129642703</v>
      </c>
      <c r="AF12" s="31" t="e">
        <f t="shared" si="21"/>
        <v>#N/A</v>
      </c>
      <c r="AL12" s="17">
        <f t="shared" si="22"/>
        <v>37225</v>
      </c>
      <c r="AM12">
        <f t="shared" si="24"/>
        <v>1</v>
      </c>
      <c r="AN12">
        <f t="shared" si="25"/>
        <v>1</v>
      </c>
    </row>
    <row r="13" spans="1:59">
      <c r="A13" s="7">
        <v>37256</v>
      </c>
      <c r="B13" s="8">
        <v>98.789099999999991</v>
      </c>
      <c r="C13" s="8">
        <f t="shared" si="2"/>
        <v>-0.90884505832458506</v>
      </c>
      <c r="D13" s="9">
        <f t="shared" si="3"/>
        <v>-0.19721126458114627</v>
      </c>
      <c r="E13" s="8">
        <v>45.3</v>
      </c>
      <c r="F13" s="10">
        <f t="shared" si="4"/>
        <v>-5.8747220522700214</v>
      </c>
      <c r="G13" s="8">
        <v>-0.48699999999999999</v>
      </c>
      <c r="H13" s="10">
        <f t="shared" si="5"/>
        <v>-0.78847274422089819</v>
      </c>
      <c r="I13" s="10">
        <f t="shared" si="6"/>
        <v>-0.58847274422089813</v>
      </c>
      <c r="J13" s="1">
        <v>-0.3</v>
      </c>
      <c r="K13" s="10">
        <f t="shared" si="8"/>
        <v>-0.53875534932487212</v>
      </c>
      <c r="L13" s="8">
        <v>-0.56100000000000005</v>
      </c>
      <c r="M13" s="11">
        <f t="shared" si="9"/>
        <v>-0.92197705557389087</v>
      </c>
      <c r="N13" s="9">
        <f t="shared" si="7"/>
        <v>-0.46098852778694543</v>
      </c>
      <c r="P13" s="29">
        <f t="shared" si="10"/>
        <v>-0.40552421867913929</v>
      </c>
      <c r="Q13" s="1" t="str">
        <f t="shared" si="23"/>
        <v>R</v>
      </c>
      <c r="R13" t="str">
        <f t="shared" si="12"/>
        <v>C</v>
      </c>
      <c r="S13" s="18">
        <f t="shared" si="11"/>
        <v>-0.2564331484395162</v>
      </c>
      <c r="T13" t="str">
        <f t="shared" si="13"/>
        <v>C</v>
      </c>
      <c r="V13" s="1" t="s">
        <v>19</v>
      </c>
      <c r="W13" s="1" t="e">
        <f t="shared" si="14"/>
        <v>#N/A</v>
      </c>
      <c r="X13" s="1" t="e">
        <f t="shared" si="15"/>
        <v>#N/A</v>
      </c>
      <c r="Y13" s="1" t="e">
        <f t="shared" si="16"/>
        <v>#N/A</v>
      </c>
      <c r="Z13" s="1">
        <f t="shared" si="17"/>
        <v>-0.40552421867913929</v>
      </c>
      <c r="AA13" s="1">
        <v>0</v>
      </c>
      <c r="AC13" s="31" t="e">
        <f t="shared" si="18"/>
        <v>#N/A</v>
      </c>
      <c r="AD13" s="31" t="e">
        <f t="shared" si="19"/>
        <v>#N/A</v>
      </c>
      <c r="AE13" s="31">
        <f t="shared" si="20"/>
        <v>-0.40552421867913929</v>
      </c>
      <c r="AF13" s="31" t="e">
        <f t="shared" si="21"/>
        <v>#N/A</v>
      </c>
      <c r="AL13" s="17">
        <f t="shared" si="22"/>
        <v>37256</v>
      </c>
      <c r="AM13">
        <f t="shared" si="24"/>
        <v>2</v>
      </c>
      <c r="AN13">
        <f t="shared" si="25"/>
        <v>1</v>
      </c>
    </row>
    <row r="14" spans="1:59">
      <c r="A14" s="7">
        <v>37287</v>
      </c>
      <c r="B14" s="8">
        <v>98.882899999999992</v>
      </c>
      <c r="C14" s="8">
        <f t="shared" si="2"/>
        <v>-0.96819771670208055</v>
      </c>
      <c r="D14" s="9">
        <f t="shared" si="3"/>
        <v>-0.21204942917552014</v>
      </c>
      <c r="E14" s="8">
        <v>47.5</v>
      </c>
      <c r="F14" s="10">
        <f t="shared" si="4"/>
        <v>-4.9129262673730656</v>
      </c>
      <c r="G14" s="8">
        <v>-0.1636</v>
      </c>
      <c r="H14" s="10">
        <f t="shared" si="5"/>
        <v>-0.61038401211794224</v>
      </c>
      <c r="I14" s="10">
        <f t="shared" si="6"/>
        <v>-0.41038401211794223</v>
      </c>
      <c r="J14" s="1">
        <v>-7.0000000000000007E-2</v>
      </c>
      <c r="K14" s="10">
        <f t="shared" si="8"/>
        <v>-0.40516007476728355</v>
      </c>
      <c r="L14" s="8">
        <v>-0.80500000000000005</v>
      </c>
      <c r="M14" s="11">
        <f t="shared" si="9"/>
        <v>-0.88863859473533191</v>
      </c>
      <c r="N14" s="9">
        <f t="shared" si="7"/>
        <v>-0.44431929736766596</v>
      </c>
      <c r="P14" s="29">
        <f t="shared" si="10"/>
        <v>-0.35063819135558488</v>
      </c>
      <c r="Q14" s="1" t="str">
        <f t="shared" si="23"/>
        <v>R</v>
      </c>
      <c r="R14" t="str">
        <f t="shared" si="12"/>
        <v>R</v>
      </c>
      <c r="S14" s="18">
        <f t="shared" si="11"/>
        <v>-0.2564331484395162</v>
      </c>
      <c r="T14" t="str">
        <f t="shared" si="13"/>
        <v>C</v>
      </c>
      <c r="V14" s="1" t="s">
        <v>19</v>
      </c>
      <c r="W14" s="1" t="e">
        <f t="shared" si="14"/>
        <v>#N/A</v>
      </c>
      <c r="X14" s="1" t="e">
        <f t="shared" si="15"/>
        <v>#N/A</v>
      </c>
      <c r="Y14" s="1" t="e">
        <f t="shared" si="16"/>
        <v>#N/A</v>
      </c>
      <c r="Z14" s="1">
        <f t="shared" si="17"/>
        <v>-0.35063819135558488</v>
      </c>
      <c r="AA14" s="1">
        <v>0</v>
      </c>
      <c r="AC14" s="31" t="e">
        <f t="shared" si="18"/>
        <v>#N/A</v>
      </c>
      <c r="AD14" s="31" t="e">
        <f t="shared" si="19"/>
        <v>#N/A</v>
      </c>
      <c r="AE14" s="31">
        <f t="shared" si="20"/>
        <v>-0.35063819135558488</v>
      </c>
      <c r="AF14" s="31" t="e">
        <f t="shared" si="21"/>
        <v>#N/A</v>
      </c>
      <c r="AL14" s="17">
        <f t="shared" si="22"/>
        <v>37287</v>
      </c>
      <c r="AM14">
        <f t="shared" si="24"/>
        <v>2</v>
      </c>
      <c r="AN14">
        <f t="shared" si="25"/>
        <v>2</v>
      </c>
    </row>
    <row r="15" spans="1:59">
      <c r="A15" s="7">
        <v>37315</v>
      </c>
      <c r="B15" s="8">
        <v>99.004899999999992</v>
      </c>
      <c r="C15" s="8">
        <f t="shared" si="2"/>
        <v>-0.97586486744198986</v>
      </c>
      <c r="D15" s="9">
        <f t="shared" si="3"/>
        <v>-0.21396621686049747</v>
      </c>
      <c r="E15" s="8">
        <v>50.7</v>
      </c>
      <c r="F15" s="10">
        <f t="shared" si="4"/>
        <v>-3.3132422811717408</v>
      </c>
      <c r="G15" s="8">
        <v>-0.26440000000000002</v>
      </c>
      <c r="H15" s="10">
        <f t="shared" si="5"/>
        <v>-0.51177856866432869</v>
      </c>
      <c r="I15" s="10">
        <f t="shared" si="6"/>
        <v>-0.31177856866432868</v>
      </c>
      <c r="J15" s="1">
        <v>-0.11</v>
      </c>
      <c r="K15" s="10">
        <f t="shared" si="8"/>
        <v>-0.32103945345860774</v>
      </c>
      <c r="L15" s="8">
        <v>-0.84</v>
      </c>
      <c r="M15" s="11">
        <f t="shared" si="9"/>
        <v>-0.87477659523576234</v>
      </c>
      <c r="N15" s="9">
        <f t="shared" si="7"/>
        <v>-0.43738829761788117</v>
      </c>
      <c r="P15" s="29">
        <f t="shared" si="10"/>
        <v>-0.3204054318192433</v>
      </c>
      <c r="Q15" s="1" t="str">
        <f t="shared" si="23"/>
        <v>R</v>
      </c>
      <c r="R15" t="str">
        <f t="shared" si="12"/>
        <v>R</v>
      </c>
      <c r="S15" s="18">
        <f t="shared" si="11"/>
        <v>-0.2564331484395162</v>
      </c>
      <c r="T15" t="str">
        <f t="shared" si="13"/>
        <v>C</v>
      </c>
      <c r="V15" s="1" t="s">
        <v>19</v>
      </c>
      <c r="W15" s="1" t="e">
        <f t="shared" si="14"/>
        <v>#N/A</v>
      </c>
      <c r="X15" s="1" t="e">
        <f t="shared" si="15"/>
        <v>#N/A</v>
      </c>
      <c r="Y15" s="1" t="e">
        <f t="shared" si="16"/>
        <v>#N/A</v>
      </c>
      <c r="Z15" s="1">
        <f t="shared" si="17"/>
        <v>-0.3204054318192433</v>
      </c>
      <c r="AA15" s="1">
        <v>0</v>
      </c>
      <c r="AC15" s="31" t="e">
        <f t="shared" si="18"/>
        <v>#N/A</v>
      </c>
      <c r="AD15" s="31" t="e">
        <f t="shared" si="19"/>
        <v>#N/A</v>
      </c>
      <c r="AE15" s="31">
        <f t="shared" si="20"/>
        <v>-0.3204054318192433</v>
      </c>
      <c r="AF15" s="31" t="e">
        <f t="shared" si="21"/>
        <v>#N/A</v>
      </c>
      <c r="AL15" s="17">
        <f t="shared" si="22"/>
        <v>37315</v>
      </c>
      <c r="AM15">
        <f t="shared" si="24"/>
        <v>2</v>
      </c>
      <c r="AN15">
        <f t="shared" si="25"/>
        <v>2</v>
      </c>
    </row>
    <row r="16" spans="1:59">
      <c r="A16" s="7">
        <v>37344</v>
      </c>
      <c r="B16" s="8">
        <v>99.113599999999991</v>
      </c>
      <c r="C16" s="8">
        <f t="shared" si="2"/>
        <v>-0.95036738022102529</v>
      </c>
      <c r="D16" s="9">
        <f t="shared" si="3"/>
        <v>-0.20759184505525632</v>
      </c>
      <c r="E16" s="8">
        <v>52.4</v>
      </c>
      <c r="F16" s="10">
        <f t="shared" si="4"/>
        <v>-1.6849682310377947</v>
      </c>
      <c r="G16" s="8">
        <v>-0.14380000000000001</v>
      </c>
      <c r="H16" s="10">
        <f t="shared" si="5"/>
        <v>-0.40690467659499502</v>
      </c>
      <c r="I16" s="10">
        <f t="shared" si="6"/>
        <v>-0.20690467659499501</v>
      </c>
      <c r="J16" s="1">
        <v>-0.01</v>
      </c>
      <c r="K16" s="10">
        <f t="shared" si="8"/>
        <v>-0.23239320922290452</v>
      </c>
      <c r="L16" s="8">
        <v>-0.74199999999999999</v>
      </c>
      <c r="M16" s="11">
        <f t="shared" si="9"/>
        <v>-0.83693526559357012</v>
      </c>
      <c r="N16" s="9">
        <f t="shared" si="7"/>
        <v>-0.41846763279678506</v>
      </c>
      <c r="P16" s="29">
        <f t="shared" si="10"/>
        <v>-0.27977950875075913</v>
      </c>
      <c r="Q16" s="1" t="str">
        <f t="shared" si="23"/>
        <v>R</v>
      </c>
      <c r="R16" t="str">
        <f t="shared" si="12"/>
        <v>R</v>
      </c>
      <c r="S16" s="18">
        <f t="shared" si="11"/>
        <v>-0.2564331484395162</v>
      </c>
      <c r="T16" t="str">
        <f t="shared" si="13"/>
        <v>C</v>
      </c>
      <c r="V16" s="1" t="s">
        <v>19</v>
      </c>
      <c r="W16" s="1" t="e">
        <f t="shared" si="14"/>
        <v>#N/A</v>
      </c>
      <c r="X16" s="1" t="e">
        <f t="shared" si="15"/>
        <v>#N/A</v>
      </c>
      <c r="Y16" s="1" t="e">
        <f t="shared" si="16"/>
        <v>#N/A</v>
      </c>
      <c r="Z16" s="1">
        <f t="shared" si="17"/>
        <v>-0.27977950875075913</v>
      </c>
      <c r="AA16" s="1">
        <v>0</v>
      </c>
      <c r="AC16" s="31" t="e">
        <f t="shared" si="18"/>
        <v>#N/A</v>
      </c>
      <c r="AD16" s="31" t="e">
        <f t="shared" si="19"/>
        <v>#N/A</v>
      </c>
      <c r="AE16" s="31">
        <f t="shared" si="20"/>
        <v>-0.27977950875075913</v>
      </c>
      <c r="AF16" s="31" t="e">
        <f t="shared" si="21"/>
        <v>#N/A</v>
      </c>
      <c r="AL16" s="17">
        <f t="shared" si="22"/>
        <v>37344</v>
      </c>
      <c r="AM16">
        <f t="shared" si="24"/>
        <v>2</v>
      </c>
      <c r="AN16">
        <f t="shared" si="25"/>
        <v>2</v>
      </c>
    </row>
    <row r="17" spans="1:40">
      <c r="A17" s="7">
        <v>37376</v>
      </c>
      <c r="B17" s="8">
        <v>99.17240000000001</v>
      </c>
      <c r="C17" s="8">
        <f t="shared" si="2"/>
        <v>-0.91537867685803009</v>
      </c>
      <c r="D17" s="9">
        <f t="shared" si="3"/>
        <v>-0.19884466921450752</v>
      </c>
      <c r="E17" s="8">
        <v>52.4</v>
      </c>
      <c r="F17" s="10">
        <f t="shared" si="4"/>
        <v>-0.52075228519202343</v>
      </c>
      <c r="G17" s="8">
        <v>7.8200000000000006E-2</v>
      </c>
      <c r="H17" s="10">
        <f t="shared" si="5"/>
        <v>-0.26864984376542145</v>
      </c>
      <c r="I17" s="10">
        <f t="shared" si="6"/>
        <v>-6.8649843765421437E-2</v>
      </c>
      <c r="J17" s="1">
        <v>0.17</v>
      </c>
      <c r="K17" s="10">
        <f t="shared" si="8"/>
        <v>-0.11771114459437672</v>
      </c>
      <c r="L17" s="8">
        <v>-0.63</v>
      </c>
      <c r="M17" s="11">
        <f t="shared" si="9"/>
        <v>-0.7779587148994026</v>
      </c>
      <c r="N17" s="9">
        <f t="shared" si="7"/>
        <v>-0.3889793574497013</v>
      </c>
      <c r="P17" s="29">
        <f t="shared" si="10"/>
        <v>-0.22174034875679305</v>
      </c>
      <c r="Q17" s="1" t="str">
        <f t="shared" si="23"/>
        <v>R</v>
      </c>
      <c r="R17" t="str">
        <f t="shared" si="12"/>
        <v>R</v>
      </c>
      <c r="S17" s="18">
        <f t="shared" si="11"/>
        <v>-0.2564331484395162</v>
      </c>
      <c r="T17" t="str">
        <f t="shared" ref="T17:T21" si="26">IF(OR(ABS($S17-$S16)&gt;$R$1,S17*S16&lt;0,ABS(P17-MAX(P5:P16))&gt;$U$1),Q17,T16)</f>
        <v>C</v>
      </c>
      <c r="V17" s="1" t="s">
        <v>19</v>
      </c>
      <c r="W17" s="1" t="e">
        <f t="shared" si="14"/>
        <v>#N/A</v>
      </c>
      <c r="X17" s="1" t="e">
        <f t="shared" si="15"/>
        <v>#N/A</v>
      </c>
      <c r="Y17" s="1" t="e">
        <f t="shared" si="16"/>
        <v>#N/A</v>
      </c>
      <c r="Z17" s="1">
        <f t="shared" si="17"/>
        <v>-0.22174034875679305</v>
      </c>
      <c r="AA17" s="1">
        <v>0</v>
      </c>
      <c r="AC17" s="31" t="e">
        <f t="shared" si="18"/>
        <v>#N/A</v>
      </c>
      <c r="AD17" s="31" t="e">
        <f t="shared" si="19"/>
        <v>#N/A</v>
      </c>
      <c r="AE17" s="31">
        <f t="shared" si="20"/>
        <v>-0.22174034875679305</v>
      </c>
      <c r="AF17" s="31" t="e">
        <f t="shared" si="21"/>
        <v>#N/A</v>
      </c>
      <c r="AL17" s="17">
        <f t="shared" si="22"/>
        <v>37376</v>
      </c>
      <c r="AM17">
        <f t="shared" si="24"/>
        <v>2</v>
      </c>
      <c r="AN17">
        <f t="shared" si="25"/>
        <v>2</v>
      </c>
    </row>
    <row r="18" spans="1:40">
      <c r="A18" s="7">
        <v>37407</v>
      </c>
      <c r="B18" s="8">
        <v>99.167900000000003</v>
      </c>
      <c r="C18" s="8">
        <f t="shared" si="2"/>
        <v>-0.89164425395349056</v>
      </c>
      <c r="D18" s="9">
        <f t="shared" si="3"/>
        <v>-0.19291106348837264</v>
      </c>
      <c r="E18" s="8">
        <v>53.1</v>
      </c>
      <c r="F18" s="10">
        <f t="shared" si="4"/>
        <v>0.51116211608770379</v>
      </c>
      <c r="G18" s="8">
        <v>0.17430000000000001</v>
      </c>
      <c r="H18" s="10">
        <f t="shared" si="5"/>
        <v>-0.1424091382922763</v>
      </c>
      <c r="I18" s="10">
        <f t="shared" si="6"/>
        <v>5.7590861707723706E-2</v>
      </c>
      <c r="J18" s="1">
        <v>0.03</v>
      </c>
      <c r="K18" s="10">
        <f t="shared" si="8"/>
        <v>-7.5613468384979343E-2</v>
      </c>
      <c r="L18" s="8">
        <v>-0.70699999999999996</v>
      </c>
      <c r="M18" s="11">
        <f t="shared" si="9"/>
        <v>-0.75773548115307277</v>
      </c>
      <c r="N18" s="9">
        <f t="shared" si="7"/>
        <v>-0.37886774057653638</v>
      </c>
      <c r="P18" s="29">
        <f t="shared" si="10"/>
        <v>-0.17337384936110675</v>
      </c>
      <c r="Q18" s="1" t="str">
        <f t="shared" si="23"/>
        <v>R</v>
      </c>
      <c r="R18" t="str">
        <f t="shared" si="12"/>
        <v>R</v>
      </c>
      <c r="S18" s="18">
        <f t="shared" si="11"/>
        <v>-0.2564331484395162</v>
      </c>
      <c r="T18" t="str">
        <f t="shared" si="26"/>
        <v>C</v>
      </c>
      <c r="V18" s="1" t="s">
        <v>19</v>
      </c>
      <c r="W18" s="1" t="e">
        <f t="shared" si="14"/>
        <v>#N/A</v>
      </c>
      <c r="X18" s="1" t="e">
        <f t="shared" si="15"/>
        <v>#N/A</v>
      </c>
      <c r="Y18" s="1" t="e">
        <f t="shared" si="16"/>
        <v>#N/A</v>
      </c>
      <c r="Z18" s="1">
        <f t="shared" si="17"/>
        <v>-0.17337384936110675</v>
      </c>
      <c r="AA18" s="1">
        <v>0</v>
      </c>
      <c r="AC18" s="31" t="e">
        <f t="shared" si="18"/>
        <v>#N/A</v>
      </c>
      <c r="AD18" s="31" t="e">
        <f t="shared" si="19"/>
        <v>#N/A</v>
      </c>
      <c r="AE18" s="31">
        <f t="shared" si="20"/>
        <v>-0.17337384936110675</v>
      </c>
      <c r="AF18" s="31" t="e">
        <f t="shared" si="21"/>
        <v>#N/A</v>
      </c>
      <c r="AL18" s="17">
        <f t="shared" si="22"/>
        <v>37407</v>
      </c>
      <c r="AM18">
        <f t="shared" si="24"/>
        <v>2</v>
      </c>
      <c r="AN18">
        <f t="shared" si="25"/>
        <v>2</v>
      </c>
    </row>
    <row r="19" spans="1:40">
      <c r="A19" s="7">
        <v>37435</v>
      </c>
      <c r="B19" s="8">
        <v>99.099900000000005</v>
      </c>
      <c r="C19" s="8">
        <f t="shared" si="2"/>
        <v>-0.89405414157674423</v>
      </c>
      <c r="D19" s="9">
        <f t="shared" si="3"/>
        <v>-0.19351353539418606</v>
      </c>
      <c r="E19" s="8">
        <v>53.6</v>
      </c>
      <c r="F19" s="10">
        <f t="shared" si="4"/>
        <v>1.3914809130027086</v>
      </c>
      <c r="G19" s="8">
        <v>8.1900000000000001E-2</v>
      </c>
      <c r="H19" s="10">
        <f t="shared" si="5"/>
        <v>-7.8481033878977549E-2</v>
      </c>
      <c r="I19" s="10">
        <f t="shared" si="6"/>
        <v>0.12151896612102246</v>
      </c>
      <c r="J19" s="1">
        <v>0.28999999999999998</v>
      </c>
      <c r="K19" s="10">
        <f t="shared" si="8"/>
        <v>2.8586370104739772E-2</v>
      </c>
      <c r="L19" s="8">
        <v>-1.1100000000000001</v>
      </c>
      <c r="M19" s="11">
        <f t="shared" si="9"/>
        <v>-0.85813086902444713</v>
      </c>
      <c r="N19" s="9">
        <f t="shared" si="7"/>
        <v>-0.42906543451222356</v>
      </c>
      <c r="P19" s="29">
        <f t="shared" si="10"/>
        <v>-0.16681917729319126</v>
      </c>
      <c r="Q19" s="1" t="str">
        <f t="shared" si="23"/>
        <v>R</v>
      </c>
      <c r="R19" t="str">
        <f t="shared" si="12"/>
        <v>R</v>
      </c>
      <c r="S19" s="18">
        <f t="shared" si="11"/>
        <v>-0.2564331484395162</v>
      </c>
      <c r="T19" t="str">
        <f>IF(OR(ABS($S19-$S18)&gt;$R$1,S19*S18&lt;0,ABS(P19-MAX(P7:P18))&gt;$U$1),Q19,T18)</f>
        <v>C</v>
      </c>
      <c r="V19" s="1" t="s">
        <v>19</v>
      </c>
      <c r="W19" s="1" t="e">
        <f t="shared" si="14"/>
        <v>#N/A</v>
      </c>
      <c r="X19" s="1" t="e">
        <f t="shared" si="15"/>
        <v>#N/A</v>
      </c>
      <c r="Y19" s="1">
        <f t="shared" si="16"/>
        <v>-0.16681917729319126</v>
      </c>
      <c r="Z19" s="1">
        <f t="shared" si="17"/>
        <v>-0.16681917729319126</v>
      </c>
      <c r="AA19" s="1">
        <v>0</v>
      </c>
      <c r="AC19" s="31" t="e">
        <f t="shared" si="18"/>
        <v>#N/A</v>
      </c>
      <c r="AD19" s="31" t="e">
        <f t="shared" si="19"/>
        <v>#N/A</v>
      </c>
      <c r="AE19" s="31">
        <f t="shared" si="20"/>
        <v>-0.16681917729319126</v>
      </c>
      <c r="AF19" s="31" t="e">
        <f t="shared" si="21"/>
        <v>#N/A</v>
      </c>
      <c r="AL19" s="17">
        <f t="shared" si="22"/>
        <v>37435</v>
      </c>
      <c r="AM19">
        <f t="shared" si="24"/>
        <v>2</v>
      </c>
      <c r="AN19">
        <f t="shared" si="25"/>
        <v>2</v>
      </c>
    </row>
    <row r="20" spans="1:40">
      <c r="A20" s="7">
        <v>37468</v>
      </c>
      <c r="B20" s="8">
        <v>98.988699999999994</v>
      </c>
      <c r="C20" s="8">
        <f t="shared" si="2"/>
        <v>-0.9274692112273738</v>
      </c>
      <c r="D20" s="9">
        <f t="shared" si="3"/>
        <v>-0.20186730280684345</v>
      </c>
      <c r="E20" s="8">
        <v>50.2</v>
      </c>
      <c r="F20" s="10">
        <f t="shared" si="4"/>
        <v>1.0519088527969374</v>
      </c>
      <c r="G20" s="8">
        <v>-0.49619999999999997</v>
      </c>
      <c r="H20" s="10">
        <f t="shared" si="5"/>
        <v>-0.19753093922346895</v>
      </c>
      <c r="I20" s="10">
        <f t="shared" si="6"/>
        <v>2.4690607765310568E-3</v>
      </c>
      <c r="J20" s="1">
        <v>-0.28000000000000003</v>
      </c>
      <c r="K20" s="10">
        <f t="shared" si="8"/>
        <v>-5.9360745375111074E-2</v>
      </c>
      <c r="L20" s="8">
        <v>-2.0329999999999999</v>
      </c>
      <c r="M20" s="11">
        <f t="shared" si="9"/>
        <v>-1.1929685713524796</v>
      </c>
      <c r="N20" s="9">
        <f t="shared" si="7"/>
        <v>-0.54611550320250013</v>
      </c>
      <c r="P20" s="29">
        <f t="shared" si="10"/>
        <v>-0.2457199926067184</v>
      </c>
      <c r="Q20" s="1" t="str">
        <f t="shared" si="23"/>
        <v>C</v>
      </c>
      <c r="R20" t="str">
        <f t="shared" si="12"/>
        <v>C</v>
      </c>
      <c r="S20" s="18">
        <f t="shared" si="11"/>
        <v>-0.2457199926067184</v>
      </c>
      <c r="T20" t="str">
        <f t="shared" si="26"/>
        <v>C</v>
      </c>
      <c r="V20" s="1" t="s">
        <v>19</v>
      </c>
      <c r="W20" s="1" t="e">
        <f t="shared" si="14"/>
        <v>#N/A</v>
      </c>
      <c r="X20" s="1" t="e">
        <f t="shared" si="15"/>
        <v>#N/A</v>
      </c>
      <c r="Y20" s="1">
        <f t="shared" si="16"/>
        <v>-0.2457199926067184</v>
      </c>
      <c r="Z20" s="1" t="e">
        <f t="shared" si="17"/>
        <v>#N/A</v>
      </c>
      <c r="AA20" s="1">
        <v>0</v>
      </c>
      <c r="AC20" s="31" t="e">
        <f t="shared" si="18"/>
        <v>#N/A</v>
      </c>
      <c r="AD20" s="31" t="e">
        <f t="shared" si="19"/>
        <v>#N/A</v>
      </c>
      <c r="AE20" s="31">
        <f t="shared" si="20"/>
        <v>-0.2457199926067184</v>
      </c>
      <c r="AF20" s="31" t="e">
        <f t="shared" si="21"/>
        <v>#N/A</v>
      </c>
      <c r="AL20" s="17">
        <f t="shared" si="22"/>
        <v>37468</v>
      </c>
      <c r="AM20">
        <f t="shared" si="24"/>
        <v>1</v>
      </c>
      <c r="AN20">
        <f t="shared" si="25"/>
        <v>1</v>
      </c>
    </row>
    <row r="21" spans="1:40">
      <c r="A21" s="7">
        <v>37498</v>
      </c>
      <c r="B21" s="8">
        <v>98.855100000000007</v>
      </c>
      <c r="C21" s="8">
        <f t="shared" si="2"/>
        <v>-0.98943698602757024</v>
      </c>
      <c r="D21" s="9">
        <f t="shared" si="3"/>
        <v>-0.21735924650689256</v>
      </c>
      <c r="E21" s="8">
        <v>50.3</v>
      </c>
      <c r="F21" s="10">
        <f t="shared" si="4"/>
        <v>0.83761482974980939</v>
      </c>
      <c r="G21" s="8">
        <v>-0.38550000000000001</v>
      </c>
      <c r="H21" s="10">
        <f t="shared" si="5"/>
        <v>-0.25110212154478034</v>
      </c>
      <c r="I21" s="10">
        <f t="shared" si="6"/>
        <v>-5.1102121544780332E-2</v>
      </c>
      <c r="J21" s="1">
        <v>-0.06</v>
      </c>
      <c r="K21" s="10">
        <f t="shared" si="8"/>
        <v>-5.954293294320441E-2</v>
      </c>
      <c r="L21" s="8">
        <v>-1.8340000000000001</v>
      </c>
      <c r="M21" s="11">
        <f t="shared" si="9"/>
        <v>-1.375662528517023</v>
      </c>
      <c r="N21" s="9">
        <f t="shared" si="7"/>
        <v>-0.58644320452133791</v>
      </c>
      <c r="P21" s="29">
        <f t="shared" si="10"/>
        <v>-0.27980420962432057</v>
      </c>
      <c r="Q21" s="1" t="str">
        <f t="shared" si="23"/>
        <v>C</v>
      </c>
      <c r="R21" t="str">
        <f t="shared" si="12"/>
        <v>C</v>
      </c>
      <c r="S21" s="18">
        <f t="shared" si="11"/>
        <v>-0.2457199926067184</v>
      </c>
      <c r="T21" t="str">
        <f t="shared" si="26"/>
        <v>C</v>
      </c>
      <c r="V21" s="1" t="s">
        <v>19</v>
      </c>
      <c r="W21" s="1" t="e">
        <f t="shared" si="14"/>
        <v>#N/A</v>
      </c>
      <c r="X21" s="1" t="e">
        <f t="shared" si="15"/>
        <v>#N/A</v>
      </c>
      <c r="Y21" s="1">
        <f t="shared" si="16"/>
        <v>-0.27980420962432057</v>
      </c>
      <c r="Z21" s="1" t="e">
        <f t="shared" si="17"/>
        <v>#N/A</v>
      </c>
      <c r="AA21" s="1">
        <v>0</v>
      </c>
      <c r="AC21" s="31" t="e">
        <f t="shared" si="18"/>
        <v>#N/A</v>
      </c>
      <c r="AD21" s="31" t="e">
        <f t="shared" si="19"/>
        <v>#N/A</v>
      </c>
      <c r="AE21" s="31">
        <f t="shared" si="20"/>
        <v>-0.27980420962432057</v>
      </c>
      <c r="AF21" s="31" t="e">
        <f t="shared" si="21"/>
        <v>#N/A</v>
      </c>
      <c r="AL21" s="17">
        <f t="shared" si="22"/>
        <v>37498</v>
      </c>
      <c r="AM21">
        <f t="shared" si="24"/>
        <v>1</v>
      </c>
      <c r="AN21">
        <f t="shared" si="25"/>
        <v>1</v>
      </c>
    </row>
    <row r="22" spans="1:40">
      <c r="A22" s="7">
        <v>37529</v>
      </c>
      <c r="B22" s="8">
        <v>98.713099999999997</v>
      </c>
      <c r="C22" s="8">
        <f t="shared" si="2"/>
        <v>-1.0742139450097135</v>
      </c>
      <c r="D22" s="9">
        <f t="shared" si="3"/>
        <v>-0.23855348625242837</v>
      </c>
      <c r="E22" s="8">
        <v>50.5</v>
      </c>
      <c r="F22" s="10">
        <f t="shared" si="4"/>
        <v>0.74139460327111362</v>
      </c>
      <c r="G22" s="8">
        <v>-0.6391</v>
      </c>
      <c r="H22" s="10">
        <f t="shared" si="5"/>
        <v>-0.36168151690451794</v>
      </c>
      <c r="I22" s="10">
        <f t="shared" si="6"/>
        <v>-0.16168151690451793</v>
      </c>
      <c r="J22" s="1">
        <v>-0.32</v>
      </c>
      <c r="K22" s="10">
        <f t="shared" si="8"/>
        <v>-0.13377319705439117</v>
      </c>
      <c r="L22" s="8">
        <v>-2.5510000000000002</v>
      </c>
      <c r="M22" s="11">
        <f t="shared" si="9"/>
        <v>-1.7106337078896714</v>
      </c>
      <c r="N22" s="9">
        <f t="shared" si="7"/>
        <v>-0.65395598244256303</v>
      </c>
      <c r="P22" s="29">
        <f t="shared" si="10"/>
        <v>-0.34433224861799117</v>
      </c>
      <c r="Q22" s="1" t="str">
        <f t="shared" si="23"/>
        <v>C</v>
      </c>
      <c r="R22" t="str">
        <f t="shared" si="12"/>
        <v>C</v>
      </c>
      <c r="S22" s="18">
        <f t="shared" si="11"/>
        <v>-0.2457199926067184</v>
      </c>
      <c r="T22" t="str">
        <f>IF(OR(ABS($S22-$S21)&gt;$R$1,S22*S21&lt;0,ABS(P22-MAX(P10:P21))&gt;$U$1),Q22,T21)</f>
        <v>C</v>
      </c>
      <c r="V22" s="1" t="s">
        <v>19</v>
      </c>
      <c r="W22" s="1" t="e">
        <f t="shared" si="14"/>
        <v>#N/A</v>
      </c>
      <c r="X22" s="1" t="e">
        <f t="shared" si="15"/>
        <v>#N/A</v>
      </c>
      <c r="Y22" s="1">
        <f t="shared" si="16"/>
        <v>-0.34433224861799117</v>
      </c>
      <c r="Z22" s="1" t="e">
        <f t="shared" si="17"/>
        <v>#N/A</v>
      </c>
      <c r="AA22" s="1">
        <v>0</v>
      </c>
      <c r="AC22" s="31" t="e">
        <f t="shared" si="18"/>
        <v>#N/A</v>
      </c>
      <c r="AD22" s="31" t="e">
        <f t="shared" si="19"/>
        <v>#N/A</v>
      </c>
      <c r="AE22" s="31">
        <f t="shared" si="20"/>
        <v>-0.34433224861799117</v>
      </c>
      <c r="AF22" s="31" t="e">
        <f t="shared" si="21"/>
        <v>#N/A</v>
      </c>
      <c r="AL22" s="17">
        <f t="shared" si="22"/>
        <v>37529</v>
      </c>
      <c r="AM22">
        <f t="shared" si="24"/>
        <v>1</v>
      </c>
      <c r="AN22">
        <f t="shared" si="25"/>
        <v>1</v>
      </c>
    </row>
    <row r="23" spans="1:40">
      <c r="A23" s="7">
        <v>37560</v>
      </c>
      <c r="B23" s="8">
        <v>98.566499999999991</v>
      </c>
      <c r="C23" s="8">
        <f t="shared" si="2"/>
        <v>-1.1766104706819478</v>
      </c>
      <c r="D23" s="9">
        <f t="shared" si="3"/>
        <v>-0.26415261767048692</v>
      </c>
      <c r="E23" s="8">
        <v>49</v>
      </c>
      <c r="F23" s="10">
        <f t="shared" si="4"/>
        <v>0.24509714133884619</v>
      </c>
      <c r="G23" s="8">
        <v>-0.44940000000000002</v>
      </c>
      <c r="H23" s="10">
        <f t="shared" si="5"/>
        <v>-0.38668128458673034</v>
      </c>
      <c r="I23" s="10">
        <f t="shared" si="6"/>
        <v>-0.18668128458673033</v>
      </c>
      <c r="J23" s="1">
        <v>-0.39</v>
      </c>
      <c r="K23" s="10">
        <f t="shared" si="8"/>
        <v>-0.2067978358938897</v>
      </c>
      <c r="L23" s="8">
        <v>-1.8959999999999999</v>
      </c>
      <c r="M23" s="11">
        <f t="shared" si="9"/>
        <v>-1.7634631011411153</v>
      </c>
      <c r="N23" s="9">
        <f t="shared" si="7"/>
        <v>-0.66397724003558944</v>
      </c>
      <c r="P23" s="29">
        <f t="shared" si="10"/>
        <v>-0.36307067029158269</v>
      </c>
      <c r="Q23" s="1" t="str">
        <f t="shared" si="23"/>
        <v>C</v>
      </c>
      <c r="R23" t="str">
        <f t="shared" si="12"/>
        <v>C</v>
      </c>
      <c r="S23" s="18">
        <f t="shared" si="11"/>
        <v>-0.2457199926067184</v>
      </c>
      <c r="T23" t="str">
        <f t="shared" ref="T23:T86" si="27">IF(OR(ABS($S23-$S22)&gt;$R$1,S23*S22&lt;0,ABS(P23-MAX(P11:P22))&gt;$U$1),Q23,T22)</f>
        <v>C</v>
      </c>
      <c r="V23" s="1" t="s">
        <v>19</v>
      </c>
      <c r="W23" s="1" t="e">
        <f t="shared" si="14"/>
        <v>#N/A</v>
      </c>
      <c r="X23" s="1" t="e">
        <f t="shared" si="15"/>
        <v>#N/A</v>
      </c>
      <c r="Y23" s="1">
        <f t="shared" si="16"/>
        <v>-0.36307067029158269</v>
      </c>
      <c r="Z23" s="1">
        <f t="shared" si="17"/>
        <v>-0.36307067029158269</v>
      </c>
      <c r="AA23" s="1">
        <v>0</v>
      </c>
      <c r="AC23" s="31" t="e">
        <f t="shared" si="18"/>
        <v>#N/A</v>
      </c>
      <c r="AD23" s="31" t="e">
        <f t="shared" si="19"/>
        <v>#N/A</v>
      </c>
      <c r="AE23" s="31">
        <f t="shared" si="20"/>
        <v>-0.36307067029158269</v>
      </c>
      <c r="AF23" s="31">
        <f t="shared" si="21"/>
        <v>-0.36307067029158269</v>
      </c>
      <c r="AL23" s="17">
        <f t="shared" si="22"/>
        <v>37560</v>
      </c>
      <c r="AM23">
        <f t="shared" si="24"/>
        <v>1</v>
      </c>
      <c r="AN23">
        <f t="shared" si="25"/>
        <v>1</v>
      </c>
    </row>
    <row r="24" spans="1:40">
      <c r="A24" s="7">
        <v>37589</v>
      </c>
      <c r="B24" s="8">
        <v>98.424300000000002</v>
      </c>
      <c r="C24" s="8">
        <f t="shared" si="2"/>
        <v>-1.2903509865375922</v>
      </c>
      <c r="D24" s="9">
        <f t="shared" si="3"/>
        <v>-0.29258774663439802</v>
      </c>
      <c r="E24" s="8">
        <v>48.5</v>
      </c>
      <c r="F24" s="10">
        <f t="shared" si="4"/>
        <v>-0.25225554394272504</v>
      </c>
      <c r="G24" s="8">
        <v>-0.23039999999999999</v>
      </c>
      <c r="H24" s="10">
        <f t="shared" si="5"/>
        <v>-0.34214111847951217</v>
      </c>
      <c r="I24" s="10">
        <f t="shared" si="6"/>
        <v>-0.14214111847951216</v>
      </c>
      <c r="J24" s="1">
        <v>0.14000000000000001</v>
      </c>
      <c r="K24" s="10">
        <f t="shared" si="8"/>
        <v>-0.10796045266413111</v>
      </c>
      <c r="L24" s="8">
        <v>-0.81699999999999995</v>
      </c>
      <c r="M24" s="11">
        <f t="shared" si="9"/>
        <v>-1.4937211173158973</v>
      </c>
      <c r="N24" s="9">
        <f t="shared" si="7"/>
        <v>-0.61108942007612466</v>
      </c>
      <c r="P24" s="29">
        <f t="shared" si="10"/>
        <v>-0.33912771874204123</v>
      </c>
      <c r="Q24" s="1" t="str">
        <f t="shared" si="23"/>
        <v>R</v>
      </c>
      <c r="R24" t="str">
        <f t="shared" si="12"/>
        <v>C</v>
      </c>
      <c r="S24" s="18">
        <f t="shared" si="11"/>
        <v>-0.2457199926067184</v>
      </c>
      <c r="T24" t="str">
        <f t="shared" si="27"/>
        <v>R</v>
      </c>
      <c r="V24" s="1" t="s">
        <v>19</v>
      </c>
      <c r="W24" s="1" t="e">
        <f t="shared" si="14"/>
        <v>#N/A</v>
      </c>
      <c r="X24" s="1" t="e">
        <f t="shared" si="15"/>
        <v>#N/A</v>
      </c>
      <c r="Y24" s="1">
        <f t="shared" si="16"/>
        <v>-0.33912771874204123</v>
      </c>
      <c r="Z24" s="1">
        <f t="shared" si="17"/>
        <v>-0.33912771874204123</v>
      </c>
      <c r="AA24" s="1">
        <v>0</v>
      </c>
      <c r="AC24" s="31" t="e">
        <f t="shared" si="18"/>
        <v>#N/A</v>
      </c>
      <c r="AD24" s="31" t="e">
        <f t="shared" si="19"/>
        <v>#N/A</v>
      </c>
      <c r="AE24" s="31">
        <f t="shared" si="20"/>
        <v>-0.33912771874204123</v>
      </c>
      <c r="AF24" s="31">
        <f t="shared" si="21"/>
        <v>-0.33912771874204123</v>
      </c>
      <c r="AL24" s="17">
        <f t="shared" si="22"/>
        <v>37589</v>
      </c>
      <c r="AM24">
        <f t="shared" si="24"/>
        <v>2</v>
      </c>
      <c r="AN24">
        <f t="shared" si="25"/>
        <v>1</v>
      </c>
    </row>
    <row r="25" spans="1:40">
      <c r="A25" s="7">
        <v>37621</v>
      </c>
      <c r="B25" s="8">
        <v>98.285899999999998</v>
      </c>
      <c r="C25" s="8">
        <f t="shared" si="2"/>
        <v>-1.4111194553743789</v>
      </c>
      <c r="D25" s="9">
        <f t="shared" si="3"/>
        <v>-0.32277986384359469</v>
      </c>
      <c r="E25" s="8">
        <v>51.6</v>
      </c>
      <c r="F25" s="10">
        <f t="shared" si="4"/>
        <v>0.27563728608095206</v>
      </c>
      <c r="G25" s="8">
        <v>-0.6149</v>
      </c>
      <c r="H25" s="10">
        <f t="shared" si="5"/>
        <v>-0.41987739971285121</v>
      </c>
      <c r="I25" s="10">
        <f t="shared" si="6"/>
        <v>-0.2198773997128512</v>
      </c>
      <c r="J25" s="1">
        <v>-0.59</v>
      </c>
      <c r="K25" s="10">
        <f t="shared" si="8"/>
        <v>-0.24534172365485377</v>
      </c>
      <c r="L25" s="8">
        <v>-0.92900000000000005</v>
      </c>
      <c r="M25" s="11">
        <f t="shared" si="9"/>
        <v>-1.3327755988808665</v>
      </c>
      <c r="N25" s="9">
        <f t="shared" si="7"/>
        <v>-0.57722950350810776</v>
      </c>
      <c r="P25" s="29">
        <f t="shared" si="10"/>
        <v>-0.36323154995178558</v>
      </c>
      <c r="Q25" s="1" t="str">
        <f t="shared" si="23"/>
        <v>C</v>
      </c>
      <c r="R25" t="str">
        <f t="shared" si="12"/>
        <v>C</v>
      </c>
      <c r="S25" s="18">
        <f t="shared" si="11"/>
        <v>-0.36323154995178558</v>
      </c>
      <c r="T25" t="str">
        <f t="shared" si="27"/>
        <v>C</v>
      </c>
      <c r="V25" s="1" t="s">
        <v>19</v>
      </c>
      <c r="W25" s="1" t="e">
        <f t="shared" si="14"/>
        <v>#N/A</v>
      </c>
      <c r="X25" s="1" t="e">
        <f t="shared" si="15"/>
        <v>#N/A</v>
      </c>
      <c r="Y25" s="1">
        <f t="shared" si="16"/>
        <v>-0.36323154995178558</v>
      </c>
      <c r="Z25" s="1">
        <f t="shared" si="17"/>
        <v>-0.36323154995178558</v>
      </c>
      <c r="AA25" s="1">
        <v>0</v>
      </c>
      <c r="AC25" s="31" t="e">
        <f t="shared" si="18"/>
        <v>#N/A</v>
      </c>
      <c r="AD25" s="31" t="e">
        <f t="shared" si="19"/>
        <v>#N/A</v>
      </c>
      <c r="AE25" s="31">
        <f t="shared" si="20"/>
        <v>-0.36323154995178558</v>
      </c>
      <c r="AF25" s="31">
        <f t="shared" si="21"/>
        <v>-0.36323154995178558</v>
      </c>
      <c r="AL25" s="17">
        <f t="shared" si="22"/>
        <v>37621</v>
      </c>
      <c r="AM25">
        <f t="shared" si="24"/>
        <v>1</v>
      </c>
      <c r="AN25">
        <f t="shared" si="25"/>
        <v>1</v>
      </c>
    </row>
    <row r="26" spans="1:40">
      <c r="A26" s="7">
        <v>37652</v>
      </c>
      <c r="B26" s="8">
        <v>98.162800000000004</v>
      </c>
      <c r="C26" s="8">
        <f t="shared" si="2"/>
        <v>-1.5325524105926795</v>
      </c>
      <c r="D26" s="9">
        <f t="shared" si="3"/>
        <v>-0.35313810264816992</v>
      </c>
      <c r="E26" s="8">
        <v>51.3</v>
      </c>
      <c r="F26" s="10">
        <f t="shared" si="4"/>
        <v>0.56758065954787995</v>
      </c>
      <c r="G26" s="8">
        <v>-0.1525</v>
      </c>
      <c r="H26" s="10">
        <f t="shared" si="5"/>
        <v>-0.34367484079468863</v>
      </c>
      <c r="I26" s="10">
        <f t="shared" si="6"/>
        <v>-0.14367484079468862</v>
      </c>
      <c r="J26" s="1">
        <v>0.35</v>
      </c>
      <c r="K26" s="10">
        <f t="shared" si="8"/>
        <v>-7.5669332413220436E-2</v>
      </c>
      <c r="L26" s="8">
        <v>-0.97199999999999998</v>
      </c>
      <c r="M26" s="11">
        <f t="shared" si="9"/>
        <v>-1.2299545531998195</v>
      </c>
      <c r="N26" s="9">
        <f t="shared" si="7"/>
        <v>-0.55451658072591015</v>
      </c>
      <c r="P26" s="29">
        <f t="shared" si="10"/>
        <v>-0.3403237617880645</v>
      </c>
      <c r="Q26" s="1" t="str">
        <f t="shared" si="23"/>
        <v>R</v>
      </c>
      <c r="R26" t="str">
        <f t="shared" si="12"/>
        <v>C</v>
      </c>
      <c r="S26" s="18">
        <f t="shared" si="11"/>
        <v>-0.36323154995178558</v>
      </c>
      <c r="T26" t="str">
        <f t="shared" si="27"/>
        <v>R</v>
      </c>
      <c r="V26" s="1">
        <v>29.9</v>
      </c>
      <c r="W26" s="1" t="e">
        <f t="shared" si="14"/>
        <v>#N/A</v>
      </c>
      <c r="X26" s="1" t="e">
        <f t="shared" si="15"/>
        <v>#N/A</v>
      </c>
      <c r="Y26" s="1">
        <f t="shared" si="16"/>
        <v>-0.3403237617880645</v>
      </c>
      <c r="Z26" s="1">
        <f t="shared" si="17"/>
        <v>-0.3403237617880645</v>
      </c>
      <c r="AA26" s="1">
        <v>0</v>
      </c>
      <c r="AC26" s="31" t="e">
        <f t="shared" si="18"/>
        <v>#N/A</v>
      </c>
      <c r="AD26" s="31" t="e">
        <f t="shared" si="19"/>
        <v>#N/A</v>
      </c>
      <c r="AE26" s="31">
        <f t="shared" si="20"/>
        <v>-0.3403237617880645</v>
      </c>
      <c r="AF26" s="31">
        <f t="shared" si="21"/>
        <v>-0.3403237617880645</v>
      </c>
      <c r="AL26" s="17">
        <f t="shared" si="22"/>
        <v>37652</v>
      </c>
      <c r="AM26">
        <f t="shared" si="24"/>
        <v>2</v>
      </c>
      <c r="AN26">
        <f t="shared" si="25"/>
        <v>1</v>
      </c>
    </row>
    <row r="27" spans="1:40">
      <c r="A27" s="7">
        <v>37680</v>
      </c>
      <c r="B27" s="8">
        <v>98.063699999999997</v>
      </c>
      <c r="C27" s="8">
        <f t="shared" si="2"/>
        <v>-1.6476204735737667</v>
      </c>
      <c r="D27" s="9">
        <f t="shared" si="3"/>
        <v>-0.38190511839344166</v>
      </c>
      <c r="E27" s="8">
        <v>48.8</v>
      </c>
      <c r="F27" s="10">
        <f t="shared" si="4"/>
        <v>6.3820171576733309E-2</v>
      </c>
      <c r="G27" s="8">
        <v>-0.74539999999999995</v>
      </c>
      <c r="H27" s="10">
        <f t="shared" si="5"/>
        <v>-0.45816651116820239</v>
      </c>
      <c r="I27" s="10">
        <f t="shared" si="6"/>
        <v>-0.25816651116820238</v>
      </c>
      <c r="J27" s="1">
        <v>-0.46</v>
      </c>
      <c r="K27" s="10">
        <f t="shared" si="8"/>
        <v>-0.18520357267545262</v>
      </c>
      <c r="L27" s="8">
        <v>-1.0589999999999999</v>
      </c>
      <c r="M27" s="11">
        <f t="shared" si="9"/>
        <v>-1.181232505537871</v>
      </c>
      <c r="N27" s="9">
        <f t="shared" si="7"/>
        <v>-0.5434226038586063</v>
      </c>
      <c r="P27" s="29">
        <f t="shared" si="10"/>
        <v>-0.38490907255832618</v>
      </c>
      <c r="Q27" s="1" t="str">
        <f t="shared" si="23"/>
        <v>C</v>
      </c>
      <c r="R27" t="str">
        <f t="shared" si="12"/>
        <v>C</v>
      </c>
      <c r="S27" s="18">
        <f t="shared" si="11"/>
        <v>-0.38490907255832618</v>
      </c>
      <c r="T27" t="str">
        <f t="shared" si="27"/>
        <v>C</v>
      </c>
      <c r="V27" s="1">
        <v>56.3</v>
      </c>
      <c r="W27" s="1" t="e">
        <f t="shared" si="14"/>
        <v>#N/A</v>
      </c>
      <c r="X27" s="1" t="e">
        <f t="shared" si="15"/>
        <v>#N/A</v>
      </c>
      <c r="Y27" s="1">
        <f t="shared" si="16"/>
        <v>-0.38490907255832618</v>
      </c>
      <c r="Z27" s="1" t="e">
        <f t="shared" si="17"/>
        <v>#N/A</v>
      </c>
      <c r="AA27" s="1">
        <v>0</v>
      </c>
      <c r="AC27" s="31" t="e">
        <f t="shared" si="18"/>
        <v>#N/A</v>
      </c>
      <c r="AD27" s="31" t="e">
        <f t="shared" si="19"/>
        <v>#N/A</v>
      </c>
      <c r="AE27" s="31">
        <f t="shared" si="20"/>
        <v>-0.38490907255832618</v>
      </c>
      <c r="AF27" s="31" t="e">
        <f t="shared" si="21"/>
        <v>#N/A</v>
      </c>
      <c r="AL27" s="17">
        <f t="shared" si="22"/>
        <v>37680</v>
      </c>
      <c r="AM27">
        <f t="shared" si="24"/>
        <v>1</v>
      </c>
      <c r="AN27">
        <f t="shared" si="25"/>
        <v>1</v>
      </c>
    </row>
    <row r="28" spans="1:40">
      <c r="A28" s="7">
        <v>37711</v>
      </c>
      <c r="B28" s="8">
        <v>98.004899999999992</v>
      </c>
      <c r="C28" s="8">
        <f t="shared" si="2"/>
        <v>-1.7466521386052454</v>
      </c>
      <c r="D28" s="9">
        <f t="shared" si="3"/>
        <v>-0.40666303465131137</v>
      </c>
      <c r="E28" s="8">
        <v>46.3</v>
      </c>
      <c r="F28" s="10">
        <f t="shared" si="4"/>
        <v>-1.0088685773226365</v>
      </c>
      <c r="G28" s="8">
        <v>-0.66139999999999999</v>
      </c>
      <c r="H28" s="10">
        <f t="shared" si="5"/>
        <v>-0.51608805548526471</v>
      </c>
      <c r="I28" s="10">
        <f t="shared" si="6"/>
        <v>-0.3160880554852647</v>
      </c>
      <c r="J28" s="1">
        <v>-0.19</v>
      </c>
      <c r="K28" s="10">
        <f t="shared" si="8"/>
        <v>-0.18657055446294862</v>
      </c>
      <c r="L28" s="8">
        <v>-1.1220000000000001</v>
      </c>
      <c r="M28" s="11">
        <f t="shared" si="9"/>
        <v>-1.1643512414595778</v>
      </c>
      <c r="N28" s="9">
        <f t="shared" si="7"/>
        <v>-0.53952554190222957</v>
      </c>
      <c r="P28" s="29">
        <f t="shared" si="10"/>
        <v>-0.41250623859364532</v>
      </c>
      <c r="Q28" s="1" t="str">
        <f t="shared" si="23"/>
        <v>C</v>
      </c>
      <c r="R28" t="str">
        <f t="shared" si="12"/>
        <v>C</v>
      </c>
      <c r="S28" s="18">
        <f t="shared" si="11"/>
        <v>-0.38490907255832618</v>
      </c>
      <c r="T28" t="str">
        <f t="shared" si="27"/>
        <v>C</v>
      </c>
      <c r="V28" s="1">
        <v>44.6</v>
      </c>
      <c r="W28" s="1" t="e">
        <f t="shared" si="14"/>
        <v>#N/A</v>
      </c>
      <c r="X28" s="1" t="e">
        <f t="shared" si="15"/>
        <v>#N/A</v>
      </c>
      <c r="Y28" s="1">
        <f t="shared" si="16"/>
        <v>-0.41250623859364532</v>
      </c>
      <c r="Z28" s="1">
        <f t="shared" si="17"/>
        <v>-0.41250623859364532</v>
      </c>
      <c r="AA28" s="1">
        <v>0</v>
      </c>
      <c r="AC28" s="31" t="e">
        <f t="shared" si="18"/>
        <v>#N/A</v>
      </c>
      <c r="AD28" s="31" t="e">
        <f t="shared" si="19"/>
        <v>#N/A</v>
      </c>
      <c r="AE28" s="31">
        <f t="shared" si="20"/>
        <v>-0.41250623859364532</v>
      </c>
      <c r="AF28" s="31">
        <f t="shared" si="21"/>
        <v>-0.41250623859364532</v>
      </c>
      <c r="AL28" s="17">
        <f t="shared" si="22"/>
        <v>37711</v>
      </c>
      <c r="AM28">
        <f t="shared" si="24"/>
        <v>1</v>
      </c>
      <c r="AN28">
        <f t="shared" si="25"/>
        <v>1</v>
      </c>
    </row>
    <row r="29" spans="1:40">
      <c r="A29" s="7">
        <v>37741</v>
      </c>
      <c r="B29" s="8">
        <v>98.010799999999989</v>
      </c>
      <c r="C29" s="8">
        <f t="shared" si="2"/>
        <v>-1.8157782791027537</v>
      </c>
      <c r="D29" s="9">
        <f t="shared" si="3"/>
        <v>-0.4239445697756884</v>
      </c>
      <c r="E29" s="8">
        <v>46.1</v>
      </c>
      <c r="F29" s="10">
        <f t="shared" si="4"/>
        <v>-1.8328410327856848</v>
      </c>
      <c r="G29" s="8">
        <v>-0.54820000000000002</v>
      </c>
      <c r="H29" s="10">
        <f t="shared" si="5"/>
        <v>-0.52523995967196424</v>
      </c>
      <c r="I29" s="10">
        <f t="shared" si="6"/>
        <v>-0.32523995967196423</v>
      </c>
      <c r="J29" s="1">
        <v>-0.65</v>
      </c>
      <c r="K29" s="10">
        <f t="shared" si="8"/>
        <v>-0.31864794644100825</v>
      </c>
      <c r="L29" s="8">
        <v>-0.35499999999999998</v>
      </c>
      <c r="M29" s="11">
        <f t="shared" si="9"/>
        <v>-0.93368613764359809</v>
      </c>
      <c r="N29" s="9">
        <f t="shared" si="7"/>
        <v>-0.46684306882179905</v>
      </c>
      <c r="P29" s="29">
        <f t="shared" si="10"/>
        <v>-0.39958202104835822</v>
      </c>
      <c r="Q29" s="1" t="str">
        <f t="shared" si="23"/>
        <v>R</v>
      </c>
      <c r="R29" t="str">
        <f t="shared" si="12"/>
        <v>C</v>
      </c>
      <c r="S29" s="18">
        <f t="shared" si="11"/>
        <v>-0.38490907255832618</v>
      </c>
      <c r="T29" t="str">
        <f t="shared" si="27"/>
        <v>R</v>
      </c>
      <c r="V29" s="1">
        <v>-30.2</v>
      </c>
      <c r="W29" s="1" t="e">
        <f t="shared" si="14"/>
        <v>#N/A</v>
      </c>
      <c r="X29" s="1" t="e">
        <f t="shared" si="15"/>
        <v>#N/A</v>
      </c>
      <c r="Y29" s="1" t="e">
        <f t="shared" si="16"/>
        <v>#N/A</v>
      </c>
      <c r="Z29" s="1">
        <f t="shared" si="17"/>
        <v>-0.39958202104835822</v>
      </c>
      <c r="AA29" s="1">
        <v>0</v>
      </c>
      <c r="AC29" s="31" t="e">
        <f t="shared" si="18"/>
        <v>#N/A</v>
      </c>
      <c r="AD29" s="31" t="e">
        <f t="shared" si="19"/>
        <v>#N/A</v>
      </c>
      <c r="AE29" s="31" t="e">
        <f t="shared" si="20"/>
        <v>#N/A</v>
      </c>
      <c r="AF29" s="31">
        <f t="shared" si="21"/>
        <v>-0.39958202104835822</v>
      </c>
      <c r="AL29" s="17">
        <f t="shared" si="22"/>
        <v>37741</v>
      </c>
      <c r="AM29">
        <f t="shared" si="24"/>
        <v>2</v>
      </c>
      <c r="AN29">
        <f t="shared" si="25"/>
        <v>1</v>
      </c>
    </row>
    <row r="30" spans="1:40">
      <c r="A30" s="7">
        <v>37771</v>
      </c>
      <c r="B30" s="8">
        <v>98.084800000000001</v>
      </c>
      <c r="C30" s="8">
        <f t="shared" si="2"/>
        <v>-1.8441134695584684</v>
      </c>
      <c r="D30" s="9">
        <f t="shared" si="3"/>
        <v>-0.43102836738961714</v>
      </c>
      <c r="E30" s="8">
        <v>49</v>
      </c>
      <c r="F30" s="10">
        <f t="shared" si="4"/>
        <v>-1.5954813384417648</v>
      </c>
      <c r="G30" s="8">
        <v>-6.3299999999999995E-2</v>
      </c>
      <c r="H30" s="10">
        <f t="shared" si="5"/>
        <v>-0.39358707116545444</v>
      </c>
      <c r="I30" s="10">
        <f t="shared" si="6"/>
        <v>-0.19358707116545443</v>
      </c>
      <c r="J30" s="1">
        <v>0</v>
      </c>
      <c r="K30" s="10">
        <f t="shared" si="8"/>
        <v>-0.22783328170532088</v>
      </c>
      <c r="L30" s="8">
        <v>-0.19700000000000001</v>
      </c>
      <c r="M30" s="11">
        <f t="shared" si="9"/>
        <v>-0.72373058841517257</v>
      </c>
      <c r="N30" s="9">
        <f t="shared" si="7"/>
        <v>-0.36186529420758629</v>
      </c>
      <c r="P30" s="29">
        <f t="shared" si="10"/>
        <v>-0.32646564504957637</v>
      </c>
      <c r="Q30" s="1" t="str">
        <f t="shared" si="23"/>
        <v>R</v>
      </c>
      <c r="R30" t="str">
        <f t="shared" si="12"/>
        <v>R</v>
      </c>
      <c r="S30" s="18">
        <f t="shared" si="11"/>
        <v>-0.38490907255832618</v>
      </c>
      <c r="T30" t="str">
        <f t="shared" si="27"/>
        <v>R</v>
      </c>
      <c r="V30" s="1">
        <v>-38.200000000000003</v>
      </c>
      <c r="W30" s="1" t="e">
        <f t="shared" si="14"/>
        <v>#N/A</v>
      </c>
      <c r="X30" s="1" t="e">
        <f t="shared" si="15"/>
        <v>#N/A</v>
      </c>
      <c r="Y30" s="1" t="e">
        <f t="shared" si="16"/>
        <v>#N/A</v>
      </c>
      <c r="Z30" s="1">
        <f t="shared" si="17"/>
        <v>-0.32646564504957637</v>
      </c>
      <c r="AA30" s="1">
        <v>0</v>
      </c>
      <c r="AC30" s="31" t="e">
        <f t="shared" si="18"/>
        <v>#N/A</v>
      </c>
      <c r="AD30" s="31" t="e">
        <f t="shared" si="19"/>
        <v>#N/A</v>
      </c>
      <c r="AE30" s="31" t="e">
        <f t="shared" si="20"/>
        <v>#N/A</v>
      </c>
      <c r="AF30" s="31">
        <f t="shared" si="21"/>
        <v>-0.32646564504957637</v>
      </c>
      <c r="AL30" s="17">
        <f t="shared" si="22"/>
        <v>37771</v>
      </c>
      <c r="AM30">
        <f t="shared" si="24"/>
        <v>2</v>
      </c>
      <c r="AN30">
        <f t="shared" si="25"/>
        <v>2</v>
      </c>
    </row>
    <row r="31" spans="1:40">
      <c r="A31" s="7">
        <v>37802</v>
      </c>
      <c r="B31" s="8">
        <v>98.226900000000001</v>
      </c>
      <c r="C31" s="8">
        <f t="shared" si="2"/>
        <v>-1.8238746307343048</v>
      </c>
      <c r="D31" s="9">
        <f t="shared" si="3"/>
        <v>-0.42596865768357617</v>
      </c>
      <c r="E31" s="8">
        <v>49</v>
      </c>
      <c r="F31" s="10">
        <f t="shared" si="4"/>
        <v>-1.4257691569858619</v>
      </c>
      <c r="G31" s="8">
        <v>0.14449999999999999</v>
      </c>
      <c r="H31" s="10">
        <f t="shared" si="5"/>
        <v>-0.24023225588329988</v>
      </c>
      <c r="I31" s="10">
        <f t="shared" si="6"/>
        <v>-4.0232255883299872E-2</v>
      </c>
      <c r="J31" s="1">
        <v>0.12</v>
      </c>
      <c r="K31" s="10">
        <f t="shared" si="8"/>
        <v>-0.1287007964193044</v>
      </c>
      <c r="L31" s="8">
        <v>-0.125</v>
      </c>
      <c r="M31" s="11">
        <f t="shared" si="9"/>
        <v>-0.55309237071684836</v>
      </c>
      <c r="N31" s="9">
        <f t="shared" si="7"/>
        <v>-0.27654618535842418</v>
      </c>
      <c r="P31" s="29">
        <f t="shared" si="10"/>
        <v>-0.24926893621044707</v>
      </c>
      <c r="Q31" s="1" t="str">
        <f t="shared" si="23"/>
        <v>R</v>
      </c>
      <c r="R31" t="str">
        <f t="shared" si="12"/>
        <v>R</v>
      </c>
      <c r="S31" s="18">
        <f t="shared" si="11"/>
        <v>-0.38490907255832618</v>
      </c>
      <c r="T31" t="str">
        <f t="shared" si="27"/>
        <v>R</v>
      </c>
      <c r="V31" s="1">
        <v>-33.299999999999997</v>
      </c>
      <c r="W31" s="1" t="e">
        <f t="shared" si="14"/>
        <v>#N/A</v>
      </c>
      <c r="X31" s="1" t="e">
        <f t="shared" si="15"/>
        <v>#N/A</v>
      </c>
      <c r="Y31" s="1" t="e">
        <f t="shared" si="16"/>
        <v>#N/A</v>
      </c>
      <c r="Z31" s="1">
        <f t="shared" si="17"/>
        <v>-0.24926893621044707</v>
      </c>
      <c r="AA31" s="1">
        <v>0</v>
      </c>
      <c r="AC31" s="31" t="e">
        <f t="shared" si="18"/>
        <v>#N/A</v>
      </c>
      <c r="AD31" s="31" t="e">
        <f t="shared" si="19"/>
        <v>#N/A</v>
      </c>
      <c r="AE31" s="31" t="e">
        <f t="shared" si="20"/>
        <v>#N/A</v>
      </c>
      <c r="AF31" s="31">
        <f t="shared" si="21"/>
        <v>-0.24926893621044707</v>
      </c>
      <c r="AL31" s="17">
        <f t="shared" si="22"/>
        <v>37802</v>
      </c>
      <c r="AM31">
        <f t="shared" si="24"/>
        <v>2</v>
      </c>
      <c r="AN31">
        <f t="shared" si="25"/>
        <v>2</v>
      </c>
    </row>
    <row r="32" spans="1:40">
      <c r="A32" s="7">
        <v>37833</v>
      </c>
      <c r="B32" s="8">
        <v>98.423000000000002</v>
      </c>
      <c r="C32" s="8">
        <f t="shared" si="2"/>
        <v>-1.7535153609750274</v>
      </c>
      <c r="D32" s="9">
        <f t="shared" si="3"/>
        <v>-0.40837884024375681</v>
      </c>
      <c r="E32" s="8">
        <v>51</v>
      </c>
      <c r="F32" s="10">
        <f t="shared" si="4"/>
        <v>-0.73442494724489127</v>
      </c>
      <c r="G32" s="8">
        <v>0.15229999999999999</v>
      </c>
      <c r="H32" s="10">
        <f t="shared" si="5"/>
        <v>-0.1283605629565594</v>
      </c>
      <c r="I32" s="10">
        <f t="shared" si="6"/>
        <v>7.1639437043440612E-2</v>
      </c>
      <c r="J32" s="1">
        <v>0.1</v>
      </c>
      <c r="K32" s="10">
        <f t="shared" si="8"/>
        <v>-6.3521069439802652E-2</v>
      </c>
      <c r="L32" s="8">
        <v>0.26800000000000002</v>
      </c>
      <c r="M32" s="11">
        <f t="shared" si="9"/>
        <v>-0.31908104506254653</v>
      </c>
      <c r="N32" s="9">
        <f t="shared" si="7"/>
        <v>-0.15954052253127327</v>
      </c>
      <c r="P32" s="29">
        <f t="shared" si="10"/>
        <v>-0.17128991439046959</v>
      </c>
      <c r="Q32" s="1" t="str">
        <f t="shared" si="23"/>
        <v>R</v>
      </c>
      <c r="R32" t="str">
        <f t="shared" si="12"/>
        <v>R</v>
      </c>
      <c r="S32" s="18">
        <f t="shared" si="11"/>
        <v>-0.38490907255832618</v>
      </c>
      <c r="T32" t="str">
        <f t="shared" si="27"/>
        <v>R</v>
      </c>
      <c r="V32" s="1">
        <v>-1.6</v>
      </c>
      <c r="W32" s="1" t="e">
        <f t="shared" si="14"/>
        <v>#N/A</v>
      </c>
      <c r="X32" s="1" t="e">
        <f t="shared" si="15"/>
        <v>#N/A</v>
      </c>
      <c r="Y32" s="1" t="e">
        <f t="shared" si="16"/>
        <v>#N/A</v>
      </c>
      <c r="Z32" s="1">
        <f t="shared" si="17"/>
        <v>-0.17128991439046959</v>
      </c>
      <c r="AA32" s="1">
        <v>0</v>
      </c>
      <c r="AC32" s="31" t="e">
        <f t="shared" si="18"/>
        <v>#N/A</v>
      </c>
      <c r="AD32" s="31" t="e">
        <f t="shared" si="19"/>
        <v>#N/A</v>
      </c>
      <c r="AE32" s="31" t="e">
        <f t="shared" si="20"/>
        <v>#N/A</v>
      </c>
      <c r="AF32" s="31">
        <f t="shared" si="21"/>
        <v>-0.17128991439046959</v>
      </c>
      <c r="AL32" s="17">
        <f t="shared" si="22"/>
        <v>37833</v>
      </c>
      <c r="AM32">
        <f t="shared" si="24"/>
        <v>2</v>
      </c>
      <c r="AN32">
        <f t="shared" si="25"/>
        <v>2</v>
      </c>
    </row>
    <row r="33" spans="1:40">
      <c r="A33" s="7">
        <v>37862</v>
      </c>
      <c r="B33" s="8">
        <v>98.657200000000003</v>
      </c>
      <c r="C33" s="8">
        <f t="shared" si="2"/>
        <v>-1.6364614830971436</v>
      </c>
      <c r="D33" s="9">
        <f t="shared" si="3"/>
        <v>-0.37911537077428592</v>
      </c>
      <c r="E33" s="8">
        <v>53.2</v>
      </c>
      <c r="F33" s="10">
        <f t="shared" si="4"/>
        <v>0.38688616271990373</v>
      </c>
      <c r="G33" s="8">
        <v>-0.16839999999999999</v>
      </c>
      <c r="H33" s="10">
        <f t="shared" si="5"/>
        <v>-0.13977180251393997</v>
      </c>
      <c r="I33" s="10">
        <f t="shared" si="6"/>
        <v>6.0228197486060037E-2</v>
      </c>
      <c r="J33" s="1">
        <v>-0.15</v>
      </c>
      <c r="K33" s="10">
        <f t="shared" si="8"/>
        <v>-8.8167564649458907E-2</v>
      </c>
      <c r="L33" s="8">
        <v>0.372</v>
      </c>
      <c r="M33" s="11">
        <f t="shared" si="9"/>
        <v>-0.12212294721972074</v>
      </c>
      <c r="N33" s="9">
        <f t="shared" si="7"/>
        <v>-6.1061473609860369E-2</v>
      </c>
      <c r="P33" s="29">
        <f t="shared" si="10"/>
        <v>-0.13640403878918572</v>
      </c>
      <c r="Q33" s="1" t="str">
        <f t="shared" si="23"/>
        <v>R</v>
      </c>
      <c r="R33" t="str">
        <f t="shared" si="12"/>
        <v>R</v>
      </c>
      <c r="S33" s="18">
        <f t="shared" si="11"/>
        <v>-0.38490907255832618</v>
      </c>
      <c r="T33" t="str">
        <f t="shared" si="27"/>
        <v>R</v>
      </c>
      <c r="V33" s="1">
        <v>20.9</v>
      </c>
      <c r="W33" s="1" t="e">
        <f t="shared" si="14"/>
        <v>#N/A</v>
      </c>
      <c r="X33" s="1" t="e">
        <f t="shared" si="15"/>
        <v>#N/A</v>
      </c>
      <c r="Y33" s="1" t="e">
        <f t="shared" si="16"/>
        <v>#N/A</v>
      </c>
      <c r="Z33" s="1">
        <f t="shared" si="17"/>
        <v>-0.13640403878918572</v>
      </c>
      <c r="AA33" s="1">
        <v>0</v>
      </c>
      <c r="AC33" s="31" t="e">
        <f t="shared" si="18"/>
        <v>#N/A</v>
      </c>
      <c r="AD33" s="31" t="e">
        <f t="shared" si="19"/>
        <v>#N/A</v>
      </c>
      <c r="AE33" s="31" t="e">
        <f t="shared" si="20"/>
        <v>#N/A</v>
      </c>
      <c r="AF33" s="31">
        <f t="shared" si="21"/>
        <v>-0.13640403878918572</v>
      </c>
      <c r="AL33" s="17">
        <f t="shared" si="22"/>
        <v>37862</v>
      </c>
      <c r="AM33">
        <f t="shared" si="24"/>
        <v>2</v>
      </c>
      <c r="AN33">
        <f t="shared" si="25"/>
        <v>2</v>
      </c>
    </row>
    <row r="34" spans="1:40">
      <c r="A34" s="7">
        <v>37894</v>
      </c>
      <c r="B34" s="8">
        <v>98.905600000000007</v>
      </c>
      <c r="C34" s="8">
        <f t="shared" si="2"/>
        <v>-1.4819739604144555</v>
      </c>
      <c r="D34" s="9">
        <f t="shared" si="3"/>
        <v>-0.34049349010361385</v>
      </c>
      <c r="E34" s="8">
        <v>52.4</v>
      </c>
      <c r="F34" s="10">
        <f t="shared" si="4"/>
        <v>0.96062360634473087</v>
      </c>
      <c r="G34" s="8">
        <v>0.25640000000000002</v>
      </c>
      <c r="H34" s="10">
        <f t="shared" si="5"/>
        <v>-2.6862838797467065E-2</v>
      </c>
      <c r="I34" s="10">
        <f t="shared" si="6"/>
        <v>0.17313716120253295</v>
      </c>
      <c r="J34" s="1">
        <v>0.33</v>
      </c>
      <c r="K34" s="10">
        <f t="shared" si="8"/>
        <v>3.1010191275636895E-2</v>
      </c>
      <c r="L34" s="8">
        <v>-8.1000000000000003E-2</v>
      </c>
      <c r="M34" s="11">
        <f t="shared" si="9"/>
        <v>-0.11040290726210034</v>
      </c>
      <c r="N34" s="9">
        <f t="shared" si="7"/>
        <v>-5.5201453631050168E-2</v>
      </c>
      <c r="P34" s="29">
        <f t="shared" si="10"/>
        <v>-8.7059887734267719E-2</v>
      </c>
      <c r="Q34" s="1" t="str">
        <f t="shared" si="23"/>
        <v>R</v>
      </c>
      <c r="R34" t="str">
        <f t="shared" si="12"/>
        <v>R</v>
      </c>
      <c r="S34" s="18">
        <f t="shared" si="11"/>
        <v>-0.38490907255832618</v>
      </c>
      <c r="T34" t="str">
        <f t="shared" si="27"/>
        <v>R</v>
      </c>
      <c r="V34" s="1">
        <v>50.5</v>
      </c>
      <c r="W34" s="1" t="e">
        <f t="shared" si="14"/>
        <v>#N/A</v>
      </c>
      <c r="X34" s="1" t="e">
        <f t="shared" si="15"/>
        <v>#N/A</v>
      </c>
      <c r="Y34" s="1" t="e">
        <f t="shared" si="16"/>
        <v>#N/A</v>
      </c>
      <c r="Z34" s="1">
        <f t="shared" si="17"/>
        <v>-8.7059887734267719E-2</v>
      </c>
      <c r="AA34" s="1">
        <v>0</v>
      </c>
      <c r="AC34" s="31" t="e">
        <f t="shared" si="18"/>
        <v>#N/A</v>
      </c>
      <c r="AD34" s="31" t="e">
        <f t="shared" si="19"/>
        <v>#N/A</v>
      </c>
      <c r="AE34" s="31" t="e">
        <f t="shared" si="20"/>
        <v>#N/A</v>
      </c>
      <c r="AF34" s="31">
        <f t="shared" si="21"/>
        <v>-8.7059887734267719E-2</v>
      </c>
      <c r="AL34" s="17">
        <f t="shared" si="22"/>
        <v>37894</v>
      </c>
      <c r="AM34">
        <f t="shared" si="24"/>
        <v>2</v>
      </c>
      <c r="AN34">
        <f t="shared" si="25"/>
        <v>2</v>
      </c>
    </row>
    <row r="35" spans="1:40">
      <c r="A35" s="7">
        <v>37925</v>
      </c>
      <c r="B35" s="8">
        <v>99.142300000000006</v>
      </c>
      <c r="C35" s="8">
        <f t="shared" si="2"/>
        <v>-1.3040558816963341</v>
      </c>
      <c r="D35" s="9">
        <f t="shared" si="3"/>
        <v>-0.29601397042408351</v>
      </c>
      <c r="E35" s="8">
        <v>55.2</v>
      </c>
      <c r="F35" s="10">
        <f t="shared" si="4"/>
        <v>2.1688458785364833</v>
      </c>
      <c r="G35" s="8">
        <v>0.2109</v>
      </c>
      <c r="H35" s="10">
        <f t="shared" si="5"/>
        <v>4.0899570259811058E-2</v>
      </c>
      <c r="I35" s="10">
        <f t="shared" si="6"/>
        <v>0.24089957025981107</v>
      </c>
      <c r="J35" s="1">
        <v>0.12</v>
      </c>
      <c r="K35" s="10">
        <f t="shared" si="8"/>
        <v>5.6372286762080379E-2</v>
      </c>
      <c r="L35" s="8">
        <v>0.45</v>
      </c>
      <c r="M35" s="11">
        <f t="shared" si="9"/>
        <v>4.9311921307598289E-2</v>
      </c>
      <c r="N35" s="9">
        <f t="shared" si="7"/>
        <v>4.9311921307598289E-2</v>
      </c>
      <c r="P35" s="29">
        <f t="shared" si="10"/>
        <v>-1.6760666178734829E-2</v>
      </c>
      <c r="Q35" s="1" t="str">
        <f t="shared" si="23"/>
        <v>R</v>
      </c>
      <c r="R35" t="str">
        <f t="shared" si="12"/>
        <v>R</v>
      </c>
      <c r="S35" s="18">
        <f t="shared" si="11"/>
        <v>-0.38490907255832618</v>
      </c>
      <c r="T35" t="str">
        <f t="shared" si="27"/>
        <v>R</v>
      </c>
      <c r="V35" s="1">
        <v>71.400000000000006</v>
      </c>
      <c r="W35" s="1">
        <f t="shared" si="14"/>
        <v>-1.6760666178734829E-2</v>
      </c>
      <c r="X35" s="1" t="e">
        <f t="shared" si="15"/>
        <v>#N/A</v>
      </c>
      <c r="Y35" s="1" t="e">
        <f t="shared" si="16"/>
        <v>#N/A</v>
      </c>
      <c r="Z35" s="1">
        <f t="shared" si="17"/>
        <v>-1.6760666178734829E-2</v>
      </c>
      <c r="AA35" s="1">
        <v>0</v>
      </c>
      <c r="AC35" s="31">
        <f t="shared" si="18"/>
        <v>-1.6760666178734829E-2</v>
      </c>
      <c r="AD35" s="31" t="e">
        <f t="shared" si="19"/>
        <v>#N/A</v>
      </c>
      <c r="AE35" s="31" t="e">
        <f t="shared" si="20"/>
        <v>#N/A</v>
      </c>
      <c r="AF35" s="31">
        <f t="shared" si="21"/>
        <v>-1.6760666178734829E-2</v>
      </c>
      <c r="AL35" s="17">
        <f t="shared" si="22"/>
        <v>37925</v>
      </c>
      <c r="AM35">
        <f t="shared" si="24"/>
        <v>2</v>
      </c>
      <c r="AN35">
        <f t="shared" si="25"/>
        <v>2</v>
      </c>
    </row>
    <row r="36" spans="1:40">
      <c r="A36" s="7">
        <v>37953</v>
      </c>
      <c r="B36" s="8">
        <v>99.343199999999996</v>
      </c>
      <c r="C36" s="8">
        <f t="shared" si="2"/>
        <v>-1.11958795541288</v>
      </c>
      <c r="D36" s="9">
        <f t="shared" si="3"/>
        <v>-0.24989698885322001</v>
      </c>
      <c r="E36" s="8">
        <v>58.4</v>
      </c>
      <c r="F36" s="10">
        <f t="shared" si="4"/>
        <v>3.9447248031535853</v>
      </c>
      <c r="G36" s="8">
        <v>0.2044</v>
      </c>
      <c r="H36" s="10">
        <f t="shared" si="5"/>
        <v>8.7497192735764909E-2</v>
      </c>
      <c r="I36" s="10">
        <f t="shared" si="6"/>
        <v>0.28749719273576491</v>
      </c>
      <c r="J36" s="1">
        <v>0.47</v>
      </c>
      <c r="K36" s="10">
        <f t="shared" si="8"/>
        <v>0.17425618503488749</v>
      </c>
      <c r="L36" s="8">
        <v>0.51400000000000001</v>
      </c>
      <c r="M36" s="11">
        <f t="shared" si="9"/>
        <v>0.18174802373493279</v>
      </c>
      <c r="N36" s="9">
        <f t="shared" si="7"/>
        <v>0.18174802373493279</v>
      </c>
      <c r="P36" s="29">
        <f t="shared" si="10"/>
        <v>5.7743748682204728E-2</v>
      </c>
      <c r="Q36" s="1" t="str">
        <f t="shared" si="23"/>
        <v>E</v>
      </c>
      <c r="R36" t="str">
        <f t="shared" si="12"/>
        <v>E</v>
      </c>
      <c r="S36" s="18">
        <f t="shared" si="11"/>
        <v>5.7743748682204728E-2</v>
      </c>
      <c r="T36" t="str">
        <f t="shared" si="27"/>
        <v>E</v>
      </c>
      <c r="V36" s="1">
        <v>74.2</v>
      </c>
      <c r="W36" s="1">
        <f t="shared" si="14"/>
        <v>5.7743748682204728E-2</v>
      </c>
      <c r="X36" s="1" t="e">
        <f t="shared" si="15"/>
        <v>#N/A</v>
      </c>
      <c r="Y36" s="1" t="e">
        <f t="shared" si="16"/>
        <v>#N/A</v>
      </c>
      <c r="Z36" s="1" t="e">
        <f t="shared" si="17"/>
        <v>#N/A</v>
      </c>
      <c r="AA36" s="1">
        <v>0</v>
      </c>
      <c r="AC36" s="31">
        <f t="shared" si="18"/>
        <v>5.7743748682204728E-2</v>
      </c>
      <c r="AD36" s="31" t="e">
        <f t="shared" si="19"/>
        <v>#N/A</v>
      </c>
      <c r="AE36" s="31" t="e">
        <f t="shared" si="20"/>
        <v>#N/A</v>
      </c>
      <c r="AF36" s="31" t="e">
        <f t="shared" si="21"/>
        <v>#N/A</v>
      </c>
      <c r="AL36" s="17">
        <f t="shared" si="22"/>
        <v>37953</v>
      </c>
      <c r="AM36">
        <f t="shared" si="24"/>
        <v>4</v>
      </c>
      <c r="AN36">
        <f t="shared" si="25"/>
        <v>4</v>
      </c>
    </row>
    <row r="37" spans="1:40">
      <c r="A37" s="7">
        <v>37986</v>
      </c>
      <c r="B37" s="8">
        <v>99.493899999999996</v>
      </c>
      <c r="C37" s="8">
        <f t="shared" si="2"/>
        <v>-0.94474388812021026</v>
      </c>
      <c r="D37" s="9">
        <f t="shared" si="3"/>
        <v>-0.20618597203005257</v>
      </c>
      <c r="E37" s="8">
        <v>60.1</v>
      </c>
      <c r="F37" s="10">
        <f t="shared" si="4"/>
        <v>5.6989782342548141</v>
      </c>
      <c r="G37" s="8">
        <v>-0.26690000000000003</v>
      </c>
      <c r="H37" s="10">
        <f t="shared" si="5"/>
        <v>-1.3506007193928096E-2</v>
      </c>
      <c r="I37" s="10">
        <f t="shared" si="6"/>
        <v>0.18649399280607193</v>
      </c>
      <c r="J37" s="1">
        <v>0.02</v>
      </c>
      <c r="K37" s="10">
        <f t="shared" si="8"/>
        <v>0.13029317229994455</v>
      </c>
      <c r="L37" s="8">
        <v>0.65900000000000003</v>
      </c>
      <c r="M37" s="11">
        <f t="shared" si="9"/>
        <v>0.31776483697047697</v>
      </c>
      <c r="N37" s="9">
        <f t="shared" si="7"/>
        <v>0.31776483697047697</v>
      </c>
      <c r="P37" s="29">
        <f t="shared" si="10"/>
        <v>8.4787280307776311E-2</v>
      </c>
      <c r="Q37" s="1" t="str">
        <f t="shared" si="23"/>
        <v>E</v>
      </c>
      <c r="R37" t="str">
        <f t="shared" si="12"/>
        <v>E</v>
      </c>
      <c r="S37" s="18">
        <f t="shared" si="11"/>
        <v>5.7743748682204728E-2</v>
      </c>
      <c r="T37" t="str">
        <f t="shared" si="27"/>
        <v>E</v>
      </c>
      <c r="V37" s="1">
        <v>54.1</v>
      </c>
      <c r="W37" s="1">
        <f t="shared" si="14"/>
        <v>8.4787280307776311E-2</v>
      </c>
      <c r="X37" s="1" t="e">
        <f t="shared" si="15"/>
        <v>#N/A</v>
      </c>
      <c r="Y37" s="1" t="e">
        <f t="shared" si="16"/>
        <v>#N/A</v>
      </c>
      <c r="Z37" s="1" t="e">
        <f t="shared" si="17"/>
        <v>#N/A</v>
      </c>
      <c r="AA37" s="1">
        <v>0</v>
      </c>
      <c r="AC37" s="31">
        <f t="shared" si="18"/>
        <v>8.4787280307776311E-2</v>
      </c>
      <c r="AD37" s="31" t="e">
        <f t="shared" si="19"/>
        <v>#N/A</v>
      </c>
      <c r="AE37" s="31" t="e">
        <f t="shared" si="20"/>
        <v>#N/A</v>
      </c>
      <c r="AF37" s="31" t="e">
        <f t="shared" si="21"/>
        <v>#N/A</v>
      </c>
      <c r="AL37" s="17">
        <f t="shared" si="22"/>
        <v>37986</v>
      </c>
      <c r="AM37">
        <f t="shared" si="24"/>
        <v>4</v>
      </c>
      <c r="AN37">
        <f t="shared" si="25"/>
        <v>4</v>
      </c>
    </row>
    <row r="38" spans="1:40">
      <c r="A38" s="7">
        <v>38016</v>
      </c>
      <c r="B38" s="8">
        <v>99.600800000000007</v>
      </c>
      <c r="C38" s="8">
        <f t="shared" si="2"/>
        <v>-0.78926388000594838</v>
      </c>
      <c r="D38" s="9">
        <f t="shared" si="3"/>
        <v>-0.1673159700014871</v>
      </c>
      <c r="E38" s="8">
        <v>60.8</v>
      </c>
      <c r="F38" s="10">
        <f t="shared" si="4"/>
        <v>7.1527694374921911</v>
      </c>
      <c r="G38" s="8">
        <v>-0.3281</v>
      </c>
      <c r="H38" s="10">
        <f t="shared" si="5"/>
        <v>-0.1031652951436586</v>
      </c>
      <c r="I38" s="10">
        <f t="shared" si="6"/>
        <v>9.6834704856341408E-2</v>
      </c>
      <c r="J38" s="1">
        <v>0.05</v>
      </c>
      <c r="K38" s="10">
        <f t="shared" si="8"/>
        <v>0.10740961819446035</v>
      </c>
      <c r="L38" s="8">
        <v>0.59099999999999997</v>
      </c>
      <c r="M38" s="11">
        <f t="shared" si="9"/>
        <v>0.39563685843389101</v>
      </c>
      <c r="N38" s="9">
        <f t="shared" si="7"/>
        <v>0.39563685843389101</v>
      </c>
      <c r="P38" s="29">
        <f t="shared" si="10"/>
        <v>9.5428530420059943E-2</v>
      </c>
      <c r="Q38" s="1" t="str">
        <f t="shared" si="23"/>
        <v>E</v>
      </c>
      <c r="R38" t="str">
        <f t="shared" si="12"/>
        <v>E</v>
      </c>
      <c r="S38" s="18">
        <f t="shared" si="11"/>
        <v>5.7743748682204728E-2</v>
      </c>
      <c r="T38" t="str">
        <f t="shared" si="27"/>
        <v>E</v>
      </c>
      <c r="V38" s="1">
        <v>37.799999999999997</v>
      </c>
      <c r="W38" s="1">
        <f t="shared" si="14"/>
        <v>9.5428530420059943E-2</v>
      </c>
      <c r="X38" s="1" t="e">
        <f t="shared" si="15"/>
        <v>#N/A</v>
      </c>
      <c r="Y38" s="1" t="e">
        <f t="shared" si="16"/>
        <v>#N/A</v>
      </c>
      <c r="Z38" s="1" t="e">
        <f t="shared" si="17"/>
        <v>#N/A</v>
      </c>
      <c r="AA38" s="1">
        <v>0</v>
      </c>
      <c r="AC38" s="31">
        <f t="shared" si="18"/>
        <v>9.5428530420059943E-2</v>
      </c>
      <c r="AD38" s="31" t="e">
        <f t="shared" si="19"/>
        <v>#N/A</v>
      </c>
      <c r="AE38" s="31" t="e">
        <f t="shared" si="20"/>
        <v>#N/A</v>
      </c>
      <c r="AF38" s="31" t="e">
        <f t="shared" si="21"/>
        <v>#N/A</v>
      </c>
      <c r="AL38" s="17">
        <f t="shared" si="22"/>
        <v>38016</v>
      </c>
      <c r="AM38">
        <f t="shared" si="24"/>
        <v>4</v>
      </c>
      <c r="AN38">
        <f t="shared" si="25"/>
        <v>4</v>
      </c>
    </row>
    <row r="39" spans="1:40">
      <c r="A39" s="7">
        <v>38044</v>
      </c>
      <c r="B39" s="8">
        <v>99.686700000000002</v>
      </c>
      <c r="C39" s="8">
        <f t="shared" si="2"/>
        <v>-0.65361417420425261</v>
      </c>
      <c r="D39" s="9">
        <f t="shared" si="3"/>
        <v>-0.13340354355106315</v>
      </c>
      <c r="E39" s="8">
        <v>59.9</v>
      </c>
      <c r="F39" s="10">
        <f t="shared" si="4"/>
        <v>7.9357301478069164</v>
      </c>
      <c r="G39" s="8">
        <v>0.16669999999999999</v>
      </c>
      <c r="H39" s="10">
        <f t="shared" si="5"/>
        <v>-2.625368602771589E-2</v>
      </c>
      <c r="I39" s="10">
        <f t="shared" si="6"/>
        <v>0.17374631397228413</v>
      </c>
      <c r="J39" s="1">
        <v>0.43</v>
      </c>
      <c r="K39" s="10">
        <f t="shared" si="8"/>
        <v>0.19934787700903916</v>
      </c>
      <c r="L39" s="8">
        <v>0.69299999999999995</v>
      </c>
      <c r="M39" s="11">
        <f t="shared" si="9"/>
        <v>0.48038535378023206</v>
      </c>
      <c r="N39" s="9">
        <f t="shared" si="7"/>
        <v>0.48038535378023206</v>
      </c>
      <c r="P39" s="29">
        <f t="shared" si="10"/>
        <v>0.16227189925034302</v>
      </c>
      <c r="Q39" s="1" t="str">
        <f t="shared" si="23"/>
        <v>E</v>
      </c>
      <c r="R39" t="str">
        <f t="shared" si="12"/>
        <v>E</v>
      </c>
      <c r="S39" s="18">
        <f t="shared" si="11"/>
        <v>5.7743748682204728E-2</v>
      </c>
      <c r="T39" t="str">
        <f t="shared" si="27"/>
        <v>E</v>
      </c>
      <c r="V39" s="1">
        <v>-3.9</v>
      </c>
      <c r="W39" s="1">
        <f t="shared" si="14"/>
        <v>0.16227189925034302</v>
      </c>
      <c r="X39" s="1" t="e">
        <f t="shared" si="15"/>
        <v>#N/A</v>
      </c>
      <c r="Y39" s="1" t="e">
        <f t="shared" si="16"/>
        <v>#N/A</v>
      </c>
      <c r="Z39" s="1" t="e">
        <f t="shared" si="17"/>
        <v>#N/A</v>
      </c>
      <c r="AA39" s="1">
        <v>0</v>
      </c>
      <c r="AC39" s="31">
        <f t="shared" si="18"/>
        <v>0.16227189925034302</v>
      </c>
      <c r="AD39" s="31" t="e">
        <f t="shared" si="19"/>
        <v>#N/A</v>
      </c>
      <c r="AE39" s="31" t="e">
        <f t="shared" si="20"/>
        <v>#N/A</v>
      </c>
      <c r="AF39" s="31" t="e">
        <f t="shared" si="21"/>
        <v>#N/A</v>
      </c>
      <c r="AL39" s="17">
        <f t="shared" si="22"/>
        <v>38044</v>
      </c>
      <c r="AM39">
        <f t="shared" si="24"/>
        <v>4</v>
      </c>
      <c r="AN39">
        <f t="shared" si="25"/>
        <v>4</v>
      </c>
    </row>
    <row r="40" spans="1:40">
      <c r="A40" s="7">
        <v>38077</v>
      </c>
      <c r="B40" s="8">
        <v>99.756699999999995</v>
      </c>
      <c r="C40" s="8">
        <f t="shared" si="2"/>
        <v>-0.53667463455604203</v>
      </c>
      <c r="D40" s="9">
        <f t="shared" si="3"/>
        <v>-0.10416865863901051</v>
      </c>
      <c r="E40" s="8">
        <v>60.6</v>
      </c>
      <c r="F40" s="10">
        <f t="shared" si="4"/>
        <v>8.6950470556819468</v>
      </c>
      <c r="G40" s="8">
        <v>0.32229999999999998</v>
      </c>
      <c r="H40" s="10">
        <f t="shared" si="5"/>
        <v>7.308411449018315E-2</v>
      </c>
      <c r="I40" s="10">
        <f t="shared" si="6"/>
        <v>0.27308411449018316</v>
      </c>
      <c r="J40" s="1">
        <v>0.51</v>
      </c>
      <c r="K40" s="10">
        <f t="shared" si="8"/>
        <v>0.287883732061463</v>
      </c>
      <c r="L40" s="8">
        <v>0.52600000000000002</v>
      </c>
      <c r="M40" s="11">
        <f t="shared" si="9"/>
        <v>0.49338552795286594</v>
      </c>
      <c r="N40" s="9">
        <f t="shared" si="7"/>
        <v>0.49338552795286594</v>
      </c>
      <c r="P40" s="29">
        <f t="shared" si="10"/>
        <v>0.21102203296399533</v>
      </c>
      <c r="Q40" s="1" t="str">
        <f t="shared" si="23"/>
        <v>E</v>
      </c>
      <c r="R40" t="str">
        <f t="shared" si="12"/>
        <v>E</v>
      </c>
      <c r="S40" s="18">
        <f t="shared" si="11"/>
        <v>5.7743748682204728E-2</v>
      </c>
      <c r="T40" t="str">
        <f t="shared" si="27"/>
        <v>E</v>
      </c>
      <c r="V40" s="1">
        <v>-15.2</v>
      </c>
      <c r="W40" s="1">
        <f t="shared" si="14"/>
        <v>0.21102203296399533</v>
      </c>
      <c r="X40" s="1" t="e">
        <f t="shared" si="15"/>
        <v>#N/A</v>
      </c>
      <c r="Y40" s="1" t="e">
        <f t="shared" si="16"/>
        <v>#N/A</v>
      </c>
      <c r="Z40" s="1" t="e">
        <f t="shared" si="17"/>
        <v>#N/A</v>
      </c>
      <c r="AA40" s="1">
        <v>0</v>
      </c>
      <c r="AC40" s="31">
        <f t="shared" si="18"/>
        <v>0.21102203296399533</v>
      </c>
      <c r="AD40" s="31" t="e">
        <f t="shared" si="19"/>
        <v>#N/A</v>
      </c>
      <c r="AE40" s="31" t="e">
        <f t="shared" si="20"/>
        <v>#N/A</v>
      </c>
      <c r="AF40" s="31" t="e">
        <f t="shared" si="21"/>
        <v>#N/A</v>
      </c>
      <c r="AL40" s="17">
        <f t="shared" si="22"/>
        <v>38077</v>
      </c>
      <c r="AM40">
        <f t="shared" si="24"/>
        <v>4</v>
      </c>
      <c r="AN40">
        <f t="shared" si="25"/>
        <v>4</v>
      </c>
    </row>
    <row r="41" spans="1:40">
      <c r="A41" s="7">
        <v>38107</v>
      </c>
      <c r="B41" s="8">
        <v>99.816200000000009</v>
      </c>
      <c r="C41" s="8">
        <f t="shared" si="2"/>
        <v>-0.43610536370756742</v>
      </c>
      <c r="D41" s="9">
        <f t="shared" si="3"/>
        <v>-7.9026340926891855E-2</v>
      </c>
      <c r="E41" s="8">
        <v>60.6</v>
      </c>
      <c r="F41" s="10">
        <f t="shared" si="4"/>
        <v>9.2379586448125934</v>
      </c>
      <c r="G41" s="8">
        <v>0.1502</v>
      </c>
      <c r="H41" s="10">
        <f t="shared" si="5"/>
        <v>9.5062141860480953E-2</v>
      </c>
      <c r="I41" s="10">
        <f t="shared" si="6"/>
        <v>0.29506214186048096</v>
      </c>
      <c r="J41" s="1">
        <v>7.0000000000000007E-2</v>
      </c>
      <c r="K41" s="10">
        <f t="shared" si="8"/>
        <v>0.22578686842394605</v>
      </c>
      <c r="L41" s="8">
        <v>0.48399999999999999</v>
      </c>
      <c r="M41" s="11">
        <f t="shared" si="9"/>
        <v>0.49071065248629914</v>
      </c>
      <c r="N41" s="9">
        <f t="shared" si="7"/>
        <v>0.49071065248629914</v>
      </c>
      <c r="P41" s="29">
        <f t="shared" si="10"/>
        <v>0.22720137856925651</v>
      </c>
      <c r="Q41" s="1" t="str">
        <f t="shared" si="23"/>
        <v>E</v>
      </c>
      <c r="R41" t="str">
        <f t="shared" si="12"/>
        <v>E</v>
      </c>
      <c r="S41" s="18">
        <f t="shared" si="11"/>
        <v>5.7743748682204728E-2</v>
      </c>
      <c r="T41" t="str">
        <f t="shared" si="27"/>
        <v>E</v>
      </c>
      <c r="V41" s="1">
        <v>-0.8</v>
      </c>
      <c r="W41" s="1">
        <f t="shared" si="14"/>
        <v>0.22720137856925651</v>
      </c>
      <c r="X41" s="1" t="e">
        <f t="shared" si="15"/>
        <v>#N/A</v>
      </c>
      <c r="Y41" s="1" t="e">
        <f t="shared" si="16"/>
        <v>#N/A</v>
      </c>
      <c r="Z41" s="1" t="e">
        <f t="shared" si="17"/>
        <v>#N/A</v>
      </c>
      <c r="AA41" s="1">
        <v>0</v>
      </c>
      <c r="AC41" s="31">
        <f t="shared" si="18"/>
        <v>0.22720137856925651</v>
      </c>
      <c r="AD41" s="31" t="e">
        <f t="shared" si="19"/>
        <v>#N/A</v>
      </c>
      <c r="AE41" s="31" t="e">
        <f t="shared" si="20"/>
        <v>#N/A</v>
      </c>
      <c r="AF41" s="31" t="e">
        <f t="shared" si="21"/>
        <v>#N/A</v>
      </c>
      <c r="AL41" s="17">
        <f t="shared" si="22"/>
        <v>38107</v>
      </c>
      <c r="AM41">
        <f t="shared" si="24"/>
        <v>4</v>
      </c>
      <c r="AN41">
        <f t="shared" si="25"/>
        <v>4</v>
      </c>
    </row>
    <row r="42" spans="1:40">
      <c r="A42" s="7">
        <v>38138</v>
      </c>
      <c r="B42" s="8">
        <v>99.866399999999999</v>
      </c>
      <c r="C42" s="8">
        <f t="shared" si="2"/>
        <v>-0.34989133505091108</v>
      </c>
      <c r="D42" s="9">
        <f t="shared" si="3"/>
        <v>-5.7472833762727771E-2</v>
      </c>
      <c r="E42" s="8">
        <v>61.4</v>
      </c>
      <c r="F42" s="10">
        <f t="shared" si="4"/>
        <v>9.8541404310410048</v>
      </c>
      <c r="G42" s="8">
        <v>3.8300000000000001E-2</v>
      </c>
      <c r="H42" s="10">
        <f t="shared" si="5"/>
        <v>7.8884931430243888E-2</v>
      </c>
      <c r="I42" s="10">
        <f t="shared" si="6"/>
        <v>0.2788849314302439</v>
      </c>
      <c r="J42" s="1">
        <v>0.54</v>
      </c>
      <c r="K42" s="10">
        <f t="shared" si="8"/>
        <v>0.31533761092312146</v>
      </c>
      <c r="L42" s="8">
        <v>0.628</v>
      </c>
      <c r="M42" s="11">
        <f t="shared" si="9"/>
        <v>0.52983811652770396</v>
      </c>
      <c r="N42" s="9">
        <f t="shared" si="7"/>
        <v>0.52983811652770396</v>
      </c>
      <c r="P42" s="29">
        <f t="shared" si="10"/>
        <v>0.24323223567701868</v>
      </c>
      <c r="Q42" s="1" t="str">
        <f t="shared" si="23"/>
        <v>E</v>
      </c>
      <c r="R42" t="str">
        <f t="shared" si="12"/>
        <v>E</v>
      </c>
      <c r="S42" s="18">
        <f t="shared" si="11"/>
        <v>5.7743748682204728E-2</v>
      </c>
      <c r="T42" t="str">
        <f t="shared" si="27"/>
        <v>E</v>
      </c>
      <c r="V42" s="1">
        <v>-16.600000000000001</v>
      </c>
      <c r="W42" s="1">
        <f t="shared" si="14"/>
        <v>0.24323223567701868</v>
      </c>
      <c r="X42" s="1">
        <f t="shared" si="15"/>
        <v>0.24323223567701868</v>
      </c>
      <c r="Y42" s="1" t="e">
        <f t="shared" si="16"/>
        <v>#N/A</v>
      </c>
      <c r="Z42" s="1" t="e">
        <f t="shared" si="17"/>
        <v>#N/A</v>
      </c>
      <c r="AA42" s="1">
        <v>0</v>
      </c>
      <c r="AC42" s="31">
        <f t="shared" si="18"/>
        <v>0.24323223567701868</v>
      </c>
      <c r="AD42" s="31" t="e">
        <f t="shared" si="19"/>
        <v>#N/A</v>
      </c>
      <c r="AE42" s="31" t="e">
        <f t="shared" si="20"/>
        <v>#N/A</v>
      </c>
      <c r="AF42" s="31" t="e">
        <f t="shared" si="21"/>
        <v>#N/A</v>
      </c>
      <c r="AL42" s="17">
        <f t="shared" si="22"/>
        <v>38138</v>
      </c>
      <c r="AM42">
        <f t="shared" si="24"/>
        <v>4</v>
      </c>
      <c r="AN42">
        <f t="shared" si="25"/>
        <v>4</v>
      </c>
    </row>
    <row r="43" spans="1:40">
      <c r="A43" s="7">
        <v>38168</v>
      </c>
      <c r="B43" s="8">
        <v>99.911000000000001</v>
      </c>
      <c r="C43" s="8">
        <f t="shared" si="2"/>
        <v>-0.27553730456140108</v>
      </c>
      <c r="D43" s="9">
        <f t="shared" si="3"/>
        <v>-3.888432614035027E-2</v>
      </c>
      <c r="E43" s="8">
        <v>60.5</v>
      </c>
      <c r="F43" s="10">
        <f t="shared" si="4"/>
        <v>10.038210408194319</v>
      </c>
      <c r="G43" s="8">
        <v>-0.47210000000000002</v>
      </c>
      <c r="H43" s="10">
        <f t="shared" si="5"/>
        <v>-7.8145774027375631E-2</v>
      </c>
      <c r="I43" s="10">
        <f t="shared" si="6"/>
        <v>0.12185422597262438</v>
      </c>
      <c r="J43" s="1">
        <v>-0.3</v>
      </c>
      <c r="K43" s="10">
        <f t="shared" si="8"/>
        <v>0.13996639181003184</v>
      </c>
      <c r="L43" s="8">
        <v>0.77400000000000002</v>
      </c>
      <c r="M43" s="11">
        <f t="shared" si="9"/>
        <v>0.59942425331730831</v>
      </c>
      <c r="N43" s="9">
        <f t="shared" si="7"/>
        <v>0.59942425331730831</v>
      </c>
      <c r="P43" s="29">
        <f t="shared" si="10"/>
        <v>0.2212685485090683</v>
      </c>
      <c r="Q43" s="1" t="str">
        <f t="shared" si="23"/>
        <v>SD</v>
      </c>
      <c r="R43" t="str">
        <f t="shared" si="12"/>
        <v>E</v>
      </c>
      <c r="S43" s="18">
        <f t="shared" si="11"/>
        <v>5.7743748682204728E-2</v>
      </c>
      <c r="T43" t="str">
        <f t="shared" si="27"/>
        <v>E</v>
      </c>
      <c r="V43" s="1">
        <v>-33.5</v>
      </c>
      <c r="W43" s="1">
        <f t="shared" si="14"/>
        <v>0.2212685485090683</v>
      </c>
      <c r="X43" s="1">
        <f t="shared" si="15"/>
        <v>0.2212685485090683</v>
      </c>
      <c r="Y43" s="1" t="e">
        <f t="shared" si="16"/>
        <v>#N/A</v>
      </c>
      <c r="Z43" s="1" t="e">
        <f t="shared" si="17"/>
        <v>#N/A</v>
      </c>
      <c r="AA43" s="1">
        <v>0</v>
      </c>
      <c r="AC43" s="31">
        <f t="shared" si="18"/>
        <v>0.2212685485090683</v>
      </c>
      <c r="AD43" s="31" t="e">
        <f t="shared" si="19"/>
        <v>#N/A</v>
      </c>
      <c r="AE43" s="31" t="e">
        <f t="shared" si="20"/>
        <v>#N/A</v>
      </c>
      <c r="AF43" s="31" t="e">
        <f t="shared" si="21"/>
        <v>#N/A</v>
      </c>
      <c r="AL43" s="17">
        <f t="shared" si="22"/>
        <v>38168</v>
      </c>
      <c r="AM43">
        <f t="shared" si="24"/>
        <v>3</v>
      </c>
      <c r="AN43">
        <f t="shared" si="25"/>
        <v>4</v>
      </c>
    </row>
    <row r="44" spans="1:40">
      <c r="A44" s="7">
        <v>38198</v>
      </c>
      <c r="B44" s="8">
        <v>99.952700000000007</v>
      </c>
      <c r="C44" s="8">
        <f t="shared" si="2"/>
        <v>-0.21048967276139971</v>
      </c>
      <c r="D44" s="9">
        <f t="shared" si="3"/>
        <v>-2.2622418190349929E-2</v>
      </c>
      <c r="E44" s="8">
        <v>59.9</v>
      </c>
      <c r="F44" s="10">
        <f t="shared" si="4"/>
        <v>9.9988204418589373</v>
      </c>
      <c r="G44" s="8">
        <v>9.8900000000000002E-2</v>
      </c>
      <c r="H44" s="10">
        <f t="shared" si="5"/>
        <v>-2.7687728429573573E-2</v>
      </c>
      <c r="I44" s="10">
        <f t="shared" si="6"/>
        <v>0.17231227157042645</v>
      </c>
      <c r="J44" s="1">
        <v>0.44</v>
      </c>
      <c r="K44" s="10">
        <f t="shared" si="8"/>
        <v>0.22547597014417275</v>
      </c>
      <c r="L44" s="8">
        <v>0.70299999999999996</v>
      </c>
      <c r="M44" s="11">
        <f t="shared" si="9"/>
        <v>0.62894334112187544</v>
      </c>
      <c r="N44" s="9">
        <f t="shared" si="7"/>
        <v>0.62894334112187544</v>
      </c>
      <c r="P44" s="29">
        <f t="shared" si="10"/>
        <v>0.25412376218398386</v>
      </c>
      <c r="Q44" s="1" t="str">
        <f t="shared" si="23"/>
        <v>E</v>
      </c>
      <c r="R44" t="str">
        <f t="shared" si="12"/>
        <v>E</v>
      </c>
      <c r="S44" s="18">
        <f t="shared" si="11"/>
        <v>0.25412376218398386</v>
      </c>
      <c r="T44" t="str">
        <f t="shared" si="27"/>
        <v>E</v>
      </c>
      <c r="V44" s="1">
        <v>27.4</v>
      </c>
      <c r="W44" s="1">
        <f t="shared" si="14"/>
        <v>0.25412376218398386</v>
      </c>
      <c r="X44" s="1" t="e">
        <f t="shared" si="15"/>
        <v>#N/A</v>
      </c>
      <c r="Y44" s="1" t="e">
        <f t="shared" si="16"/>
        <v>#N/A</v>
      </c>
      <c r="Z44" s="1" t="e">
        <f t="shared" si="17"/>
        <v>#N/A</v>
      </c>
      <c r="AA44" s="1">
        <v>0</v>
      </c>
      <c r="AC44" s="31">
        <f t="shared" si="18"/>
        <v>0.25412376218398386</v>
      </c>
      <c r="AD44" s="31" t="e">
        <f t="shared" si="19"/>
        <v>#N/A</v>
      </c>
      <c r="AE44" s="31" t="e">
        <f t="shared" si="20"/>
        <v>#N/A</v>
      </c>
      <c r="AF44" s="31" t="e">
        <f t="shared" si="21"/>
        <v>#N/A</v>
      </c>
      <c r="AL44" s="17">
        <f t="shared" si="22"/>
        <v>38198</v>
      </c>
      <c r="AM44">
        <f t="shared" si="24"/>
        <v>4</v>
      </c>
      <c r="AN44">
        <f t="shared" si="25"/>
        <v>4</v>
      </c>
    </row>
    <row r="45" spans="1:40">
      <c r="A45" s="7">
        <v>38230</v>
      </c>
      <c r="B45" s="8">
        <v>99.992899999999992</v>
      </c>
      <c r="C45" s="8">
        <f t="shared" si="2"/>
        <v>-0.15252361602440315</v>
      </c>
      <c r="D45" s="9">
        <f t="shared" si="3"/>
        <v>-8.1309040061007878E-3</v>
      </c>
      <c r="E45" s="8">
        <v>58.5</v>
      </c>
      <c r="F45" s="10">
        <f t="shared" si="4"/>
        <v>9.5716566159291396</v>
      </c>
      <c r="G45" s="8">
        <v>7.6899999999999996E-2</v>
      </c>
      <c r="H45" s="10">
        <f t="shared" si="5"/>
        <v>2.1197741728548984E-3</v>
      </c>
      <c r="I45" s="10">
        <f t="shared" si="6"/>
        <v>0.2021197741728549</v>
      </c>
      <c r="J45" s="1">
        <v>0.3</v>
      </c>
      <c r="K45" s="10">
        <f t="shared" si="8"/>
        <v>0.24671531865308349</v>
      </c>
      <c r="L45" s="8">
        <v>0.64</v>
      </c>
      <c r="M45" s="11">
        <f t="shared" si="9"/>
        <v>0.63209448890214093</v>
      </c>
      <c r="N45" s="9">
        <f t="shared" si="7"/>
        <v>0.63209448890214093</v>
      </c>
      <c r="P45" s="29">
        <f t="shared" si="10"/>
        <v>0.27053061496154862</v>
      </c>
      <c r="Q45" s="1" t="str">
        <f t="shared" si="23"/>
        <v>E</v>
      </c>
      <c r="R45" t="str">
        <f t="shared" si="12"/>
        <v>E</v>
      </c>
      <c r="S45" s="18">
        <f t="shared" si="11"/>
        <v>0.25412376218398386</v>
      </c>
      <c r="T45" t="str">
        <f t="shared" si="27"/>
        <v>E</v>
      </c>
      <c r="V45" s="1">
        <v>6.2</v>
      </c>
      <c r="W45" s="1">
        <f t="shared" si="14"/>
        <v>0.27053061496154862</v>
      </c>
      <c r="X45" s="1" t="e">
        <f t="shared" si="15"/>
        <v>#N/A</v>
      </c>
      <c r="Y45" s="1" t="e">
        <f t="shared" si="16"/>
        <v>#N/A</v>
      </c>
      <c r="Z45" s="1" t="e">
        <f t="shared" si="17"/>
        <v>#N/A</v>
      </c>
      <c r="AA45" s="1">
        <v>0</v>
      </c>
      <c r="AC45" s="31">
        <f t="shared" si="18"/>
        <v>0.27053061496154862</v>
      </c>
      <c r="AD45" s="31" t="e">
        <f t="shared" si="19"/>
        <v>#N/A</v>
      </c>
      <c r="AE45" s="31" t="e">
        <f t="shared" si="20"/>
        <v>#N/A</v>
      </c>
      <c r="AF45" s="31" t="e">
        <f t="shared" si="21"/>
        <v>#N/A</v>
      </c>
      <c r="AL45" s="17">
        <f t="shared" si="22"/>
        <v>38230</v>
      </c>
      <c r="AM45">
        <f t="shared" si="24"/>
        <v>4</v>
      </c>
      <c r="AN45">
        <f t="shared" si="25"/>
        <v>4</v>
      </c>
    </row>
    <row r="46" spans="1:40">
      <c r="A46" s="7">
        <v>38260</v>
      </c>
      <c r="B46" s="8">
        <v>100.0309</v>
      </c>
      <c r="C46" s="8">
        <f t="shared" si="2"/>
        <v>-0.10024788545744751</v>
      </c>
      <c r="D46" s="9">
        <f t="shared" si="3"/>
        <v>4.9380286356381226E-3</v>
      </c>
      <c r="E46" s="8">
        <v>57.4</v>
      </c>
      <c r="F46" s="10">
        <f t="shared" si="4"/>
        <v>8.9527344803893349</v>
      </c>
      <c r="G46" s="8">
        <v>0.16220000000000001</v>
      </c>
      <c r="H46" s="10">
        <f t="shared" si="5"/>
        <v>4.7742638533591265E-2</v>
      </c>
      <c r="I46" s="10">
        <f t="shared" si="6"/>
        <v>0.24774263853359127</v>
      </c>
      <c r="J46" s="1">
        <v>0.13</v>
      </c>
      <c r="K46" s="10">
        <f t="shared" si="8"/>
        <v>0.21345145283695469</v>
      </c>
      <c r="L46" s="8">
        <v>0.77</v>
      </c>
      <c r="M46" s="11">
        <f t="shared" si="9"/>
        <v>0.67139755956503078</v>
      </c>
      <c r="N46" s="9">
        <f t="shared" si="7"/>
        <v>0.67139755956503078</v>
      </c>
      <c r="P46" s="29">
        <f t="shared" si="10"/>
        <v>0.30366976469750712</v>
      </c>
      <c r="Q46" s="1" t="str">
        <f t="shared" si="23"/>
        <v>E</v>
      </c>
      <c r="R46" t="str">
        <f t="shared" si="12"/>
        <v>E</v>
      </c>
      <c r="S46" s="18">
        <f t="shared" si="11"/>
        <v>0.25412376218398386</v>
      </c>
      <c r="T46" t="str">
        <f t="shared" si="27"/>
        <v>E</v>
      </c>
      <c r="V46" s="1">
        <v>27.9</v>
      </c>
      <c r="W46" s="1">
        <f t="shared" si="14"/>
        <v>0.30366976469750712</v>
      </c>
      <c r="X46" s="1" t="e">
        <f t="shared" si="15"/>
        <v>#N/A</v>
      </c>
      <c r="Y46" s="1" t="e">
        <f t="shared" si="16"/>
        <v>#N/A</v>
      </c>
      <c r="Z46" s="1" t="e">
        <f t="shared" si="17"/>
        <v>#N/A</v>
      </c>
      <c r="AA46" s="1">
        <v>0</v>
      </c>
      <c r="AC46" s="31">
        <f t="shared" si="18"/>
        <v>0.30366976469750712</v>
      </c>
      <c r="AD46" s="31" t="e">
        <f t="shared" si="19"/>
        <v>#N/A</v>
      </c>
      <c r="AE46" s="31" t="e">
        <f t="shared" si="20"/>
        <v>#N/A</v>
      </c>
      <c r="AF46" s="31" t="e">
        <f t="shared" si="21"/>
        <v>#N/A</v>
      </c>
      <c r="AL46" s="17">
        <f t="shared" si="22"/>
        <v>38260</v>
      </c>
      <c r="AM46">
        <f t="shared" si="24"/>
        <v>4</v>
      </c>
      <c r="AN46">
        <f t="shared" si="25"/>
        <v>4</v>
      </c>
    </row>
    <row r="47" spans="1:40">
      <c r="A47" s="7">
        <v>38289</v>
      </c>
      <c r="B47" s="8">
        <v>100.0534</v>
      </c>
      <c r="C47" s="8">
        <f t="shared" si="2"/>
        <v>-5.6458238102076008E-2</v>
      </c>
      <c r="D47" s="9">
        <f t="shared" si="3"/>
        <v>1.5885440474480997E-2</v>
      </c>
      <c r="E47" s="8">
        <v>56.3</v>
      </c>
      <c r="F47" s="10">
        <f t="shared" si="4"/>
        <v>8.1967051534783728</v>
      </c>
      <c r="G47" s="8">
        <v>0.33410000000000001</v>
      </c>
      <c r="H47" s="10">
        <f t="shared" si="5"/>
        <v>0.12935448655151777</v>
      </c>
      <c r="I47" s="10">
        <f t="shared" si="6"/>
        <v>0.32935448655151778</v>
      </c>
      <c r="J47" s="1">
        <v>0.45</v>
      </c>
      <c r="K47" s="10">
        <f t="shared" si="8"/>
        <v>0.28086778877842261</v>
      </c>
      <c r="L47" s="8">
        <v>0.84</v>
      </c>
      <c r="M47" s="11">
        <f t="shared" si="9"/>
        <v>0.71944925508899704</v>
      </c>
      <c r="N47" s="9">
        <f t="shared" si="7"/>
        <v>0.71944925508899704</v>
      </c>
      <c r="P47" s="29">
        <f t="shared" si="10"/>
        <v>0.35124725675871765</v>
      </c>
      <c r="Q47" s="1" t="str">
        <f t="shared" si="23"/>
        <v>E</v>
      </c>
      <c r="R47" t="str">
        <f t="shared" si="12"/>
        <v>E</v>
      </c>
      <c r="S47" s="18">
        <f t="shared" si="11"/>
        <v>0.25412376218398386</v>
      </c>
      <c r="T47" t="str">
        <f t="shared" si="27"/>
        <v>E</v>
      </c>
      <c r="V47" s="1">
        <v>-15.3</v>
      </c>
      <c r="W47" s="1">
        <f t="shared" si="14"/>
        <v>0.35124725675871765</v>
      </c>
      <c r="X47" s="1" t="e">
        <f t="shared" si="15"/>
        <v>#N/A</v>
      </c>
      <c r="Y47" s="1" t="e">
        <f t="shared" si="16"/>
        <v>#N/A</v>
      </c>
      <c r="Z47" s="1" t="e">
        <f t="shared" si="17"/>
        <v>#N/A</v>
      </c>
      <c r="AA47" s="1">
        <v>0</v>
      </c>
      <c r="AC47" s="31">
        <f t="shared" si="18"/>
        <v>0.35124725675871765</v>
      </c>
      <c r="AD47" s="31" t="e">
        <f t="shared" si="19"/>
        <v>#N/A</v>
      </c>
      <c r="AE47" s="31" t="e">
        <f t="shared" si="20"/>
        <v>#N/A</v>
      </c>
      <c r="AF47" s="31" t="e">
        <f t="shared" si="21"/>
        <v>#N/A</v>
      </c>
      <c r="AL47" s="17">
        <f t="shared" si="22"/>
        <v>38289</v>
      </c>
      <c r="AM47">
        <f t="shared" si="24"/>
        <v>4</v>
      </c>
      <c r="AN47">
        <f t="shared" si="25"/>
        <v>4</v>
      </c>
    </row>
    <row r="48" spans="1:40">
      <c r="A48" s="7">
        <v>38321</v>
      </c>
      <c r="B48" s="8">
        <v>100.0492</v>
      </c>
      <c r="C48" s="8">
        <f t="shared" si="2"/>
        <v>-2.6345640242984622E-2</v>
      </c>
      <c r="D48" s="9">
        <f t="shared" si="3"/>
        <v>2.3413589939253843E-2</v>
      </c>
      <c r="E48" s="8">
        <v>56.2</v>
      </c>
      <c r="F48" s="10">
        <f t="shared" si="4"/>
        <v>7.6276441847370373</v>
      </c>
      <c r="G48" s="8">
        <v>0.223</v>
      </c>
      <c r="H48" s="10">
        <f t="shared" si="5"/>
        <v>0.15604345788433521</v>
      </c>
      <c r="I48" s="10">
        <f t="shared" si="6"/>
        <v>0.35604345788433522</v>
      </c>
      <c r="J48" s="1">
        <v>0.01</v>
      </c>
      <c r="K48" s="10">
        <f t="shared" si="8"/>
        <v>0.20367046897657215</v>
      </c>
      <c r="L48" s="8">
        <v>0.97399999999999998</v>
      </c>
      <c r="M48" s="11">
        <f t="shared" si="9"/>
        <v>0.79199621738863291</v>
      </c>
      <c r="N48" s="9">
        <f t="shared" si="7"/>
        <v>0.79199621738863291</v>
      </c>
      <c r="P48" s="29">
        <f t="shared" si="10"/>
        <v>0.387975038582483</v>
      </c>
      <c r="Q48" s="1" t="str">
        <f t="shared" si="23"/>
        <v>E</v>
      </c>
      <c r="R48" t="str">
        <f t="shared" si="12"/>
        <v>E</v>
      </c>
      <c r="S48" s="18">
        <f t="shared" si="11"/>
        <v>0.25412376218398386</v>
      </c>
      <c r="T48" t="str">
        <f t="shared" si="27"/>
        <v>E</v>
      </c>
      <c r="V48" s="1">
        <v>-78.8</v>
      </c>
      <c r="W48" s="1">
        <f t="shared" si="14"/>
        <v>0.387975038582483</v>
      </c>
      <c r="X48" s="1" t="e">
        <f t="shared" si="15"/>
        <v>#N/A</v>
      </c>
      <c r="Y48" s="1" t="e">
        <f t="shared" si="16"/>
        <v>#N/A</v>
      </c>
      <c r="Z48" s="1" t="e">
        <f t="shared" si="17"/>
        <v>#N/A</v>
      </c>
      <c r="AA48" s="1">
        <v>0</v>
      </c>
      <c r="AC48" s="31">
        <f t="shared" si="18"/>
        <v>0.387975038582483</v>
      </c>
      <c r="AD48" s="31" t="e">
        <f t="shared" si="19"/>
        <v>#N/A</v>
      </c>
      <c r="AE48" s="31" t="e">
        <f t="shared" si="20"/>
        <v>#N/A</v>
      </c>
      <c r="AF48" s="31" t="e">
        <f t="shared" si="21"/>
        <v>#N/A</v>
      </c>
      <c r="AL48" s="17">
        <f t="shared" si="22"/>
        <v>38321</v>
      </c>
      <c r="AM48">
        <f t="shared" si="24"/>
        <v>4</v>
      </c>
      <c r="AN48">
        <f t="shared" si="25"/>
        <v>4</v>
      </c>
    </row>
    <row r="49" spans="1:40">
      <c r="A49" s="7">
        <v>38352</v>
      </c>
      <c r="B49" s="8">
        <v>100.0137</v>
      </c>
      <c r="C49" s="8">
        <f t="shared" si="2"/>
        <v>-1.493263277373399E-2</v>
      </c>
      <c r="D49" s="9">
        <f t="shared" si="3"/>
        <v>2.62668418065665E-2</v>
      </c>
      <c r="E49" s="8">
        <v>57.2</v>
      </c>
      <c r="F49" s="10">
        <f t="shared" si="4"/>
        <v>7.5057655920869824</v>
      </c>
      <c r="G49" s="8">
        <v>0.78720000000000001</v>
      </c>
      <c r="H49" s="10">
        <f t="shared" si="5"/>
        <v>0.33592307238729968</v>
      </c>
      <c r="I49" s="10">
        <f t="shared" si="6"/>
        <v>0.53592307238729964</v>
      </c>
      <c r="J49" s="1">
        <v>0.79</v>
      </c>
      <c r="K49" s="10">
        <f t="shared" si="8"/>
        <v>0.37077438531824913</v>
      </c>
      <c r="L49" s="8">
        <v>1.052</v>
      </c>
      <c r="M49" s="11">
        <f t="shared" si="9"/>
        <v>0.8660972954328725</v>
      </c>
      <c r="N49" s="9">
        <f t="shared" si="7"/>
        <v>0.8660972954328725</v>
      </c>
      <c r="P49" s="29">
        <f t="shared" si="10"/>
        <v>0.47514465258647531</v>
      </c>
      <c r="Q49" s="1" t="str">
        <f t="shared" si="23"/>
        <v>E</v>
      </c>
      <c r="R49" t="str">
        <f t="shared" si="12"/>
        <v>E</v>
      </c>
      <c r="S49" s="18">
        <f t="shared" si="11"/>
        <v>0.25412376218398386</v>
      </c>
      <c r="T49" t="str">
        <f t="shared" si="27"/>
        <v>E</v>
      </c>
      <c r="V49" s="1">
        <v>-15.2</v>
      </c>
      <c r="W49" s="1">
        <f t="shared" si="14"/>
        <v>0.47514465258647531</v>
      </c>
      <c r="X49" s="1">
        <f t="shared" si="15"/>
        <v>0.47514465258647531</v>
      </c>
      <c r="Y49" s="1" t="e">
        <f t="shared" si="16"/>
        <v>#N/A</v>
      </c>
      <c r="Z49" s="1" t="e">
        <f t="shared" si="17"/>
        <v>#N/A</v>
      </c>
      <c r="AA49" s="1">
        <v>0</v>
      </c>
      <c r="AC49" s="31">
        <f t="shared" si="18"/>
        <v>0.47514465258647531</v>
      </c>
      <c r="AD49" s="31" t="e">
        <f t="shared" si="19"/>
        <v>#N/A</v>
      </c>
      <c r="AE49" s="31" t="e">
        <f t="shared" si="20"/>
        <v>#N/A</v>
      </c>
      <c r="AF49" s="31" t="e">
        <f t="shared" si="21"/>
        <v>#N/A</v>
      </c>
      <c r="AL49" s="17">
        <f t="shared" si="22"/>
        <v>38352</v>
      </c>
      <c r="AM49">
        <f t="shared" si="24"/>
        <v>4</v>
      </c>
      <c r="AN49">
        <f t="shared" si="25"/>
        <v>4</v>
      </c>
    </row>
    <row r="50" spans="1:40">
      <c r="A50" s="7">
        <v>38383</v>
      </c>
      <c r="B50" s="8">
        <v>99.945000000000007</v>
      </c>
      <c r="C50" s="8">
        <f t="shared" si="2"/>
        <v>-2.6351832433217696E-2</v>
      </c>
      <c r="D50" s="9">
        <f t="shared" si="3"/>
        <v>2.3412041891695573E-2</v>
      </c>
      <c r="E50" s="8">
        <v>56.8</v>
      </c>
      <c r="F50" s="10">
        <f t="shared" si="4"/>
        <v>7.3046223983421923</v>
      </c>
      <c r="G50" s="8">
        <v>-5.2400000000000002E-2</v>
      </c>
      <c r="H50" s="10">
        <f t="shared" si="5"/>
        <v>0.22525099675691926</v>
      </c>
      <c r="I50" s="10">
        <f t="shared" si="6"/>
        <v>0.42525099675691924</v>
      </c>
      <c r="J50" s="1">
        <v>0.18</v>
      </c>
      <c r="K50" s="10">
        <f t="shared" si="8"/>
        <v>0.3164036855025481</v>
      </c>
      <c r="L50" s="8">
        <v>1.22</v>
      </c>
      <c r="M50" s="11">
        <f t="shared" si="9"/>
        <v>0.96695956623450385</v>
      </c>
      <c r="N50" s="9">
        <f t="shared" si="7"/>
        <v>0.96695956623450385</v>
      </c>
      <c r="P50" s="29">
        <f t="shared" si="10"/>
        <v>0.47282580159932985</v>
      </c>
      <c r="Q50" s="1" t="str">
        <f t="shared" si="23"/>
        <v>SD</v>
      </c>
      <c r="R50" t="str">
        <f t="shared" si="12"/>
        <v>E</v>
      </c>
      <c r="S50" s="18">
        <f t="shared" si="11"/>
        <v>0.25412376218398386</v>
      </c>
      <c r="T50" t="str">
        <f t="shared" si="27"/>
        <v>E</v>
      </c>
      <c r="V50" s="1">
        <v>24.9</v>
      </c>
      <c r="W50" s="1">
        <f t="shared" si="14"/>
        <v>0.47282580159932985</v>
      </c>
      <c r="X50" s="1">
        <f t="shared" si="15"/>
        <v>0.47282580159932985</v>
      </c>
      <c r="Y50" s="1" t="e">
        <f t="shared" si="16"/>
        <v>#N/A</v>
      </c>
      <c r="Z50" s="1" t="e">
        <f t="shared" si="17"/>
        <v>#N/A</v>
      </c>
      <c r="AA50" s="1">
        <v>0</v>
      </c>
      <c r="AC50" s="31">
        <f t="shared" si="18"/>
        <v>0.47282580159932985</v>
      </c>
      <c r="AD50" s="31" t="e">
        <f t="shared" si="19"/>
        <v>#N/A</v>
      </c>
      <c r="AE50" s="31" t="e">
        <f t="shared" si="20"/>
        <v>#N/A</v>
      </c>
      <c r="AF50" s="31" t="e">
        <f t="shared" si="21"/>
        <v>#N/A</v>
      </c>
      <c r="AL50" s="17">
        <f t="shared" si="22"/>
        <v>38383</v>
      </c>
      <c r="AM50">
        <f t="shared" si="24"/>
        <v>3</v>
      </c>
      <c r="AN50">
        <f t="shared" si="25"/>
        <v>4</v>
      </c>
    </row>
    <row r="51" spans="1:40">
      <c r="A51" s="7">
        <v>38411</v>
      </c>
      <c r="B51" s="8">
        <v>99.854799999999997</v>
      </c>
      <c r="C51" s="8">
        <f t="shared" si="2"/>
        <v>-6.0223560189751418E-2</v>
      </c>
      <c r="D51" s="9">
        <f t="shared" si="3"/>
        <v>1.4944109952562144E-2</v>
      </c>
      <c r="E51" s="8">
        <v>55.5</v>
      </c>
      <c r="F51" s="10">
        <f t="shared" si="4"/>
        <v>6.7903050148146669</v>
      </c>
      <c r="G51" s="8">
        <v>1.9400000000000001E-2</v>
      </c>
      <c r="H51" s="10">
        <f t="shared" si="5"/>
        <v>0.16658346268119728</v>
      </c>
      <c r="I51" s="10">
        <f t="shared" si="6"/>
        <v>0.36658346268119729</v>
      </c>
      <c r="J51" s="1">
        <v>0.38</v>
      </c>
      <c r="K51" s="10">
        <f t="shared" si="8"/>
        <v>0.33452863513432191</v>
      </c>
      <c r="L51" s="8">
        <v>1.363</v>
      </c>
      <c r="M51" s="11">
        <f t="shared" si="9"/>
        <v>1.0798310898576702</v>
      </c>
      <c r="N51" s="9">
        <f t="shared" si="7"/>
        <v>1.0798310898576702</v>
      </c>
      <c r="P51" s="29">
        <f t="shared" si="10"/>
        <v>0.48994219814352102</v>
      </c>
      <c r="Q51" s="1" t="str">
        <f t="shared" si="23"/>
        <v>E</v>
      </c>
      <c r="R51" t="str">
        <f t="shared" si="12"/>
        <v>E</v>
      </c>
      <c r="S51" s="18">
        <f t="shared" si="11"/>
        <v>0.48994219814352102</v>
      </c>
      <c r="T51" t="str">
        <f t="shared" si="27"/>
        <v>E</v>
      </c>
      <c r="V51" s="1">
        <v>59.5</v>
      </c>
      <c r="W51" s="1">
        <f t="shared" si="14"/>
        <v>0.48994219814352102</v>
      </c>
      <c r="X51" s="1">
        <f t="shared" si="15"/>
        <v>0.48994219814352102</v>
      </c>
      <c r="Y51" s="1" t="e">
        <f t="shared" si="16"/>
        <v>#N/A</v>
      </c>
      <c r="Z51" s="1" t="e">
        <f t="shared" si="17"/>
        <v>#N/A</v>
      </c>
      <c r="AA51" s="1">
        <v>0</v>
      </c>
      <c r="AC51" s="31">
        <f t="shared" si="18"/>
        <v>0.48994219814352102</v>
      </c>
      <c r="AD51" s="31" t="e">
        <f t="shared" si="19"/>
        <v>#N/A</v>
      </c>
      <c r="AE51" s="31" t="e">
        <f t="shared" si="20"/>
        <v>#N/A</v>
      </c>
      <c r="AF51" s="31" t="e">
        <f t="shared" si="21"/>
        <v>#N/A</v>
      </c>
      <c r="AL51" s="17">
        <f t="shared" si="22"/>
        <v>38411</v>
      </c>
      <c r="AM51">
        <f t="shared" si="24"/>
        <v>4</v>
      </c>
      <c r="AN51">
        <f t="shared" si="25"/>
        <v>4</v>
      </c>
    </row>
    <row r="52" spans="1:40">
      <c r="A52" s="7">
        <v>38442</v>
      </c>
      <c r="B52" s="8">
        <v>99.759</v>
      </c>
      <c r="C52" s="8">
        <f t="shared" si="2"/>
        <v>-0.11174484553567218</v>
      </c>
      <c r="D52" s="9">
        <f t="shared" si="3"/>
        <v>2.0637886160819532E-3</v>
      </c>
      <c r="E52" s="8">
        <v>55.2</v>
      </c>
      <c r="F52" s="10">
        <f t="shared" si="4"/>
        <v>6.3370680855924881</v>
      </c>
      <c r="G52" s="8">
        <v>-0.2041</v>
      </c>
      <c r="H52" s="10">
        <f t="shared" si="5"/>
        <v>6.0938675817056052E-2</v>
      </c>
      <c r="I52" s="10">
        <f t="shared" si="6"/>
        <v>0.26093867581705604</v>
      </c>
      <c r="J52" s="1">
        <v>-0.28999999999999998</v>
      </c>
      <c r="K52" s="10">
        <f t="shared" si="8"/>
        <v>0.15653797412104015</v>
      </c>
      <c r="L52" s="8">
        <v>1.177</v>
      </c>
      <c r="M52" s="11">
        <f t="shared" si="9"/>
        <v>1.1075242292482341</v>
      </c>
      <c r="N52" s="9">
        <f t="shared" si="7"/>
        <v>1.1075242292482341</v>
      </c>
      <c r="P52" s="29">
        <f t="shared" si="10"/>
        <v>0.46113567167261743</v>
      </c>
      <c r="Q52" s="1" t="str">
        <f t="shared" si="23"/>
        <v>SD</v>
      </c>
      <c r="R52" t="str">
        <f t="shared" si="12"/>
        <v>E</v>
      </c>
      <c r="S52" s="18">
        <f t="shared" si="11"/>
        <v>0.48994219814352102</v>
      </c>
      <c r="T52" t="str">
        <f t="shared" si="27"/>
        <v>E</v>
      </c>
      <c r="V52" s="1">
        <v>-4.5999999999999996</v>
      </c>
      <c r="W52" s="1" t="e">
        <f t="shared" si="14"/>
        <v>#N/A</v>
      </c>
      <c r="X52" s="1">
        <f t="shared" si="15"/>
        <v>0.46113567167261743</v>
      </c>
      <c r="Y52" s="1" t="e">
        <f t="shared" si="16"/>
        <v>#N/A</v>
      </c>
      <c r="Z52" s="1" t="e">
        <f t="shared" si="17"/>
        <v>#N/A</v>
      </c>
      <c r="AA52" s="1">
        <v>0</v>
      </c>
      <c r="AC52" s="31">
        <f t="shared" si="18"/>
        <v>0.46113567167261743</v>
      </c>
      <c r="AD52" s="31" t="e">
        <f t="shared" si="19"/>
        <v>#N/A</v>
      </c>
      <c r="AE52" s="31" t="e">
        <f t="shared" si="20"/>
        <v>#N/A</v>
      </c>
      <c r="AF52" s="31" t="e">
        <f t="shared" si="21"/>
        <v>#N/A</v>
      </c>
      <c r="AL52" s="17">
        <f t="shared" si="22"/>
        <v>38442</v>
      </c>
      <c r="AM52">
        <f t="shared" si="24"/>
        <v>3</v>
      </c>
      <c r="AN52">
        <f t="shared" si="25"/>
        <v>4</v>
      </c>
    </row>
    <row r="53" spans="1:40">
      <c r="A53" s="7">
        <v>38471</v>
      </c>
      <c r="B53" s="8">
        <v>99.675600000000003</v>
      </c>
      <c r="C53" s="8">
        <f t="shared" si="2"/>
        <v>-0.17235156455800479</v>
      </c>
      <c r="D53" s="9">
        <f t="shared" si="3"/>
        <v>-1.30878911395012E-2</v>
      </c>
      <c r="E53" s="8">
        <v>52.2</v>
      </c>
      <c r="F53" s="10">
        <f t="shared" si="4"/>
        <v>5.1580036811986298</v>
      </c>
      <c r="G53" s="8">
        <v>0.1961</v>
      </c>
      <c r="H53" s="10">
        <f t="shared" si="5"/>
        <v>9.9459653209195087E-2</v>
      </c>
      <c r="I53" s="10">
        <f t="shared" si="6"/>
        <v>0.2994596532091951</v>
      </c>
      <c r="J53" s="1">
        <v>0.53</v>
      </c>
      <c r="K53" s="10">
        <f t="shared" si="8"/>
        <v>0.2629746514965437</v>
      </c>
      <c r="L53" s="8">
        <v>0.93200000000000005</v>
      </c>
      <c r="M53" s="11">
        <f t="shared" si="9"/>
        <v>1.0574998239124873</v>
      </c>
      <c r="N53" s="9">
        <f t="shared" si="7"/>
        <v>1.0574998239124873</v>
      </c>
      <c r="P53" s="29">
        <f t="shared" si="10"/>
        <v>0.45300775524592146</v>
      </c>
      <c r="Q53" s="1" t="str">
        <f t="shared" si="23"/>
        <v>SD</v>
      </c>
      <c r="R53" t="str">
        <f t="shared" si="12"/>
        <v>E</v>
      </c>
      <c r="S53" s="18">
        <f t="shared" si="11"/>
        <v>0.45300775524592146</v>
      </c>
      <c r="T53" t="str">
        <f t="shared" si="27"/>
        <v>E</v>
      </c>
      <c r="V53" s="1">
        <v>-93.5</v>
      </c>
      <c r="W53" s="1" t="e">
        <f t="shared" si="14"/>
        <v>#N/A</v>
      </c>
      <c r="X53" s="1">
        <f t="shared" si="15"/>
        <v>0.45300775524592146</v>
      </c>
      <c r="Y53" s="1" t="e">
        <f t="shared" si="16"/>
        <v>#N/A</v>
      </c>
      <c r="Z53" s="1" t="e">
        <f t="shared" si="17"/>
        <v>#N/A</v>
      </c>
      <c r="AA53" s="1">
        <v>0</v>
      </c>
      <c r="AC53" s="31">
        <f t="shared" si="18"/>
        <v>0.45300775524592146</v>
      </c>
      <c r="AD53" s="31" t="e">
        <f t="shared" si="19"/>
        <v>#N/A</v>
      </c>
      <c r="AE53" s="31" t="e">
        <f t="shared" si="20"/>
        <v>#N/A</v>
      </c>
      <c r="AF53" s="31" t="e">
        <f t="shared" si="21"/>
        <v>#N/A</v>
      </c>
      <c r="AL53" s="17">
        <f t="shared" si="22"/>
        <v>38471</v>
      </c>
      <c r="AM53">
        <f t="shared" si="24"/>
        <v>3</v>
      </c>
      <c r="AN53">
        <f t="shared" si="25"/>
        <v>4</v>
      </c>
    </row>
    <row r="54" spans="1:40">
      <c r="A54" s="7">
        <v>38503</v>
      </c>
      <c r="B54" s="8">
        <v>99.626000000000005</v>
      </c>
      <c r="C54" s="8">
        <f t="shared" si="2"/>
        <v>-0.22982136865897207</v>
      </c>
      <c r="D54" s="9">
        <f t="shared" si="3"/>
        <v>-2.7455342164743018E-2</v>
      </c>
      <c r="E54" s="8">
        <v>50.8</v>
      </c>
      <c r="F54" s="10">
        <f t="shared" si="4"/>
        <v>3.9159726320570196</v>
      </c>
      <c r="G54" s="8">
        <v>-0.01</v>
      </c>
      <c r="H54" s="10">
        <f t="shared" si="5"/>
        <v>6.8263652044574477E-2</v>
      </c>
      <c r="I54" s="10">
        <f t="shared" si="6"/>
        <v>0.26826365204457447</v>
      </c>
      <c r="J54" s="1">
        <v>-0.02</v>
      </c>
      <c r="K54" s="10">
        <f t="shared" si="8"/>
        <v>0.18232687582002874</v>
      </c>
      <c r="L54" s="8">
        <v>1.1759999999999999</v>
      </c>
      <c r="M54" s="11">
        <f t="shared" si="9"/>
        <v>1.0912723740974284</v>
      </c>
      <c r="N54" s="9">
        <f t="shared" si="7"/>
        <v>1.0912723740974284</v>
      </c>
      <c r="P54" s="29">
        <f t="shared" si="10"/>
        <v>0.44881604500083389</v>
      </c>
      <c r="Q54" s="1" t="str">
        <f t="shared" si="23"/>
        <v>SD</v>
      </c>
      <c r="R54" t="str">
        <f t="shared" si="12"/>
        <v>E</v>
      </c>
      <c r="S54" s="18">
        <f t="shared" si="11"/>
        <v>0.44881604500083389</v>
      </c>
      <c r="T54" t="str">
        <f t="shared" si="27"/>
        <v>E</v>
      </c>
      <c r="V54" s="1">
        <v>-103.9</v>
      </c>
      <c r="W54" s="1">
        <f t="shared" si="14"/>
        <v>0.44881604500083389</v>
      </c>
      <c r="X54" s="1">
        <f t="shared" si="15"/>
        <v>0.44881604500083389</v>
      </c>
      <c r="Y54" s="1" t="e">
        <f t="shared" si="16"/>
        <v>#N/A</v>
      </c>
      <c r="Z54" s="1" t="e">
        <f t="shared" si="17"/>
        <v>#N/A</v>
      </c>
      <c r="AA54" s="1">
        <v>0</v>
      </c>
      <c r="AC54" s="31">
        <f t="shared" si="18"/>
        <v>0.44881604500083389</v>
      </c>
      <c r="AD54" s="31" t="e">
        <f t="shared" si="19"/>
        <v>#N/A</v>
      </c>
      <c r="AE54" s="31" t="e">
        <f t="shared" si="20"/>
        <v>#N/A</v>
      </c>
      <c r="AF54" s="31" t="e">
        <f t="shared" si="21"/>
        <v>#N/A</v>
      </c>
      <c r="AL54" s="17">
        <f t="shared" si="22"/>
        <v>38503</v>
      </c>
      <c r="AM54">
        <f t="shared" si="24"/>
        <v>3</v>
      </c>
      <c r="AN54">
        <f t="shared" si="25"/>
        <v>4</v>
      </c>
    </row>
    <row r="55" spans="1:40">
      <c r="A55" s="7">
        <v>38533</v>
      </c>
      <c r="B55" s="8">
        <v>99.632000000000005</v>
      </c>
      <c r="C55" s="8">
        <f t="shared" si="2"/>
        <v>-0.26920227859116364</v>
      </c>
      <c r="D55" s="9">
        <f t="shared" si="3"/>
        <v>-3.730056964779091E-2</v>
      </c>
      <c r="E55" s="8">
        <v>52.4</v>
      </c>
      <c r="F55" s="10">
        <f t="shared" si="4"/>
        <v>3.4839204319207688</v>
      </c>
      <c r="G55" s="8">
        <v>0.19389999999999999</v>
      </c>
      <c r="H55" s="10">
        <f t="shared" si="5"/>
        <v>0.10407001121187076</v>
      </c>
      <c r="I55" s="10">
        <f t="shared" si="6"/>
        <v>0.30407001121187077</v>
      </c>
      <c r="J55" s="1">
        <v>0.36</v>
      </c>
      <c r="K55" s="10">
        <f t="shared" si="8"/>
        <v>0.23296371621132056</v>
      </c>
      <c r="L55" s="8">
        <v>1.3049999999999999</v>
      </c>
      <c r="M55" s="11">
        <f t="shared" si="9"/>
        <v>1.1521847474796614</v>
      </c>
      <c r="N55" s="9">
        <f t="shared" si="7"/>
        <v>1.1521847474796614</v>
      </c>
      <c r="P55" s="29">
        <f t="shared" si="10"/>
        <v>0.47626647217559642</v>
      </c>
      <c r="Q55" s="1" t="str">
        <f t="shared" si="23"/>
        <v>E</v>
      </c>
      <c r="R55" t="str">
        <f t="shared" si="12"/>
        <v>E</v>
      </c>
      <c r="S55" s="18">
        <f t="shared" si="11"/>
        <v>0.47626647217559642</v>
      </c>
      <c r="T55" t="str">
        <f t="shared" si="27"/>
        <v>E</v>
      </c>
      <c r="V55" s="1">
        <v>-44.5</v>
      </c>
      <c r="W55" s="1">
        <f t="shared" si="14"/>
        <v>0.47626647217559642</v>
      </c>
      <c r="X55" s="1" t="e">
        <f t="shared" si="15"/>
        <v>#N/A</v>
      </c>
      <c r="Y55" s="1" t="e">
        <f t="shared" si="16"/>
        <v>#N/A</v>
      </c>
      <c r="Z55" s="1" t="e">
        <f t="shared" si="17"/>
        <v>#N/A</v>
      </c>
      <c r="AA55" s="1">
        <v>0</v>
      </c>
      <c r="AC55" s="31">
        <f t="shared" si="18"/>
        <v>0.47626647217559642</v>
      </c>
      <c r="AD55" s="31" t="e">
        <f t="shared" si="19"/>
        <v>#N/A</v>
      </c>
      <c r="AE55" s="31" t="e">
        <f t="shared" si="20"/>
        <v>#N/A</v>
      </c>
      <c r="AF55" s="31" t="e">
        <f t="shared" si="21"/>
        <v>#N/A</v>
      </c>
      <c r="AL55" s="17">
        <f t="shared" si="22"/>
        <v>38533</v>
      </c>
      <c r="AM55">
        <f t="shared" si="24"/>
        <v>4</v>
      </c>
      <c r="AN55">
        <f t="shared" si="25"/>
        <v>4</v>
      </c>
    </row>
    <row r="56" spans="1:40">
      <c r="A56" s="7">
        <v>38562</v>
      </c>
      <c r="B56" s="8">
        <v>99.697199999999995</v>
      </c>
      <c r="C56" s="8">
        <f t="shared" si="2"/>
        <v>-0.2787776291926834</v>
      </c>
      <c r="D56" s="9">
        <f t="shared" si="3"/>
        <v>-3.969440729817085E-2</v>
      </c>
      <c r="E56" s="8">
        <v>52.8</v>
      </c>
      <c r="F56" s="10">
        <f t="shared" si="4"/>
        <v>3.2890031088233487</v>
      </c>
      <c r="G56" s="8">
        <v>-1.8499999999999999E-2</v>
      </c>
      <c r="H56" s="10">
        <f t="shared" si="5"/>
        <v>6.9137558016487591E-2</v>
      </c>
      <c r="I56" s="10">
        <f t="shared" si="6"/>
        <v>0.26913755801648759</v>
      </c>
      <c r="J56" s="1">
        <v>-0.05</v>
      </c>
      <c r="K56" s="10">
        <f t="shared" si="8"/>
        <v>0.15231905709109417</v>
      </c>
      <c r="L56" s="8">
        <v>1.3320000000000001</v>
      </c>
      <c r="M56" s="11">
        <f t="shared" si="9"/>
        <v>1.203432094447958</v>
      </c>
      <c r="N56" s="9">
        <f t="shared" si="7"/>
        <v>1.203432094447958</v>
      </c>
      <c r="P56" s="29">
        <f t="shared" si="10"/>
        <v>0.4784230276055515</v>
      </c>
      <c r="Q56" s="1" t="str">
        <f t="shared" si="23"/>
        <v>E</v>
      </c>
      <c r="R56" t="str">
        <f t="shared" si="12"/>
        <v>E</v>
      </c>
      <c r="S56" s="18">
        <f t="shared" si="11"/>
        <v>0.47626647217559642</v>
      </c>
      <c r="T56" t="str">
        <f t="shared" si="27"/>
        <v>E</v>
      </c>
      <c r="V56" s="1">
        <v>65.7</v>
      </c>
      <c r="W56" s="1">
        <f t="shared" si="14"/>
        <v>0.4784230276055515</v>
      </c>
      <c r="X56" s="1">
        <f t="shared" si="15"/>
        <v>0.4784230276055515</v>
      </c>
      <c r="Y56" s="1" t="e">
        <f t="shared" si="16"/>
        <v>#N/A</v>
      </c>
      <c r="Z56" s="1" t="e">
        <f t="shared" si="17"/>
        <v>#N/A</v>
      </c>
      <c r="AA56" s="1">
        <v>0</v>
      </c>
      <c r="AC56" s="31">
        <f t="shared" si="18"/>
        <v>0.4784230276055515</v>
      </c>
      <c r="AD56" s="31">
        <f t="shared" si="19"/>
        <v>0.4784230276055515</v>
      </c>
      <c r="AE56" s="31" t="e">
        <f t="shared" si="20"/>
        <v>#N/A</v>
      </c>
      <c r="AF56" s="31" t="e">
        <f t="shared" si="21"/>
        <v>#N/A</v>
      </c>
      <c r="AL56" s="17">
        <f t="shared" si="22"/>
        <v>38562</v>
      </c>
      <c r="AM56">
        <f t="shared" si="24"/>
        <v>4</v>
      </c>
      <c r="AN56">
        <f t="shared" si="25"/>
        <v>4</v>
      </c>
    </row>
    <row r="57" spans="1:40">
      <c r="A57" s="7">
        <v>38595</v>
      </c>
      <c r="B57" s="8">
        <v>99.814300000000003</v>
      </c>
      <c r="C57" s="8">
        <f t="shared" si="2"/>
        <v>-0.25225050487276779</v>
      </c>
      <c r="D57" s="9">
        <f t="shared" si="3"/>
        <v>-3.3062626218191948E-2</v>
      </c>
      <c r="E57" s="8">
        <v>52.4</v>
      </c>
      <c r="F57" s="10">
        <f t="shared" si="4"/>
        <v>3.0356372228086941</v>
      </c>
      <c r="G57" s="8">
        <v>-0.55689999999999995</v>
      </c>
      <c r="H57" s="10">
        <f t="shared" si="5"/>
        <v>-0.10928314601821139</v>
      </c>
      <c r="I57" s="10">
        <f t="shared" si="6"/>
        <v>9.0716853981788623E-2</v>
      </c>
      <c r="J57" s="1">
        <v>0.22</v>
      </c>
      <c r="K57" s="10">
        <f t="shared" si="8"/>
        <v>0.17160812582013235</v>
      </c>
      <c r="L57" s="8">
        <v>1.2</v>
      </c>
      <c r="M57" s="11">
        <f t="shared" si="9"/>
        <v>1.20245394753029</v>
      </c>
      <c r="N57" s="9">
        <f t="shared" si="7"/>
        <v>1.20245394753029</v>
      </c>
      <c r="P57" s="29">
        <f t="shared" si="10"/>
        <v>0.41782546473796928</v>
      </c>
      <c r="Q57" s="1" t="str">
        <f t="shared" si="23"/>
        <v>SD</v>
      </c>
      <c r="R57" t="str">
        <f t="shared" si="12"/>
        <v>SD</v>
      </c>
      <c r="S57" s="18">
        <f t="shared" si="11"/>
        <v>0.41782546473796928</v>
      </c>
      <c r="T57" t="str">
        <f t="shared" si="27"/>
        <v>SD</v>
      </c>
      <c r="V57" s="1">
        <v>116.7</v>
      </c>
      <c r="W57" s="1" t="e">
        <f t="shared" si="14"/>
        <v>#N/A</v>
      </c>
      <c r="X57" s="1">
        <f t="shared" si="15"/>
        <v>0.41782546473796928</v>
      </c>
      <c r="Y57" s="1" t="e">
        <f t="shared" si="16"/>
        <v>#N/A</v>
      </c>
      <c r="Z57" s="1" t="e">
        <f t="shared" si="17"/>
        <v>#N/A</v>
      </c>
      <c r="AA57" s="1">
        <v>0</v>
      </c>
      <c r="AC57" s="31" t="e">
        <f t="shared" si="18"/>
        <v>#N/A</v>
      </c>
      <c r="AD57" s="31">
        <f t="shared" si="19"/>
        <v>0.41782546473796928</v>
      </c>
      <c r="AE57" s="31" t="e">
        <f t="shared" si="20"/>
        <v>#N/A</v>
      </c>
      <c r="AF57" s="31" t="e">
        <f t="shared" si="21"/>
        <v>#N/A</v>
      </c>
      <c r="AL57" s="17">
        <f t="shared" si="22"/>
        <v>38595</v>
      </c>
      <c r="AM57">
        <f t="shared" si="24"/>
        <v>3</v>
      </c>
      <c r="AN57">
        <f t="shared" si="25"/>
        <v>3</v>
      </c>
    </row>
    <row r="58" spans="1:40">
      <c r="A58" s="7">
        <v>38625</v>
      </c>
      <c r="B58" s="8">
        <v>99.973199999999991</v>
      </c>
      <c r="C58" s="8">
        <f t="shared" si="2"/>
        <v>-0.18799711098403141</v>
      </c>
      <c r="D58" s="9">
        <f t="shared" si="3"/>
        <v>-1.6999277746007853E-2</v>
      </c>
      <c r="E58" s="8">
        <v>56.8</v>
      </c>
      <c r="F58" s="10">
        <f t="shared" si="4"/>
        <v>4.108480614308216</v>
      </c>
      <c r="G58" s="8">
        <v>-1.0851999999999999</v>
      </c>
      <c r="H58" s="10">
        <f t="shared" si="5"/>
        <v>-0.38741944940302114</v>
      </c>
      <c r="I58" s="10">
        <f t="shared" si="6"/>
        <v>-0.18741944940302113</v>
      </c>
      <c r="J58" s="1">
        <v>-0.57999999999999996</v>
      </c>
      <c r="K58" s="10">
        <f t="shared" si="8"/>
        <v>-4.2600190038605379E-2</v>
      </c>
      <c r="L58" s="8">
        <v>1.232</v>
      </c>
      <c r="M58" s="11">
        <f t="shared" si="9"/>
        <v>1.2108745724841574</v>
      </c>
      <c r="N58" s="9">
        <f t="shared" si="7"/>
        <v>1.2108745724841574</v>
      </c>
      <c r="P58" s="29">
        <f t="shared" si="10"/>
        <v>0.33013083228764811</v>
      </c>
      <c r="Q58" s="1" t="str">
        <f t="shared" si="23"/>
        <v>SD</v>
      </c>
      <c r="R58" t="str">
        <f t="shared" si="12"/>
        <v>SD</v>
      </c>
      <c r="S58" s="18">
        <f t="shared" si="11"/>
        <v>0.41782546473796928</v>
      </c>
      <c r="T58" t="str">
        <f t="shared" si="27"/>
        <v>SD</v>
      </c>
      <c r="V58" s="1">
        <v>159.30000000000001</v>
      </c>
      <c r="W58" s="1">
        <f t="shared" si="14"/>
        <v>0.33013083228764811</v>
      </c>
      <c r="X58" s="1">
        <f t="shared" si="15"/>
        <v>0.33013083228764811</v>
      </c>
      <c r="Y58" s="1" t="e">
        <f t="shared" si="16"/>
        <v>#N/A</v>
      </c>
      <c r="Z58" s="1" t="e">
        <f t="shared" si="17"/>
        <v>#N/A</v>
      </c>
      <c r="AA58" s="1">
        <v>0</v>
      </c>
      <c r="AC58" s="31" t="e">
        <f t="shared" si="18"/>
        <v>#N/A</v>
      </c>
      <c r="AD58" s="31">
        <f t="shared" si="19"/>
        <v>0.33013083228764811</v>
      </c>
      <c r="AE58" s="31" t="e">
        <f t="shared" si="20"/>
        <v>#N/A</v>
      </c>
      <c r="AF58" s="31" t="e">
        <f t="shared" si="21"/>
        <v>#N/A</v>
      </c>
      <c r="AL58" s="17">
        <f t="shared" si="22"/>
        <v>38625</v>
      </c>
      <c r="AM58">
        <f t="shared" si="24"/>
        <v>3</v>
      </c>
      <c r="AN58">
        <f t="shared" si="25"/>
        <v>3</v>
      </c>
    </row>
    <row r="59" spans="1:40">
      <c r="A59" s="7">
        <v>38656</v>
      </c>
      <c r="B59" s="8">
        <v>100.16</v>
      </c>
      <c r="C59" s="8">
        <f t="shared" si="2"/>
        <v>-8.8817934353583428E-2</v>
      </c>
      <c r="D59" s="9">
        <f t="shared" si="3"/>
        <v>7.795516411604142E-3</v>
      </c>
      <c r="E59" s="8">
        <v>57.2</v>
      </c>
      <c r="F59" s="10">
        <f t="shared" si="4"/>
        <v>4.9895636392303757</v>
      </c>
      <c r="G59" s="8">
        <v>0.44429999999999997</v>
      </c>
      <c r="H59" s="10">
        <f t="shared" si="5"/>
        <v>-0.1503794063231601</v>
      </c>
      <c r="I59" s="10">
        <f t="shared" si="6"/>
        <v>4.9620593676839908E-2</v>
      </c>
      <c r="J59" s="1">
        <v>0.59</v>
      </c>
      <c r="K59" s="10">
        <f t="shared" si="8"/>
        <v>0.13769086412239717</v>
      </c>
      <c r="L59" s="8">
        <v>1.0289999999999999</v>
      </c>
      <c r="M59" s="11">
        <f t="shared" si="9"/>
        <v>1.1590403193261725</v>
      </c>
      <c r="N59" s="9">
        <f t="shared" si="7"/>
        <v>1.1590403193261725</v>
      </c>
      <c r="P59" s="29">
        <f t="shared" si="10"/>
        <v>0.39722054508566812</v>
      </c>
      <c r="Q59" s="1" t="str">
        <f t="shared" si="23"/>
        <v>E</v>
      </c>
      <c r="R59" t="str">
        <f t="shared" si="12"/>
        <v>E</v>
      </c>
      <c r="S59" s="18">
        <f t="shared" si="11"/>
        <v>0.39722054508566812</v>
      </c>
      <c r="T59" t="str">
        <f t="shared" si="27"/>
        <v>SD</v>
      </c>
      <c r="V59" s="1">
        <v>121.6</v>
      </c>
      <c r="W59" s="1">
        <f t="shared" si="14"/>
        <v>0.39722054508566812</v>
      </c>
      <c r="X59" s="1" t="e">
        <f t="shared" si="15"/>
        <v>#N/A</v>
      </c>
      <c r="Y59" s="1" t="e">
        <f t="shared" si="16"/>
        <v>#N/A</v>
      </c>
      <c r="Z59" s="1" t="e">
        <f t="shared" si="17"/>
        <v>#N/A</v>
      </c>
      <c r="AA59" s="1">
        <v>0</v>
      </c>
      <c r="AC59" s="31" t="e">
        <f t="shared" si="18"/>
        <v>#N/A</v>
      </c>
      <c r="AD59" s="31">
        <f t="shared" si="19"/>
        <v>0.39722054508566812</v>
      </c>
      <c r="AE59" s="31" t="e">
        <f t="shared" si="20"/>
        <v>#N/A</v>
      </c>
      <c r="AF59" s="31" t="e">
        <f t="shared" si="21"/>
        <v>#N/A</v>
      </c>
      <c r="AL59" s="17">
        <f t="shared" si="22"/>
        <v>38656</v>
      </c>
      <c r="AM59">
        <f t="shared" si="24"/>
        <v>4</v>
      </c>
      <c r="AN59">
        <f t="shared" si="25"/>
        <v>4</v>
      </c>
    </row>
    <row r="60" spans="1:40">
      <c r="A60" s="7">
        <v>38686</v>
      </c>
      <c r="B60" s="8">
        <v>100.3689</v>
      </c>
      <c r="C60" s="8">
        <f t="shared" si="2"/>
        <v>4.1631676937186848E-2</v>
      </c>
      <c r="D60" s="9">
        <f t="shared" si="3"/>
        <v>4.0407919234296708E-2</v>
      </c>
      <c r="E60" s="8">
        <v>56.7</v>
      </c>
      <c r="F60" s="10">
        <f t="shared" si="4"/>
        <v>5.4770380020497198</v>
      </c>
      <c r="G60" s="8">
        <v>0.8891</v>
      </c>
      <c r="H60" s="10">
        <f t="shared" si="5"/>
        <v>0.14587222447894058</v>
      </c>
      <c r="I60" s="10">
        <f t="shared" si="6"/>
        <v>0.34587222447894062</v>
      </c>
      <c r="J60" s="1">
        <v>0.68</v>
      </c>
      <c r="K60" s="10">
        <f t="shared" si="8"/>
        <v>0.29224896784751397</v>
      </c>
      <c r="L60" s="8">
        <v>1.147</v>
      </c>
      <c r="M60" s="11">
        <f t="shared" si="9"/>
        <v>1.1556088283182133</v>
      </c>
      <c r="N60" s="9">
        <f t="shared" si="7"/>
        <v>1.1556088283182133</v>
      </c>
      <c r="P60" s="29">
        <f t="shared" si="10"/>
        <v>0.50309218973625269</v>
      </c>
      <c r="Q60" s="1" t="str">
        <f t="shared" si="23"/>
        <v>E</v>
      </c>
      <c r="R60" t="str">
        <f t="shared" si="12"/>
        <v>E</v>
      </c>
      <c r="S60" s="18">
        <f t="shared" si="11"/>
        <v>0.39722054508566812</v>
      </c>
      <c r="T60" t="str">
        <f t="shared" si="27"/>
        <v>SD</v>
      </c>
      <c r="V60" s="1">
        <v>54.1</v>
      </c>
      <c r="W60" s="1">
        <f t="shared" si="14"/>
        <v>0.50309218973625269</v>
      </c>
      <c r="X60" s="1" t="e">
        <f t="shared" si="15"/>
        <v>#N/A</v>
      </c>
      <c r="Y60" s="1" t="e">
        <f t="shared" si="16"/>
        <v>#N/A</v>
      </c>
      <c r="Z60" s="1" t="e">
        <f t="shared" si="17"/>
        <v>#N/A</v>
      </c>
      <c r="AA60" s="1">
        <v>0</v>
      </c>
      <c r="AC60" s="31" t="e">
        <f t="shared" si="18"/>
        <v>#N/A</v>
      </c>
      <c r="AD60" s="31">
        <f t="shared" si="19"/>
        <v>0.50309218973625269</v>
      </c>
      <c r="AE60" s="31" t="e">
        <f t="shared" si="20"/>
        <v>#N/A</v>
      </c>
      <c r="AF60" s="31" t="e">
        <f t="shared" si="21"/>
        <v>#N/A</v>
      </c>
      <c r="AL60" s="17">
        <f t="shared" si="22"/>
        <v>38686</v>
      </c>
      <c r="AM60">
        <f t="shared" si="24"/>
        <v>4</v>
      </c>
      <c r="AN60">
        <f t="shared" si="25"/>
        <v>4</v>
      </c>
    </row>
    <row r="61" spans="1:40">
      <c r="A61" s="7">
        <v>38716</v>
      </c>
      <c r="B61" s="8">
        <v>100.59529999999999</v>
      </c>
      <c r="C61" s="8">
        <f t="shared" si="2"/>
        <v>0.1994271490100871</v>
      </c>
      <c r="D61" s="9">
        <f t="shared" si="3"/>
        <v>7.9856787252521766E-2</v>
      </c>
      <c r="E61" s="8">
        <v>55.1</v>
      </c>
      <c r="F61" s="10">
        <f t="shared" si="4"/>
        <v>5.3695821714655505</v>
      </c>
      <c r="G61" s="8">
        <v>0.4042</v>
      </c>
      <c r="H61" s="10">
        <f t="shared" si="5"/>
        <v>0.21949564050244252</v>
      </c>
      <c r="I61" s="10">
        <f t="shared" si="6"/>
        <v>0.41949564050244253</v>
      </c>
      <c r="J61" s="1">
        <v>0.31</v>
      </c>
      <c r="K61" s="10">
        <f t="shared" si="8"/>
        <v>0.29730801201097246</v>
      </c>
      <c r="L61" s="8">
        <v>1.2170000000000001</v>
      </c>
      <c r="M61" s="11">
        <f t="shared" si="9"/>
        <v>1.1731053122475226</v>
      </c>
      <c r="N61" s="9">
        <f t="shared" si="7"/>
        <v>1.1731053122475226</v>
      </c>
      <c r="P61" s="29">
        <f t="shared" si="10"/>
        <v>0.54433629066142064</v>
      </c>
      <c r="Q61" s="1" t="str">
        <f t="shared" si="23"/>
        <v>E</v>
      </c>
      <c r="R61" t="str">
        <f t="shared" si="12"/>
        <v>E</v>
      </c>
      <c r="S61" s="18">
        <f t="shared" si="11"/>
        <v>0.39722054508566812</v>
      </c>
      <c r="T61" t="str">
        <f t="shared" si="27"/>
        <v>SD</v>
      </c>
      <c r="V61" s="1">
        <v>69.3</v>
      </c>
      <c r="W61" s="1">
        <f t="shared" si="14"/>
        <v>0.54433629066142064</v>
      </c>
      <c r="X61" s="1" t="e">
        <f t="shared" si="15"/>
        <v>#N/A</v>
      </c>
      <c r="Y61" s="1" t="e">
        <f t="shared" si="16"/>
        <v>#N/A</v>
      </c>
      <c r="Z61" s="1" t="e">
        <f t="shared" si="17"/>
        <v>#N/A</v>
      </c>
      <c r="AA61" s="1">
        <v>0</v>
      </c>
      <c r="AC61" s="31" t="e">
        <f t="shared" si="18"/>
        <v>#N/A</v>
      </c>
      <c r="AD61" s="31">
        <f t="shared" si="19"/>
        <v>0.54433629066142064</v>
      </c>
      <c r="AE61" s="31" t="e">
        <f t="shared" si="20"/>
        <v>#N/A</v>
      </c>
      <c r="AF61" s="31" t="e">
        <f t="shared" si="21"/>
        <v>#N/A</v>
      </c>
      <c r="AL61" s="17">
        <f t="shared" si="22"/>
        <v>38716</v>
      </c>
      <c r="AM61">
        <f t="shared" si="24"/>
        <v>4</v>
      </c>
      <c r="AN61">
        <f t="shared" si="25"/>
        <v>4</v>
      </c>
    </row>
    <row r="62" spans="1:40">
      <c r="A62" s="7">
        <v>38748</v>
      </c>
      <c r="B62" s="8">
        <v>100.82430000000001</v>
      </c>
      <c r="C62" s="8">
        <f t="shared" si="2"/>
        <v>0.37751591154221459</v>
      </c>
      <c r="D62" s="9">
        <f t="shared" si="3"/>
        <v>0.12437897788555365</v>
      </c>
      <c r="E62" s="8">
        <v>55</v>
      </c>
      <c r="F62" s="10">
        <f t="shared" si="4"/>
        <v>5.2642512525978686</v>
      </c>
      <c r="G62" s="8">
        <v>0.35370000000000001</v>
      </c>
      <c r="H62" s="10">
        <f t="shared" si="5"/>
        <v>0.25774388295924644</v>
      </c>
      <c r="I62" s="10">
        <f t="shared" si="6"/>
        <v>0.45774388295924645</v>
      </c>
      <c r="J62" s="1">
        <v>0.45</v>
      </c>
      <c r="K62" s="10">
        <f t="shared" si="8"/>
        <v>0.34082522858784536</v>
      </c>
      <c r="L62" s="8">
        <v>1.1359999999999999</v>
      </c>
      <c r="M62" s="11">
        <f t="shared" si="9"/>
        <v>1.1625302982569785</v>
      </c>
      <c r="N62" s="9">
        <f t="shared" si="7"/>
        <v>1.1625302982569785</v>
      </c>
      <c r="P62" s="29">
        <f t="shared" si="10"/>
        <v>0.56671032282291556</v>
      </c>
      <c r="Q62" s="1" t="str">
        <f t="shared" si="23"/>
        <v>E</v>
      </c>
      <c r="R62" t="str">
        <f t="shared" si="12"/>
        <v>E</v>
      </c>
      <c r="S62" s="18">
        <f t="shared" si="11"/>
        <v>0.39722054508566812</v>
      </c>
      <c r="T62" t="str">
        <f t="shared" si="27"/>
        <v>SD</v>
      </c>
      <c r="V62" s="1">
        <v>83.6</v>
      </c>
      <c r="W62" s="1">
        <f t="shared" si="14"/>
        <v>0.56671032282291556</v>
      </c>
      <c r="X62" s="1">
        <f t="shared" si="15"/>
        <v>0.56671032282291556</v>
      </c>
      <c r="Y62" s="1" t="e">
        <f t="shared" si="16"/>
        <v>#N/A</v>
      </c>
      <c r="Z62" s="1" t="e">
        <f t="shared" si="17"/>
        <v>#N/A</v>
      </c>
      <c r="AA62" s="1">
        <v>0</v>
      </c>
      <c r="AC62" s="31" t="e">
        <f t="shared" si="18"/>
        <v>#N/A</v>
      </c>
      <c r="AD62" s="31">
        <f t="shared" si="19"/>
        <v>0.56671032282291556</v>
      </c>
      <c r="AE62" s="31" t="e">
        <f t="shared" si="20"/>
        <v>#N/A</v>
      </c>
      <c r="AF62" s="31" t="e">
        <f t="shared" si="21"/>
        <v>#N/A</v>
      </c>
      <c r="AL62" s="17">
        <f t="shared" si="22"/>
        <v>38748</v>
      </c>
      <c r="AM62">
        <f t="shared" si="24"/>
        <v>4</v>
      </c>
      <c r="AN62">
        <f t="shared" si="25"/>
        <v>4</v>
      </c>
    </row>
    <row r="63" spans="1:40">
      <c r="A63" s="7">
        <v>38776</v>
      </c>
      <c r="B63" s="8">
        <v>101.0402</v>
      </c>
      <c r="C63" s="8">
        <f t="shared" si="2"/>
        <v>0.566380876752683</v>
      </c>
      <c r="D63" s="9">
        <f t="shared" si="3"/>
        <v>0.17159521918817075</v>
      </c>
      <c r="E63" s="8">
        <v>55.8</v>
      </c>
      <c r="F63" s="10">
        <f t="shared" si="4"/>
        <v>5.4169396456074752</v>
      </c>
      <c r="G63" s="8">
        <v>0.1996</v>
      </c>
      <c r="H63" s="10">
        <f t="shared" si="5"/>
        <v>0.24117287631586121</v>
      </c>
      <c r="I63" s="10">
        <f t="shared" si="6"/>
        <v>0.44117287631586122</v>
      </c>
      <c r="J63" s="1">
        <v>0.08</v>
      </c>
      <c r="K63" s="10">
        <f t="shared" si="8"/>
        <v>0.26649003844030944</v>
      </c>
      <c r="L63" s="8">
        <v>1.0169999999999999</v>
      </c>
      <c r="M63" s="11">
        <f t="shared" si="9"/>
        <v>1.1210541632537396</v>
      </c>
      <c r="N63" s="9">
        <f t="shared" si="7"/>
        <v>1.1210541632537396</v>
      </c>
      <c r="P63" s="29">
        <f t="shared" si="10"/>
        <v>0.56220200581838486</v>
      </c>
      <c r="Q63" s="1" t="str">
        <f t="shared" si="23"/>
        <v>SD</v>
      </c>
      <c r="R63" t="str">
        <f t="shared" si="12"/>
        <v>E</v>
      </c>
      <c r="S63" s="18">
        <f t="shared" si="11"/>
        <v>0.39722054508566812</v>
      </c>
      <c r="T63" t="str">
        <f t="shared" si="27"/>
        <v>SD</v>
      </c>
      <c r="V63" s="1">
        <v>84.5</v>
      </c>
      <c r="W63" s="1" t="e">
        <f t="shared" si="14"/>
        <v>#N/A</v>
      </c>
      <c r="X63" s="1">
        <f t="shared" si="15"/>
        <v>0.56220200581838486</v>
      </c>
      <c r="Y63" s="1" t="e">
        <f t="shared" si="16"/>
        <v>#N/A</v>
      </c>
      <c r="Z63" s="1" t="e">
        <f t="shared" si="17"/>
        <v>#N/A</v>
      </c>
      <c r="AA63" s="1">
        <v>0</v>
      </c>
      <c r="AC63" s="31" t="e">
        <f t="shared" si="18"/>
        <v>#N/A</v>
      </c>
      <c r="AD63" s="31">
        <f t="shared" si="19"/>
        <v>0.56220200581838486</v>
      </c>
      <c r="AE63" s="31" t="e">
        <f t="shared" si="20"/>
        <v>#N/A</v>
      </c>
      <c r="AF63" s="31" t="e">
        <f t="shared" si="21"/>
        <v>#N/A</v>
      </c>
      <c r="AL63" s="17">
        <f t="shared" si="22"/>
        <v>38776</v>
      </c>
      <c r="AM63">
        <f t="shared" si="24"/>
        <v>3</v>
      </c>
      <c r="AN63">
        <f t="shared" si="25"/>
        <v>4</v>
      </c>
    </row>
    <row r="64" spans="1:40">
      <c r="A64" s="7">
        <v>38807</v>
      </c>
      <c r="B64" s="8">
        <v>101.23310000000001</v>
      </c>
      <c r="C64" s="8">
        <f t="shared" si="2"/>
        <v>0.75639582687817053</v>
      </c>
      <c r="D64" s="9">
        <f t="shared" si="3"/>
        <v>0.21909895671954263</v>
      </c>
      <c r="E64" s="8">
        <v>54.3</v>
      </c>
      <c r="F64" s="10">
        <f t="shared" si="4"/>
        <v>5.0986118466093444</v>
      </c>
      <c r="G64" s="8">
        <v>2.9499999999999998E-2</v>
      </c>
      <c r="H64" s="10">
        <f t="shared" si="5"/>
        <v>0.18084610656584077</v>
      </c>
      <c r="I64" s="10">
        <f t="shared" si="6"/>
        <v>0.38084610656584078</v>
      </c>
      <c r="J64" s="1">
        <v>0.21</v>
      </c>
      <c r="K64" s="10">
        <f t="shared" si="8"/>
        <v>0.25039037748482124</v>
      </c>
      <c r="L64" s="8">
        <v>0.997</v>
      </c>
      <c r="M64" s="11">
        <f t="shared" si="9"/>
        <v>1.0856987267264238</v>
      </c>
      <c r="N64" s="9">
        <f t="shared" si="7"/>
        <v>1.0856987267264238</v>
      </c>
      <c r="P64" s="29">
        <f t="shared" si="10"/>
        <v>0.54604668416014512</v>
      </c>
      <c r="Q64" s="1" t="str">
        <f t="shared" si="23"/>
        <v>SD</v>
      </c>
      <c r="R64" t="str">
        <f t="shared" si="12"/>
        <v>E</v>
      </c>
      <c r="S64" s="18">
        <f t="shared" si="11"/>
        <v>0.54604668416014512</v>
      </c>
      <c r="T64" t="str">
        <f t="shared" si="27"/>
        <v>SD</v>
      </c>
      <c r="V64" s="1">
        <v>90.9</v>
      </c>
      <c r="W64" s="1" t="e">
        <f t="shared" si="14"/>
        <v>#N/A</v>
      </c>
      <c r="X64" s="1">
        <f t="shared" si="15"/>
        <v>0.54604668416014512</v>
      </c>
      <c r="Y64" s="1" t="e">
        <f t="shared" si="16"/>
        <v>#N/A</v>
      </c>
      <c r="Z64" s="1" t="e">
        <f t="shared" si="17"/>
        <v>#N/A</v>
      </c>
      <c r="AA64" s="1">
        <v>0</v>
      </c>
      <c r="AC64" s="31" t="e">
        <f t="shared" si="18"/>
        <v>#N/A</v>
      </c>
      <c r="AD64" s="31">
        <f t="shared" si="19"/>
        <v>0.54604668416014512</v>
      </c>
      <c r="AE64" s="31" t="e">
        <f t="shared" si="20"/>
        <v>#N/A</v>
      </c>
      <c r="AF64" s="31" t="e">
        <f t="shared" si="21"/>
        <v>#N/A</v>
      </c>
      <c r="AL64" s="17">
        <f t="shared" si="22"/>
        <v>38807</v>
      </c>
      <c r="AM64">
        <f t="shared" si="24"/>
        <v>3</v>
      </c>
      <c r="AN64">
        <f t="shared" si="25"/>
        <v>4</v>
      </c>
    </row>
    <row r="65" spans="1:40">
      <c r="A65" s="7">
        <v>38835</v>
      </c>
      <c r="B65" s="8">
        <v>101.40090000000001</v>
      </c>
      <c r="C65" s="8">
        <f t="shared" si="2"/>
        <v>0.94007951621789387</v>
      </c>
      <c r="D65" s="9">
        <f t="shared" si="3"/>
        <v>0.26501987905447344</v>
      </c>
      <c r="E65" s="8">
        <v>55.2</v>
      </c>
      <c r="F65" s="10">
        <f t="shared" si="4"/>
        <v>5.127507470325682</v>
      </c>
      <c r="G65" s="8">
        <v>-0.40710000000000002</v>
      </c>
      <c r="H65" s="10">
        <f t="shared" si="5"/>
        <v>1.3281466194576139E-2</v>
      </c>
      <c r="I65" s="10">
        <f t="shared" si="6"/>
        <v>0.21328146619457616</v>
      </c>
      <c r="J65" s="1">
        <v>-0.1</v>
      </c>
      <c r="K65" s="10">
        <f t="shared" si="8"/>
        <v>0.15052911990164719</v>
      </c>
      <c r="L65" s="8">
        <v>0.78800000000000003</v>
      </c>
      <c r="M65" s="11">
        <f t="shared" si="9"/>
        <v>1.000854589609393</v>
      </c>
      <c r="N65" s="9">
        <f t="shared" si="7"/>
        <v>1.000854589609393</v>
      </c>
      <c r="P65" s="29">
        <f t="shared" si="10"/>
        <v>0.47774500417450394</v>
      </c>
      <c r="Q65" s="1" t="str">
        <f t="shared" si="23"/>
        <v>SD</v>
      </c>
      <c r="R65" t="str">
        <f t="shared" si="12"/>
        <v>SD</v>
      </c>
      <c r="S65" s="18">
        <f t="shared" si="11"/>
        <v>0.54604668416014512</v>
      </c>
      <c r="T65" t="str">
        <f t="shared" si="27"/>
        <v>SD</v>
      </c>
      <c r="V65" s="1">
        <v>112.2</v>
      </c>
      <c r="W65" s="1" t="e">
        <f t="shared" si="14"/>
        <v>#N/A</v>
      </c>
      <c r="X65" s="1">
        <f t="shared" si="15"/>
        <v>0.47774500417450394</v>
      </c>
      <c r="Y65" s="1" t="e">
        <f t="shared" si="16"/>
        <v>#N/A</v>
      </c>
      <c r="Z65" s="1" t="e">
        <f t="shared" si="17"/>
        <v>#N/A</v>
      </c>
      <c r="AA65" s="1">
        <v>0</v>
      </c>
      <c r="AC65" s="31" t="e">
        <f t="shared" si="18"/>
        <v>#N/A</v>
      </c>
      <c r="AD65" s="31">
        <f t="shared" si="19"/>
        <v>0.47774500417450394</v>
      </c>
      <c r="AE65" s="31" t="e">
        <f t="shared" si="20"/>
        <v>#N/A</v>
      </c>
      <c r="AF65" s="31" t="e">
        <f t="shared" si="21"/>
        <v>#N/A</v>
      </c>
      <c r="AL65" s="17">
        <f t="shared" si="22"/>
        <v>38835</v>
      </c>
      <c r="AM65">
        <f t="shared" si="24"/>
        <v>3</v>
      </c>
      <c r="AN65">
        <f t="shared" si="25"/>
        <v>3</v>
      </c>
    </row>
    <row r="66" spans="1:40">
      <c r="A66" s="7">
        <v>38868</v>
      </c>
      <c r="B66" s="8">
        <v>101.5408</v>
      </c>
      <c r="C66" s="8">
        <f t="shared" si="2"/>
        <v>1.1112848540957954</v>
      </c>
      <c r="D66" s="9">
        <f t="shared" si="3"/>
        <v>0.30782121352394887</v>
      </c>
      <c r="E66" s="8">
        <v>53.7</v>
      </c>
      <c r="F66" s="10">
        <f t="shared" si="4"/>
        <v>4.7206678412828635</v>
      </c>
      <c r="G66" s="8">
        <v>-0.25530000000000003</v>
      </c>
      <c r="H66" s="10">
        <f t="shared" si="5"/>
        <v>-6.3264251670878083E-2</v>
      </c>
      <c r="I66" s="10">
        <f t="shared" si="6"/>
        <v>0.13673574832912194</v>
      </c>
      <c r="J66" s="1">
        <v>0.01</v>
      </c>
      <c r="K66" s="10">
        <f t="shared" si="8"/>
        <v>0.11047832072967774</v>
      </c>
      <c r="L66" s="8">
        <v>0.53</v>
      </c>
      <c r="M66" s="11">
        <f t="shared" si="9"/>
        <v>0.86666103157071595</v>
      </c>
      <c r="N66" s="9">
        <f t="shared" si="7"/>
        <v>0.86666103157071595</v>
      </c>
      <c r="P66" s="29">
        <f t="shared" si="10"/>
        <v>0.42280555298477046</v>
      </c>
      <c r="Q66" s="1" t="str">
        <f t="shared" si="23"/>
        <v>SD</v>
      </c>
      <c r="R66" t="str">
        <f t="shared" si="12"/>
        <v>SD</v>
      </c>
      <c r="S66" s="18">
        <f t="shared" si="11"/>
        <v>0.54604668416014512</v>
      </c>
      <c r="T66" t="str">
        <f t="shared" si="27"/>
        <v>SD</v>
      </c>
      <c r="V66" s="1">
        <v>77.2</v>
      </c>
      <c r="W66" s="1" t="e">
        <f t="shared" si="14"/>
        <v>#N/A</v>
      </c>
      <c r="X66" s="1">
        <f t="shared" si="15"/>
        <v>0.42280555298477046</v>
      </c>
      <c r="Y66" s="1" t="e">
        <f t="shared" si="16"/>
        <v>#N/A</v>
      </c>
      <c r="Z66" s="1" t="e">
        <f t="shared" si="17"/>
        <v>#N/A</v>
      </c>
      <c r="AA66" s="1">
        <v>0</v>
      </c>
      <c r="AC66" s="31" t="e">
        <f t="shared" si="18"/>
        <v>#N/A</v>
      </c>
      <c r="AD66" s="31">
        <f t="shared" si="19"/>
        <v>0.42280555298477046</v>
      </c>
      <c r="AE66" s="31" t="e">
        <f t="shared" si="20"/>
        <v>#N/A</v>
      </c>
      <c r="AF66" s="31" t="e">
        <f t="shared" si="21"/>
        <v>#N/A</v>
      </c>
      <c r="AL66" s="17">
        <f t="shared" si="22"/>
        <v>38868</v>
      </c>
      <c r="AM66">
        <f t="shared" si="24"/>
        <v>3</v>
      </c>
      <c r="AN66">
        <f t="shared" si="25"/>
        <v>3</v>
      </c>
    </row>
    <row r="67" spans="1:40">
      <c r="A67" s="7">
        <v>38898</v>
      </c>
      <c r="B67" s="8">
        <v>101.66589999999999</v>
      </c>
      <c r="C67" s="8">
        <f t="shared" si="2"/>
        <v>1.269350170678492</v>
      </c>
      <c r="D67" s="9">
        <f t="shared" si="3"/>
        <v>0.34733754266962302</v>
      </c>
      <c r="E67" s="8">
        <v>52</v>
      </c>
      <c r="F67" s="10">
        <f t="shared" si="4"/>
        <v>3.9452775065172476</v>
      </c>
      <c r="G67" s="8">
        <v>-0.30170000000000002</v>
      </c>
      <c r="H67" s="10">
        <f t="shared" si="5"/>
        <v>-0.13121843994467786</v>
      </c>
      <c r="I67" s="10">
        <f t="shared" si="6"/>
        <v>6.8781560055322155E-2</v>
      </c>
      <c r="J67" s="1">
        <v>0</v>
      </c>
      <c r="K67" s="10">
        <f t="shared" si="8"/>
        <v>7.8991999321719575E-2</v>
      </c>
      <c r="L67" s="8">
        <v>0.78500000000000003</v>
      </c>
      <c r="M67" s="11">
        <f t="shared" si="9"/>
        <v>0.8433876375730619</v>
      </c>
      <c r="N67" s="9">
        <f t="shared" si="7"/>
        <v>0.8433876375730619</v>
      </c>
      <c r="P67" s="29">
        <f t="shared" si="10"/>
        <v>0.40666347038411099</v>
      </c>
      <c r="Q67" s="1" t="str">
        <f t="shared" si="23"/>
        <v>SD</v>
      </c>
      <c r="R67" t="str">
        <f t="shared" si="12"/>
        <v>SD</v>
      </c>
      <c r="S67" s="18">
        <f t="shared" si="11"/>
        <v>0.54604668416014512</v>
      </c>
      <c r="T67" t="str">
        <f t="shared" si="27"/>
        <v>SD</v>
      </c>
      <c r="V67" s="1">
        <v>67.900000000000006</v>
      </c>
      <c r="W67" s="1" t="e">
        <f t="shared" si="14"/>
        <v>#N/A</v>
      </c>
      <c r="X67" s="1">
        <f t="shared" si="15"/>
        <v>0.40666347038411099</v>
      </c>
      <c r="Y67" s="1" t="e">
        <f t="shared" si="16"/>
        <v>#N/A</v>
      </c>
      <c r="Z67" s="1" t="e">
        <f t="shared" si="17"/>
        <v>#N/A</v>
      </c>
      <c r="AA67" s="1">
        <v>0</v>
      </c>
      <c r="AC67" s="31" t="e">
        <f t="shared" si="18"/>
        <v>#N/A</v>
      </c>
      <c r="AD67" s="31">
        <f t="shared" si="19"/>
        <v>0.40666347038411099</v>
      </c>
      <c r="AE67" s="31" t="e">
        <f t="shared" si="20"/>
        <v>#N/A</v>
      </c>
      <c r="AF67" s="31" t="e">
        <f t="shared" si="21"/>
        <v>#N/A</v>
      </c>
      <c r="AL67" s="17">
        <f t="shared" si="22"/>
        <v>38898</v>
      </c>
      <c r="AM67">
        <f t="shared" si="24"/>
        <v>3</v>
      </c>
      <c r="AN67">
        <f t="shared" si="25"/>
        <v>3</v>
      </c>
    </row>
    <row r="68" spans="1:40">
      <c r="A68" s="7">
        <v>38929</v>
      </c>
      <c r="B68" s="8">
        <v>101.78999999999999</v>
      </c>
      <c r="C68" s="8">
        <f t="shared" si="2"/>
        <v>1.4177353720351196</v>
      </c>
      <c r="D68" s="9">
        <f t="shared" si="3"/>
        <v>0.38443384300877992</v>
      </c>
      <c r="E68" s="8">
        <v>53</v>
      </c>
      <c r="F68" s="10">
        <f t="shared" si="4"/>
        <v>3.6758734171598317</v>
      </c>
      <c r="G68" s="8">
        <v>-0.3569</v>
      </c>
      <c r="H68" s="10">
        <f t="shared" si="5"/>
        <v>-0.19553768456044468</v>
      </c>
      <c r="I68" s="10">
        <f t="shared" si="6"/>
        <v>4.4623154395553311E-3</v>
      </c>
      <c r="J68" s="1">
        <v>-0.28000000000000003</v>
      </c>
      <c r="K68" s="10">
        <f t="shared" si="8"/>
        <v>-2.3320720484970518E-2</v>
      </c>
      <c r="L68" s="8">
        <v>0.70099999999999996</v>
      </c>
      <c r="M68" s="11">
        <f t="shared" si="9"/>
        <v>0.80280716086473924</v>
      </c>
      <c r="N68" s="9">
        <f t="shared" si="7"/>
        <v>0.80280716086473924</v>
      </c>
      <c r="P68" s="29">
        <f t="shared" si="10"/>
        <v>0.38486900632463916</v>
      </c>
      <c r="Q68" s="1" t="str">
        <f t="shared" si="23"/>
        <v>SD</v>
      </c>
      <c r="R68" t="str">
        <f t="shared" si="12"/>
        <v>SD</v>
      </c>
      <c r="S68" s="18">
        <f t="shared" si="11"/>
        <v>0.54604668416014512</v>
      </c>
      <c r="T68" t="str">
        <f t="shared" si="27"/>
        <v>SD</v>
      </c>
      <c r="V68" s="1">
        <v>-6</v>
      </c>
      <c r="W68" s="1">
        <f t="shared" si="14"/>
        <v>0.38486900632463916</v>
      </c>
      <c r="X68" s="1">
        <f t="shared" si="15"/>
        <v>0.38486900632463916</v>
      </c>
      <c r="Y68" s="1" t="e">
        <f t="shared" si="16"/>
        <v>#N/A</v>
      </c>
      <c r="Z68" s="1" t="e">
        <f t="shared" si="17"/>
        <v>#N/A</v>
      </c>
      <c r="AA68" s="1">
        <v>0</v>
      </c>
      <c r="AC68" s="31">
        <f t="shared" si="18"/>
        <v>0.38486900632463916</v>
      </c>
      <c r="AD68" s="31">
        <f t="shared" si="19"/>
        <v>0.38486900632463916</v>
      </c>
      <c r="AE68" s="31" t="e">
        <f t="shared" si="20"/>
        <v>#N/A</v>
      </c>
      <c r="AF68" s="31" t="e">
        <f t="shared" si="21"/>
        <v>#N/A</v>
      </c>
      <c r="AL68" s="17">
        <f t="shared" si="22"/>
        <v>38929</v>
      </c>
      <c r="AM68">
        <f t="shared" si="24"/>
        <v>3</v>
      </c>
      <c r="AN68">
        <f t="shared" si="25"/>
        <v>3</v>
      </c>
    </row>
    <row r="69" spans="1:40">
      <c r="A69" s="7">
        <v>38960</v>
      </c>
      <c r="B69" s="8">
        <v>101.928</v>
      </c>
      <c r="C69" s="8">
        <f t="shared" ref="C69:C132" si="28">$BG$1*C68+(1-$BG$1)*(B69-100)</f>
        <v>1.5631607910051097</v>
      </c>
      <c r="D69" s="9">
        <f t="shared" ref="D69:D132" si="29">C69/4+0.03</f>
        <v>0.42079019775127746</v>
      </c>
      <c r="E69" s="8">
        <v>53.7</v>
      </c>
      <c r="F69" s="10">
        <f t="shared" ref="F69:F132" si="30">$BG$1*F68+(1-$BG$1)*(E69-50)</f>
        <v>3.6827494932692804</v>
      </c>
      <c r="G69" s="8">
        <v>-0.13009999999999999</v>
      </c>
      <c r="H69" s="10">
        <f t="shared" ref="H69:H132" si="31">$BG$1*H68 + (1-$BG$1)*G69</f>
        <v>-0.17688794446071793</v>
      </c>
      <c r="I69" s="10">
        <f t="shared" ref="I69:I132" si="32">MAX(IF(H69&lt;-1,-1*SQRT(-H69),IF(H69&gt;1,H69,H69)),-2)+0.2</f>
        <v>2.3112055539282084E-2</v>
      </c>
      <c r="J69" s="1">
        <v>0.18</v>
      </c>
      <c r="K69" s="10">
        <f t="shared" si="8"/>
        <v>3.4625684853246089E-2</v>
      </c>
      <c r="L69" s="8">
        <v>0.86299999999999999</v>
      </c>
      <c r="M69" s="11">
        <f t="shared" si="9"/>
        <v>0.81996212001828861</v>
      </c>
      <c r="N69" s="9">
        <f t="shared" ref="N69:N132" si="33">IF(M69&lt;-1,-(-M69^(0.5)/2),IF(M69&lt;0,0.5*M69,M69))*1+0*IF(M69&gt;0,M69*6,M69)/6</f>
        <v>0.81996212001828861</v>
      </c>
      <c r="P69" s="29">
        <f t="shared" si="10"/>
        <v>0.40916933952211682</v>
      </c>
      <c r="Q69" s="1" t="str">
        <f t="shared" si="23"/>
        <v>E</v>
      </c>
      <c r="R69" t="str">
        <f t="shared" si="12"/>
        <v>SD</v>
      </c>
      <c r="S69" s="18">
        <f t="shared" si="11"/>
        <v>0.54604668416014512</v>
      </c>
      <c r="T69" t="str">
        <f t="shared" si="27"/>
        <v>E</v>
      </c>
      <c r="V69" s="1">
        <v>-40.4</v>
      </c>
      <c r="W69" s="1">
        <f t="shared" si="14"/>
        <v>0.40916933952211682</v>
      </c>
      <c r="X69" s="1">
        <f t="shared" si="15"/>
        <v>0.40916933952211682</v>
      </c>
      <c r="Y69" s="1" t="e">
        <f t="shared" si="16"/>
        <v>#N/A</v>
      </c>
      <c r="Z69" s="1" t="e">
        <f t="shared" si="17"/>
        <v>#N/A</v>
      </c>
      <c r="AA69" s="1">
        <v>0</v>
      </c>
      <c r="AC69" s="31">
        <f t="shared" si="18"/>
        <v>0.40916933952211682</v>
      </c>
      <c r="AD69" s="31">
        <f t="shared" si="19"/>
        <v>0.40916933952211682</v>
      </c>
      <c r="AE69" s="31" t="e">
        <f t="shared" si="20"/>
        <v>#N/A</v>
      </c>
      <c r="AF69" s="31" t="e">
        <f t="shared" si="21"/>
        <v>#N/A</v>
      </c>
      <c r="AL69" s="17">
        <f t="shared" si="22"/>
        <v>38960</v>
      </c>
      <c r="AM69">
        <f t="shared" si="24"/>
        <v>4</v>
      </c>
      <c r="AN69">
        <f t="shared" si="25"/>
        <v>3</v>
      </c>
    </row>
    <row r="70" spans="1:40">
      <c r="A70" s="7">
        <v>38989</v>
      </c>
      <c r="B70" s="8">
        <v>102.0808</v>
      </c>
      <c r="C70" s="8">
        <f t="shared" si="28"/>
        <v>1.7106879655686524</v>
      </c>
      <c r="D70" s="9">
        <f t="shared" si="29"/>
        <v>0.45767199139216308</v>
      </c>
      <c r="E70" s="8">
        <v>52.2</v>
      </c>
      <c r="F70" s="10">
        <f t="shared" si="30"/>
        <v>3.2601658876875366</v>
      </c>
      <c r="G70" s="8">
        <v>-0.29509999999999997</v>
      </c>
      <c r="H70" s="10">
        <f t="shared" si="31"/>
        <v>-0.21057838028941331</v>
      </c>
      <c r="I70" s="10">
        <f t="shared" si="32"/>
        <v>-1.0578380289413297E-2</v>
      </c>
      <c r="J70" s="1">
        <v>-0.02</v>
      </c>
      <c r="K70" s="10">
        <f t="shared" ref="K70:K133" si="34">$BG$1*K69+(1-$BG$1) * MAX(AVERAGE($J$4:$J$256)-3*STDEVA($J$4:$J$256),MIN(J70,AVERAGE($J$4:$J$256)+3*STDEVA($J$4:$J$256)))</f>
        <v>1.9057364670070954E-2</v>
      </c>
      <c r="L70" s="8">
        <v>0.80500000000000005</v>
      </c>
      <c r="M70" s="11">
        <f t="shared" ref="M70:M133" si="35">$BG$1*M69+(1-$BG$1)*L70</f>
        <v>0.81569791581307638</v>
      </c>
      <c r="N70" s="9">
        <f t="shared" si="33"/>
        <v>0.81569791581307638</v>
      </c>
      <c r="P70" s="29">
        <f t="shared" ref="P70:P133" si="36">AVERAGE(D69,I70,N70)</f>
        <v>0.40863657775831347</v>
      </c>
      <c r="Q70" s="1" t="str">
        <f t="shared" si="23"/>
        <v>SD</v>
      </c>
      <c r="R70" t="str">
        <f t="shared" si="12"/>
        <v>SD</v>
      </c>
      <c r="S70" s="18">
        <f t="shared" ref="S70:S133" si="37">IF(R70&lt;&gt;Q69,P70,S69)</f>
        <v>0.40863657775831347</v>
      </c>
      <c r="T70" t="str">
        <f t="shared" si="27"/>
        <v>SD</v>
      </c>
      <c r="V70" s="1">
        <v>-42.1</v>
      </c>
      <c r="W70" s="1" t="e">
        <f t="shared" si="14"/>
        <v>#N/A</v>
      </c>
      <c r="X70" s="1">
        <f t="shared" si="15"/>
        <v>0.40863657775831347</v>
      </c>
      <c r="Y70" s="1" t="e">
        <f t="shared" si="16"/>
        <v>#N/A</v>
      </c>
      <c r="Z70" s="1" t="e">
        <f t="shared" si="17"/>
        <v>#N/A</v>
      </c>
      <c r="AA70" s="1">
        <v>0</v>
      </c>
      <c r="AC70" s="31" t="e">
        <f t="shared" si="18"/>
        <v>#N/A</v>
      </c>
      <c r="AD70" s="31">
        <f t="shared" si="19"/>
        <v>0.40863657775831347</v>
      </c>
      <c r="AE70" s="31" t="e">
        <f t="shared" si="20"/>
        <v>#N/A</v>
      </c>
      <c r="AF70" s="31" t="e">
        <f t="shared" si="21"/>
        <v>#N/A</v>
      </c>
      <c r="AL70" s="17">
        <f t="shared" si="22"/>
        <v>38989</v>
      </c>
      <c r="AM70">
        <f t="shared" si="24"/>
        <v>3</v>
      </c>
      <c r="AN70">
        <f t="shared" si="25"/>
        <v>3</v>
      </c>
    </row>
    <row r="71" spans="1:40">
      <c r="A71" s="7">
        <v>39021</v>
      </c>
      <c r="B71" s="8">
        <v>102.248</v>
      </c>
      <c r="C71" s="8">
        <f t="shared" si="28"/>
        <v>1.8638218953815877</v>
      </c>
      <c r="D71" s="9">
        <f t="shared" si="29"/>
        <v>0.49595547384539695</v>
      </c>
      <c r="E71" s="8">
        <v>51.4</v>
      </c>
      <c r="F71" s="10">
        <f t="shared" si="30"/>
        <v>2.7300186096965882</v>
      </c>
      <c r="G71" s="8">
        <v>-0.30349999999999999</v>
      </c>
      <c r="H71" s="10">
        <f t="shared" si="31"/>
        <v>-0.2370610419069305</v>
      </c>
      <c r="I71" s="10">
        <f t="shared" si="32"/>
        <v>-3.7061041906930492E-2</v>
      </c>
      <c r="J71" s="1">
        <v>-0.27</v>
      </c>
      <c r="K71" s="10">
        <f t="shared" si="34"/>
        <v>-6.3323984260899288E-2</v>
      </c>
      <c r="L71" s="8">
        <v>0.77100000000000002</v>
      </c>
      <c r="M71" s="11">
        <f t="shared" si="35"/>
        <v>0.8029590098063496</v>
      </c>
      <c r="N71" s="9">
        <f t="shared" si="33"/>
        <v>0.8029590098063496</v>
      </c>
      <c r="P71" s="29">
        <f t="shared" si="36"/>
        <v>0.40785665309719404</v>
      </c>
      <c r="Q71" s="1" t="str">
        <f t="shared" si="23"/>
        <v>SD</v>
      </c>
      <c r="R71" t="str">
        <f t="shared" ref="R71:R134" si="38">IF(OR(ABS($P71-$P70)&gt;$R$1,P71*P70&lt;0),Q71,R70)</f>
        <v>SD</v>
      </c>
      <c r="S71" s="18">
        <f t="shared" si="37"/>
        <v>0.40863657775831347</v>
      </c>
      <c r="T71" t="str">
        <f t="shared" si="27"/>
        <v>SD</v>
      </c>
      <c r="V71" s="1">
        <v>33.5</v>
      </c>
      <c r="W71" s="1">
        <f t="shared" ref="W71:W134" si="39">IF(OR($Q71=W$5,$Q72=W$5),$P71,NA())</f>
        <v>0.40785665309719404</v>
      </c>
      <c r="X71" s="1">
        <f t="shared" ref="X71:X134" si="40">IF(OR($Q71=X$5,$Q72=X$5),$P71,NA())</f>
        <v>0.40785665309719404</v>
      </c>
      <c r="Y71" s="1" t="e">
        <f t="shared" ref="Y71:Y134" si="41">IF(OR($Q71=Y$5,$Q72=Y$5),$P71,NA())</f>
        <v>#N/A</v>
      </c>
      <c r="Z71" s="1" t="e">
        <f t="shared" ref="Z71:Z134" si="42">IF(OR($Q71=Z$5,$Q72=Z$5),$P71,NA())</f>
        <v>#N/A</v>
      </c>
      <c r="AA71" s="1">
        <v>0</v>
      </c>
      <c r="AC71" s="31">
        <f t="shared" ref="AC71:AC134" si="43">IF(OR($T71=AC$5,$T72=AC$5),$P71,NA())</f>
        <v>0.40785665309719404</v>
      </c>
      <c r="AD71" s="31">
        <f t="shared" ref="AD71:AD134" si="44">IF(OR($T71=AD$5,$T72=AD$5),$P71,NA())</f>
        <v>0.40785665309719404</v>
      </c>
      <c r="AE71" s="31" t="e">
        <f t="shared" ref="AE71:AE134" si="45">IF(OR($T71=AE$5,$T72=AE$5),$P71,NA())</f>
        <v>#N/A</v>
      </c>
      <c r="AF71" s="31" t="e">
        <f t="shared" ref="AF71:AF134" si="46">IF(OR($T71=AF$5,$T72=AF$5),$P71,NA())</f>
        <v>#N/A</v>
      </c>
      <c r="AL71" s="17">
        <f t="shared" ref="AL71:AL134" si="47">A71</f>
        <v>39021</v>
      </c>
      <c r="AM71">
        <f t="shared" si="24"/>
        <v>3</v>
      </c>
      <c r="AN71">
        <f t="shared" si="25"/>
        <v>3</v>
      </c>
    </row>
    <row r="72" spans="1:40">
      <c r="A72" s="7">
        <v>39051</v>
      </c>
      <c r="B72" s="8">
        <v>102.42229999999999</v>
      </c>
      <c r="C72" s="8">
        <f t="shared" si="28"/>
        <v>2.022988155197833</v>
      </c>
      <c r="D72" s="9">
        <f t="shared" si="29"/>
        <v>0.53574703879945829</v>
      </c>
      <c r="E72" s="8">
        <v>50.3</v>
      </c>
      <c r="F72" s="10">
        <f t="shared" si="30"/>
        <v>2.0374633059330596</v>
      </c>
      <c r="G72" s="8">
        <v>0.1391</v>
      </c>
      <c r="H72" s="10">
        <f t="shared" si="31"/>
        <v>-0.12985514496345529</v>
      </c>
      <c r="I72" s="10">
        <f t="shared" si="32"/>
        <v>7.0144855036544718E-2</v>
      </c>
      <c r="J72" s="1">
        <v>-0.14000000000000001</v>
      </c>
      <c r="K72" s="10">
        <f t="shared" si="34"/>
        <v>-8.5176648746542988E-2</v>
      </c>
      <c r="L72" s="8">
        <v>1</v>
      </c>
      <c r="M72" s="11">
        <f t="shared" si="35"/>
        <v>0.85911569201153992</v>
      </c>
      <c r="N72" s="9">
        <f t="shared" si="33"/>
        <v>0.85911569201153992</v>
      </c>
      <c r="P72" s="29">
        <f t="shared" si="36"/>
        <v>0.47507200696449386</v>
      </c>
      <c r="Q72" s="1" t="str">
        <f t="shared" ref="Q72:Q135" si="48">IF(P72-P71&gt;0,IF(P72&gt;=0,"E","R"),IF(P72&gt;=0,"SD","C"))</f>
        <v>E</v>
      </c>
      <c r="R72" t="str">
        <f t="shared" si="38"/>
        <v>E</v>
      </c>
      <c r="S72" s="18">
        <f t="shared" si="37"/>
        <v>0.47507200696449386</v>
      </c>
      <c r="T72" t="str">
        <f t="shared" si="27"/>
        <v>E</v>
      </c>
      <c r="V72" s="1">
        <v>45.5</v>
      </c>
      <c r="W72" s="1">
        <f t="shared" si="39"/>
        <v>0.47507200696449386</v>
      </c>
      <c r="X72" s="1" t="e">
        <f t="shared" si="40"/>
        <v>#N/A</v>
      </c>
      <c r="Y72" s="1" t="e">
        <f t="shared" si="41"/>
        <v>#N/A</v>
      </c>
      <c r="Z72" s="1" t="e">
        <f t="shared" si="42"/>
        <v>#N/A</v>
      </c>
      <c r="AA72" s="1">
        <v>0</v>
      </c>
      <c r="AC72" s="31">
        <f t="shared" si="43"/>
        <v>0.47507200696449386</v>
      </c>
      <c r="AD72" s="31" t="e">
        <f t="shared" si="44"/>
        <v>#N/A</v>
      </c>
      <c r="AE72" s="31" t="e">
        <f t="shared" si="45"/>
        <v>#N/A</v>
      </c>
      <c r="AF72" s="31" t="e">
        <f t="shared" si="46"/>
        <v>#N/A</v>
      </c>
      <c r="AL72" s="17">
        <f t="shared" si="47"/>
        <v>39051</v>
      </c>
      <c r="AM72">
        <f t="shared" ref="AM72:AM135" si="49">IF($Q72="E",4,IF($Q72="R",2,IF($Q72="SD",3,1)))</f>
        <v>4</v>
      </c>
      <c r="AN72">
        <f t="shared" ref="AN72:AN135" si="50">IF($R72="E",4,IF($R72="R",2,IF($R72="SD",3,1)))</f>
        <v>4</v>
      </c>
    </row>
    <row r="73" spans="1:40">
      <c r="A73" s="7">
        <v>39080</v>
      </c>
      <c r="B73" s="8">
        <v>102.59269999999999</v>
      </c>
      <c r="C73" s="8">
        <f t="shared" si="28"/>
        <v>2.185356030966449</v>
      </c>
      <c r="D73" s="9">
        <f t="shared" si="29"/>
        <v>0.57633900774161229</v>
      </c>
      <c r="E73" s="8">
        <v>51.4</v>
      </c>
      <c r="F73" s="10">
        <f t="shared" si="30"/>
        <v>1.8557862637421372</v>
      </c>
      <c r="G73" s="8">
        <v>0.50590000000000002</v>
      </c>
      <c r="H73" s="10">
        <f t="shared" si="31"/>
        <v>5.1335071351129483E-2</v>
      </c>
      <c r="I73" s="10">
        <f t="shared" si="32"/>
        <v>0.25133507135112948</v>
      </c>
      <c r="J73" s="1">
        <v>0.74</v>
      </c>
      <c r="K73" s="10">
        <f t="shared" si="34"/>
        <v>0.1499986961462218</v>
      </c>
      <c r="L73" s="8">
        <v>0.97499999999999998</v>
      </c>
      <c r="M73" s="11">
        <f t="shared" si="35"/>
        <v>0.89214271978825099</v>
      </c>
      <c r="N73" s="9">
        <f t="shared" si="33"/>
        <v>0.89214271978825099</v>
      </c>
      <c r="P73" s="29">
        <f t="shared" si="36"/>
        <v>0.55974160997961298</v>
      </c>
      <c r="Q73" s="1" t="str">
        <f t="shared" si="48"/>
        <v>E</v>
      </c>
      <c r="R73" t="str">
        <f t="shared" si="38"/>
        <v>E</v>
      </c>
      <c r="S73" s="18">
        <f t="shared" si="37"/>
        <v>0.47507200696449386</v>
      </c>
      <c r="T73" t="str">
        <f t="shared" si="27"/>
        <v>E</v>
      </c>
      <c r="V73" s="1">
        <v>42</v>
      </c>
      <c r="W73" s="1">
        <f t="shared" si="39"/>
        <v>0.55974160997961298</v>
      </c>
      <c r="X73" s="1" t="e">
        <f t="shared" si="40"/>
        <v>#N/A</v>
      </c>
      <c r="Y73" s="1" t="e">
        <f t="shared" si="41"/>
        <v>#N/A</v>
      </c>
      <c r="Z73" s="1" t="e">
        <f t="shared" si="42"/>
        <v>#N/A</v>
      </c>
      <c r="AA73" s="1">
        <v>0</v>
      </c>
      <c r="AC73" s="31">
        <f t="shared" si="43"/>
        <v>0.55974160997961298</v>
      </c>
      <c r="AD73" s="31" t="e">
        <f t="shared" si="44"/>
        <v>#N/A</v>
      </c>
      <c r="AE73" s="31" t="e">
        <f t="shared" si="45"/>
        <v>#N/A</v>
      </c>
      <c r="AF73" s="31" t="e">
        <f t="shared" si="46"/>
        <v>#N/A</v>
      </c>
      <c r="AL73" s="17">
        <f t="shared" si="47"/>
        <v>39080</v>
      </c>
      <c r="AM73">
        <f t="shared" si="49"/>
        <v>4</v>
      </c>
      <c r="AN73">
        <f t="shared" si="50"/>
        <v>4</v>
      </c>
    </row>
    <row r="74" spans="1:40">
      <c r="A74" s="7">
        <v>39113</v>
      </c>
      <c r="B74" s="8">
        <v>102.7467</v>
      </c>
      <c r="C74" s="8">
        <f t="shared" si="28"/>
        <v>2.3453390621410124</v>
      </c>
      <c r="D74" s="9">
        <f t="shared" si="29"/>
        <v>0.61633476553525313</v>
      </c>
      <c r="E74" s="8">
        <v>50.4</v>
      </c>
      <c r="F74" s="10">
        <f t="shared" si="30"/>
        <v>1.4408871785756276</v>
      </c>
      <c r="G74" s="8">
        <v>-0.2341</v>
      </c>
      <c r="H74" s="10">
        <f t="shared" si="31"/>
        <v>-3.0013923983942432E-2</v>
      </c>
      <c r="I74" s="10">
        <f t="shared" si="32"/>
        <v>0.16998607601605759</v>
      </c>
      <c r="J74" s="1">
        <v>-0.49</v>
      </c>
      <c r="K74" s="10">
        <f t="shared" si="34"/>
        <v>-3.2400932255451445E-2</v>
      </c>
      <c r="L74" s="8">
        <v>1.387</v>
      </c>
      <c r="M74" s="11">
        <f t="shared" si="35"/>
        <v>1.0331770446485995</v>
      </c>
      <c r="N74" s="9">
        <f t="shared" si="33"/>
        <v>1.0331770446485995</v>
      </c>
      <c r="P74" s="29">
        <f t="shared" si="36"/>
        <v>0.59316737613542314</v>
      </c>
      <c r="Q74" s="1" t="str">
        <f t="shared" si="48"/>
        <v>E</v>
      </c>
      <c r="R74" t="str">
        <f t="shared" si="38"/>
        <v>E</v>
      </c>
      <c r="S74" s="18">
        <f t="shared" si="37"/>
        <v>0.47507200696449386</v>
      </c>
      <c r="T74" t="str">
        <f t="shared" si="27"/>
        <v>E</v>
      </c>
      <c r="V74" s="1">
        <v>30.5</v>
      </c>
      <c r="W74" s="1">
        <f t="shared" si="39"/>
        <v>0.59316737613542314</v>
      </c>
      <c r="X74" s="1" t="e">
        <f t="shared" si="40"/>
        <v>#N/A</v>
      </c>
      <c r="Y74" s="1" t="e">
        <f t="shared" si="41"/>
        <v>#N/A</v>
      </c>
      <c r="Z74" s="1" t="e">
        <f t="shared" si="42"/>
        <v>#N/A</v>
      </c>
      <c r="AA74" s="1">
        <v>0</v>
      </c>
      <c r="AC74" s="31">
        <f t="shared" si="43"/>
        <v>0.59316737613542314</v>
      </c>
      <c r="AD74" s="31" t="e">
        <f t="shared" si="44"/>
        <v>#N/A</v>
      </c>
      <c r="AE74" s="31" t="e">
        <f t="shared" si="45"/>
        <v>#N/A</v>
      </c>
      <c r="AF74" s="31" t="e">
        <f t="shared" si="46"/>
        <v>#N/A</v>
      </c>
      <c r="AL74" s="17">
        <f t="shared" si="47"/>
        <v>39113</v>
      </c>
      <c r="AM74">
        <f t="shared" si="49"/>
        <v>4</v>
      </c>
      <c r="AN74">
        <f t="shared" si="50"/>
        <v>4</v>
      </c>
    </row>
    <row r="75" spans="1:40">
      <c r="A75" s="7">
        <v>39141</v>
      </c>
      <c r="B75" s="8">
        <v>102.88320000000002</v>
      </c>
      <c r="C75" s="8">
        <f t="shared" si="28"/>
        <v>2.4986294294308284</v>
      </c>
      <c r="D75" s="9">
        <f t="shared" si="29"/>
        <v>0.65465735735770714</v>
      </c>
      <c r="E75" s="8">
        <v>54.1</v>
      </c>
      <c r="F75" s="10">
        <f t="shared" si="30"/>
        <v>2.1987343326815743</v>
      </c>
      <c r="G75" s="8">
        <v>0.18290000000000001</v>
      </c>
      <c r="H75" s="10">
        <f t="shared" si="31"/>
        <v>3.0666544351481168E-2</v>
      </c>
      <c r="I75" s="10">
        <f t="shared" si="32"/>
        <v>0.23066654435148118</v>
      </c>
      <c r="J75" s="1">
        <v>0.18</v>
      </c>
      <c r="K75" s="10">
        <f t="shared" si="34"/>
        <v>2.8133333437352224E-2</v>
      </c>
      <c r="L75" s="8">
        <v>1.2769999999999999</v>
      </c>
      <c r="M75" s="11">
        <f t="shared" si="35"/>
        <v>1.1026665869237486</v>
      </c>
      <c r="N75" s="9">
        <f t="shared" si="33"/>
        <v>1.1026665869237486</v>
      </c>
      <c r="P75" s="29">
        <f t="shared" si="36"/>
        <v>0.64988929893682768</v>
      </c>
      <c r="Q75" s="1" t="str">
        <f t="shared" si="48"/>
        <v>E</v>
      </c>
      <c r="R75" t="str">
        <f t="shared" si="38"/>
        <v>E</v>
      </c>
      <c r="S75" s="18">
        <f t="shared" si="37"/>
        <v>0.47507200696449386</v>
      </c>
      <c r="T75" t="str">
        <f t="shared" si="27"/>
        <v>E</v>
      </c>
      <c r="V75" s="1">
        <v>26.6</v>
      </c>
      <c r="W75" s="1">
        <f t="shared" si="39"/>
        <v>0.64988929893682768</v>
      </c>
      <c r="X75" s="1" t="e">
        <f t="shared" si="40"/>
        <v>#N/A</v>
      </c>
      <c r="Y75" s="1" t="e">
        <f t="shared" si="41"/>
        <v>#N/A</v>
      </c>
      <c r="Z75" s="1" t="e">
        <f t="shared" si="42"/>
        <v>#N/A</v>
      </c>
      <c r="AA75" s="1">
        <v>0</v>
      </c>
      <c r="AC75" s="31">
        <f t="shared" si="43"/>
        <v>0.64988929893682768</v>
      </c>
      <c r="AD75" s="31" t="e">
        <f t="shared" si="44"/>
        <v>#N/A</v>
      </c>
      <c r="AE75" s="31" t="e">
        <f t="shared" si="45"/>
        <v>#N/A</v>
      </c>
      <c r="AF75" s="31" t="e">
        <f t="shared" si="46"/>
        <v>#N/A</v>
      </c>
      <c r="AL75" s="17">
        <f t="shared" si="47"/>
        <v>39141</v>
      </c>
      <c r="AM75">
        <f t="shared" si="49"/>
        <v>4</v>
      </c>
      <c r="AN75">
        <f t="shared" si="50"/>
        <v>4</v>
      </c>
    </row>
    <row r="76" spans="1:40">
      <c r="A76" s="7">
        <v>39171</v>
      </c>
      <c r="B76" s="8">
        <v>103.0008</v>
      </c>
      <c r="C76" s="8">
        <f t="shared" si="28"/>
        <v>2.6417480420430417</v>
      </c>
      <c r="D76" s="9">
        <f t="shared" si="29"/>
        <v>0.69043701051076045</v>
      </c>
      <c r="E76" s="8">
        <v>52.8</v>
      </c>
      <c r="F76" s="10">
        <f t="shared" si="30"/>
        <v>2.3700950478673248</v>
      </c>
      <c r="G76" s="8">
        <v>6.2700000000000006E-2</v>
      </c>
      <c r="H76" s="10">
        <f t="shared" si="31"/>
        <v>3.9796079211309038E-2</v>
      </c>
      <c r="I76" s="10">
        <f t="shared" si="32"/>
        <v>0.23979607921130905</v>
      </c>
      <c r="J76" s="1">
        <v>0.24</v>
      </c>
      <c r="K76" s="10">
        <f t="shared" si="34"/>
        <v>8.8515333407706842E-2</v>
      </c>
      <c r="L76" s="8">
        <v>1.3169999999999999</v>
      </c>
      <c r="M76" s="11">
        <f t="shared" si="35"/>
        <v>1.1637516096504803</v>
      </c>
      <c r="N76" s="9">
        <f t="shared" si="33"/>
        <v>1.1637516096504803</v>
      </c>
      <c r="P76" s="29">
        <f t="shared" si="36"/>
        <v>0.68606834873983225</v>
      </c>
      <c r="Q76" s="1" t="str">
        <f t="shared" si="48"/>
        <v>E</v>
      </c>
      <c r="R76" t="str">
        <f t="shared" si="38"/>
        <v>E</v>
      </c>
      <c r="S76" s="18">
        <f t="shared" si="37"/>
        <v>0.47507200696449386</v>
      </c>
      <c r="T76" t="str">
        <f t="shared" si="27"/>
        <v>E</v>
      </c>
      <c r="V76" s="1">
        <v>43.6</v>
      </c>
      <c r="W76" s="1">
        <f t="shared" si="39"/>
        <v>0.68606834873983225</v>
      </c>
      <c r="X76" s="1" t="e">
        <f t="shared" si="40"/>
        <v>#N/A</v>
      </c>
      <c r="Y76" s="1" t="e">
        <f t="shared" si="41"/>
        <v>#N/A</v>
      </c>
      <c r="Z76" s="1" t="e">
        <f t="shared" si="42"/>
        <v>#N/A</v>
      </c>
      <c r="AA76" s="1">
        <v>0</v>
      </c>
      <c r="AC76" s="31">
        <f t="shared" si="43"/>
        <v>0.68606834873983225</v>
      </c>
      <c r="AD76" s="31" t="e">
        <f t="shared" si="44"/>
        <v>#N/A</v>
      </c>
      <c r="AE76" s="31" t="e">
        <f t="shared" si="45"/>
        <v>#N/A</v>
      </c>
      <c r="AF76" s="31" t="e">
        <f t="shared" si="46"/>
        <v>#N/A</v>
      </c>
      <c r="AL76" s="17">
        <f t="shared" si="47"/>
        <v>39171</v>
      </c>
      <c r="AM76">
        <f t="shared" si="49"/>
        <v>4</v>
      </c>
      <c r="AN76">
        <f t="shared" si="50"/>
        <v>4</v>
      </c>
    </row>
    <row r="77" spans="1:40">
      <c r="A77" s="7">
        <v>39202</v>
      </c>
      <c r="B77" s="8">
        <v>103.09639999999999</v>
      </c>
      <c r="C77" s="8">
        <f t="shared" si="28"/>
        <v>2.7713238500607718</v>
      </c>
      <c r="D77" s="9">
        <f t="shared" si="29"/>
        <v>0.72283096251519297</v>
      </c>
      <c r="E77" s="8">
        <v>52.7</v>
      </c>
      <c r="F77" s="10">
        <f t="shared" si="30"/>
        <v>2.4641179592251379</v>
      </c>
      <c r="G77" s="8">
        <v>5.4399999999999997E-2</v>
      </c>
      <c r="H77" s="10">
        <f t="shared" si="31"/>
        <v>4.395819663608596E-2</v>
      </c>
      <c r="I77" s="10">
        <f t="shared" si="32"/>
        <v>0.24395819663608598</v>
      </c>
      <c r="J77" s="1">
        <v>-0.1</v>
      </c>
      <c r="K77" s="10">
        <f t="shared" si="34"/>
        <v>3.4788463386510392E-2</v>
      </c>
      <c r="L77" s="8">
        <v>1.29</v>
      </c>
      <c r="M77" s="11">
        <f t="shared" si="35"/>
        <v>1.1997324009000934</v>
      </c>
      <c r="N77" s="9">
        <f t="shared" si="33"/>
        <v>1.1997324009000934</v>
      </c>
      <c r="P77" s="29">
        <f t="shared" si="36"/>
        <v>0.71137586934897989</v>
      </c>
      <c r="Q77" s="1" t="str">
        <f t="shared" si="48"/>
        <v>E</v>
      </c>
      <c r="R77" t="str">
        <f t="shared" si="38"/>
        <v>E</v>
      </c>
      <c r="S77" s="18">
        <f t="shared" si="37"/>
        <v>0.47507200696449386</v>
      </c>
      <c r="T77" t="str">
        <f t="shared" si="27"/>
        <v>E</v>
      </c>
      <c r="V77" s="1">
        <v>129.9</v>
      </c>
      <c r="W77" s="1">
        <f t="shared" si="39"/>
        <v>0.71137586934897989</v>
      </c>
      <c r="X77" s="1" t="e">
        <f t="shared" si="40"/>
        <v>#N/A</v>
      </c>
      <c r="Y77" s="1" t="e">
        <f t="shared" si="41"/>
        <v>#N/A</v>
      </c>
      <c r="Z77" s="1" t="e">
        <f t="shared" si="42"/>
        <v>#N/A</v>
      </c>
      <c r="AA77" s="1">
        <v>0</v>
      </c>
      <c r="AC77" s="31">
        <f t="shared" si="43"/>
        <v>0.71137586934897989</v>
      </c>
      <c r="AD77" s="31" t="e">
        <f t="shared" si="44"/>
        <v>#N/A</v>
      </c>
      <c r="AE77" s="31" t="e">
        <f t="shared" si="45"/>
        <v>#N/A</v>
      </c>
      <c r="AF77" s="31" t="e">
        <f t="shared" si="46"/>
        <v>#N/A</v>
      </c>
      <c r="AL77" s="17">
        <f t="shared" si="47"/>
        <v>39202</v>
      </c>
      <c r="AM77">
        <f t="shared" si="49"/>
        <v>4</v>
      </c>
      <c r="AN77">
        <f t="shared" si="50"/>
        <v>4</v>
      </c>
    </row>
    <row r="78" spans="1:40">
      <c r="A78" s="7">
        <v>39233</v>
      </c>
      <c r="B78" s="8">
        <v>103.1618</v>
      </c>
      <c r="C78" s="8">
        <f t="shared" si="28"/>
        <v>2.8826095527934519</v>
      </c>
      <c r="D78" s="9">
        <f t="shared" si="29"/>
        <v>0.750652388198363</v>
      </c>
      <c r="E78" s="8">
        <v>53.1</v>
      </c>
      <c r="F78" s="10">
        <f t="shared" si="30"/>
        <v>2.6453443408459738</v>
      </c>
      <c r="G78" s="8">
        <v>-0.1295</v>
      </c>
      <c r="H78" s="10">
        <f t="shared" si="31"/>
        <v>-5.4773894051985406E-3</v>
      </c>
      <c r="I78" s="10">
        <f t="shared" si="32"/>
        <v>0.19452261059480147</v>
      </c>
      <c r="J78" s="1">
        <v>0.04</v>
      </c>
      <c r="K78" s="10">
        <f t="shared" si="34"/>
        <v>3.6273751321354929E-2</v>
      </c>
      <c r="L78" s="8">
        <v>1.452</v>
      </c>
      <c r="M78" s="11">
        <f t="shared" si="35"/>
        <v>1.2716286666435668</v>
      </c>
      <c r="N78" s="9">
        <f t="shared" si="33"/>
        <v>1.2716286666435668</v>
      </c>
      <c r="P78" s="29">
        <f t="shared" si="36"/>
        <v>0.7296607465845204</v>
      </c>
      <c r="Q78" s="1" t="str">
        <f t="shared" si="48"/>
        <v>E</v>
      </c>
      <c r="R78" t="str">
        <f t="shared" si="38"/>
        <v>E</v>
      </c>
      <c r="S78" s="18">
        <f t="shared" si="37"/>
        <v>0.47507200696449386</v>
      </c>
      <c r="T78" t="str">
        <f t="shared" si="27"/>
        <v>E</v>
      </c>
      <c r="V78" s="1">
        <v>106</v>
      </c>
      <c r="W78" s="1">
        <f t="shared" si="39"/>
        <v>0.7296607465845204</v>
      </c>
      <c r="X78" s="1">
        <f t="shared" si="40"/>
        <v>0.7296607465845204</v>
      </c>
      <c r="Y78" s="1" t="e">
        <f t="shared" si="41"/>
        <v>#N/A</v>
      </c>
      <c r="Z78" s="1" t="e">
        <f t="shared" si="42"/>
        <v>#N/A</v>
      </c>
      <c r="AA78" s="1">
        <v>0</v>
      </c>
      <c r="AC78" s="31">
        <f t="shared" si="43"/>
        <v>0.7296607465845204</v>
      </c>
      <c r="AD78" s="31" t="e">
        <f t="shared" si="44"/>
        <v>#N/A</v>
      </c>
      <c r="AE78" s="31" t="e">
        <f t="shared" si="45"/>
        <v>#N/A</v>
      </c>
      <c r="AF78" s="31" t="e">
        <f t="shared" si="46"/>
        <v>#N/A</v>
      </c>
      <c r="AL78" s="17">
        <f t="shared" si="47"/>
        <v>39233</v>
      </c>
      <c r="AM78">
        <f t="shared" si="49"/>
        <v>4</v>
      </c>
      <c r="AN78">
        <f t="shared" si="50"/>
        <v>4</v>
      </c>
    </row>
    <row r="79" spans="1:40">
      <c r="A79" s="7">
        <v>39262</v>
      </c>
      <c r="B79" s="8">
        <v>103.17789999999999</v>
      </c>
      <c r="C79" s="8">
        <f t="shared" si="28"/>
        <v>2.9667673302473165</v>
      </c>
      <c r="D79" s="9">
        <f t="shared" si="29"/>
        <v>0.77169183256182916</v>
      </c>
      <c r="E79" s="8">
        <v>54</v>
      </c>
      <c r="F79" s="10">
        <f t="shared" si="30"/>
        <v>3.0314212037048716</v>
      </c>
      <c r="G79" s="8">
        <v>-0.44019999999999998</v>
      </c>
      <c r="H79" s="10">
        <f t="shared" si="31"/>
        <v>-0.12937333342471696</v>
      </c>
      <c r="I79" s="10">
        <f t="shared" si="32"/>
        <v>7.0626666575283048E-2</v>
      </c>
      <c r="J79" s="1">
        <v>-0.05</v>
      </c>
      <c r="K79" s="10">
        <f t="shared" si="34"/>
        <v>1.1685732194768771E-2</v>
      </c>
      <c r="L79" s="8">
        <v>1.085</v>
      </c>
      <c r="M79" s="11">
        <f t="shared" si="35"/>
        <v>1.2184394966501502</v>
      </c>
      <c r="N79" s="9">
        <f t="shared" si="33"/>
        <v>1.2184394966501502</v>
      </c>
      <c r="P79" s="29">
        <f t="shared" si="36"/>
        <v>0.679906183807932</v>
      </c>
      <c r="Q79" s="1" t="str">
        <f t="shared" si="48"/>
        <v>SD</v>
      </c>
      <c r="R79" t="str">
        <f t="shared" si="38"/>
        <v>E</v>
      </c>
      <c r="S79" s="18">
        <f t="shared" si="37"/>
        <v>0.47507200696449386</v>
      </c>
      <c r="T79" t="str">
        <f t="shared" si="27"/>
        <v>E</v>
      </c>
      <c r="V79" s="1">
        <v>-3.1</v>
      </c>
      <c r="W79" s="1" t="e">
        <f t="shared" si="39"/>
        <v>#N/A</v>
      </c>
      <c r="X79" s="1">
        <f t="shared" si="40"/>
        <v>0.679906183807932</v>
      </c>
      <c r="Y79" s="1" t="e">
        <f t="shared" si="41"/>
        <v>#N/A</v>
      </c>
      <c r="Z79" s="1" t="e">
        <f t="shared" si="42"/>
        <v>#N/A</v>
      </c>
      <c r="AA79" s="1">
        <v>0</v>
      </c>
      <c r="AC79" s="31">
        <f t="shared" si="43"/>
        <v>0.679906183807932</v>
      </c>
      <c r="AD79" s="31">
        <f t="shared" si="44"/>
        <v>0.679906183807932</v>
      </c>
      <c r="AE79" s="31" t="e">
        <f t="shared" si="45"/>
        <v>#N/A</v>
      </c>
      <c r="AF79" s="31" t="e">
        <f t="shared" si="46"/>
        <v>#N/A</v>
      </c>
      <c r="AL79" s="17">
        <f t="shared" si="47"/>
        <v>39262</v>
      </c>
      <c r="AM79">
        <f t="shared" si="49"/>
        <v>3</v>
      </c>
      <c r="AN79">
        <f t="shared" si="50"/>
        <v>4</v>
      </c>
    </row>
    <row r="80" spans="1:40">
      <c r="A80" s="7">
        <v>39294</v>
      </c>
      <c r="B80" s="8">
        <v>103.1337</v>
      </c>
      <c r="C80" s="8">
        <f t="shared" si="28"/>
        <v>3.0143431411268327</v>
      </c>
      <c r="D80" s="9">
        <f t="shared" si="29"/>
        <v>0.78358578528170819</v>
      </c>
      <c r="E80" s="8">
        <v>51.8</v>
      </c>
      <c r="F80" s="10">
        <f t="shared" si="30"/>
        <v>2.6804661606489821</v>
      </c>
      <c r="G80" s="8">
        <v>-0.5413</v>
      </c>
      <c r="H80" s="10">
        <f t="shared" si="31"/>
        <v>-0.24677243339867264</v>
      </c>
      <c r="I80" s="10">
        <f t="shared" si="32"/>
        <v>-4.6772433398672625E-2</v>
      </c>
      <c r="J80" s="1">
        <v>-0.4</v>
      </c>
      <c r="K80" s="10">
        <f t="shared" si="34"/>
        <v>-0.10564470148074034</v>
      </c>
      <c r="L80" s="8">
        <v>0.48199999999999998</v>
      </c>
      <c r="M80" s="11">
        <f t="shared" si="35"/>
        <v>1.0085542401048573</v>
      </c>
      <c r="N80" s="9">
        <f t="shared" si="33"/>
        <v>1.0085542401048573</v>
      </c>
      <c r="P80" s="29">
        <f t="shared" si="36"/>
        <v>0.57782454642267123</v>
      </c>
      <c r="Q80" s="1" t="str">
        <f t="shared" si="48"/>
        <v>SD</v>
      </c>
      <c r="R80" t="str">
        <f t="shared" si="38"/>
        <v>SD</v>
      </c>
      <c r="S80" s="18">
        <f t="shared" si="37"/>
        <v>0.47507200696449386</v>
      </c>
      <c r="T80" t="str">
        <f t="shared" si="27"/>
        <v>SD</v>
      </c>
      <c r="V80" s="1">
        <v>-61.1</v>
      </c>
      <c r="W80" s="1" t="e">
        <f t="shared" si="39"/>
        <v>#N/A</v>
      </c>
      <c r="X80" s="1">
        <f t="shared" si="40"/>
        <v>0.57782454642267123</v>
      </c>
      <c r="Y80" s="1" t="e">
        <f t="shared" si="41"/>
        <v>#N/A</v>
      </c>
      <c r="Z80" s="1" t="e">
        <f t="shared" si="42"/>
        <v>#N/A</v>
      </c>
      <c r="AA80" s="1">
        <v>0</v>
      </c>
      <c r="AC80" s="31" t="e">
        <f t="shared" si="43"/>
        <v>#N/A</v>
      </c>
      <c r="AD80" s="31">
        <f t="shared" si="44"/>
        <v>0.57782454642267123</v>
      </c>
      <c r="AE80" s="31" t="e">
        <f t="shared" si="45"/>
        <v>#N/A</v>
      </c>
      <c r="AF80" s="31" t="e">
        <f t="shared" si="46"/>
        <v>#N/A</v>
      </c>
      <c r="AL80" s="17">
        <f t="shared" si="47"/>
        <v>39294</v>
      </c>
      <c r="AM80">
        <f t="shared" si="49"/>
        <v>3</v>
      </c>
      <c r="AN80">
        <f t="shared" si="50"/>
        <v>3</v>
      </c>
    </row>
    <row r="81" spans="1:40">
      <c r="A81" s="7">
        <v>39325</v>
      </c>
      <c r="B81" s="8">
        <v>103.03540000000001</v>
      </c>
      <c r="C81" s="8">
        <f t="shared" si="28"/>
        <v>3.0203443459056882</v>
      </c>
      <c r="D81" s="9">
        <f t="shared" si="29"/>
        <v>0.78508608647642208</v>
      </c>
      <c r="E81" s="8">
        <v>52.2</v>
      </c>
      <c r="F81" s="10">
        <f t="shared" si="30"/>
        <v>2.543533304864023</v>
      </c>
      <c r="G81" s="8">
        <v>-7.6999999999999999E-2</v>
      </c>
      <c r="H81" s="10">
        <f t="shared" si="31"/>
        <v>-0.19838728988005092</v>
      </c>
      <c r="I81" s="10">
        <f t="shared" si="32"/>
        <v>1.6127101199490956E-3</v>
      </c>
      <c r="J81" s="1">
        <v>-7.0000000000000007E-2</v>
      </c>
      <c r="K81" s="10">
        <f t="shared" si="34"/>
        <v>-9.5485961558729349E-2</v>
      </c>
      <c r="L81" s="8">
        <v>-1.07</v>
      </c>
      <c r="M81" s="11">
        <f t="shared" si="35"/>
        <v>0.41616628167497283</v>
      </c>
      <c r="N81" s="9">
        <f t="shared" si="33"/>
        <v>0.41616628167497283</v>
      </c>
      <c r="P81" s="29">
        <f t="shared" si="36"/>
        <v>0.40045492569221003</v>
      </c>
      <c r="Q81" s="1" t="str">
        <f t="shared" si="48"/>
        <v>SD</v>
      </c>
      <c r="R81" t="str">
        <f t="shared" si="38"/>
        <v>SD</v>
      </c>
      <c r="S81" s="18">
        <f t="shared" si="37"/>
        <v>0.47507200696449386</v>
      </c>
      <c r="T81" t="str">
        <f t="shared" si="27"/>
        <v>SD</v>
      </c>
      <c r="V81" s="1">
        <v>-8.1999999999999993</v>
      </c>
      <c r="W81" s="1" t="e">
        <f t="shared" si="39"/>
        <v>#N/A</v>
      </c>
      <c r="X81" s="1">
        <f t="shared" si="40"/>
        <v>0.40045492569221003</v>
      </c>
      <c r="Y81" s="1" t="e">
        <f t="shared" si="41"/>
        <v>#N/A</v>
      </c>
      <c r="Z81" s="1" t="e">
        <f t="shared" si="42"/>
        <v>#N/A</v>
      </c>
      <c r="AA81" s="1">
        <v>0</v>
      </c>
      <c r="AC81" s="31" t="e">
        <f t="shared" si="43"/>
        <v>#N/A</v>
      </c>
      <c r="AD81" s="31">
        <f t="shared" si="44"/>
        <v>0.40045492569221003</v>
      </c>
      <c r="AE81" s="31" t="e">
        <f t="shared" si="45"/>
        <v>#N/A</v>
      </c>
      <c r="AF81" s="31" t="e">
        <f t="shared" si="46"/>
        <v>#N/A</v>
      </c>
      <c r="AL81" s="17">
        <f t="shared" si="47"/>
        <v>39325</v>
      </c>
      <c r="AM81">
        <f t="shared" si="49"/>
        <v>3</v>
      </c>
      <c r="AN81">
        <f t="shared" si="50"/>
        <v>3</v>
      </c>
    </row>
    <row r="82" spans="1:40">
      <c r="A82" s="7">
        <v>39353</v>
      </c>
      <c r="B82" s="8">
        <v>102.89949999999999</v>
      </c>
      <c r="C82" s="8">
        <f t="shared" si="28"/>
        <v>2.9859037073225636</v>
      </c>
      <c r="D82" s="9">
        <f t="shared" si="29"/>
        <v>0.77647592683064093</v>
      </c>
      <c r="E82" s="8">
        <v>53.8</v>
      </c>
      <c r="F82" s="10">
        <f t="shared" si="30"/>
        <v>2.9016263129777755</v>
      </c>
      <c r="G82" s="8">
        <v>-0.1124</v>
      </c>
      <c r="H82" s="10">
        <f t="shared" si="31"/>
        <v>-0.17388091226423641</v>
      </c>
      <c r="I82" s="10">
        <f t="shared" si="32"/>
        <v>2.6119087735763602E-2</v>
      </c>
      <c r="J82" s="1">
        <v>-0.08</v>
      </c>
      <c r="K82" s="10">
        <f t="shared" si="34"/>
        <v>-9.1072462514491484E-2</v>
      </c>
      <c r="L82" s="8">
        <v>-1.143</v>
      </c>
      <c r="M82" s="11">
        <f t="shared" si="35"/>
        <v>-2.8196108602394465E-2</v>
      </c>
      <c r="N82" s="9">
        <f t="shared" si="33"/>
        <v>-1.4098054301197233E-2</v>
      </c>
      <c r="P82" s="29">
        <f t="shared" si="36"/>
        <v>0.26570237330366281</v>
      </c>
      <c r="Q82" s="1" t="str">
        <f t="shared" si="48"/>
        <v>SD</v>
      </c>
      <c r="R82" t="str">
        <f t="shared" si="38"/>
        <v>SD</v>
      </c>
      <c r="S82" s="18">
        <f t="shared" si="37"/>
        <v>0.47507200696449386</v>
      </c>
      <c r="T82" t="str">
        <f t="shared" si="27"/>
        <v>SD</v>
      </c>
      <c r="V82" s="1">
        <v>-20.399999999999999</v>
      </c>
      <c r="W82" s="1" t="e">
        <f t="shared" si="39"/>
        <v>#N/A</v>
      </c>
      <c r="X82" s="1">
        <f t="shared" si="40"/>
        <v>0.26570237330366281</v>
      </c>
      <c r="Y82" s="1" t="e">
        <f t="shared" si="41"/>
        <v>#N/A</v>
      </c>
      <c r="Z82" s="1" t="e">
        <f t="shared" si="42"/>
        <v>#N/A</v>
      </c>
      <c r="AA82" s="1">
        <v>0</v>
      </c>
      <c r="AC82" s="31" t="e">
        <f t="shared" si="43"/>
        <v>#N/A</v>
      </c>
      <c r="AD82" s="31">
        <f t="shared" si="44"/>
        <v>0.26570237330366281</v>
      </c>
      <c r="AE82" s="31" t="e">
        <f t="shared" si="45"/>
        <v>#N/A</v>
      </c>
      <c r="AF82" s="31" t="e">
        <f t="shared" si="46"/>
        <v>#N/A</v>
      </c>
      <c r="AL82" s="17">
        <f t="shared" si="47"/>
        <v>39353</v>
      </c>
      <c r="AM82">
        <f t="shared" si="49"/>
        <v>3</v>
      </c>
      <c r="AN82">
        <f t="shared" si="50"/>
        <v>3</v>
      </c>
    </row>
    <row r="83" spans="1:40">
      <c r="A83" s="7">
        <v>39386</v>
      </c>
      <c r="B83" s="8">
        <v>102.73499999999999</v>
      </c>
      <c r="C83" s="8">
        <f t="shared" si="28"/>
        <v>2.9143961507356284</v>
      </c>
      <c r="D83" s="9">
        <f t="shared" si="29"/>
        <v>0.75859903768390713</v>
      </c>
      <c r="E83" s="8">
        <v>52.8</v>
      </c>
      <c r="F83" s="10">
        <f t="shared" si="30"/>
        <v>2.8726628137791086</v>
      </c>
      <c r="G83" s="8">
        <v>-0.29409999999999997</v>
      </c>
      <c r="H83" s="10">
        <f t="shared" si="31"/>
        <v>-0.20814335226892905</v>
      </c>
      <c r="I83" s="10">
        <f t="shared" si="32"/>
        <v>-8.1433522689290383E-3</v>
      </c>
      <c r="J83" s="1">
        <v>-0.27</v>
      </c>
      <c r="K83" s="10">
        <f t="shared" si="34"/>
        <v>-0.14206681069786142</v>
      </c>
      <c r="L83" s="8">
        <v>-0.69499999999999995</v>
      </c>
      <c r="M83" s="11">
        <f t="shared" si="35"/>
        <v>-0.21823521765071205</v>
      </c>
      <c r="N83" s="9">
        <f t="shared" si="33"/>
        <v>-0.10911760882535602</v>
      </c>
      <c r="P83" s="29">
        <f t="shared" si="36"/>
        <v>0.21973832191211862</v>
      </c>
      <c r="Q83" s="1" t="str">
        <f t="shared" si="48"/>
        <v>SD</v>
      </c>
      <c r="R83" t="str">
        <f t="shared" si="38"/>
        <v>SD</v>
      </c>
      <c r="S83" s="18">
        <f t="shared" si="37"/>
        <v>0.47507200696449386</v>
      </c>
      <c r="T83" t="str">
        <f t="shared" si="27"/>
        <v>SD</v>
      </c>
      <c r="V83" s="1">
        <v>-4.2</v>
      </c>
      <c r="W83" s="1" t="e">
        <f t="shared" si="39"/>
        <v>#N/A</v>
      </c>
      <c r="X83" s="1">
        <f t="shared" si="40"/>
        <v>0.21973832191211862</v>
      </c>
      <c r="Y83" s="1" t="e">
        <f t="shared" si="41"/>
        <v>#N/A</v>
      </c>
      <c r="Z83" s="1" t="e">
        <f t="shared" si="42"/>
        <v>#N/A</v>
      </c>
      <c r="AA83" s="1">
        <v>0</v>
      </c>
      <c r="AC83" s="31" t="e">
        <f t="shared" si="43"/>
        <v>#N/A</v>
      </c>
      <c r="AD83" s="31">
        <f t="shared" si="44"/>
        <v>0.21973832191211862</v>
      </c>
      <c r="AE83" s="31" t="e">
        <f t="shared" si="45"/>
        <v>#N/A</v>
      </c>
      <c r="AF83" s="31" t="e">
        <f t="shared" si="46"/>
        <v>#N/A</v>
      </c>
      <c r="AL83" s="17">
        <f t="shared" si="47"/>
        <v>39386</v>
      </c>
      <c r="AM83">
        <f t="shared" si="49"/>
        <v>3</v>
      </c>
      <c r="AN83">
        <f t="shared" si="50"/>
        <v>3</v>
      </c>
    </row>
    <row r="84" spans="1:40">
      <c r="A84" s="7">
        <v>39416</v>
      </c>
      <c r="B84" s="8">
        <v>102.5393</v>
      </c>
      <c r="C84" s="8">
        <f t="shared" si="28"/>
        <v>2.8074937477759736</v>
      </c>
      <c r="D84" s="9">
        <f t="shared" si="29"/>
        <v>0.73187343694399343</v>
      </c>
      <c r="E84" s="8">
        <v>51.5</v>
      </c>
      <c r="F84" s="10">
        <f t="shared" si="30"/>
        <v>2.4814539118520629</v>
      </c>
      <c r="G84" s="8">
        <v>-0.19259999999999999</v>
      </c>
      <c r="H84" s="10">
        <f t="shared" si="31"/>
        <v>-0.20371349687228427</v>
      </c>
      <c r="I84" s="10">
        <f t="shared" si="32"/>
        <v>-3.7134968722842554E-3</v>
      </c>
      <c r="J84" s="1">
        <v>-7.0000000000000007E-2</v>
      </c>
      <c r="K84" s="10">
        <f t="shared" si="34"/>
        <v>-0.12152776964897091</v>
      </c>
      <c r="L84" s="8">
        <v>-1.58</v>
      </c>
      <c r="M84" s="11">
        <f t="shared" si="35"/>
        <v>-0.60633818062025924</v>
      </c>
      <c r="N84" s="9">
        <f t="shared" si="33"/>
        <v>-0.30316909031012962</v>
      </c>
      <c r="P84" s="29">
        <f t="shared" si="36"/>
        <v>0.15057215016716441</v>
      </c>
      <c r="Q84" s="1" t="str">
        <f t="shared" si="48"/>
        <v>SD</v>
      </c>
      <c r="R84" t="str">
        <f t="shared" si="38"/>
        <v>SD</v>
      </c>
      <c r="S84" s="18">
        <f t="shared" si="37"/>
        <v>0.47507200696449386</v>
      </c>
      <c r="T84" t="str">
        <f t="shared" si="27"/>
        <v>SD</v>
      </c>
      <c r="V84" s="1">
        <v>0.2</v>
      </c>
      <c r="W84" s="1" t="e">
        <f t="shared" si="39"/>
        <v>#N/A</v>
      </c>
      <c r="X84" s="1">
        <f t="shared" si="40"/>
        <v>0.15057215016716441</v>
      </c>
      <c r="Y84" s="1" t="e">
        <f t="shared" si="41"/>
        <v>#N/A</v>
      </c>
      <c r="Z84" s="1" t="e">
        <f t="shared" si="42"/>
        <v>#N/A</v>
      </c>
      <c r="AA84" s="1">
        <v>0</v>
      </c>
      <c r="AC84" s="31" t="e">
        <f t="shared" si="43"/>
        <v>#N/A</v>
      </c>
      <c r="AD84" s="31">
        <f t="shared" si="44"/>
        <v>0.15057215016716441</v>
      </c>
      <c r="AE84" s="31" t="e">
        <f t="shared" si="45"/>
        <v>#N/A</v>
      </c>
      <c r="AF84" s="31" t="e">
        <f t="shared" si="46"/>
        <v>#N/A</v>
      </c>
      <c r="AL84" s="17">
        <f t="shared" si="47"/>
        <v>39416</v>
      </c>
      <c r="AM84">
        <f t="shared" si="49"/>
        <v>3</v>
      </c>
      <c r="AN84">
        <f t="shared" si="50"/>
        <v>3</v>
      </c>
    </row>
    <row r="85" spans="1:40">
      <c r="A85" s="7">
        <v>39447</v>
      </c>
      <c r="B85" s="8">
        <v>102.31829999999999</v>
      </c>
      <c r="C85" s="8">
        <f t="shared" si="28"/>
        <v>2.6680735296598197</v>
      </c>
      <c r="D85" s="9">
        <f t="shared" si="29"/>
        <v>0.69701838241495495</v>
      </c>
      <c r="E85" s="8">
        <v>50.1</v>
      </c>
      <c r="F85" s="10">
        <f t="shared" si="30"/>
        <v>1.8027395469742253</v>
      </c>
      <c r="G85" s="8">
        <v>-0.4521</v>
      </c>
      <c r="H85" s="10">
        <f t="shared" si="31"/>
        <v>-0.27450365026368329</v>
      </c>
      <c r="I85" s="10">
        <f t="shared" si="32"/>
        <v>-7.4503650263683274E-2</v>
      </c>
      <c r="J85" s="1">
        <v>-0.46</v>
      </c>
      <c r="K85" s="10">
        <f t="shared" si="34"/>
        <v>-0.21799235529901423</v>
      </c>
      <c r="L85" s="8">
        <v>-1.2030000000000001</v>
      </c>
      <c r="M85" s="11">
        <f t="shared" si="35"/>
        <v>-0.77638679914348541</v>
      </c>
      <c r="N85" s="9">
        <f t="shared" si="33"/>
        <v>-0.3881933995717427</v>
      </c>
      <c r="P85" s="29">
        <f t="shared" si="36"/>
        <v>8.972546236952246E-2</v>
      </c>
      <c r="Q85" s="1" t="str">
        <f t="shared" si="48"/>
        <v>SD</v>
      </c>
      <c r="R85" t="str">
        <f t="shared" si="38"/>
        <v>SD</v>
      </c>
      <c r="S85" s="18">
        <f t="shared" si="37"/>
        <v>0.47507200696449386</v>
      </c>
      <c r="T85" t="str">
        <f t="shared" si="27"/>
        <v>SD</v>
      </c>
      <c r="V85" s="1">
        <v>18.100000000000001</v>
      </c>
      <c r="W85" s="1" t="e">
        <f t="shared" si="39"/>
        <v>#N/A</v>
      </c>
      <c r="X85" s="1">
        <f t="shared" si="40"/>
        <v>8.972546236952246E-2</v>
      </c>
      <c r="Y85" s="1" t="e">
        <f t="shared" si="41"/>
        <v>#N/A</v>
      </c>
      <c r="Z85" s="1" t="e">
        <f t="shared" si="42"/>
        <v>#N/A</v>
      </c>
      <c r="AA85" s="1">
        <v>0</v>
      </c>
      <c r="AC85" s="31" t="e">
        <f t="shared" si="43"/>
        <v>#N/A</v>
      </c>
      <c r="AD85" s="31">
        <f t="shared" si="44"/>
        <v>8.972546236952246E-2</v>
      </c>
      <c r="AE85" s="31" t="e">
        <f t="shared" si="45"/>
        <v>#N/A</v>
      </c>
      <c r="AF85" s="31" t="e">
        <f t="shared" si="46"/>
        <v>#N/A</v>
      </c>
      <c r="AL85" s="17">
        <f t="shared" si="47"/>
        <v>39447</v>
      </c>
      <c r="AM85">
        <f t="shared" si="49"/>
        <v>3</v>
      </c>
      <c r="AN85">
        <f t="shared" si="50"/>
        <v>3</v>
      </c>
    </row>
    <row r="86" spans="1:40">
      <c r="A86" s="7">
        <v>39478</v>
      </c>
      <c r="B86" s="8">
        <v>102.07770000000001</v>
      </c>
      <c r="C86" s="8">
        <f t="shared" si="28"/>
        <v>2.4998170737067733</v>
      </c>
      <c r="D86" s="9">
        <f t="shared" si="29"/>
        <v>0.65495426842669335</v>
      </c>
      <c r="E86" s="8">
        <v>50.9</v>
      </c>
      <c r="F86" s="10">
        <f t="shared" si="30"/>
        <v>1.5454587760865706</v>
      </c>
      <c r="G86" s="8">
        <v>-0.70899999999999996</v>
      </c>
      <c r="H86" s="10">
        <f t="shared" si="31"/>
        <v>-0.39833510993853355</v>
      </c>
      <c r="I86" s="10">
        <f t="shared" si="32"/>
        <v>-0.19833510993853354</v>
      </c>
      <c r="J86" s="1">
        <v>-0.24</v>
      </c>
      <c r="K86" s="10">
        <f t="shared" si="34"/>
        <v>-0.22426453403879515</v>
      </c>
      <c r="L86" s="8">
        <v>-1.03</v>
      </c>
      <c r="M86" s="11">
        <f t="shared" si="35"/>
        <v>-0.84866656138759211</v>
      </c>
      <c r="N86" s="9">
        <f t="shared" si="33"/>
        <v>-0.42433328069379606</v>
      </c>
      <c r="P86" s="29">
        <f t="shared" si="36"/>
        <v>2.4783330594208453E-2</v>
      </c>
      <c r="Q86" s="1" t="str">
        <f t="shared" si="48"/>
        <v>SD</v>
      </c>
      <c r="R86" t="str">
        <f t="shared" si="38"/>
        <v>SD</v>
      </c>
      <c r="S86" s="18">
        <f t="shared" si="37"/>
        <v>0.47507200696449386</v>
      </c>
      <c r="T86" t="str">
        <f t="shared" si="27"/>
        <v>SD</v>
      </c>
      <c r="V86" s="1">
        <v>34.700000000000003</v>
      </c>
      <c r="W86" s="1" t="e">
        <f t="shared" si="39"/>
        <v>#N/A</v>
      </c>
      <c r="X86" s="1">
        <f t="shared" si="40"/>
        <v>2.4783330594208453E-2</v>
      </c>
      <c r="Y86" s="1">
        <f t="shared" si="41"/>
        <v>2.4783330594208453E-2</v>
      </c>
      <c r="Z86" s="1" t="e">
        <f t="shared" si="42"/>
        <v>#N/A</v>
      </c>
      <c r="AA86" s="1">
        <v>0</v>
      </c>
      <c r="AC86" s="31" t="e">
        <f t="shared" si="43"/>
        <v>#N/A</v>
      </c>
      <c r="AD86" s="31">
        <f t="shared" si="44"/>
        <v>2.4783330594208453E-2</v>
      </c>
      <c r="AE86" s="31">
        <f t="shared" si="45"/>
        <v>2.4783330594208453E-2</v>
      </c>
      <c r="AF86" s="31" t="e">
        <f t="shared" si="46"/>
        <v>#N/A</v>
      </c>
      <c r="AL86" s="17">
        <f t="shared" si="47"/>
        <v>39478</v>
      </c>
      <c r="AM86">
        <f t="shared" si="49"/>
        <v>3</v>
      </c>
      <c r="AN86">
        <f t="shared" si="50"/>
        <v>3</v>
      </c>
    </row>
    <row r="87" spans="1:40">
      <c r="A87" s="7">
        <v>39507</v>
      </c>
      <c r="B87" s="8">
        <v>101.8104</v>
      </c>
      <c r="C87" s="8">
        <f t="shared" si="28"/>
        <v>2.3033332077003434</v>
      </c>
      <c r="D87" s="9">
        <f t="shared" si="29"/>
        <v>0.60583330192508589</v>
      </c>
      <c r="E87" s="8">
        <v>48.8</v>
      </c>
      <c r="F87" s="10">
        <f t="shared" si="30"/>
        <v>0.76300302490189698</v>
      </c>
      <c r="G87" s="8">
        <v>-1.1085</v>
      </c>
      <c r="H87" s="10">
        <f t="shared" si="31"/>
        <v>-0.60073210360605156</v>
      </c>
      <c r="I87" s="10">
        <f t="shared" si="32"/>
        <v>-0.40073210360605155</v>
      </c>
      <c r="J87" s="1">
        <v>-0.77</v>
      </c>
      <c r="K87" s="10">
        <f t="shared" si="34"/>
        <v>-0.37979914183773855</v>
      </c>
      <c r="L87" s="8">
        <v>-1.101</v>
      </c>
      <c r="M87" s="11">
        <f t="shared" si="35"/>
        <v>-0.92058159139212847</v>
      </c>
      <c r="N87" s="9">
        <f t="shared" si="33"/>
        <v>-0.46029079569606424</v>
      </c>
      <c r="P87" s="29">
        <f t="shared" si="36"/>
        <v>-6.8689543625140806E-2</v>
      </c>
      <c r="Q87" s="1" t="str">
        <f t="shared" si="48"/>
        <v>C</v>
      </c>
      <c r="R87" t="str">
        <f t="shared" si="38"/>
        <v>C</v>
      </c>
      <c r="S87" s="18">
        <f t="shared" si="37"/>
        <v>-6.8689543625140806E-2</v>
      </c>
      <c r="T87" t="str">
        <f t="shared" ref="T87:T150" si="51">IF(OR(ABS($S87-$S86)&gt;$R$1,S87*S86&lt;0,ABS(P87-MAX(P75:P86))&gt;$U$1),Q87,T86)</f>
        <v>C</v>
      </c>
      <c r="V87" s="1">
        <v>29.5</v>
      </c>
      <c r="W87" s="1" t="e">
        <f t="shared" si="39"/>
        <v>#N/A</v>
      </c>
      <c r="X87" s="1" t="e">
        <f t="shared" si="40"/>
        <v>#N/A</v>
      </c>
      <c r="Y87" s="1">
        <f t="shared" si="41"/>
        <v>-6.8689543625140806E-2</v>
      </c>
      <c r="Z87" s="1" t="e">
        <f t="shared" si="42"/>
        <v>#N/A</v>
      </c>
      <c r="AA87" s="1">
        <v>0</v>
      </c>
      <c r="AC87" s="31" t="e">
        <f t="shared" si="43"/>
        <v>#N/A</v>
      </c>
      <c r="AD87" s="31" t="e">
        <f t="shared" si="44"/>
        <v>#N/A</v>
      </c>
      <c r="AE87" s="31">
        <f t="shared" si="45"/>
        <v>-6.8689543625140806E-2</v>
      </c>
      <c r="AF87" s="31" t="e">
        <f t="shared" si="46"/>
        <v>#N/A</v>
      </c>
      <c r="AL87" s="17">
        <f t="shared" si="47"/>
        <v>39507</v>
      </c>
      <c r="AM87">
        <f t="shared" si="49"/>
        <v>1</v>
      </c>
      <c r="AN87">
        <f t="shared" si="50"/>
        <v>1</v>
      </c>
    </row>
    <row r="88" spans="1:40">
      <c r="A88" s="7">
        <v>39538</v>
      </c>
      <c r="B88" s="8">
        <v>101.50030000000001</v>
      </c>
      <c r="C88" s="8">
        <f t="shared" si="28"/>
        <v>2.0744687435057485</v>
      </c>
      <c r="D88" s="9">
        <f t="shared" si="29"/>
        <v>0.54861718587643715</v>
      </c>
      <c r="E88" s="8">
        <v>49.7</v>
      </c>
      <c r="F88" s="10">
        <f t="shared" si="30"/>
        <v>0.46004716280485708</v>
      </c>
      <c r="G88" s="8">
        <v>-1.1793</v>
      </c>
      <c r="H88" s="10">
        <f t="shared" si="31"/>
        <v>-0.76562395407832695</v>
      </c>
      <c r="I88" s="10">
        <f t="shared" si="32"/>
        <v>-0.565623954078327</v>
      </c>
      <c r="J88" s="1">
        <v>-0.79</v>
      </c>
      <c r="K88" s="10">
        <f t="shared" si="34"/>
        <v>-0.49670638641398313</v>
      </c>
      <c r="L88" s="8">
        <v>-2.6880000000000002</v>
      </c>
      <c r="M88" s="11">
        <f t="shared" si="35"/>
        <v>-1.4242958378453721</v>
      </c>
      <c r="N88" s="9">
        <f t="shared" si="33"/>
        <v>-0.59671933055779502</v>
      </c>
      <c r="P88" s="29">
        <f t="shared" si="36"/>
        <v>-0.18550332757034538</v>
      </c>
      <c r="Q88" s="1" t="str">
        <f t="shared" si="48"/>
        <v>C</v>
      </c>
      <c r="R88" t="str">
        <f t="shared" si="38"/>
        <v>C</v>
      </c>
      <c r="S88" s="18">
        <f t="shared" si="37"/>
        <v>-6.8689543625140806E-2</v>
      </c>
      <c r="T88" t="str">
        <f t="shared" si="51"/>
        <v>C</v>
      </c>
      <c r="V88" s="1">
        <v>69.599999999999994</v>
      </c>
      <c r="W88" s="1" t="e">
        <f t="shared" si="39"/>
        <v>#N/A</v>
      </c>
      <c r="X88" s="1" t="e">
        <f t="shared" si="40"/>
        <v>#N/A</v>
      </c>
      <c r="Y88" s="1">
        <f t="shared" si="41"/>
        <v>-0.18550332757034538</v>
      </c>
      <c r="Z88" s="1" t="e">
        <f t="shared" si="42"/>
        <v>#N/A</v>
      </c>
      <c r="AA88" s="1">
        <v>0</v>
      </c>
      <c r="AC88" s="31" t="e">
        <f t="shared" si="43"/>
        <v>#N/A</v>
      </c>
      <c r="AD88" s="31" t="e">
        <f t="shared" si="44"/>
        <v>#N/A</v>
      </c>
      <c r="AE88" s="31">
        <f t="shared" si="45"/>
        <v>-0.18550332757034538</v>
      </c>
      <c r="AF88" s="31" t="e">
        <f t="shared" si="46"/>
        <v>#N/A</v>
      </c>
      <c r="AL88" s="17">
        <f t="shared" si="47"/>
        <v>39538</v>
      </c>
      <c r="AM88">
        <f t="shared" si="49"/>
        <v>1</v>
      </c>
      <c r="AN88">
        <f t="shared" si="50"/>
        <v>1</v>
      </c>
    </row>
    <row r="89" spans="1:40">
      <c r="A89" s="7">
        <v>39568</v>
      </c>
      <c r="B89" s="8">
        <v>101.1266</v>
      </c>
      <c r="C89" s="8">
        <f t="shared" si="28"/>
        <v>1.8043261516066091</v>
      </c>
      <c r="D89" s="9">
        <f t="shared" si="29"/>
        <v>0.48108153790165231</v>
      </c>
      <c r="E89" s="8">
        <v>48.5</v>
      </c>
      <c r="F89" s="10">
        <f t="shared" si="30"/>
        <v>-9.8566278594527268E-2</v>
      </c>
      <c r="G89" s="8">
        <v>-1.0239</v>
      </c>
      <c r="H89" s="10">
        <f t="shared" si="31"/>
        <v>-0.83923262716600378</v>
      </c>
      <c r="I89" s="10">
        <f t="shared" si="32"/>
        <v>-0.63923262716600382</v>
      </c>
      <c r="J89" s="1">
        <v>-0.66</v>
      </c>
      <c r="K89" s="10">
        <f t="shared" si="34"/>
        <v>-0.54324506628599789</v>
      </c>
      <c r="L89" s="8">
        <v>-2.1930000000000001</v>
      </c>
      <c r="M89" s="11">
        <f t="shared" si="35"/>
        <v>-1.6433765240594409</v>
      </c>
      <c r="N89" s="9">
        <f t="shared" si="33"/>
        <v>-0.64097124039605724</v>
      </c>
      <c r="P89" s="29">
        <f t="shared" si="36"/>
        <v>-0.24386222722854131</v>
      </c>
      <c r="Q89" s="1" t="str">
        <f t="shared" si="48"/>
        <v>C</v>
      </c>
      <c r="R89" t="str">
        <f t="shared" si="38"/>
        <v>C</v>
      </c>
      <c r="S89" s="18">
        <f t="shared" si="37"/>
        <v>-6.8689543625140806E-2</v>
      </c>
      <c r="T89" t="str">
        <f t="shared" si="51"/>
        <v>C</v>
      </c>
      <c r="V89" s="1">
        <v>-18.8</v>
      </c>
      <c r="W89" s="1" t="e">
        <f t="shared" si="39"/>
        <v>#N/A</v>
      </c>
      <c r="X89" s="1" t="e">
        <f t="shared" si="40"/>
        <v>#N/A</v>
      </c>
      <c r="Y89" s="1">
        <f t="shared" si="41"/>
        <v>-0.24386222722854131</v>
      </c>
      <c r="Z89" s="1" t="e">
        <f t="shared" si="42"/>
        <v>#N/A</v>
      </c>
      <c r="AA89" s="1">
        <v>0</v>
      </c>
      <c r="AC89" s="31" t="e">
        <f t="shared" si="43"/>
        <v>#N/A</v>
      </c>
      <c r="AD89" s="31" t="e">
        <f t="shared" si="44"/>
        <v>#N/A</v>
      </c>
      <c r="AE89" s="31">
        <f t="shared" si="45"/>
        <v>-0.24386222722854131</v>
      </c>
      <c r="AF89" s="31" t="e">
        <f t="shared" si="46"/>
        <v>#N/A</v>
      </c>
      <c r="AL89" s="17">
        <f t="shared" si="47"/>
        <v>39568</v>
      </c>
      <c r="AM89">
        <f t="shared" si="49"/>
        <v>1</v>
      </c>
      <c r="AN89">
        <f t="shared" si="50"/>
        <v>1</v>
      </c>
    </row>
    <row r="90" spans="1:40">
      <c r="A90" s="7">
        <v>39598</v>
      </c>
      <c r="B90" s="8">
        <v>100.66760000000001</v>
      </c>
      <c r="C90" s="8">
        <f t="shared" si="28"/>
        <v>1.4803591983987274</v>
      </c>
      <c r="D90" s="9">
        <f t="shared" si="29"/>
        <v>0.40008979959968183</v>
      </c>
      <c r="E90" s="8">
        <v>48.9</v>
      </c>
      <c r="F90" s="10">
        <f t="shared" si="30"/>
        <v>-0.38397488919508743</v>
      </c>
      <c r="G90" s="8">
        <v>-1.0437000000000001</v>
      </c>
      <c r="H90" s="10">
        <f t="shared" si="31"/>
        <v>-0.89750582842369275</v>
      </c>
      <c r="I90" s="10">
        <f t="shared" si="32"/>
        <v>-0.6975058284236928</v>
      </c>
      <c r="J90" s="1">
        <v>-0.8</v>
      </c>
      <c r="K90" s="10">
        <f t="shared" si="34"/>
        <v>-0.61642022239448857</v>
      </c>
      <c r="L90" s="8">
        <v>-1.6120000000000001</v>
      </c>
      <c r="M90" s="11">
        <f t="shared" si="35"/>
        <v>-1.6344342147025004</v>
      </c>
      <c r="N90" s="9">
        <f t="shared" si="33"/>
        <v>-0.63922496327632972</v>
      </c>
      <c r="P90" s="29">
        <f t="shared" si="36"/>
        <v>-0.28521641793279007</v>
      </c>
      <c r="Q90" s="1" t="str">
        <f t="shared" si="48"/>
        <v>C</v>
      </c>
      <c r="R90" t="str">
        <f t="shared" si="38"/>
        <v>C</v>
      </c>
      <c r="S90" s="18">
        <f t="shared" si="37"/>
        <v>-6.8689543625140806E-2</v>
      </c>
      <c r="T90" t="str">
        <f t="shared" si="51"/>
        <v>C</v>
      </c>
      <c r="V90" s="1">
        <v>-27.1</v>
      </c>
      <c r="W90" s="1" t="e">
        <f t="shared" si="39"/>
        <v>#N/A</v>
      </c>
      <c r="X90" s="1" t="e">
        <f t="shared" si="40"/>
        <v>#N/A</v>
      </c>
      <c r="Y90" s="1">
        <f t="shared" si="41"/>
        <v>-0.28521641793279007</v>
      </c>
      <c r="Z90" s="1" t="e">
        <f t="shared" si="42"/>
        <v>#N/A</v>
      </c>
      <c r="AA90" s="1">
        <v>0</v>
      </c>
      <c r="AC90" s="31" t="e">
        <f t="shared" si="43"/>
        <v>#N/A</v>
      </c>
      <c r="AD90" s="31" t="e">
        <f t="shared" si="44"/>
        <v>#N/A</v>
      </c>
      <c r="AE90" s="31">
        <f t="shared" si="45"/>
        <v>-0.28521641793279007</v>
      </c>
      <c r="AF90" s="31" t="e">
        <f t="shared" si="46"/>
        <v>#N/A</v>
      </c>
      <c r="AL90" s="17">
        <f t="shared" si="47"/>
        <v>39598</v>
      </c>
      <c r="AM90">
        <f t="shared" si="49"/>
        <v>1</v>
      </c>
      <c r="AN90">
        <f t="shared" si="50"/>
        <v>1</v>
      </c>
    </row>
    <row r="91" spans="1:40">
      <c r="A91" s="7">
        <v>39629</v>
      </c>
      <c r="B91" s="8">
        <v>100.1109</v>
      </c>
      <c r="C91" s="8">
        <f t="shared" si="28"/>
        <v>1.0900633268550903</v>
      </c>
      <c r="D91" s="9">
        <f t="shared" si="29"/>
        <v>0.30251583171377261</v>
      </c>
      <c r="E91" s="8">
        <v>49.9</v>
      </c>
      <c r="F91" s="10">
        <f t="shared" si="30"/>
        <v>-0.3030420457744879</v>
      </c>
      <c r="G91" s="8">
        <v>-1.0587</v>
      </c>
      <c r="H91" s="10">
        <f t="shared" si="31"/>
        <v>-0.9434461673229404</v>
      </c>
      <c r="I91" s="10">
        <f t="shared" si="32"/>
        <v>-0.74344616732294044</v>
      </c>
      <c r="J91" s="1">
        <v>-0.69</v>
      </c>
      <c r="K91" s="10">
        <f t="shared" si="34"/>
        <v>-0.63739045901205937</v>
      </c>
      <c r="L91" s="8">
        <v>-1.4890000000000001</v>
      </c>
      <c r="M91" s="11">
        <f t="shared" si="35"/>
        <v>-1.5929854635122878</v>
      </c>
      <c r="N91" s="9">
        <f t="shared" si="33"/>
        <v>-0.63106763970122248</v>
      </c>
      <c r="P91" s="29">
        <f t="shared" si="36"/>
        <v>-0.32480800247482705</v>
      </c>
      <c r="Q91" s="1" t="str">
        <f t="shared" si="48"/>
        <v>C</v>
      </c>
      <c r="R91" t="str">
        <f t="shared" si="38"/>
        <v>C</v>
      </c>
      <c r="S91" s="18">
        <f t="shared" si="37"/>
        <v>-6.8689543625140806E-2</v>
      </c>
      <c r="T91" t="str">
        <f t="shared" si="51"/>
        <v>C</v>
      </c>
      <c r="V91" s="1">
        <v>-93.9</v>
      </c>
      <c r="W91" s="1" t="e">
        <f t="shared" si="39"/>
        <v>#N/A</v>
      </c>
      <c r="X91" s="1" t="e">
        <f t="shared" si="40"/>
        <v>#N/A</v>
      </c>
      <c r="Y91" s="1">
        <f t="shared" si="41"/>
        <v>-0.32480800247482705</v>
      </c>
      <c r="Z91" s="1" t="e">
        <f t="shared" si="42"/>
        <v>#N/A</v>
      </c>
      <c r="AA91" s="1">
        <v>0</v>
      </c>
      <c r="AC91" s="31" t="e">
        <f t="shared" si="43"/>
        <v>#N/A</v>
      </c>
      <c r="AD91" s="31" t="e">
        <f t="shared" si="44"/>
        <v>#N/A</v>
      </c>
      <c r="AE91" s="31">
        <f t="shared" si="45"/>
        <v>-0.32480800247482705</v>
      </c>
      <c r="AF91" s="31" t="e">
        <f t="shared" si="46"/>
        <v>#N/A</v>
      </c>
      <c r="AL91" s="17">
        <f t="shared" si="47"/>
        <v>39629</v>
      </c>
      <c r="AM91">
        <f t="shared" si="49"/>
        <v>1</v>
      </c>
      <c r="AN91">
        <f t="shared" si="50"/>
        <v>1</v>
      </c>
    </row>
    <row r="92" spans="1:40">
      <c r="A92" s="7">
        <v>39660</v>
      </c>
      <c r="B92" s="8">
        <v>99.460700000000003</v>
      </c>
      <c r="C92" s="8">
        <f t="shared" si="28"/>
        <v>0.62569477870139034</v>
      </c>
      <c r="D92" s="9">
        <f t="shared" si="29"/>
        <v>0.18642369467534758</v>
      </c>
      <c r="E92" s="8">
        <v>50.8</v>
      </c>
      <c r="F92" s="10">
        <f t="shared" si="30"/>
        <v>1.1324937271240371E-2</v>
      </c>
      <c r="G92" s="8">
        <v>-1.5686</v>
      </c>
      <c r="H92" s="10">
        <f t="shared" si="31"/>
        <v>-1.1216150096359023</v>
      </c>
      <c r="I92" s="10">
        <f t="shared" si="32"/>
        <v>-0.85906326989273984</v>
      </c>
      <c r="J92" s="1">
        <v>-1.22</v>
      </c>
      <c r="K92" s="10">
        <f t="shared" si="34"/>
        <v>-0.80343417819362251</v>
      </c>
      <c r="L92" s="8">
        <v>-1.694</v>
      </c>
      <c r="M92" s="11">
        <f t="shared" si="35"/>
        <v>-1.6217746064112857</v>
      </c>
      <c r="N92" s="9">
        <f t="shared" si="33"/>
        <v>-0.63674457328101464</v>
      </c>
      <c r="P92" s="29">
        <f t="shared" si="36"/>
        <v>-0.39776400381999394</v>
      </c>
      <c r="Q92" s="1" t="str">
        <f t="shared" si="48"/>
        <v>C</v>
      </c>
      <c r="R92" t="str">
        <f t="shared" si="38"/>
        <v>C</v>
      </c>
      <c r="S92" s="18">
        <f t="shared" si="37"/>
        <v>-6.8689543625140806E-2</v>
      </c>
      <c r="T92" t="str">
        <f t="shared" si="51"/>
        <v>C</v>
      </c>
      <c r="V92" s="1">
        <v>-155.19999999999999</v>
      </c>
      <c r="W92" s="1" t="e">
        <f t="shared" si="39"/>
        <v>#N/A</v>
      </c>
      <c r="X92" s="1" t="e">
        <f t="shared" si="40"/>
        <v>#N/A</v>
      </c>
      <c r="Y92" s="1">
        <f t="shared" si="41"/>
        <v>-0.39776400381999394</v>
      </c>
      <c r="Z92" s="1" t="e">
        <f t="shared" si="42"/>
        <v>#N/A</v>
      </c>
      <c r="AA92" s="1">
        <v>0</v>
      </c>
      <c r="AC92" s="31" t="e">
        <f t="shared" si="43"/>
        <v>#N/A</v>
      </c>
      <c r="AD92" s="31" t="e">
        <f t="shared" si="44"/>
        <v>#N/A</v>
      </c>
      <c r="AE92" s="31">
        <f t="shared" si="45"/>
        <v>-0.39776400381999394</v>
      </c>
      <c r="AF92" s="31" t="e">
        <f t="shared" si="46"/>
        <v>#N/A</v>
      </c>
      <c r="AL92" s="17">
        <f t="shared" si="47"/>
        <v>39660</v>
      </c>
      <c r="AM92">
        <f t="shared" si="49"/>
        <v>1</v>
      </c>
      <c r="AN92">
        <f t="shared" si="50"/>
        <v>1</v>
      </c>
    </row>
    <row r="93" spans="1:40">
      <c r="A93" s="7">
        <v>39689</v>
      </c>
      <c r="B93" s="8">
        <v>98.727099999999993</v>
      </c>
      <c r="C93" s="8">
        <f t="shared" si="28"/>
        <v>8.4595266771492039E-2</v>
      </c>
      <c r="D93" s="9">
        <f t="shared" si="29"/>
        <v>5.1148816692873009E-2</v>
      </c>
      <c r="E93" s="8">
        <v>50.1</v>
      </c>
      <c r="F93" s="10">
        <f t="shared" si="30"/>
        <v>3.659733014893727E-2</v>
      </c>
      <c r="G93" s="8">
        <v>-2.4537</v>
      </c>
      <c r="H93" s="10">
        <f t="shared" si="31"/>
        <v>-1.5012592318896703</v>
      </c>
      <c r="I93" s="10">
        <f t="shared" si="32"/>
        <v>-1.0252588428122731</v>
      </c>
      <c r="J93" s="1">
        <v>-1.21</v>
      </c>
      <c r="K93" s="10">
        <f t="shared" si="34"/>
        <v>-0.91930543740844017</v>
      </c>
      <c r="L93" s="8">
        <v>-1.615</v>
      </c>
      <c r="M93" s="11">
        <f t="shared" si="35"/>
        <v>-1.6198438435840692</v>
      </c>
      <c r="N93" s="9">
        <f t="shared" si="33"/>
        <v>-0.63636543031187454</v>
      </c>
      <c r="P93" s="29">
        <f t="shared" si="36"/>
        <v>-0.49173352614960003</v>
      </c>
      <c r="Q93" s="1" t="str">
        <f t="shared" si="48"/>
        <v>C</v>
      </c>
      <c r="R93" t="str">
        <f t="shared" si="38"/>
        <v>C</v>
      </c>
      <c r="S93" s="18">
        <f t="shared" si="37"/>
        <v>-6.8689543625140806E-2</v>
      </c>
      <c r="T93" t="str">
        <f t="shared" si="51"/>
        <v>C</v>
      </c>
      <c r="V93" s="1">
        <v>-162</v>
      </c>
      <c r="W93" s="1" t="e">
        <f t="shared" si="39"/>
        <v>#N/A</v>
      </c>
      <c r="X93" s="1" t="e">
        <f t="shared" si="40"/>
        <v>#N/A</v>
      </c>
      <c r="Y93" s="1">
        <f t="shared" si="41"/>
        <v>-0.49173352614960003</v>
      </c>
      <c r="Z93" s="1" t="e">
        <f t="shared" si="42"/>
        <v>#N/A</v>
      </c>
      <c r="AA93" s="1">
        <v>0</v>
      </c>
      <c r="AC93" s="31" t="e">
        <f t="shared" si="43"/>
        <v>#N/A</v>
      </c>
      <c r="AD93" s="31" t="e">
        <f t="shared" si="44"/>
        <v>#N/A</v>
      </c>
      <c r="AE93" s="31">
        <f t="shared" si="45"/>
        <v>-0.49173352614960003</v>
      </c>
      <c r="AF93" s="31" t="e">
        <f t="shared" si="46"/>
        <v>#N/A</v>
      </c>
      <c r="AL93" s="17">
        <f t="shared" si="47"/>
        <v>39689</v>
      </c>
      <c r="AM93">
        <f t="shared" si="49"/>
        <v>1</v>
      </c>
      <c r="AN93">
        <f t="shared" si="50"/>
        <v>1</v>
      </c>
    </row>
    <row r="94" spans="1:40">
      <c r="A94" s="7">
        <v>39721</v>
      </c>
      <c r="B94" s="8">
        <v>97.919200000000004</v>
      </c>
      <c r="C94" s="8">
        <f t="shared" si="28"/>
        <v>-0.53254238425838218</v>
      </c>
      <c r="D94" s="9">
        <f t="shared" si="29"/>
        <v>-0.10313559606459555</v>
      </c>
      <c r="E94" s="8">
        <v>47.2</v>
      </c>
      <c r="F94" s="10">
        <f t="shared" si="30"/>
        <v>-0.77183290894350909</v>
      </c>
      <c r="G94" s="8">
        <v>-3.4839000000000002</v>
      </c>
      <c r="H94" s="10">
        <f t="shared" si="31"/>
        <v>-2.0663118508011147</v>
      </c>
      <c r="I94" s="10">
        <f t="shared" si="32"/>
        <v>-1.2374671651210385</v>
      </c>
      <c r="J94" s="1">
        <v>-2.4500000000000002</v>
      </c>
      <c r="K94" s="10">
        <f t="shared" si="34"/>
        <v>-1.3555533877470349</v>
      </c>
      <c r="L94" s="8">
        <v>-6.4610000000000003</v>
      </c>
      <c r="M94" s="11">
        <f t="shared" si="35"/>
        <v>-2.9995733481626097</v>
      </c>
      <c r="N94" s="9">
        <f t="shared" si="33"/>
        <v>-0.86596381970648895</v>
      </c>
      <c r="P94" s="29">
        <f t="shared" si="36"/>
        <v>-0.68409405604488482</v>
      </c>
      <c r="Q94" s="1" t="str">
        <f t="shared" si="48"/>
        <v>C</v>
      </c>
      <c r="R94" t="str">
        <f t="shared" si="38"/>
        <v>C</v>
      </c>
      <c r="S94" s="18">
        <f t="shared" si="37"/>
        <v>-6.8689543625140806E-2</v>
      </c>
      <c r="T94" t="str">
        <f t="shared" si="51"/>
        <v>C</v>
      </c>
      <c r="V94" s="1">
        <v>-135</v>
      </c>
      <c r="W94" s="1" t="e">
        <f t="shared" si="39"/>
        <v>#N/A</v>
      </c>
      <c r="X94" s="1" t="e">
        <f t="shared" si="40"/>
        <v>#N/A</v>
      </c>
      <c r="Y94" s="1">
        <f t="shared" si="41"/>
        <v>-0.68409405604488482</v>
      </c>
      <c r="Z94" s="1" t="e">
        <f t="shared" si="42"/>
        <v>#N/A</v>
      </c>
      <c r="AA94" s="1">
        <v>0</v>
      </c>
      <c r="AC94" s="31" t="e">
        <f t="shared" si="43"/>
        <v>#N/A</v>
      </c>
      <c r="AD94" s="31" t="e">
        <f t="shared" si="44"/>
        <v>#N/A</v>
      </c>
      <c r="AE94" s="31">
        <f t="shared" si="45"/>
        <v>-0.68409405604488482</v>
      </c>
      <c r="AF94" s="31" t="e">
        <f t="shared" si="46"/>
        <v>#N/A</v>
      </c>
      <c r="AL94" s="17">
        <f t="shared" si="47"/>
        <v>39721</v>
      </c>
      <c r="AM94">
        <f t="shared" si="49"/>
        <v>1</v>
      </c>
      <c r="AN94">
        <f t="shared" si="50"/>
        <v>1</v>
      </c>
    </row>
    <row r="95" spans="1:40">
      <c r="A95" s="7">
        <v>39752</v>
      </c>
      <c r="B95" s="8">
        <v>97.074399999999997</v>
      </c>
      <c r="C95" s="8">
        <f t="shared" si="28"/>
        <v>-1.2145638047447442</v>
      </c>
      <c r="D95" s="9">
        <f t="shared" si="29"/>
        <v>-0.27364095118618603</v>
      </c>
      <c r="E95" s="8">
        <v>38.200000000000003</v>
      </c>
      <c r="F95" s="10">
        <f t="shared" si="30"/>
        <v>-3.9148605298946086</v>
      </c>
      <c r="G95" s="8">
        <v>-1.7255</v>
      </c>
      <c r="H95" s="10">
        <f t="shared" si="31"/>
        <v>-1.9691804733227971</v>
      </c>
      <c r="I95" s="10">
        <f t="shared" si="32"/>
        <v>-1.2032749101023639</v>
      </c>
      <c r="J95" s="1">
        <v>-1.1100000000000001</v>
      </c>
      <c r="K95" s="10">
        <f t="shared" si="34"/>
        <v>-1.28557067223913</v>
      </c>
      <c r="L95" s="8">
        <v>-8.8249999999999993</v>
      </c>
      <c r="M95" s="11">
        <f t="shared" si="35"/>
        <v>-4.6598199439362666</v>
      </c>
      <c r="N95" s="9">
        <f t="shared" si="33"/>
        <v>-1.0793308047045014</v>
      </c>
      <c r="P95" s="29">
        <f t="shared" si="36"/>
        <v>-0.79524710362382034</v>
      </c>
      <c r="Q95" s="1" t="str">
        <f t="shared" si="48"/>
        <v>C</v>
      </c>
      <c r="R95" t="str">
        <f t="shared" si="38"/>
        <v>C</v>
      </c>
      <c r="S95" s="18">
        <f t="shared" si="37"/>
        <v>-6.8689543625140806E-2</v>
      </c>
      <c r="T95" t="str">
        <f t="shared" si="51"/>
        <v>C</v>
      </c>
      <c r="V95" s="1">
        <v>-80.2</v>
      </c>
      <c r="W95" s="1" t="e">
        <f t="shared" si="39"/>
        <v>#N/A</v>
      </c>
      <c r="X95" s="1" t="e">
        <f t="shared" si="40"/>
        <v>#N/A</v>
      </c>
      <c r="Y95" s="1">
        <f t="shared" si="41"/>
        <v>-0.79524710362382034</v>
      </c>
      <c r="Z95" s="1" t="e">
        <f t="shared" si="42"/>
        <v>#N/A</v>
      </c>
      <c r="AA95" s="1">
        <v>0</v>
      </c>
      <c r="AC95" s="31" t="e">
        <f t="shared" si="43"/>
        <v>#N/A</v>
      </c>
      <c r="AD95" s="31" t="e">
        <f t="shared" si="44"/>
        <v>#N/A</v>
      </c>
      <c r="AE95" s="31">
        <f t="shared" si="45"/>
        <v>-0.79524710362382034</v>
      </c>
      <c r="AF95" s="31" t="e">
        <f t="shared" si="46"/>
        <v>#N/A</v>
      </c>
      <c r="AL95" s="17">
        <f t="shared" si="47"/>
        <v>39752</v>
      </c>
      <c r="AM95">
        <f t="shared" si="49"/>
        <v>1</v>
      </c>
      <c r="AN95">
        <f t="shared" si="50"/>
        <v>1</v>
      </c>
    </row>
    <row r="96" spans="1:40">
      <c r="A96" s="7">
        <v>39780</v>
      </c>
      <c r="B96" s="8">
        <v>96.277299999999997</v>
      </c>
      <c r="C96" s="8">
        <f t="shared" si="28"/>
        <v>-1.9293826203924931</v>
      </c>
      <c r="D96" s="9">
        <f t="shared" si="29"/>
        <v>-0.4523456550981233</v>
      </c>
      <c r="E96" s="8">
        <v>39</v>
      </c>
      <c r="F96" s="10">
        <f t="shared" si="30"/>
        <v>-5.9341252788746459</v>
      </c>
      <c r="G96" s="8">
        <v>-2.8774999999999999</v>
      </c>
      <c r="H96" s="10">
        <f t="shared" si="31"/>
        <v>-2.2280515384257997</v>
      </c>
      <c r="I96" s="10">
        <f t="shared" si="32"/>
        <v>-1.2926659165485759</v>
      </c>
      <c r="J96" s="1">
        <v>-2.2799999999999998</v>
      </c>
      <c r="K96" s="10">
        <f t="shared" si="34"/>
        <v>-1.568983030650978</v>
      </c>
      <c r="L96" s="8">
        <v>-7.7759999999999998</v>
      </c>
      <c r="M96" s="11">
        <f t="shared" si="35"/>
        <v>-5.5479312599144315</v>
      </c>
      <c r="N96" s="9">
        <f t="shared" si="33"/>
        <v>-1.1777023456623528</v>
      </c>
      <c r="P96" s="29">
        <f t="shared" si="36"/>
        <v>-0.91466973779903815</v>
      </c>
      <c r="Q96" s="1" t="str">
        <f t="shared" si="48"/>
        <v>C</v>
      </c>
      <c r="R96" t="str">
        <f t="shared" si="38"/>
        <v>C</v>
      </c>
      <c r="S96" s="18">
        <f t="shared" si="37"/>
        <v>-6.8689543625140806E-2</v>
      </c>
      <c r="T96" t="str">
        <f t="shared" si="51"/>
        <v>C</v>
      </c>
      <c r="V96" s="1">
        <v>-143.4</v>
      </c>
      <c r="W96" s="1" t="e">
        <f t="shared" si="39"/>
        <v>#N/A</v>
      </c>
      <c r="X96" s="1" t="e">
        <f t="shared" si="40"/>
        <v>#N/A</v>
      </c>
      <c r="Y96" s="1">
        <f t="shared" si="41"/>
        <v>-0.91466973779903815</v>
      </c>
      <c r="Z96" s="1" t="e">
        <f t="shared" si="42"/>
        <v>#N/A</v>
      </c>
      <c r="AA96" s="1">
        <v>0</v>
      </c>
      <c r="AC96" s="31" t="e">
        <f t="shared" si="43"/>
        <v>#N/A</v>
      </c>
      <c r="AD96" s="31" t="e">
        <f t="shared" si="44"/>
        <v>#N/A</v>
      </c>
      <c r="AE96" s="31">
        <f t="shared" si="45"/>
        <v>-0.91466973779903815</v>
      </c>
      <c r="AF96" s="31" t="e">
        <f t="shared" si="46"/>
        <v>#N/A</v>
      </c>
      <c r="AL96" s="17">
        <f t="shared" si="47"/>
        <v>39780</v>
      </c>
      <c r="AM96">
        <f t="shared" si="49"/>
        <v>1</v>
      </c>
      <c r="AN96">
        <f t="shared" si="50"/>
        <v>1</v>
      </c>
    </row>
    <row r="97" spans="1:40">
      <c r="A97" s="7">
        <v>39813</v>
      </c>
      <c r="B97" s="8">
        <v>95.622699999999995</v>
      </c>
      <c r="C97" s="8">
        <f t="shared" si="28"/>
        <v>-2.6270390735806339</v>
      </c>
      <c r="D97" s="9">
        <f t="shared" si="29"/>
        <v>-0.62675976839515846</v>
      </c>
      <c r="E97" s="8">
        <v>34.5</v>
      </c>
      <c r="F97" s="10">
        <f t="shared" si="30"/>
        <v>-8.6603995743953721</v>
      </c>
      <c r="G97" s="8">
        <v>-3.5609000000000002</v>
      </c>
      <c r="H97" s="10">
        <f t="shared" si="31"/>
        <v>-2.6079133499744467</v>
      </c>
      <c r="I97" s="10">
        <f t="shared" si="32"/>
        <v>-1.4149035110415875</v>
      </c>
      <c r="J97" s="1">
        <v>-2.58</v>
      </c>
      <c r="K97" s="10">
        <f t="shared" si="34"/>
        <v>-1.8571228669154494</v>
      </c>
      <c r="L97" s="8">
        <v>-6.6150000000000002</v>
      </c>
      <c r="M97" s="11">
        <f t="shared" si="35"/>
        <v>-5.8520458508388185</v>
      </c>
      <c r="N97" s="9">
        <f t="shared" si="33"/>
        <v>-1.20955010756467</v>
      </c>
      <c r="P97" s="29">
        <f t="shared" si="36"/>
        <v>-1.0255997579014602</v>
      </c>
      <c r="Q97" s="1" t="str">
        <f t="shared" si="48"/>
        <v>C</v>
      </c>
      <c r="R97" t="str">
        <f t="shared" si="38"/>
        <v>C</v>
      </c>
      <c r="S97" s="18">
        <f t="shared" si="37"/>
        <v>-6.8689543625140806E-2</v>
      </c>
      <c r="T97" t="str">
        <f t="shared" si="51"/>
        <v>C</v>
      </c>
      <c r="V97" s="1">
        <v>-120</v>
      </c>
      <c r="W97" s="1" t="e">
        <f t="shared" si="39"/>
        <v>#N/A</v>
      </c>
      <c r="X97" s="1" t="e">
        <f t="shared" si="40"/>
        <v>#N/A</v>
      </c>
      <c r="Y97" s="1">
        <f t="shared" si="41"/>
        <v>-1.0255997579014602</v>
      </c>
      <c r="Z97" s="1" t="e">
        <f t="shared" si="42"/>
        <v>#N/A</v>
      </c>
      <c r="AA97" s="1">
        <v>0</v>
      </c>
      <c r="AC97" s="31" t="e">
        <f t="shared" si="43"/>
        <v>#N/A</v>
      </c>
      <c r="AD97" s="31" t="e">
        <f t="shared" si="44"/>
        <v>#N/A</v>
      </c>
      <c r="AE97" s="31">
        <f t="shared" si="45"/>
        <v>-1.0255997579014602</v>
      </c>
      <c r="AF97" s="31" t="e">
        <f t="shared" si="46"/>
        <v>#N/A</v>
      </c>
      <c r="AL97" s="17">
        <f t="shared" si="47"/>
        <v>39813</v>
      </c>
      <c r="AM97">
        <f t="shared" si="49"/>
        <v>1</v>
      </c>
      <c r="AN97">
        <f t="shared" si="50"/>
        <v>1</v>
      </c>
    </row>
    <row r="98" spans="1:40">
      <c r="A98" s="7">
        <v>39843</v>
      </c>
      <c r="B98" s="8">
        <v>95.183599999999998</v>
      </c>
      <c r="C98" s="8">
        <f t="shared" si="28"/>
        <v>-3.2510069376101538</v>
      </c>
      <c r="D98" s="9">
        <f t="shared" si="29"/>
        <v>-0.78275173440253842</v>
      </c>
      <c r="E98" s="8">
        <v>36.4</v>
      </c>
      <c r="F98" s="10">
        <f t="shared" si="30"/>
        <v>-10.068185695692691</v>
      </c>
      <c r="G98" s="8">
        <v>-3.508</v>
      </c>
      <c r="H98" s="10">
        <f t="shared" si="31"/>
        <v>-2.8644380452317293</v>
      </c>
      <c r="I98" s="10">
        <f t="shared" si="32"/>
        <v>-1.4924650794718719</v>
      </c>
      <c r="J98" s="1">
        <v>-2.93</v>
      </c>
      <c r="K98" s="10">
        <f t="shared" si="34"/>
        <v>-2.1628928498445466</v>
      </c>
      <c r="L98" s="8">
        <v>-3.988</v>
      </c>
      <c r="M98" s="11">
        <f t="shared" si="35"/>
        <v>-5.3207927833497557</v>
      </c>
      <c r="N98" s="9">
        <f t="shared" si="33"/>
        <v>-1.1533421850593339</v>
      </c>
      <c r="P98" s="29">
        <f t="shared" si="36"/>
        <v>-1.0908556776421214</v>
      </c>
      <c r="Q98" s="1" t="str">
        <f t="shared" si="48"/>
        <v>C</v>
      </c>
      <c r="R98" t="str">
        <f t="shared" si="38"/>
        <v>C</v>
      </c>
      <c r="S98" s="18">
        <f t="shared" si="37"/>
        <v>-6.8689543625140806E-2</v>
      </c>
      <c r="T98" t="str">
        <f t="shared" si="51"/>
        <v>C</v>
      </c>
      <c r="V98" s="1">
        <v>-95.6</v>
      </c>
      <c r="W98" s="1" t="e">
        <f t="shared" si="39"/>
        <v>#N/A</v>
      </c>
      <c r="X98" s="1" t="e">
        <f t="shared" si="40"/>
        <v>#N/A</v>
      </c>
      <c r="Y98" s="1">
        <f t="shared" si="41"/>
        <v>-1.0908556776421214</v>
      </c>
      <c r="Z98" s="1" t="e">
        <f t="shared" si="42"/>
        <v>#N/A</v>
      </c>
      <c r="AA98" s="1">
        <v>0</v>
      </c>
      <c r="AC98" s="31" t="e">
        <f t="shared" si="43"/>
        <v>#N/A</v>
      </c>
      <c r="AD98" s="31" t="e">
        <f t="shared" si="44"/>
        <v>#N/A</v>
      </c>
      <c r="AE98" s="31">
        <f t="shared" si="45"/>
        <v>-1.0908556776421214</v>
      </c>
      <c r="AF98" s="31" t="e">
        <f t="shared" si="46"/>
        <v>#N/A</v>
      </c>
      <c r="AL98" s="17">
        <f t="shared" si="47"/>
        <v>39843</v>
      </c>
      <c r="AM98">
        <f t="shared" si="49"/>
        <v>1</v>
      </c>
      <c r="AN98">
        <f t="shared" si="50"/>
        <v>1</v>
      </c>
    </row>
    <row r="99" spans="1:40">
      <c r="A99" s="7">
        <v>39871</v>
      </c>
      <c r="B99" s="8">
        <v>94.984000000000009</v>
      </c>
      <c r="C99" s="8">
        <f t="shared" si="28"/>
        <v>-3.7540299603912577</v>
      </c>
      <c r="D99" s="9">
        <f t="shared" si="29"/>
        <v>-0.9085074900978144</v>
      </c>
      <c r="E99" s="8">
        <v>36.6</v>
      </c>
      <c r="F99" s="10">
        <f t="shared" si="30"/>
        <v>-11.017752772420273</v>
      </c>
      <c r="G99" s="8">
        <v>-2.4948999999999999</v>
      </c>
      <c r="H99" s="10">
        <f t="shared" si="31"/>
        <v>-2.7591197023406866</v>
      </c>
      <c r="I99" s="10">
        <f t="shared" si="32"/>
        <v>-1.4610598129931043</v>
      </c>
      <c r="J99" s="1">
        <v>-1.2</v>
      </c>
      <c r="K99" s="10">
        <f t="shared" si="34"/>
        <v>-1.8884683876388508</v>
      </c>
      <c r="L99" s="8">
        <v>-3.9750000000000001</v>
      </c>
      <c r="M99" s="11">
        <f t="shared" si="35"/>
        <v>-4.9372418400950755</v>
      </c>
      <c r="N99" s="9">
        <f t="shared" si="33"/>
        <v>-1.1109952565262233</v>
      </c>
      <c r="P99" s="29">
        <f t="shared" si="36"/>
        <v>-1.118268934640622</v>
      </c>
      <c r="Q99" s="1" t="str">
        <f t="shared" si="48"/>
        <v>C</v>
      </c>
      <c r="R99" t="str">
        <f t="shared" si="38"/>
        <v>C</v>
      </c>
      <c r="S99" s="18">
        <f t="shared" si="37"/>
        <v>-6.8689543625140806E-2</v>
      </c>
      <c r="T99" t="str">
        <f t="shared" si="51"/>
        <v>C</v>
      </c>
      <c r="V99" s="1">
        <v>-92.4</v>
      </c>
      <c r="W99" s="1" t="e">
        <f t="shared" si="39"/>
        <v>#N/A</v>
      </c>
      <c r="X99" s="1" t="e">
        <f t="shared" si="40"/>
        <v>#N/A</v>
      </c>
      <c r="Y99" s="1">
        <f t="shared" si="41"/>
        <v>-1.118268934640622</v>
      </c>
      <c r="Z99" s="1" t="e">
        <f t="shared" si="42"/>
        <v>#N/A</v>
      </c>
      <c r="AA99" s="1">
        <v>0</v>
      </c>
      <c r="AC99" s="31" t="e">
        <f t="shared" si="43"/>
        <v>#N/A</v>
      </c>
      <c r="AD99" s="31" t="e">
        <f t="shared" si="44"/>
        <v>#N/A</v>
      </c>
      <c r="AE99" s="31">
        <f t="shared" si="45"/>
        <v>-1.118268934640622</v>
      </c>
      <c r="AF99" s="31" t="e">
        <f t="shared" si="46"/>
        <v>#N/A</v>
      </c>
      <c r="AL99" s="17">
        <f t="shared" si="47"/>
        <v>39871</v>
      </c>
      <c r="AM99">
        <f t="shared" si="49"/>
        <v>1</v>
      </c>
      <c r="AN99">
        <f t="shared" si="50"/>
        <v>1</v>
      </c>
    </row>
    <row r="100" spans="1:40">
      <c r="A100" s="7">
        <v>39903</v>
      </c>
      <c r="B100" s="8">
        <v>95.041700000000006</v>
      </c>
      <c r="C100" s="8">
        <f t="shared" si="28"/>
        <v>-4.0972469216797478</v>
      </c>
      <c r="D100" s="9">
        <f t="shared" si="29"/>
        <v>-0.99431173041993692</v>
      </c>
      <c r="E100" s="8">
        <v>37.200000000000003</v>
      </c>
      <c r="F100" s="10">
        <f t="shared" si="30"/>
        <v>-11.525693232280496</v>
      </c>
      <c r="G100" s="8">
        <v>-2.5198999999999998</v>
      </c>
      <c r="H100" s="10">
        <f t="shared" si="31"/>
        <v>-2.6909420871735907</v>
      </c>
      <c r="I100" s="10">
        <f t="shared" si="32"/>
        <v>-1.4404091218880706</v>
      </c>
      <c r="J100" s="1">
        <v>-2.2599999999999998</v>
      </c>
      <c r="K100" s="10">
        <f t="shared" si="34"/>
        <v>-1.9943548971617782</v>
      </c>
      <c r="L100" s="8">
        <v>-3.819</v>
      </c>
      <c r="M100" s="11">
        <f t="shared" si="35"/>
        <v>-4.6185429156679794</v>
      </c>
      <c r="N100" s="9">
        <f t="shared" si="33"/>
        <v>-1.0745397754001453</v>
      </c>
      <c r="P100" s="29">
        <f t="shared" si="36"/>
        <v>-1.1411521291286768</v>
      </c>
      <c r="Q100" s="1" t="str">
        <f t="shared" si="48"/>
        <v>C</v>
      </c>
      <c r="R100" t="str">
        <f t="shared" si="38"/>
        <v>C</v>
      </c>
      <c r="S100" s="18">
        <f t="shared" si="37"/>
        <v>-6.8689543625140806E-2</v>
      </c>
      <c r="T100" t="str">
        <f t="shared" si="51"/>
        <v>C</v>
      </c>
      <c r="V100" s="1">
        <v>-81.5</v>
      </c>
      <c r="W100" s="1" t="e">
        <f t="shared" si="39"/>
        <v>#N/A</v>
      </c>
      <c r="X100" s="1" t="e">
        <f t="shared" si="40"/>
        <v>#N/A</v>
      </c>
      <c r="Y100" s="1">
        <f t="shared" si="41"/>
        <v>-1.1411521291286768</v>
      </c>
      <c r="Z100" s="1">
        <f t="shared" si="42"/>
        <v>-1.1411521291286768</v>
      </c>
      <c r="AA100" s="1">
        <v>0</v>
      </c>
      <c r="AC100" s="31" t="e">
        <f t="shared" si="43"/>
        <v>#N/A</v>
      </c>
      <c r="AD100" s="31" t="e">
        <f t="shared" si="44"/>
        <v>#N/A</v>
      </c>
      <c r="AE100" s="31">
        <f t="shared" si="45"/>
        <v>-1.1411521291286768</v>
      </c>
      <c r="AF100" s="31">
        <f t="shared" si="46"/>
        <v>-1.1411521291286768</v>
      </c>
      <c r="AL100" s="17">
        <f t="shared" si="47"/>
        <v>39903</v>
      </c>
      <c r="AM100">
        <f t="shared" si="49"/>
        <v>1</v>
      </c>
      <c r="AN100">
        <f t="shared" si="50"/>
        <v>1</v>
      </c>
    </row>
    <row r="101" spans="1:40">
      <c r="A101" s="7">
        <v>39933</v>
      </c>
      <c r="B101" s="8">
        <v>95.345200000000006</v>
      </c>
      <c r="C101" s="8">
        <f t="shared" si="28"/>
        <v>-4.2561495490010177</v>
      </c>
      <c r="D101" s="9">
        <f t="shared" si="29"/>
        <v>-1.0340373872502544</v>
      </c>
      <c r="E101" s="8">
        <v>39.9</v>
      </c>
      <c r="F101" s="10">
        <f t="shared" si="30"/>
        <v>-11.119370661080556</v>
      </c>
      <c r="G101" s="8">
        <v>-1.8884000000000001</v>
      </c>
      <c r="H101" s="10">
        <f t="shared" si="31"/>
        <v>-2.4622175923291172</v>
      </c>
      <c r="I101" s="10">
        <f t="shared" si="32"/>
        <v>-1.3691454975014641</v>
      </c>
      <c r="J101" s="1">
        <v>-1.56</v>
      </c>
      <c r="K101" s="10">
        <f t="shared" si="34"/>
        <v>-1.8705637514706714</v>
      </c>
      <c r="L101" s="8">
        <v>-2.4180000000000001</v>
      </c>
      <c r="M101" s="11">
        <f t="shared" si="35"/>
        <v>-3.9913881847026049</v>
      </c>
      <c r="N101" s="9">
        <f t="shared" si="33"/>
        <v>-0.9989229430620018</v>
      </c>
      <c r="P101" s="29">
        <f t="shared" si="36"/>
        <v>-1.1207933903278009</v>
      </c>
      <c r="Q101" s="1" t="str">
        <f t="shared" si="48"/>
        <v>R</v>
      </c>
      <c r="R101" t="str">
        <f t="shared" si="38"/>
        <v>C</v>
      </c>
      <c r="S101" s="18">
        <f t="shared" si="37"/>
        <v>-6.8689543625140806E-2</v>
      </c>
      <c r="T101" t="str">
        <f t="shared" si="51"/>
        <v>R</v>
      </c>
      <c r="V101" s="1">
        <v>-22.3</v>
      </c>
      <c r="W101" s="1" t="e">
        <f t="shared" si="39"/>
        <v>#N/A</v>
      </c>
      <c r="X101" s="1" t="e">
        <f t="shared" si="40"/>
        <v>#N/A</v>
      </c>
      <c r="Y101" s="1" t="e">
        <f t="shared" si="41"/>
        <v>#N/A</v>
      </c>
      <c r="Z101" s="1">
        <f t="shared" si="42"/>
        <v>-1.1207933903278009</v>
      </c>
      <c r="AA101" s="1">
        <v>0</v>
      </c>
      <c r="AC101" s="31" t="e">
        <f t="shared" si="43"/>
        <v>#N/A</v>
      </c>
      <c r="AD101" s="31" t="e">
        <f t="shared" si="44"/>
        <v>#N/A</v>
      </c>
      <c r="AE101" s="31" t="e">
        <f t="shared" si="45"/>
        <v>#N/A</v>
      </c>
      <c r="AF101" s="31">
        <f t="shared" si="46"/>
        <v>-1.1207933903278009</v>
      </c>
      <c r="AL101" s="17">
        <f t="shared" si="47"/>
        <v>39933</v>
      </c>
      <c r="AM101">
        <f t="shared" si="49"/>
        <v>2</v>
      </c>
      <c r="AN101">
        <f t="shared" si="50"/>
        <v>1</v>
      </c>
    </row>
    <row r="102" spans="1:40">
      <c r="A102" s="7">
        <v>39962</v>
      </c>
      <c r="B102" s="8">
        <v>95.846699999999998</v>
      </c>
      <c r="C102" s="8">
        <f t="shared" si="28"/>
        <v>-4.2268374275357283</v>
      </c>
      <c r="D102" s="9">
        <f t="shared" si="29"/>
        <v>-1.0267093568839321</v>
      </c>
      <c r="E102" s="8">
        <v>44.1</v>
      </c>
      <c r="F102" s="10">
        <f t="shared" si="30"/>
        <v>-9.6318500226725963</v>
      </c>
      <c r="G102" s="8">
        <v>-1.3744000000000001</v>
      </c>
      <c r="H102" s="10">
        <f t="shared" si="31"/>
        <v>-2.1521895785153187</v>
      </c>
      <c r="I102" s="10">
        <f t="shared" si="32"/>
        <v>-1.26703427993872</v>
      </c>
      <c r="J102" s="1">
        <v>-1.1299999999999999</v>
      </c>
      <c r="K102" s="10">
        <f t="shared" si="34"/>
        <v>-1.65950308230153</v>
      </c>
      <c r="L102" s="8">
        <v>-1.385</v>
      </c>
      <c r="M102" s="11">
        <f t="shared" si="35"/>
        <v>-3.2485675520623625</v>
      </c>
      <c r="N102" s="9">
        <f t="shared" si="33"/>
        <v>-0.90118915218481777</v>
      </c>
      <c r="P102" s="29">
        <f t="shared" si="36"/>
        <v>-1.0674202731245974</v>
      </c>
      <c r="Q102" s="1" t="str">
        <f t="shared" si="48"/>
        <v>R</v>
      </c>
      <c r="R102" t="str">
        <f t="shared" si="38"/>
        <v>R</v>
      </c>
      <c r="S102" s="18">
        <f t="shared" si="37"/>
        <v>-6.8689543625140806E-2</v>
      </c>
      <c r="T102" t="str">
        <f t="shared" si="51"/>
        <v>R</v>
      </c>
      <c r="V102" s="1">
        <v>68.599999999999994</v>
      </c>
      <c r="W102" s="1" t="e">
        <f t="shared" si="39"/>
        <v>#N/A</v>
      </c>
      <c r="X102" s="1" t="e">
        <f t="shared" si="40"/>
        <v>#N/A</v>
      </c>
      <c r="Y102" s="1" t="e">
        <f t="shared" si="41"/>
        <v>#N/A</v>
      </c>
      <c r="Z102" s="1">
        <f t="shared" si="42"/>
        <v>-1.0674202731245974</v>
      </c>
      <c r="AA102" s="1">
        <v>0</v>
      </c>
      <c r="AC102" s="31" t="e">
        <f t="shared" si="43"/>
        <v>#N/A</v>
      </c>
      <c r="AD102" s="31" t="e">
        <f t="shared" si="44"/>
        <v>#N/A</v>
      </c>
      <c r="AE102" s="31" t="e">
        <f t="shared" si="45"/>
        <v>#N/A</v>
      </c>
      <c r="AF102" s="31">
        <f t="shared" si="46"/>
        <v>-1.0674202731245974</v>
      </c>
      <c r="AL102" s="17">
        <f t="shared" si="47"/>
        <v>39962</v>
      </c>
      <c r="AM102">
        <f t="shared" si="49"/>
        <v>2</v>
      </c>
      <c r="AN102">
        <f t="shared" si="50"/>
        <v>2</v>
      </c>
    </row>
    <row r="103" spans="1:40">
      <c r="A103" s="7">
        <v>39994</v>
      </c>
      <c r="B103" s="8">
        <v>96.478099999999998</v>
      </c>
      <c r="C103" s="8">
        <f t="shared" si="28"/>
        <v>-4.025930260688046</v>
      </c>
      <c r="D103" s="9">
        <f t="shared" si="29"/>
        <v>-0.97648256517201149</v>
      </c>
      <c r="E103" s="8">
        <v>46.3</v>
      </c>
      <c r="F103" s="10">
        <f t="shared" si="30"/>
        <v>-7.9412727662109068</v>
      </c>
      <c r="G103" s="8">
        <v>-0.87839999999999996</v>
      </c>
      <c r="H103" s="10">
        <f t="shared" si="31"/>
        <v>-1.7891595486384526</v>
      </c>
      <c r="I103" s="10">
        <f t="shared" si="32"/>
        <v>-1.1375946877281073</v>
      </c>
      <c r="J103" s="1">
        <v>-0.88</v>
      </c>
      <c r="K103" s="10">
        <f t="shared" si="34"/>
        <v>-1.4373447038455938</v>
      </c>
      <c r="L103" s="8">
        <v>-1.5389999999999999</v>
      </c>
      <c r="M103" s="11">
        <f t="shared" si="35"/>
        <v>-2.7613407997245889</v>
      </c>
      <c r="N103" s="9">
        <f t="shared" si="33"/>
        <v>-0.83086412844167679</v>
      </c>
      <c r="P103" s="29">
        <f t="shared" si="36"/>
        <v>-0.99838939101790547</v>
      </c>
      <c r="Q103" s="1" t="str">
        <f t="shared" si="48"/>
        <v>R</v>
      </c>
      <c r="R103" t="str">
        <f t="shared" si="38"/>
        <v>R</v>
      </c>
      <c r="S103" s="18">
        <f t="shared" si="37"/>
        <v>-6.8689543625140806E-2</v>
      </c>
      <c r="T103" t="str">
        <f t="shared" si="51"/>
        <v>R</v>
      </c>
      <c r="V103" s="1">
        <v>78.099999999999994</v>
      </c>
      <c r="W103" s="1" t="e">
        <f t="shared" si="39"/>
        <v>#N/A</v>
      </c>
      <c r="X103" s="1" t="e">
        <f t="shared" si="40"/>
        <v>#N/A</v>
      </c>
      <c r="Y103" s="1" t="e">
        <f t="shared" si="41"/>
        <v>#N/A</v>
      </c>
      <c r="Z103" s="1">
        <f t="shared" si="42"/>
        <v>-0.99838939101790547</v>
      </c>
      <c r="AA103" s="1">
        <v>0</v>
      </c>
      <c r="AC103" s="31" t="e">
        <f t="shared" si="43"/>
        <v>#N/A</v>
      </c>
      <c r="AD103" s="31" t="e">
        <f t="shared" si="44"/>
        <v>#N/A</v>
      </c>
      <c r="AE103" s="31" t="e">
        <f t="shared" si="45"/>
        <v>#N/A</v>
      </c>
      <c r="AF103" s="31">
        <f t="shared" si="46"/>
        <v>-0.99838939101790547</v>
      </c>
      <c r="AL103" s="17">
        <f t="shared" si="47"/>
        <v>39994</v>
      </c>
      <c r="AM103">
        <f t="shared" si="49"/>
        <v>2</v>
      </c>
      <c r="AN103">
        <f t="shared" si="50"/>
        <v>2</v>
      </c>
    </row>
    <row r="104" spans="1:40">
      <c r="A104" s="7">
        <v>40025</v>
      </c>
      <c r="B104" s="8">
        <v>97.174999999999997</v>
      </c>
      <c r="C104" s="8">
        <f t="shared" si="28"/>
        <v>-3.6836651363919537</v>
      </c>
      <c r="D104" s="9">
        <f t="shared" si="29"/>
        <v>-0.8909162840979884</v>
      </c>
      <c r="E104" s="8">
        <v>49.7</v>
      </c>
      <c r="F104" s="10">
        <f t="shared" si="30"/>
        <v>-5.7635100278407974</v>
      </c>
      <c r="G104" s="8">
        <v>0.1487</v>
      </c>
      <c r="H104" s="10">
        <f t="shared" si="31"/>
        <v>-1.2368695772764935</v>
      </c>
      <c r="I104" s="10">
        <f t="shared" si="32"/>
        <v>-0.91214638302540618</v>
      </c>
      <c r="J104" s="1">
        <v>0.14000000000000001</v>
      </c>
      <c r="K104" s="10">
        <f t="shared" si="34"/>
        <v>-0.9878014632495995</v>
      </c>
      <c r="L104" s="8">
        <v>-1.2210000000000001</v>
      </c>
      <c r="M104" s="11">
        <f t="shared" si="35"/>
        <v>-2.3223436718030812</v>
      </c>
      <c r="N104" s="9">
        <f t="shared" si="33"/>
        <v>-0.76196188746601379</v>
      </c>
      <c r="P104" s="29">
        <f t="shared" si="36"/>
        <v>-0.88353027855447719</v>
      </c>
      <c r="Q104" s="1" t="str">
        <f t="shared" si="48"/>
        <v>R</v>
      </c>
      <c r="R104" t="str">
        <f t="shared" si="38"/>
        <v>R</v>
      </c>
      <c r="S104" s="18">
        <f t="shared" si="37"/>
        <v>-6.8689543625140806E-2</v>
      </c>
      <c r="T104" t="str">
        <f t="shared" si="51"/>
        <v>R</v>
      </c>
      <c r="V104" s="1">
        <v>48.7</v>
      </c>
      <c r="W104" s="1" t="e">
        <f t="shared" si="39"/>
        <v>#N/A</v>
      </c>
      <c r="X104" s="1" t="e">
        <f t="shared" si="40"/>
        <v>#N/A</v>
      </c>
      <c r="Y104" s="1" t="e">
        <f t="shared" si="41"/>
        <v>#N/A</v>
      </c>
      <c r="Z104" s="1">
        <f t="shared" si="42"/>
        <v>-0.88353027855447719</v>
      </c>
      <c r="AA104" s="1">
        <v>0</v>
      </c>
      <c r="AC104" s="31" t="e">
        <f t="shared" si="43"/>
        <v>#N/A</v>
      </c>
      <c r="AD104" s="31" t="e">
        <f t="shared" si="44"/>
        <v>#N/A</v>
      </c>
      <c r="AE104" s="31" t="e">
        <f t="shared" si="45"/>
        <v>#N/A</v>
      </c>
      <c r="AF104" s="31">
        <f t="shared" si="46"/>
        <v>-0.88353027855447719</v>
      </c>
      <c r="AL104" s="17">
        <f t="shared" si="47"/>
        <v>40025</v>
      </c>
      <c r="AM104">
        <f t="shared" si="49"/>
        <v>2</v>
      </c>
      <c r="AN104">
        <f t="shared" si="50"/>
        <v>2</v>
      </c>
    </row>
    <row r="105" spans="1:40">
      <c r="A105" s="7">
        <v>40056</v>
      </c>
      <c r="B105" s="8">
        <v>97.883900000000011</v>
      </c>
      <c r="C105" s="8">
        <f t="shared" si="28"/>
        <v>-3.2369090725202438</v>
      </c>
      <c r="D105" s="9">
        <f t="shared" si="29"/>
        <v>-0.77922726813006093</v>
      </c>
      <c r="E105" s="8">
        <v>53.4</v>
      </c>
      <c r="F105" s="10">
        <f t="shared" si="30"/>
        <v>-3.1519096699061699</v>
      </c>
      <c r="G105" s="8">
        <v>0.14510000000000001</v>
      </c>
      <c r="H105" s="10">
        <f t="shared" si="31"/>
        <v>-0.84300824775269279</v>
      </c>
      <c r="I105" s="10">
        <f t="shared" si="32"/>
        <v>-0.64300824775269283</v>
      </c>
      <c r="J105" s="1">
        <v>0</v>
      </c>
      <c r="K105" s="10">
        <f t="shared" si="34"/>
        <v>-0.70627804622346357</v>
      </c>
      <c r="L105" s="8">
        <v>-1.0569999999999999</v>
      </c>
      <c r="M105" s="11">
        <f t="shared" si="35"/>
        <v>-1.9617207253392031</v>
      </c>
      <c r="N105" s="9">
        <f t="shared" si="33"/>
        <v>-0.70030720497136167</v>
      </c>
      <c r="P105" s="29">
        <f t="shared" si="36"/>
        <v>-0.74474391227401426</v>
      </c>
      <c r="Q105" s="1" t="str">
        <f t="shared" si="48"/>
        <v>R</v>
      </c>
      <c r="R105" t="str">
        <f t="shared" si="38"/>
        <v>R</v>
      </c>
      <c r="S105" s="18">
        <f t="shared" si="37"/>
        <v>-6.8689543625140806E-2</v>
      </c>
      <c r="T105" t="str">
        <f t="shared" si="51"/>
        <v>R</v>
      </c>
      <c r="V105" s="1">
        <v>55</v>
      </c>
      <c r="W105" s="1" t="e">
        <f t="shared" si="39"/>
        <v>#N/A</v>
      </c>
      <c r="X105" s="1" t="e">
        <f t="shared" si="40"/>
        <v>#N/A</v>
      </c>
      <c r="Y105" s="1" t="e">
        <f t="shared" si="41"/>
        <v>#N/A</v>
      </c>
      <c r="Z105" s="1">
        <f t="shared" si="42"/>
        <v>-0.74474391227401426</v>
      </c>
      <c r="AA105" s="1">
        <v>0</v>
      </c>
      <c r="AC105" s="31" t="e">
        <f t="shared" si="43"/>
        <v>#N/A</v>
      </c>
      <c r="AD105" s="31" t="e">
        <f t="shared" si="44"/>
        <v>#N/A</v>
      </c>
      <c r="AE105" s="31" t="e">
        <f t="shared" si="45"/>
        <v>#N/A</v>
      </c>
      <c r="AF105" s="31">
        <f t="shared" si="46"/>
        <v>-0.74474391227401426</v>
      </c>
      <c r="AL105" s="17">
        <f t="shared" si="47"/>
        <v>40056</v>
      </c>
      <c r="AM105">
        <f t="shared" si="49"/>
        <v>2</v>
      </c>
      <c r="AN105">
        <f t="shared" si="50"/>
        <v>2</v>
      </c>
    </row>
    <row r="106" spans="1:40">
      <c r="A106" s="7">
        <v>40086</v>
      </c>
      <c r="B106" s="8">
        <v>98.5625</v>
      </c>
      <c r="C106" s="8">
        <f t="shared" si="28"/>
        <v>-2.7240774868519742</v>
      </c>
      <c r="D106" s="9">
        <f t="shared" si="29"/>
        <v>-0.65101937171299351</v>
      </c>
      <c r="E106" s="8">
        <v>54.9</v>
      </c>
      <c r="F106" s="10">
        <f t="shared" si="30"/>
        <v>-0.85711541398291158</v>
      </c>
      <c r="G106" s="8">
        <v>-0.105</v>
      </c>
      <c r="H106" s="10">
        <f t="shared" si="31"/>
        <v>-0.63267589714317529</v>
      </c>
      <c r="I106" s="10">
        <f t="shared" si="32"/>
        <v>-0.43267589714317528</v>
      </c>
      <c r="J106" s="1">
        <v>-0.24</v>
      </c>
      <c r="K106" s="10">
        <f t="shared" si="34"/>
        <v>-0.57338880304977646</v>
      </c>
      <c r="L106" s="8">
        <v>-0.72399999999999998</v>
      </c>
      <c r="M106" s="11">
        <f t="shared" si="35"/>
        <v>-1.6089703186175301</v>
      </c>
      <c r="N106" s="9">
        <f t="shared" si="33"/>
        <v>-0.63422596892147398</v>
      </c>
      <c r="P106" s="29">
        <f t="shared" si="36"/>
        <v>-0.61537637806490342</v>
      </c>
      <c r="Q106" s="1" t="str">
        <f t="shared" si="48"/>
        <v>R</v>
      </c>
      <c r="R106" t="str">
        <f t="shared" si="38"/>
        <v>R</v>
      </c>
      <c r="S106" s="18">
        <f t="shared" si="37"/>
        <v>-6.8689543625140806E-2</v>
      </c>
      <c r="T106" t="str">
        <f t="shared" si="51"/>
        <v>R</v>
      </c>
      <c r="V106" s="1">
        <v>61.3</v>
      </c>
      <c r="W106" s="1" t="e">
        <f t="shared" si="39"/>
        <v>#N/A</v>
      </c>
      <c r="X106" s="1" t="e">
        <f t="shared" si="40"/>
        <v>#N/A</v>
      </c>
      <c r="Y106" s="1" t="e">
        <f t="shared" si="41"/>
        <v>#N/A</v>
      </c>
      <c r="Z106" s="1">
        <f t="shared" si="42"/>
        <v>-0.61537637806490342</v>
      </c>
      <c r="AA106" s="1">
        <v>0</v>
      </c>
      <c r="AC106" s="31" t="e">
        <f t="shared" si="43"/>
        <v>#N/A</v>
      </c>
      <c r="AD106" s="31" t="e">
        <f t="shared" si="44"/>
        <v>#N/A</v>
      </c>
      <c r="AE106" s="31" t="e">
        <f t="shared" si="45"/>
        <v>#N/A</v>
      </c>
      <c r="AF106" s="31">
        <f t="shared" si="46"/>
        <v>-0.61537637806490342</v>
      </c>
      <c r="AL106" s="17">
        <f t="shared" si="47"/>
        <v>40086</v>
      </c>
      <c r="AM106">
        <f t="shared" si="49"/>
        <v>2</v>
      </c>
      <c r="AN106">
        <f t="shared" si="50"/>
        <v>2</v>
      </c>
    </row>
    <row r="107" spans="1:40">
      <c r="A107" s="7">
        <v>40116</v>
      </c>
      <c r="B107" s="8">
        <v>99.167200000000008</v>
      </c>
      <c r="C107" s="8">
        <f t="shared" si="28"/>
        <v>-2.1850634030991589</v>
      </c>
      <c r="D107" s="9">
        <f t="shared" si="29"/>
        <v>-0.5162658507747897</v>
      </c>
      <c r="E107" s="8">
        <v>57.6</v>
      </c>
      <c r="F107" s="10">
        <f t="shared" si="30"/>
        <v>1.5531624790022192</v>
      </c>
      <c r="G107" s="8">
        <v>-6.4100000000000004E-2</v>
      </c>
      <c r="H107" s="10">
        <f t="shared" si="31"/>
        <v>-0.47063176645737032</v>
      </c>
      <c r="I107" s="10">
        <f t="shared" si="32"/>
        <v>-0.2706317664573703</v>
      </c>
      <c r="J107" s="1">
        <v>-0.28999999999999998</v>
      </c>
      <c r="K107" s="10">
        <f t="shared" si="34"/>
        <v>-0.49262299418059013</v>
      </c>
      <c r="L107" s="8">
        <v>-0.76700000000000002</v>
      </c>
      <c r="M107" s="11">
        <f t="shared" si="35"/>
        <v>-1.3690087778115341</v>
      </c>
      <c r="N107" s="9">
        <f t="shared" si="33"/>
        <v>-0.58502324266039507</v>
      </c>
      <c r="P107" s="29">
        <f t="shared" si="36"/>
        <v>-0.50222479361025296</v>
      </c>
      <c r="Q107" s="1" t="str">
        <f t="shared" si="48"/>
        <v>R</v>
      </c>
      <c r="R107" t="str">
        <f t="shared" si="38"/>
        <v>R</v>
      </c>
      <c r="S107" s="18">
        <f t="shared" si="37"/>
        <v>-6.8689543625140806E-2</v>
      </c>
      <c r="T107" t="str">
        <f t="shared" si="51"/>
        <v>R</v>
      </c>
      <c r="V107" s="1">
        <v>43.2</v>
      </c>
      <c r="W107" s="1" t="e">
        <f t="shared" si="39"/>
        <v>#N/A</v>
      </c>
      <c r="X107" s="1" t="e">
        <f t="shared" si="40"/>
        <v>#N/A</v>
      </c>
      <c r="Y107" s="1" t="e">
        <f t="shared" si="41"/>
        <v>#N/A</v>
      </c>
      <c r="Z107" s="1">
        <f t="shared" si="42"/>
        <v>-0.50222479361025296</v>
      </c>
      <c r="AA107" s="1">
        <v>0</v>
      </c>
      <c r="AC107" s="31" t="e">
        <f t="shared" si="43"/>
        <v>#N/A</v>
      </c>
      <c r="AD107" s="31" t="e">
        <f t="shared" si="44"/>
        <v>#N/A</v>
      </c>
      <c r="AE107" s="31" t="e">
        <f t="shared" si="45"/>
        <v>#N/A</v>
      </c>
      <c r="AF107" s="31">
        <f t="shared" si="46"/>
        <v>-0.50222479361025296</v>
      </c>
      <c r="AL107" s="17">
        <f t="shared" si="47"/>
        <v>40116</v>
      </c>
      <c r="AM107">
        <f t="shared" si="49"/>
        <v>2</v>
      </c>
      <c r="AN107">
        <f t="shared" si="50"/>
        <v>2</v>
      </c>
    </row>
    <row r="108" spans="1:40">
      <c r="A108" s="7">
        <v>40147</v>
      </c>
      <c r="B108" s="8">
        <v>99.671000000000006</v>
      </c>
      <c r="C108" s="8">
        <f t="shared" si="28"/>
        <v>-1.6560853332158967</v>
      </c>
      <c r="D108" s="9">
        <f t="shared" si="29"/>
        <v>-0.38402133330397414</v>
      </c>
      <c r="E108" s="8">
        <v>55.4</v>
      </c>
      <c r="F108" s="10">
        <f t="shared" si="30"/>
        <v>2.6495111724865863</v>
      </c>
      <c r="G108" s="8">
        <v>0.11070000000000001</v>
      </c>
      <c r="H108" s="10">
        <f t="shared" si="31"/>
        <v>-0.30495221301701975</v>
      </c>
      <c r="I108" s="10">
        <f t="shared" si="32"/>
        <v>-0.10495221301701974</v>
      </c>
      <c r="J108" s="1">
        <v>0.05</v>
      </c>
      <c r="K108" s="10">
        <f t="shared" si="34"/>
        <v>-0.33797544083912195</v>
      </c>
      <c r="L108" s="8">
        <v>-0.72099999999999997</v>
      </c>
      <c r="M108" s="11">
        <f t="shared" si="35"/>
        <v>-1.1843262761352469</v>
      </c>
      <c r="N108" s="9">
        <f t="shared" si="33"/>
        <v>-0.54413377861865153</v>
      </c>
      <c r="P108" s="29">
        <f t="shared" si="36"/>
        <v>-0.3884506141368203</v>
      </c>
      <c r="Q108" s="1" t="str">
        <f t="shared" si="48"/>
        <v>R</v>
      </c>
      <c r="R108" t="str">
        <f t="shared" si="38"/>
        <v>R</v>
      </c>
      <c r="S108" s="18">
        <f t="shared" si="37"/>
        <v>-6.8689543625140806E-2</v>
      </c>
      <c r="T108" t="str">
        <f t="shared" si="51"/>
        <v>R</v>
      </c>
      <c r="V108" s="1">
        <v>25.3</v>
      </c>
      <c r="W108" s="1" t="e">
        <f t="shared" si="39"/>
        <v>#N/A</v>
      </c>
      <c r="X108" s="1" t="e">
        <f t="shared" si="40"/>
        <v>#N/A</v>
      </c>
      <c r="Y108" s="1" t="e">
        <f t="shared" si="41"/>
        <v>#N/A</v>
      </c>
      <c r="Z108" s="1">
        <f t="shared" si="42"/>
        <v>-0.3884506141368203</v>
      </c>
      <c r="AA108" s="1">
        <v>0</v>
      </c>
      <c r="AC108" s="31" t="e">
        <f t="shared" si="43"/>
        <v>#N/A</v>
      </c>
      <c r="AD108" s="31" t="e">
        <f t="shared" si="44"/>
        <v>#N/A</v>
      </c>
      <c r="AE108" s="31" t="e">
        <f t="shared" si="45"/>
        <v>#N/A</v>
      </c>
      <c r="AF108" s="31">
        <f t="shared" si="46"/>
        <v>-0.3884506141368203</v>
      </c>
      <c r="AL108" s="17">
        <f t="shared" si="47"/>
        <v>40147</v>
      </c>
      <c r="AM108">
        <f t="shared" si="49"/>
        <v>2</v>
      </c>
      <c r="AN108">
        <f t="shared" si="50"/>
        <v>2</v>
      </c>
    </row>
    <row r="109" spans="1:40">
      <c r="A109" s="7">
        <v>40178</v>
      </c>
      <c r="B109" s="8">
        <v>100.06280000000001</v>
      </c>
      <c r="C109" s="8">
        <f t="shared" si="28"/>
        <v>-1.1662030132493633</v>
      </c>
      <c r="D109" s="9">
        <f t="shared" si="29"/>
        <v>-0.26155075331234079</v>
      </c>
      <c r="E109" s="8">
        <v>55.8</v>
      </c>
      <c r="F109" s="10">
        <f t="shared" si="30"/>
        <v>3.5474004883279084</v>
      </c>
      <c r="G109" s="8">
        <v>-8.0100000000000005E-2</v>
      </c>
      <c r="H109" s="10">
        <f t="shared" si="31"/>
        <v>-0.24086933230716912</v>
      </c>
      <c r="I109" s="10">
        <f t="shared" si="32"/>
        <v>-4.0869332307169104E-2</v>
      </c>
      <c r="J109" s="1">
        <v>-0.32</v>
      </c>
      <c r="K109" s="10">
        <f t="shared" si="34"/>
        <v>-0.33285244019997218</v>
      </c>
      <c r="L109" s="8">
        <v>-0.32500000000000001</v>
      </c>
      <c r="M109" s="11">
        <f t="shared" si="35"/>
        <v>-0.93941828743670142</v>
      </c>
      <c r="N109" s="9">
        <f t="shared" si="33"/>
        <v>-0.46970914371835071</v>
      </c>
      <c r="P109" s="29">
        <f t="shared" si="36"/>
        <v>-0.29819993644316467</v>
      </c>
      <c r="Q109" s="1" t="str">
        <f t="shared" si="48"/>
        <v>R</v>
      </c>
      <c r="R109" t="str">
        <f t="shared" si="38"/>
        <v>R</v>
      </c>
      <c r="S109" s="18">
        <f t="shared" si="37"/>
        <v>-6.8689543625140806E-2</v>
      </c>
      <c r="T109" t="str">
        <f t="shared" si="51"/>
        <v>R</v>
      </c>
      <c r="V109" s="1">
        <v>-15.5</v>
      </c>
      <c r="W109" s="1" t="e">
        <f t="shared" si="39"/>
        <v>#N/A</v>
      </c>
      <c r="X109" s="1" t="e">
        <f t="shared" si="40"/>
        <v>#N/A</v>
      </c>
      <c r="Y109" s="1" t="e">
        <f t="shared" si="41"/>
        <v>#N/A</v>
      </c>
      <c r="Z109" s="1">
        <f t="shared" si="42"/>
        <v>-0.29819993644316467</v>
      </c>
      <c r="AA109" s="1">
        <v>0</v>
      </c>
      <c r="AC109" s="31" t="e">
        <f t="shared" si="43"/>
        <v>#N/A</v>
      </c>
      <c r="AD109" s="31" t="e">
        <f t="shared" si="44"/>
        <v>#N/A</v>
      </c>
      <c r="AE109" s="31" t="e">
        <f t="shared" si="45"/>
        <v>#N/A</v>
      </c>
      <c r="AF109" s="31">
        <f t="shared" si="46"/>
        <v>-0.29819993644316467</v>
      </c>
      <c r="AL109" s="17">
        <f t="shared" si="47"/>
        <v>40178</v>
      </c>
      <c r="AM109">
        <f t="shared" si="49"/>
        <v>2</v>
      </c>
      <c r="AN109">
        <f t="shared" si="50"/>
        <v>2</v>
      </c>
    </row>
    <row r="110" spans="1:40">
      <c r="A110" s="7">
        <v>40207</v>
      </c>
      <c r="B110" s="8">
        <v>100.35499999999999</v>
      </c>
      <c r="C110" s="8">
        <f t="shared" si="28"/>
        <v>-0.73266015447329758</v>
      </c>
      <c r="D110" s="9">
        <f t="shared" si="29"/>
        <v>-0.1531650386183244</v>
      </c>
      <c r="E110" s="8">
        <v>56.3</v>
      </c>
      <c r="F110" s="10">
        <f t="shared" si="30"/>
        <v>4.3318913491544535</v>
      </c>
      <c r="G110" s="8">
        <v>3.0099999999999998E-2</v>
      </c>
      <c r="H110" s="10">
        <f t="shared" si="31"/>
        <v>-0.16364307259962593</v>
      </c>
      <c r="I110" s="10">
        <f t="shared" si="32"/>
        <v>3.6356927400374078E-2</v>
      </c>
      <c r="J110" s="1">
        <v>0.16</v>
      </c>
      <c r="K110" s="10">
        <f t="shared" si="34"/>
        <v>-0.19238949474298009</v>
      </c>
      <c r="L110" s="8">
        <v>-0.48</v>
      </c>
      <c r="M110" s="11">
        <f t="shared" si="35"/>
        <v>-0.80848407551724155</v>
      </c>
      <c r="N110" s="9">
        <f t="shared" si="33"/>
        <v>-0.40424203775862078</v>
      </c>
      <c r="P110" s="29">
        <f t="shared" si="36"/>
        <v>-0.2098119545568625</v>
      </c>
      <c r="Q110" s="1" t="str">
        <f t="shared" si="48"/>
        <v>R</v>
      </c>
      <c r="R110" t="str">
        <f t="shared" si="38"/>
        <v>R</v>
      </c>
      <c r="S110" s="18">
        <f t="shared" si="37"/>
        <v>-6.8689543625140806E-2</v>
      </c>
      <c r="T110" t="str">
        <f t="shared" si="51"/>
        <v>R</v>
      </c>
      <c r="V110" s="1">
        <v>10.3</v>
      </c>
      <c r="W110" s="1" t="e">
        <f t="shared" si="39"/>
        <v>#N/A</v>
      </c>
      <c r="X110" s="1" t="e">
        <f t="shared" si="40"/>
        <v>#N/A</v>
      </c>
      <c r="Y110" s="1" t="e">
        <f t="shared" si="41"/>
        <v>#N/A</v>
      </c>
      <c r="Z110" s="1">
        <f t="shared" si="42"/>
        <v>-0.2098119545568625</v>
      </c>
      <c r="AA110" s="1">
        <v>0</v>
      </c>
      <c r="AC110" s="31" t="e">
        <f t="shared" si="43"/>
        <v>#N/A</v>
      </c>
      <c r="AD110" s="31" t="e">
        <f t="shared" si="44"/>
        <v>#N/A</v>
      </c>
      <c r="AE110" s="31" t="e">
        <f t="shared" si="45"/>
        <v>#N/A</v>
      </c>
      <c r="AF110" s="31">
        <f t="shared" si="46"/>
        <v>-0.2098119545568625</v>
      </c>
      <c r="AL110" s="17">
        <f t="shared" si="47"/>
        <v>40207</v>
      </c>
      <c r="AM110">
        <f t="shared" si="49"/>
        <v>2</v>
      </c>
      <c r="AN110">
        <f t="shared" si="50"/>
        <v>2</v>
      </c>
    </row>
    <row r="111" spans="1:40">
      <c r="A111" s="7">
        <v>40235</v>
      </c>
      <c r="B111" s="8">
        <v>100.56609999999999</v>
      </c>
      <c r="C111" s="8">
        <f t="shared" si="28"/>
        <v>-0.36251351044841018</v>
      </c>
      <c r="D111" s="9">
        <f t="shared" si="29"/>
        <v>-6.0628377612102546E-2</v>
      </c>
      <c r="E111" s="8">
        <v>55.5</v>
      </c>
      <c r="F111" s="10">
        <f t="shared" si="30"/>
        <v>4.664802314645434</v>
      </c>
      <c r="G111" s="8">
        <v>1.01E-2</v>
      </c>
      <c r="H111" s="10">
        <f t="shared" si="31"/>
        <v>-0.11412629690873254</v>
      </c>
      <c r="I111" s="10">
        <f t="shared" si="32"/>
        <v>8.5873703091267475E-2</v>
      </c>
      <c r="J111" s="1">
        <v>-0.36</v>
      </c>
      <c r="K111" s="10">
        <f t="shared" si="34"/>
        <v>-0.24015848874123075</v>
      </c>
      <c r="L111" s="8">
        <v>-0.40799999999999997</v>
      </c>
      <c r="M111" s="11">
        <f t="shared" si="35"/>
        <v>-0.69434611399482771</v>
      </c>
      <c r="N111" s="9">
        <f t="shared" si="33"/>
        <v>-0.34717305699741385</v>
      </c>
      <c r="P111" s="29">
        <f t="shared" si="36"/>
        <v>-0.13815479750815693</v>
      </c>
      <c r="Q111" s="1" t="str">
        <f t="shared" si="48"/>
        <v>R</v>
      </c>
      <c r="R111" t="str">
        <f t="shared" si="38"/>
        <v>R</v>
      </c>
      <c r="S111" s="18">
        <f t="shared" si="37"/>
        <v>-6.8689543625140806E-2</v>
      </c>
      <c r="T111" t="str">
        <f t="shared" si="51"/>
        <v>R</v>
      </c>
      <c r="V111" s="1">
        <v>-45</v>
      </c>
      <c r="W111" s="1" t="e">
        <f t="shared" si="39"/>
        <v>#N/A</v>
      </c>
      <c r="X111" s="1" t="e">
        <f t="shared" si="40"/>
        <v>#N/A</v>
      </c>
      <c r="Y111" s="1" t="e">
        <f t="shared" si="41"/>
        <v>#N/A</v>
      </c>
      <c r="Z111" s="1">
        <f t="shared" si="42"/>
        <v>-0.13815479750815693</v>
      </c>
      <c r="AA111" s="1">
        <v>0</v>
      </c>
      <c r="AC111" s="31" t="e">
        <f t="shared" si="43"/>
        <v>#N/A</v>
      </c>
      <c r="AD111" s="31" t="e">
        <f t="shared" si="44"/>
        <v>#N/A</v>
      </c>
      <c r="AE111" s="31" t="e">
        <f t="shared" si="45"/>
        <v>#N/A</v>
      </c>
      <c r="AF111" s="31">
        <f t="shared" si="46"/>
        <v>-0.13815479750815693</v>
      </c>
      <c r="AL111" s="17">
        <f t="shared" si="47"/>
        <v>40235</v>
      </c>
      <c r="AM111">
        <f t="shared" si="49"/>
        <v>2</v>
      </c>
      <c r="AN111">
        <f t="shared" si="50"/>
        <v>2</v>
      </c>
    </row>
    <row r="112" spans="1:40">
      <c r="A112" s="7">
        <v>40268</v>
      </c>
      <c r="B112" s="8">
        <v>100.7197</v>
      </c>
      <c r="C112" s="8">
        <f t="shared" si="28"/>
        <v>-5.4082659970612346E-2</v>
      </c>
      <c r="D112" s="9">
        <f t="shared" si="29"/>
        <v>1.6479335007346912E-2</v>
      </c>
      <c r="E112" s="8">
        <v>58.8</v>
      </c>
      <c r="F112" s="10">
        <f t="shared" si="30"/>
        <v>5.8433336549714845</v>
      </c>
      <c r="G112" s="8">
        <v>0.60250000000000004</v>
      </c>
      <c r="H112" s="10">
        <f t="shared" si="31"/>
        <v>9.0112197710256262E-2</v>
      </c>
      <c r="I112" s="10">
        <f t="shared" si="32"/>
        <v>0.29011219771025626</v>
      </c>
      <c r="J112" s="1">
        <v>0.47</v>
      </c>
      <c r="K112" s="10">
        <f t="shared" si="34"/>
        <v>-3.776331944997996E-2</v>
      </c>
      <c r="L112" s="8">
        <v>5.0999999999999997E-2</v>
      </c>
      <c r="M112" s="11">
        <f t="shared" si="35"/>
        <v>-0.48192247150630174</v>
      </c>
      <c r="N112" s="9">
        <f t="shared" si="33"/>
        <v>-0.24096123575315087</v>
      </c>
      <c r="P112" s="29">
        <f t="shared" si="36"/>
        <v>-3.8258052183323863E-3</v>
      </c>
      <c r="Q112" s="1" t="str">
        <f t="shared" si="48"/>
        <v>R</v>
      </c>
      <c r="R112" t="str">
        <f t="shared" si="38"/>
        <v>R</v>
      </c>
      <c r="S112" s="18">
        <f t="shared" si="37"/>
        <v>-6.8689543625140806E-2</v>
      </c>
      <c r="T112" t="str">
        <f t="shared" si="51"/>
        <v>R</v>
      </c>
      <c r="V112" s="1">
        <v>7.7</v>
      </c>
      <c r="W112" s="1">
        <f t="shared" si="39"/>
        <v>-3.8258052183323863E-3</v>
      </c>
      <c r="X112" s="1" t="e">
        <f t="shared" si="40"/>
        <v>#N/A</v>
      </c>
      <c r="Y112" s="1" t="e">
        <f t="shared" si="41"/>
        <v>#N/A</v>
      </c>
      <c r="Z112" s="1">
        <f t="shared" si="42"/>
        <v>-3.8258052183323863E-3</v>
      </c>
      <c r="AA112" s="1">
        <v>0</v>
      </c>
      <c r="AC112" s="31">
        <f t="shared" si="43"/>
        <v>-3.8258052183323863E-3</v>
      </c>
      <c r="AD112" s="31" t="e">
        <f t="shared" si="44"/>
        <v>#N/A</v>
      </c>
      <c r="AE112" s="31" t="e">
        <f t="shared" si="45"/>
        <v>#N/A</v>
      </c>
      <c r="AF112" s="31">
        <f t="shared" si="46"/>
        <v>-3.8258052183323863E-3</v>
      </c>
      <c r="AL112" s="17">
        <f t="shared" si="47"/>
        <v>40268</v>
      </c>
      <c r="AM112">
        <f t="shared" si="49"/>
        <v>2</v>
      </c>
      <c r="AN112">
        <f t="shared" si="50"/>
        <v>2</v>
      </c>
    </row>
    <row r="113" spans="1:40">
      <c r="A113" s="7">
        <v>40298</v>
      </c>
      <c r="B113" s="8">
        <v>100.8289</v>
      </c>
      <c r="C113" s="8">
        <f t="shared" si="28"/>
        <v>0.19756739812101348</v>
      </c>
      <c r="D113" s="9">
        <f t="shared" si="29"/>
        <v>7.9391849530253369E-2</v>
      </c>
      <c r="E113" s="8">
        <v>58.1</v>
      </c>
      <c r="F113" s="10">
        <f t="shared" si="30"/>
        <v>6.4864835633046116</v>
      </c>
      <c r="G113" s="8">
        <v>0.76819999999999999</v>
      </c>
      <c r="H113" s="10">
        <f t="shared" si="31"/>
        <v>0.28336722136283321</v>
      </c>
      <c r="I113" s="10">
        <f t="shared" si="32"/>
        <v>0.48336722136283322</v>
      </c>
      <c r="J113" s="1">
        <v>0.37</v>
      </c>
      <c r="K113" s="10">
        <f t="shared" si="34"/>
        <v>7.8449226593264337E-2</v>
      </c>
      <c r="L113" s="8">
        <v>-0.21299999999999999</v>
      </c>
      <c r="M113" s="11">
        <f t="shared" si="35"/>
        <v>-0.40527956712700575</v>
      </c>
      <c r="N113" s="9">
        <f t="shared" si="33"/>
        <v>-0.20263978356350287</v>
      </c>
      <c r="P113" s="29">
        <f t="shared" si="36"/>
        <v>9.9068924268892425E-2</v>
      </c>
      <c r="Q113" s="1" t="str">
        <f t="shared" si="48"/>
        <v>E</v>
      </c>
      <c r="R113" t="str">
        <f t="shared" si="38"/>
        <v>E</v>
      </c>
      <c r="S113" s="18">
        <f t="shared" si="37"/>
        <v>9.9068924268892425E-2</v>
      </c>
      <c r="T113" t="str">
        <f t="shared" si="51"/>
        <v>E</v>
      </c>
      <c r="V113" s="1">
        <v>64.2</v>
      </c>
      <c r="W113" s="1">
        <f t="shared" si="39"/>
        <v>9.9068924268892425E-2</v>
      </c>
      <c r="X113" s="1" t="e">
        <f t="shared" si="40"/>
        <v>#N/A</v>
      </c>
      <c r="Y113" s="1" t="e">
        <f t="shared" si="41"/>
        <v>#N/A</v>
      </c>
      <c r="Z113" s="1" t="e">
        <f t="shared" si="42"/>
        <v>#N/A</v>
      </c>
      <c r="AA113" s="1">
        <v>0</v>
      </c>
      <c r="AC113" s="31">
        <f t="shared" si="43"/>
        <v>9.9068924268892425E-2</v>
      </c>
      <c r="AD113" s="31" t="e">
        <f t="shared" si="44"/>
        <v>#N/A</v>
      </c>
      <c r="AE113" s="31" t="e">
        <f t="shared" si="45"/>
        <v>#N/A</v>
      </c>
      <c r="AF113" s="31" t="e">
        <f t="shared" si="46"/>
        <v>#N/A</v>
      </c>
      <c r="AL113" s="17">
        <f t="shared" si="47"/>
        <v>40298</v>
      </c>
      <c r="AM113">
        <f t="shared" si="49"/>
        <v>4</v>
      </c>
      <c r="AN113">
        <f t="shared" si="50"/>
        <v>4</v>
      </c>
    </row>
    <row r="114" spans="1:40">
      <c r="A114" s="7">
        <v>40329</v>
      </c>
      <c r="B114" s="8">
        <v>100.9114</v>
      </c>
      <c r="C114" s="8">
        <f t="shared" si="28"/>
        <v>0.40100968965652484</v>
      </c>
      <c r="D114" s="9">
        <f t="shared" si="29"/>
        <v>0.13025242241413121</v>
      </c>
      <c r="E114" s="8">
        <v>57.4</v>
      </c>
      <c r="F114" s="10">
        <f t="shared" si="30"/>
        <v>6.7468357477627974</v>
      </c>
      <c r="G114" s="8">
        <v>0.70079999999999998</v>
      </c>
      <c r="H114" s="10">
        <f t="shared" si="31"/>
        <v>0.40233556327442577</v>
      </c>
      <c r="I114" s="10">
        <f t="shared" si="32"/>
        <v>0.60233556327442583</v>
      </c>
      <c r="J114" s="1">
        <v>0.3</v>
      </c>
      <c r="K114" s="10">
        <f t="shared" si="34"/>
        <v>0.14159119701418399</v>
      </c>
      <c r="L114" s="8">
        <v>-0.98</v>
      </c>
      <c r="M114" s="11">
        <f t="shared" si="35"/>
        <v>-0.56907489049580917</v>
      </c>
      <c r="N114" s="9">
        <f t="shared" si="33"/>
        <v>-0.28453744524790459</v>
      </c>
      <c r="P114" s="29">
        <f t="shared" si="36"/>
        <v>0.13239665585225821</v>
      </c>
      <c r="Q114" s="1" t="str">
        <f t="shared" si="48"/>
        <v>E</v>
      </c>
      <c r="R114" t="str">
        <f t="shared" si="38"/>
        <v>E</v>
      </c>
      <c r="S114" s="18">
        <f t="shared" si="37"/>
        <v>9.9068924268892425E-2</v>
      </c>
      <c r="T114" t="str">
        <f t="shared" si="51"/>
        <v>E</v>
      </c>
      <c r="V114" s="1">
        <v>70</v>
      </c>
      <c r="W114" s="1">
        <f t="shared" si="39"/>
        <v>0.13239665585225821</v>
      </c>
      <c r="X114" s="1">
        <f t="shared" si="40"/>
        <v>0.13239665585225821</v>
      </c>
      <c r="Y114" s="1" t="e">
        <f t="shared" si="41"/>
        <v>#N/A</v>
      </c>
      <c r="Z114" s="1" t="e">
        <f t="shared" si="42"/>
        <v>#N/A</v>
      </c>
      <c r="AA114" s="1">
        <v>0</v>
      </c>
      <c r="AC114" s="31">
        <f t="shared" si="43"/>
        <v>0.13239665585225821</v>
      </c>
      <c r="AD114" s="31" t="e">
        <f t="shared" si="44"/>
        <v>#N/A</v>
      </c>
      <c r="AE114" s="31" t="e">
        <f t="shared" si="45"/>
        <v>#N/A</v>
      </c>
      <c r="AF114" s="31" t="e">
        <f t="shared" si="46"/>
        <v>#N/A</v>
      </c>
      <c r="AL114" s="17">
        <f t="shared" si="47"/>
        <v>40329</v>
      </c>
      <c r="AM114">
        <f t="shared" si="49"/>
        <v>4</v>
      </c>
      <c r="AN114">
        <f t="shared" si="50"/>
        <v>4</v>
      </c>
    </row>
    <row r="115" spans="1:40">
      <c r="A115" s="7">
        <v>40359</v>
      </c>
      <c r="B115" s="8">
        <v>101.0064</v>
      </c>
      <c r="C115" s="8">
        <f t="shared" si="28"/>
        <v>0.57354592810441507</v>
      </c>
      <c r="D115" s="9">
        <f t="shared" si="29"/>
        <v>0.17338648202610377</v>
      </c>
      <c r="E115" s="8">
        <v>56.5</v>
      </c>
      <c r="F115" s="10">
        <f t="shared" si="30"/>
        <v>6.6764875596503996</v>
      </c>
      <c r="G115" s="8">
        <v>-6.7299999999999999E-2</v>
      </c>
      <c r="H115" s="10">
        <f t="shared" si="31"/>
        <v>0.26848942774121443</v>
      </c>
      <c r="I115" s="10">
        <f t="shared" si="32"/>
        <v>0.46848942774121444</v>
      </c>
      <c r="J115" s="1">
        <v>-0.16</v>
      </c>
      <c r="K115" s="10">
        <f t="shared" si="34"/>
        <v>5.5637705865141544E-2</v>
      </c>
      <c r="L115" s="8">
        <v>-1.147</v>
      </c>
      <c r="M115" s="11">
        <f t="shared" si="35"/>
        <v>-0.73378354670450352</v>
      </c>
      <c r="N115" s="9">
        <f t="shared" si="33"/>
        <v>-0.36689177335225176</v>
      </c>
      <c r="P115" s="29">
        <f t="shared" si="36"/>
        <v>7.7283358934364624E-2</v>
      </c>
      <c r="Q115" s="1" t="str">
        <f t="shared" si="48"/>
        <v>SD</v>
      </c>
      <c r="R115" t="str">
        <f t="shared" si="38"/>
        <v>SD</v>
      </c>
      <c r="S115" s="18">
        <f t="shared" si="37"/>
        <v>7.7283358934364624E-2</v>
      </c>
      <c r="T115" t="str">
        <f t="shared" si="51"/>
        <v>E</v>
      </c>
      <c r="V115" s="1">
        <v>79.5</v>
      </c>
      <c r="W115" s="1" t="e">
        <f t="shared" si="39"/>
        <v>#N/A</v>
      </c>
      <c r="X115" s="1">
        <f t="shared" si="40"/>
        <v>7.7283358934364624E-2</v>
      </c>
      <c r="Y115" s="1" t="e">
        <f t="shared" si="41"/>
        <v>#N/A</v>
      </c>
      <c r="Z115" s="1" t="e">
        <f t="shared" si="42"/>
        <v>#N/A</v>
      </c>
      <c r="AA115" s="1">
        <v>0</v>
      </c>
      <c r="AC115" s="31">
        <f t="shared" si="43"/>
        <v>7.7283358934364624E-2</v>
      </c>
      <c r="AD115" s="31" t="e">
        <f t="shared" si="44"/>
        <v>#N/A</v>
      </c>
      <c r="AE115" s="31" t="e">
        <f t="shared" si="45"/>
        <v>#N/A</v>
      </c>
      <c r="AF115" s="31" t="e">
        <f t="shared" si="46"/>
        <v>#N/A</v>
      </c>
      <c r="AL115" s="17">
        <f t="shared" si="47"/>
        <v>40359</v>
      </c>
      <c r="AM115">
        <f t="shared" si="49"/>
        <v>3</v>
      </c>
      <c r="AN115">
        <f t="shared" si="50"/>
        <v>3</v>
      </c>
    </row>
    <row r="116" spans="1:40">
      <c r="A116" s="7">
        <v>40389</v>
      </c>
      <c r="B116" s="8">
        <v>101.14619999999999</v>
      </c>
      <c r="C116" s="8">
        <f t="shared" si="28"/>
        <v>0.73675233859465483</v>
      </c>
      <c r="D116" s="9">
        <f t="shared" si="29"/>
        <v>0.21418808464866371</v>
      </c>
      <c r="E116" s="8">
        <v>56.1</v>
      </c>
      <c r="F116" s="10">
        <f t="shared" si="30"/>
        <v>6.5121886051500368</v>
      </c>
      <c r="G116" s="8">
        <v>4.4999999999999998E-2</v>
      </c>
      <c r="H116" s="10">
        <f t="shared" si="31"/>
        <v>0.2047949408349683</v>
      </c>
      <c r="I116" s="10">
        <f t="shared" si="32"/>
        <v>0.40479494083496831</v>
      </c>
      <c r="J116" s="1">
        <v>0.16</v>
      </c>
      <c r="K116" s="10">
        <f t="shared" si="34"/>
        <v>8.5380959693576203E-2</v>
      </c>
      <c r="L116" s="8">
        <v>-0.873</v>
      </c>
      <c r="M116" s="11">
        <f t="shared" si="35"/>
        <v>-0.77346023589372004</v>
      </c>
      <c r="N116" s="9">
        <f t="shared" si="33"/>
        <v>-0.38673011794686002</v>
      </c>
      <c r="P116" s="29">
        <f t="shared" si="36"/>
        <v>6.3817101638070695E-2</v>
      </c>
      <c r="Q116" s="1" t="str">
        <f t="shared" si="48"/>
        <v>SD</v>
      </c>
      <c r="R116" t="str">
        <f t="shared" si="38"/>
        <v>SD</v>
      </c>
      <c r="S116" s="18">
        <f t="shared" si="37"/>
        <v>7.7283358934364624E-2</v>
      </c>
      <c r="T116" t="str">
        <f t="shared" si="51"/>
        <v>E</v>
      </c>
      <c r="V116" s="1">
        <v>89.8</v>
      </c>
      <c r="W116" s="1" t="e">
        <f t="shared" si="39"/>
        <v>#N/A</v>
      </c>
      <c r="X116" s="1">
        <f t="shared" si="40"/>
        <v>6.3817101638070695E-2</v>
      </c>
      <c r="Y116" s="1" t="e">
        <f t="shared" si="41"/>
        <v>#N/A</v>
      </c>
      <c r="Z116" s="1" t="e">
        <f t="shared" si="42"/>
        <v>#N/A</v>
      </c>
      <c r="AA116" s="1">
        <v>0</v>
      </c>
      <c r="AC116" s="31">
        <f t="shared" si="43"/>
        <v>6.3817101638070695E-2</v>
      </c>
      <c r="AD116" s="31" t="e">
        <f t="shared" si="44"/>
        <v>#N/A</v>
      </c>
      <c r="AE116" s="31" t="e">
        <f t="shared" si="45"/>
        <v>#N/A</v>
      </c>
      <c r="AF116" s="31" t="e">
        <f t="shared" si="46"/>
        <v>#N/A</v>
      </c>
      <c r="AL116" s="17">
        <f t="shared" si="47"/>
        <v>40389</v>
      </c>
      <c r="AM116">
        <f t="shared" si="49"/>
        <v>3</v>
      </c>
      <c r="AN116">
        <f t="shared" si="50"/>
        <v>3</v>
      </c>
    </row>
    <row r="117" spans="1:40">
      <c r="A117" s="7">
        <v>40421</v>
      </c>
      <c r="B117" s="8">
        <v>101.3383</v>
      </c>
      <c r="C117" s="8">
        <f t="shared" si="28"/>
        <v>0.90819342209517928</v>
      </c>
      <c r="D117" s="9">
        <f t="shared" si="29"/>
        <v>0.25704835552379479</v>
      </c>
      <c r="E117" s="8">
        <v>56.4</v>
      </c>
      <c r="F117" s="10">
        <f t="shared" si="30"/>
        <v>6.480214852682276</v>
      </c>
      <c r="G117" s="8">
        <v>-6.8900000000000003E-2</v>
      </c>
      <c r="H117" s="10">
        <f t="shared" si="31"/>
        <v>0.12679188269700231</v>
      </c>
      <c r="I117" s="10">
        <f t="shared" si="32"/>
        <v>0.32679188269700232</v>
      </c>
      <c r="J117" s="1">
        <v>-0.18</v>
      </c>
      <c r="K117" s="10">
        <f t="shared" si="34"/>
        <v>9.7473861809069737E-3</v>
      </c>
      <c r="L117" s="8">
        <v>-0.94199999999999995</v>
      </c>
      <c r="M117" s="11">
        <f t="shared" si="35"/>
        <v>-0.82149406866400976</v>
      </c>
      <c r="N117" s="9">
        <f t="shared" si="33"/>
        <v>-0.41074703433200488</v>
      </c>
      <c r="P117" s="29">
        <f t="shared" si="36"/>
        <v>4.3410977671220374E-2</v>
      </c>
      <c r="Q117" s="1" t="str">
        <f t="shared" si="48"/>
        <v>SD</v>
      </c>
      <c r="R117" t="str">
        <f t="shared" si="38"/>
        <v>SD</v>
      </c>
      <c r="S117" s="18">
        <f t="shared" si="37"/>
        <v>7.7283358934364624E-2</v>
      </c>
      <c r="T117" t="str">
        <f t="shared" si="51"/>
        <v>E</v>
      </c>
      <c r="V117" s="1">
        <v>117.2</v>
      </c>
      <c r="W117" s="1" t="e">
        <f t="shared" si="39"/>
        <v>#N/A</v>
      </c>
      <c r="X117" s="1">
        <f t="shared" si="40"/>
        <v>4.3410977671220374E-2</v>
      </c>
      <c r="Y117" s="1" t="e">
        <f t="shared" si="41"/>
        <v>#N/A</v>
      </c>
      <c r="Z117" s="1" t="e">
        <f t="shared" si="42"/>
        <v>#N/A</v>
      </c>
      <c r="AA117" s="1">
        <v>0</v>
      </c>
      <c r="AC117" s="31">
        <f t="shared" si="43"/>
        <v>4.3410977671220374E-2</v>
      </c>
      <c r="AD117" s="31" t="e">
        <f t="shared" si="44"/>
        <v>#N/A</v>
      </c>
      <c r="AE117" s="31" t="e">
        <f t="shared" si="45"/>
        <v>#N/A</v>
      </c>
      <c r="AF117" s="31" t="e">
        <f t="shared" si="46"/>
        <v>#N/A</v>
      </c>
      <c r="AL117" s="17">
        <f t="shared" si="47"/>
        <v>40421</v>
      </c>
      <c r="AM117">
        <f t="shared" si="49"/>
        <v>3</v>
      </c>
      <c r="AN117">
        <f t="shared" si="50"/>
        <v>3</v>
      </c>
    </row>
    <row r="118" spans="1:40">
      <c r="A118" s="7">
        <v>40451</v>
      </c>
      <c r="B118" s="8">
        <v>101.5693</v>
      </c>
      <c r="C118" s="8">
        <f t="shared" si="28"/>
        <v>1.0966087967980527</v>
      </c>
      <c r="D118" s="9">
        <f t="shared" si="29"/>
        <v>0.3041521991995132</v>
      </c>
      <c r="E118" s="8">
        <v>55.3</v>
      </c>
      <c r="F118" s="10">
        <f t="shared" si="30"/>
        <v>6.1438536196678264</v>
      </c>
      <c r="G118" s="8">
        <v>-0.24859999999999999</v>
      </c>
      <c r="H118" s="10">
        <f t="shared" si="31"/>
        <v>1.9805196128356656E-2</v>
      </c>
      <c r="I118" s="10">
        <f t="shared" si="32"/>
        <v>0.21980519612835667</v>
      </c>
      <c r="J118" s="1">
        <v>-0.22</v>
      </c>
      <c r="K118" s="10">
        <f t="shared" si="34"/>
        <v>-5.573061888065152E-2</v>
      </c>
      <c r="L118" s="8">
        <v>-0.502</v>
      </c>
      <c r="M118" s="11">
        <f t="shared" si="35"/>
        <v>-0.73043825909476701</v>
      </c>
      <c r="N118" s="9">
        <f t="shared" si="33"/>
        <v>-0.3652191295473835</v>
      </c>
      <c r="P118" s="29">
        <f t="shared" si="36"/>
        <v>3.7211474034922663E-2</v>
      </c>
      <c r="Q118" s="1" t="str">
        <f t="shared" si="48"/>
        <v>SD</v>
      </c>
      <c r="R118" t="str">
        <f t="shared" si="38"/>
        <v>SD</v>
      </c>
      <c r="S118" s="18">
        <f t="shared" si="37"/>
        <v>7.7283358934364624E-2</v>
      </c>
      <c r="T118" t="str">
        <f t="shared" si="51"/>
        <v>E</v>
      </c>
      <c r="V118" s="1">
        <v>88.1</v>
      </c>
      <c r="W118" s="1">
        <f t="shared" si="39"/>
        <v>3.7211474034922663E-2</v>
      </c>
      <c r="X118" s="1">
        <f t="shared" si="40"/>
        <v>3.7211474034922663E-2</v>
      </c>
      <c r="Y118" s="1" t="e">
        <f t="shared" si="41"/>
        <v>#N/A</v>
      </c>
      <c r="Z118" s="1" t="e">
        <f t="shared" si="42"/>
        <v>#N/A</v>
      </c>
      <c r="AA118" s="1">
        <v>0</v>
      </c>
      <c r="AC118" s="31">
        <f t="shared" si="43"/>
        <v>3.7211474034922663E-2</v>
      </c>
      <c r="AD118" s="31" t="e">
        <f t="shared" si="44"/>
        <v>#N/A</v>
      </c>
      <c r="AE118" s="31" t="e">
        <f t="shared" si="45"/>
        <v>#N/A</v>
      </c>
      <c r="AF118" s="31" t="e">
        <f t="shared" si="46"/>
        <v>#N/A</v>
      </c>
      <c r="AL118" s="17">
        <f t="shared" si="47"/>
        <v>40451</v>
      </c>
      <c r="AM118">
        <f t="shared" si="49"/>
        <v>3</v>
      </c>
      <c r="AN118">
        <f t="shared" si="50"/>
        <v>3</v>
      </c>
    </row>
    <row r="119" spans="1:40">
      <c r="A119" s="7">
        <v>40480</v>
      </c>
      <c r="B119" s="8">
        <v>101.81480000000001</v>
      </c>
      <c r="C119" s="8">
        <f t="shared" si="28"/>
        <v>1.3012932897106091</v>
      </c>
      <c r="D119" s="9">
        <f t="shared" si="29"/>
        <v>0.3553233224276523</v>
      </c>
      <c r="E119" s="8">
        <v>56.9</v>
      </c>
      <c r="F119" s="10">
        <f t="shared" si="30"/>
        <v>6.3593553380624952</v>
      </c>
      <c r="G119" s="8">
        <v>-0.15010000000000001</v>
      </c>
      <c r="H119" s="10">
        <f t="shared" si="31"/>
        <v>-2.8617784768225005E-2</v>
      </c>
      <c r="I119" s="10">
        <f t="shared" si="32"/>
        <v>0.17138221523177499</v>
      </c>
      <c r="J119" s="1">
        <v>-0.12</v>
      </c>
      <c r="K119" s="10">
        <f t="shared" si="34"/>
        <v>-7.4047392499665826E-2</v>
      </c>
      <c r="L119" s="8">
        <v>-0.32700000000000001</v>
      </c>
      <c r="M119" s="11">
        <f t="shared" si="35"/>
        <v>-0.61545835525275838</v>
      </c>
      <c r="N119" s="9">
        <f t="shared" si="33"/>
        <v>-0.30772917762637919</v>
      </c>
      <c r="P119" s="29">
        <f t="shared" si="36"/>
        <v>5.5935078934969663E-2</v>
      </c>
      <c r="Q119" s="1" t="str">
        <f t="shared" si="48"/>
        <v>E</v>
      </c>
      <c r="R119" t="str">
        <f t="shared" si="38"/>
        <v>SD</v>
      </c>
      <c r="S119" s="18">
        <f t="shared" si="37"/>
        <v>7.7283358934364624E-2</v>
      </c>
      <c r="T119" t="str">
        <f t="shared" si="51"/>
        <v>E</v>
      </c>
      <c r="V119" s="1">
        <v>59.1</v>
      </c>
      <c r="W119" s="1">
        <f t="shared" si="39"/>
        <v>5.5935078934969663E-2</v>
      </c>
      <c r="X119" s="1">
        <f t="shared" si="40"/>
        <v>5.5935078934969663E-2</v>
      </c>
      <c r="Y119" s="1" t="e">
        <f t="shared" si="41"/>
        <v>#N/A</v>
      </c>
      <c r="Z119" s="1" t="e">
        <f t="shared" si="42"/>
        <v>#N/A</v>
      </c>
      <c r="AA119" s="1">
        <v>0</v>
      </c>
      <c r="AC119" s="31">
        <f t="shared" si="43"/>
        <v>5.5935078934969663E-2</v>
      </c>
      <c r="AD119" s="31" t="e">
        <f t="shared" si="44"/>
        <v>#N/A</v>
      </c>
      <c r="AE119" s="31" t="e">
        <f t="shared" si="45"/>
        <v>#N/A</v>
      </c>
      <c r="AF119" s="31" t="e">
        <f t="shared" si="46"/>
        <v>#N/A</v>
      </c>
      <c r="AL119" s="17">
        <f t="shared" si="47"/>
        <v>40480</v>
      </c>
      <c r="AM119">
        <f t="shared" si="49"/>
        <v>4</v>
      </c>
      <c r="AN119">
        <f t="shared" si="50"/>
        <v>3</v>
      </c>
    </row>
    <row r="120" spans="1:40">
      <c r="A120" s="7">
        <v>40512</v>
      </c>
      <c r="B120" s="8">
        <v>102.0432</v>
      </c>
      <c r="C120" s="8">
        <f t="shared" si="28"/>
        <v>1.5127367021430853</v>
      </c>
      <c r="D120" s="9">
        <f t="shared" si="29"/>
        <v>0.40818417553577135</v>
      </c>
      <c r="E120" s="8">
        <v>57.3</v>
      </c>
      <c r="F120" s="10">
        <f t="shared" si="30"/>
        <v>6.6274390667146825</v>
      </c>
      <c r="G120" s="8">
        <v>-6.1600000000000002E-2</v>
      </c>
      <c r="H120" s="10">
        <f t="shared" si="31"/>
        <v>-3.8017716109280883E-2</v>
      </c>
      <c r="I120" s="10">
        <f t="shared" si="32"/>
        <v>0.16198228389071911</v>
      </c>
      <c r="J120" s="1">
        <v>-0.2</v>
      </c>
      <c r="K120" s="10">
        <f t="shared" si="34"/>
        <v>-0.10994388563726107</v>
      </c>
      <c r="L120" s="8">
        <v>-1.1080000000000001</v>
      </c>
      <c r="M120" s="11">
        <f t="shared" si="35"/>
        <v>-0.75583272400572232</v>
      </c>
      <c r="N120" s="9">
        <f t="shared" si="33"/>
        <v>-0.37791636200286116</v>
      </c>
      <c r="P120" s="29">
        <f t="shared" si="36"/>
        <v>4.6463081438503417E-2</v>
      </c>
      <c r="Q120" s="1" t="str">
        <f t="shared" si="48"/>
        <v>SD</v>
      </c>
      <c r="R120" t="str">
        <f t="shared" si="38"/>
        <v>SD</v>
      </c>
      <c r="S120" s="18">
        <f t="shared" si="37"/>
        <v>4.6463081438503417E-2</v>
      </c>
      <c r="T120" t="str">
        <f t="shared" si="51"/>
        <v>E</v>
      </c>
      <c r="V120" s="1">
        <v>52.1</v>
      </c>
      <c r="W120" s="1">
        <f t="shared" si="39"/>
        <v>4.6463081438503417E-2</v>
      </c>
      <c r="X120" s="1">
        <f t="shared" si="40"/>
        <v>4.6463081438503417E-2</v>
      </c>
      <c r="Y120" s="1" t="e">
        <f t="shared" si="41"/>
        <v>#N/A</v>
      </c>
      <c r="Z120" s="1" t="e">
        <f t="shared" si="42"/>
        <v>#N/A</v>
      </c>
      <c r="AA120" s="1">
        <v>0</v>
      </c>
      <c r="AC120" s="31">
        <f t="shared" si="43"/>
        <v>4.6463081438503417E-2</v>
      </c>
      <c r="AD120" s="31" t="e">
        <f t="shared" si="44"/>
        <v>#N/A</v>
      </c>
      <c r="AE120" s="31" t="e">
        <f t="shared" si="45"/>
        <v>#N/A</v>
      </c>
      <c r="AF120" s="31" t="e">
        <f t="shared" si="46"/>
        <v>#N/A</v>
      </c>
      <c r="AL120" s="17">
        <f t="shared" si="47"/>
        <v>40512</v>
      </c>
      <c r="AM120">
        <f t="shared" si="49"/>
        <v>3</v>
      </c>
      <c r="AN120">
        <f t="shared" si="50"/>
        <v>3</v>
      </c>
    </row>
    <row r="121" spans="1:40">
      <c r="A121" s="7">
        <v>40543</v>
      </c>
      <c r="B121" s="8">
        <v>102.2231</v>
      </c>
      <c r="C121" s="8">
        <f t="shared" si="28"/>
        <v>1.7151902420323066</v>
      </c>
      <c r="D121" s="9">
        <f t="shared" si="29"/>
        <v>0.45879756050807663</v>
      </c>
      <c r="E121" s="8">
        <v>56.6</v>
      </c>
      <c r="F121" s="10">
        <f t="shared" si="30"/>
        <v>6.6196189327009982</v>
      </c>
      <c r="G121" s="8">
        <v>0.28420000000000001</v>
      </c>
      <c r="H121" s="10">
        <f t="shared" si="31"/>
        <v>5.381433298186418E-2</v>
      </c>
      <c r="I121" s="10">
        <f t="shared" si="32"/>
        <v>0.25381433298186418</v>
      </c>
      <c r="J121" s="1">
        <v>0.06</v>
      </c>
      <c r="K121" s="10">
        <f t="shared" si="34"/>
        <v>-6.1509878230641662E-2</v>
      </c>
      <c r="L121" s="8">
        <v>-0.97899999999999998</v>
      </c>
      <c r="M121" s="11">
        <f t="shared" si="35"/>
        <v>-0.81943539766409146</v>
      </c>
      <c r="N121" s="9">
        <f t="shared" si="33"/>
        <v>-0.40971769883204573</v>
      </c>
      <c r="P121" s="29">
        <f t="shared" si="36"/>
        <v>8.4093603228529934E-2</v>
      </c>
      <c r="Q121" s="1" t="str">
        <f t="shared" si="48"/>
        <v>E</v>
      </c>
      <c r="R121" t="str">
        <f t="shared" si="38"/>
        <v>SD</v>
      </c>
      <c r="S121" s="18">
        <f t="shared" si="37"/>
        <v>4.6463081438503417E-2</v>
      </c>
      <c r="T121" t="str">
        <f t="shared" si="51"/>
        <v>E</v>
      </c>
      <c r="V121" s="1">
        <v>68.099999999999994</v>
      </c>
      <c r="W121" s="1">
        <f t="shared" si="39"/>
        <v>8.4093603228529934E-2</v>
      </c>
      <c r="X121" s="1" t="e">
        <f t="shared" si="40"/>
        <v>#N/A</v>
      </c>
      <c r="Y121" s="1" t="e">
        <f t="shared" si="41"/>
        <v>#N/A</v>
      </c>
      <c r="Z121" s="1" t="e">
        <f t="shared" si="42"/>
        <v>#N/A</v>
      </c>
      <c r="AA121" s="1">
        <v>0</v>
      </c>
      <c r="AC121" s="31">
        <f t="shared" si="43"/>
        <v>8.4093603228529934E-2</v>
      </c>
      <c r="AD121" s="31" t="e">
        <f t="shared" si="44"/>
        <v>#N/A</v>
      </c>
      <c r="AE121" s="31" t="e">
        <f t="shared" si="45"/>
        <v>#N/A</v>
      </c>
      <c r="AF121" s="31" t="e">
        <f t="shared" si="46"/>
        <v>#N/A</v>
      </c>
      <c r="AL121" s="17">
        <f t="shared" si="47"/>
        <v>40543</v>
      </c>
      <c r="AM121">
        <f t="shared" si="49"/>
        <v>4</v>
      </c>
      <c r="AN121">
        <f t="shared" si="50"/>
        <v>3</v>
      </c>
    </row>
    <row r="122" spans="1:40">
      <c r="A122" s="7">
        <v>40574</v>
      </c>
      <c r="B122" s="8">
        <v>102.327</v>
      </c>
      <c r="C122" s="8">
        <f t="shared" si="28"/>
        <v>1.8895560230530988</v>
      </c>
      <c r="D122" s="9">
        <f t="shared" si="29"/>
        <v>0.50238900576327472</v>
      </c>
      <c r="E122" s="8">
        <v>59.1</v>
      </c>
      <c r="F122" s="10">
        <f t="shared" si="30"/>
        <v>7.3265275368812137</v>
      </c>
      <c r="G122" s="8">
        <v>-0.15310000000000001</v>
      </c>
      <c r="H122" s="10">
        <f t="shared" si="31"/>
        <v>-5.1562519179671196E-3</v>
      </c>
      <c r="I122" s="10">
        <f t="shared" si="32"/>
        <v>0.19484374808203289</v>
      </c>
      <c r="J122" s="1">
        <v>0.03</v>
      </c>
      <c r="K122" s="10">
        <f t="shared" si="34"/>
        <v>-3.5429562934908787E-2</v>
      </c>
      <c r="L122" s="8">
        <v>-0.185</v>
      </c>
      <c r="M122" s="11">
        <f t="shared" si="35"/>
        <v>-0.63862130932982542</v>
      </c>
      <c r="N122" s="9">
        <f t="shared" si="33"/>
        <v>-0.31931065466491271</v>
      </c>
      <c r="P122" s="29">
        <f t="shared" si="36"/>
        <v>0.11144355130839893</v>
      </c>
      <c r="Q122" s="1" t="str">
        <f t="shared" si="48"/>
        <v>E</v>
      </c>
      <c r="R122" t="str">
        <f t="shared" si="38"/>
        <v>SD</v>
      </c>
      <c r="S122" s="18">
        <f t="shared" si="37"/>
        <v>0.11144355130839893</v>
      </c>
      <c r="T122" t="str">
        <f t="shared" si="51"/>
        <v>E</v>
      </c>
      <c r="V122" s="1">
        <v>66.5</v>
      </c>
      <c r="W122" s="1">
        <f t="shared" si="39"/>
        <v>0.11144355130839893</v>
      </c>
      <c r="X122" s="1">
        <f t="shared" si="40"/>
        <v>0.11144355130839893</v>
      </c>
      <c r="Y122" s="1" t="e">
        <f t="shared" si="41"/>
        <v>#N/A</v>
      </c>
      <c r="Z122" s="1" t="e">
        <f t="shared" si="42"/>
        <v>#N/A</v>
      </c>
      <c r="AA122" s="1">
        <v>0</v>
      </c>
      <c r="AC122" s="31">
        <f t="shared" si="43"/>
        <v>0.11144355130839893</v>
      </c>
      <c r="AD122" s="31" t="e">
        <f t="shared" si="44"/>
        <v>#N/A</v>
      </c>
      <c r="AE122" s="31" t="e">
        <f t="shared" si="45"/>
        <v>#N/A</v>
      </c>
      <c r="AF122" s="31" t="e">
        <f t="shared" si="46"/>
        <v>#N/A</v>
      </c>
      <c r="AL122" s="17">
        <f t="shared" si="47"/>
        <v>40574</v>
      </c>
      <c r="AM122">
        <f t="shared" si="49"/>
        <v>4</v>
      </c>
      <c r="AN122">
        <f t="shared" si="50"/>
        <v>3</v>
      </c>
    </row>
    <row r="123" spans="1:40">
      <c r="A123" s="7">
        <v>40602</v>
      </c>
      <c r="B123" s="8">
        <v>102.3329</v>
      </c>
      <c r="C123" s="8">
        <f t="shared" si="28"/>
        <v>2.0159090564829643</v>
      </c>
      <c r="D123" s="9">
        <f t="shared" si="29"/>
        <v>0.53397726412074109</v>
      </c>
      <c r="E123" s="8">
        <v>59.2</v>
      </c>
      <c r="F123" s="10">
        <f t="shared" si="30"/>
        <v>7.8604671888700697</v>
      </c>
      <c r="G123" s="8">
        <v>-0.4637</v>
      </c>
      <c r="H123" s="10">
        <f t="shared" si="31"/>
        <v>-0.1358412201213465</v>
      </c>
      <c r="I123" s="10">
        <f t="shared" si="32"/>
        <v>6.415877987865351E-2</v>
      </c>
      <c r="J123" s="1">
        <v>-0.39</v>
      </c>
      <c r="K123" s="10">
        <f t="shared" si="34"/>
        <v>-0.1364821374984598</v>
      </c>
      <c r="L123" s="8">
        <v>-0.29299999999999998</v>
      </c>
      <c r="M123" s="11">
        <f t="shared" si="35"/>
        <v>-0.54011923617082513</v>
      </c>
      <c r="N123" s="9">
        <f t="shared" si="33"/>
        <v>-0.27005961808541257</v>
      </c>
      <c r="P123" s="29">
        <f t="shared" si="36"/>
        <v>9.8829389185505212E-2</v>
      </c>
      <c r="Q123" s="1" t="str">
        <f t="shared" si="48"/>
        <v>SD</v>
      </c>
      <c r="R123" t="str">
        <f t="shared" si="38"/>
        <v>SD</v>
      </c>
      <c r="S123" s="18">
        <f t="shared" si="37"/>
        <v>9.8829389185505212E-2</v>
      </c>
      <c r="T123" t="str">
        <f t="shared" si="51"/>
        <v>E</v>
      </c>
      <c r="V123" s="1">
        <v>6</v>
      </c>
      <c r="W123" s="1">
        <f t="shared" si="39"/>
        <v>9.8829389185505212E-2</v>
      </c>
      <c r="X123" s="1">
        <f t="shared" si="40"/>
        <v>9.8829389185505212E-2</v>
      </c>
      <c r="Y123" s="1" t="e">
        <f t="shared" si="41"/>
        <v>#N/A</v>
      </c>
      <c r="Z123" s="1" t="e">
        <f t="shared" si="42"/>
        <v>#N/A</v>
      </c>
      <c r="AA123" s="1">
        <v>0</v>
      </c>
      <c r="AC123" s="31">
        <f t="shared" si="43"/>
        <v>9.8829389185505212E-2</v>
      </c>
      <c r="AD123" s="31" t="e">
        <f t="shared" si="44"/>
        <v>#N/A</v>
      </c>
      <c r="AE123" s="31" t="e">
        <f t="shared" si="45"/>
        <v>#N/A</v>
      </c>
      <c r="AF123" s="31" t="e">
        <f t="shared" si="46"/>
        <v>#N/A</v>
      </c>
      <c r="AL123" s="17">
        <f t="shared" si="47"/>
        <v>40602</v>
      </c>
      <c r="AM123">
        <f t="shared" si="49"/>
        <v>3</v>
      </c>
      <c r="AN123">
        <f t="shared" si="50"/>
        <v>3</v>
      </c>
    </row>
    <row r="124" spans="1:40">
      <c r="A124" s="7">
        <v>40633</v>
      </c>
      <c r="B124" s="8">
        <v>102.23139999999999</v>
      </c>
      <c r="C124" s="8">
        <f t="shared" si="28"/>
        <v>2.0773239753853177</v>
      </c>
      <c r="D124" s="9">
        <f t="shared" si="29"/>
        <v>0.54933099384632944</v>
      </c>
      <c r="E124" s="8">
        <v>58.4</v>
      </c>
      <c r="F124" s="10">
        <f t="shared" si="30"/>
        <v>8.0142340400420995</v>
      </c>
      <c r="G124" s="8">
        <v>0.12970000000000001</v>
      </c>
      <c r="H124" s="10">
        <f t="shared" si="31"/>
        <v>-6.0161972386762734E-2</v>
      </c>
      <c r="I124" s="10">
        <f t="shared" si="32"/>
        <v>0.13983802761323727</v>
      </c>
      <c r="J124" s="1">
        <v>0.38</v>
      </c>
      <c r="K124" s="10">
        <f t="shared" si="34"/>
        <v>1.0715271688601258E-2</v>
      </c>
      <c r="L124" s="8">
        <v>-0.17599999999999999</v>
      </c>
      <c r="M124" s="11">
        <f t="shared" si="35"/>
        <v>-0.43634525386213996</v>
      </c>
      <c r="N124" s="9">
        <f t="shared" si="33"/>
        <v>-0.21817262693106998</v>
      </c>
      <c r="P124" s="29">
        <f t="shared" si="36"/>
        <v>0.15188088826763613</v>
      </c>
      <c r="Q124" s="1" t="str">
        <f t="shared" si="48"/>
        <v>E</v>
      </c>
      <c r="R124" t="str">
        <f t="shared" si="38"/>
        <v>E</v>
      </c>
      <c r="S124" s="18">
        <f t="shared" si="37"/>
        <v>0.15188088826763613</v>
      </c>
      <c r="T124" t="str">
        <f t="shared" si="51"/>
        <v>E</v>
      </c>
      <c r="V124" s="1">
        <v>0.6</v>
      </c>
      <c r="W124" s="1">
        <f t="shared" si="39"/>
        <v>0.15188088826763613</v>
      </c>
      <c r="X124" s="1">
        <f t="shared" si="40"/>
        <v>0.15188088826763613</v>
      </c>
      <c r="Y124" s="1" t="e">
        <f t="shared" si="41"/>
        <v>#N/A</v>
      </c>
      <c r="Z124" s="1" t="e">
        <f t="shared" si="42"/>
        <v>#N/A</v>
      </c>
      <c r="AA124" s="1">
        <v>0</v>
      </c>
      <c r="AC124" s="31">
        <f t="shared" si="43"/>
        <v>0.15188088826763613</v>
      </c>
      <c r="AD124" s="31" t="e">
        <f t="shared" si="44"/>
        <v>#N/A</v>
      </c>
      <c r="AE124" s="31" t="e">
        <f t="shared" si="45"/>
        <v>#N/A</v>
      </c>
      <c r="AF124" s="31" t="e">
        <f t="shared" si="46"/>
        <v>#N/A</v>
      </c>
      <c r="AL124" s="17">
        <f t="shared" si="47"/>
        <v>40633</v>
      </c>
      <c r="AM124">
        <f t="shared" si="49"/>
        <v>4</v>
      </c>
      <c r="AN124">
        <f t="shared" si="50"/>
        <v>4</v>
      </c>
    </row>
    <row r="125" spans="1:40">
      <c r="A125" s="7">
        <v>40662</v>
      </c>
      <c r="B125" s="8">
        <v>102.0294</v>
      </c>
      <c r="C125" s="8">
        <f t="shared" si="28"/>
        <v>2.0636656424005007</v>
      </c>
      <c r="D125" s="9">
        <f t="shared" si="29"/>
        <v>0.54591641060012519</v>
      </c>
      <c r="E125" s="8">
        <v>57.9</v>
      </c>
      <c r="F125" s="10">
        <f t="shared" si="30"/>
        <v>7.9816773386301012</v>
      </c>
      <c r="G125" s="8">
        <v>-0.40570000000000001</v>
      </c>
      <c r="H125" s="10">
        <f t="shared" si="31"/>
        <v>-0.15864031025653536</v>
      </c>
      <c r="I125" s="10">
        <f t="shared" si="32"/>
        <v>4.1359689743464656E-2</v>
      </c>
      <c r="J125" s="1">
        <v>-0.48</v>
      </c>
      <c r="K125" s="10">
        <f t="shared" si="34"/>
        <v>-0.12913858074265011</v>
      </c>
      <c r="L125" s="8">
        <v>-0.124</v>
      </c>
      <c r="M125" s="11">
        <f t="shared" si="35"/>
        <v>-0.34732685651143003</v>
      </c>
      <c r="N125" s="9">
        <f t="shared" si="33"/>
        <v>-0.17366342825571501</v>
      </c>
      <c r="P125" s="29">
        <f t="shared" si="36"/>
        <v>0.13900908511135968</v>
      </c>
      <c r="Q125" s="1" t="str">
        <f t="shared" si="48"/>
        <v>SD</v>
      </c>
      <c r="R125" t="str">
        <f t="shared" si="38"/>
        <v>E</v>
      </c>
      <c r="S125" s="18">
        <f t="shared" si="37"/>
        <v>0.15188088826763613</v>
      </c>
      <c r="T125" t="str">
        <f t="shared" si="51"/>
        <v>E</v>
      </c>
      <c r="V125" s="1">
        <v>-8.9</v>
      </c>
      <c r="W125" s="1" t="e">
        <f t="shared" si="39"/>
        <v>#N/A</v>
      </c>
      <c r="X125" s="1">
        <f t="shared" si="40"/>
        <v>0.13900908511135968</v>
      </c>
      <c r="Y125" s="1" t="e">
        <f t="shared" si="41"/>
        <v>#N/A</v>
      </c>
      <c r="Z125" s="1" t="e">
        <f t="shared" si="42"/>
        <v>#N/A</v>
      </c>
      <c r="AA125" s="1">
        <v>0</v>
      </c>
      <c r="AC125" s="31">
        <f t="shared" si="43"/>
        <v>0.13900908511135968</v>
      </c>
      <c r="AD125" s="31" t="e">
        <f t="shared" si="44"/>
        <v>#N/A</v>
      </c>
      <c r="AE125" s="31" t="e">
        <f t="shared" si="45"/>
        <v>#N/A</v>
      </c>
      <c r="AF125" s="31" t="e">
        <f t="shared" si="46"/>
        <v>#N/A</v>
      </c>
      <c r="AL125" s="17">
        <f t="shared" si="47"/>
        <v>40662</v>
      </c>
      <c r="AM125">
        <f t="shared" si="49"/>
        <v>3</v>
      </c>
      <c r="AN125">
        <f t="shared" si="50"/>
        <v>4</v>
      </c>
    </row>
    <row r="126" spans="1:40">
      <c r="A126" s="7">
        <v>40694</v>
      </c>
      <c r="B126" s="8">
        <v>101.7499</v>
      </c>
      <c r="C126" s="8">
        <f t="shared" si="28"/>
        <v>1.9742424343163572</v>
      </c>
      <c r="D126" s="9">
        <f t="shared" si="29"/>
        <v>0.52356060857908926</v>
      </c>
      <c r="E126" s="8">
        <v>54.8</v>
      </c>
      <c r="F126" s="10">
        <f t="shared" si="30"/>
        <v>7.0748992971205213</v>
      </c>
      <c r="G126" s="8">
        <v>-0.36580000000000001</v>
      </c>
      <c r="H126" s="10">
        <f t="shared" si="31"/>
        <v>-0.2176808218334228</v>
      </c>
      <c r="I126" s="10">
        <f t="shared" si="32"/>
        <v>-1.7680821833422788E-2</v>
      </c>
      <c r="J126" s="1">
        <v>-0.33</v>
      </c>
      <c r="K126" s="10">
        <f t="shared" si="34"/>
        <v>-0.18638408523099484</v>
      </c>
      <c r="L126" s="8">
        <v>-0.46300000000000002</v>
      </c>
      <c r="M126" s="11">
        <f t="shared" si="35"/>
        <v>-0.38029370240567251</v>
      </c>
      <c r="N126" s="9">
        <f t="shared" si="33"/>
        <v>-0.19014685120283625</v>
      </c>
      <c r="P126" s="29">
        <f t="shared" si="36"/>
        <v>0.11269624585462205</v>
      </c>
      <c r="Q126" s="1" t="str">
        <f t="shared" si="48"/>
        <v>SD</v>
      </c>
      <c r="R126" t="str">
        <f t="shared" si="38"/>
        <v>E</v>
      </c>
      <c r="S126" s="18">
        <f t="shared" si="37"/>
        <v>0.11269624585462205</v>
      </c>
      <c r="T126" t="str">
        <f t="shared" si="51"/>
        <v>E</v>
      </c>
      <c r="V126" s="1">
        <v>14.7</v>
      </c>
      <c r="W126" s="1">
        <f t="shared" si="39"/>
        <v>0.11269624585462205</v>
      </c>
      <c r="X126" s="1">
        <f t="shared" si="40"/>
        <v>0.11269624585462205</v>
      </c>
      <c r="Y126" s="1" t="e">
        <f t="shared" si="41"/>
        <v>#N/A</v>
      </c>
      <c r="Z126" s="1" t="e">
        <f t="shared" si="42"/>
        <v>#N/A</v>
      </c>
      <c r="AA126" s="1">
        <v>0</v>
      </c>
      <c r="AC126" s="31">
        <f t="shared" si="43"/>
        <v>0.11269624585462205</v>
      </c>
      <c r="AD126" s="31" t="e">
        <f t="shared" si="44"/>
        <v>#N/A</v>
      </c>
      <c r="AE126" s="31" t="e">
        <f t="shared" si="45"/>
        <v>#N/A</v>
      </c>
      <c r="AF126" s="31" t="e">
        <f t="shared" si="46"/>
        <v>#N/A</v>
      </c>
      <c r="AL126" s="17">
        <f t="shared" si="47"/>
        <v>40694</v>
      </c>
      <c r="AM126">
        <f t="shared" si="49"/>
        <v>3</v>
      </c>
      <c r="AN126">
        <f t="shared" si="50"/>
        <v>4</v>
      </c>
    </row>
    <row r="127" spans="1:40">
      <c r="A127" s="7">
        <v>40724</v>
      </c>
      <c r="B127" s="8">
        <v>101.40599999999999</v>
      </c>
      <c r="C127" s="8">
        <f t="shared" si="28"/>
        <v>1.812293340536193</v>
      </c>
      <c r="D127" s="9">
        <f t="shared" si="29"/>
        <v>0.48307333513404827</v>
      </c>
      <c r="E127" s="8">
        <v>55.8</v>
      </c>
      <c r="F127" s="10">
        <f t="shared" si="30"/>
        <v>6.7115529974411725</v>
      </c>
      <c r="G127" s="8">
        <v>0.1963</v>
      </c>
      <c r="H127" s="10">
        <f t="shared" si="31"/>
        <v>-9.96962876108973E-2</v>
      </c>
      <c r="I127" s="10">
        <f t="shared" si="32"/>
        <v>0.10030371238910271</v>
      </c>
      <c r="J127" s="1">
        <v>-0.01</v>
      </c>
      <c r="K127" s="10">
        <f t="shared" si="34"/>
        <v>-0.1361146209401613</v>
      </c>
      <c r="L127" s="8">
        <v>-0.42199999999999999</v>
      </c>
      <c r="M127" s="11">
        <f t="shared" si="35"/>
        <v>-0.39217999722005581</v>
      </c>
      <c r="N127" s="9">
        <f t="shared" si="33"/>
        <v>-0.1960899986100279</v>
      </c>
      <c r="P127" s="29">
        <f t="shared" si="36"/>
        <v>0.14259144078605471</v>
      </c>
      <c r="Q127" s="1" t="str">
        <f t="shared" si="48"/>
        <v>E</v>
      </c>
      <c r="R127" t="str">
        <f t="shared" si="38"/>
        <v>E</v>
      </c>
      <c r="S127" s="18">
        <f t="shared" si="37"/>
        <v>0.14259144078605471</v>
      </c>
      <c r="T127" t="str">
        <f t="shared" si="51"/>
        <v>E</v>
      </c>
      <c r="V127" s="1">
        <v>-9.3000000000000007</v>
      </c>
      <c r="W127" s="1">
        <f t="shared" si="39"/>
        <v>0.14259144078605471</v>
      </c>
      <c r="X127" s="1">
        <f t="shared" si="40"/>
        <v>0.14259144078605471</v>
      </c>
      <c r="Y127" s="1" t="e">
        <f t="shared" si="41"/>
        <v>#N/A</v>
      </c>
      <c r="Z127" s="1" t="e">
        <f t="shared" si="42"/>
        <v>#N/A</v>
      </c>
      <c r="AA127" s="1">
        <v>0</v>
      </c>
      <c r="AC127" s="31">
        <f t="shared" si="43"/>
        <v>0.14259144078605471</v>
      </c>
      <c r="AD127" s="31">
        <f t="shared" si="44"/>
        <v>0.14259144078605471</v>
      </c>
      <c r="AE127" s="31" t="e">
        <f t="shared" si="45"/>
        <v>#N/A</v>
      </c>
      <c r="AF127" s="31" t="e">
        <f t="shared" si="46"/>
        <v>#N/A</v>
      </c>
      <c r="AL127" s="17">
        <f t="shared" si="47"/>
        <v>40724</v>
      </c>
      <c r="AM127">
        <f t="shared" si="49"/>
        <v>4</v>
      </c>
      <c r="AN127">
        <f t="shared" si="50"/>
        <v>4</v>
      </c>
    </row>
    <row r="128" spans="1:40">
      <c r="A128" s="7">
        <v>40753</v>
      </c>
      <c r="B128" s="8">
        <v>101.0171</v>
      </c>
      <c r="C128" s="8">
        <f t="shared" si="28"/>
        <v>1.5856632384833778</v>
      </c>
      <c r="D128" s="9">
        <f t="shared" si="29"/>
        <v>0.42641580962084447</v>
      </c>
      <c r="E128" s="8">
        <v>52.9</v>
      </c>
      <c r="F128" s="10">
        <f t="shared" si="30"/>
        <v>5.6252603931704375</v>
      </c>
      <c r="G128" s="8">
        <v>0.15310000000000001</v>
      </c>
      <c r="H128" s="10">
        <f t="shared" si="31"/>
        <v>-2.7649345641791556E-2</v>
      </c>
      <c r="I128" s="10">
        <f t="shared" si="32"/>
        <v>0.17235065435820845</v>
      </c>
      <c r="J128" s="1">
        <v>0.16</v>
      </c>
      <c r="K128" s="10">
        <f t="shared" si="34"/>
        <v>-5.1721953972215316E-2</v>
      </c>
      <c r="L128" s="8">
        <v>-1.782</v>
      </c>
      <c r="M128" s="11">
        <f t="shared" si="35"/>
        <v>-0.78827869801233996</v>
      </c>
      <c r="N128" s="9">
        <f t="shared" si="33"/>
        <v>-0.39413934900616998</v>
      </c>
      <c r="P128" s="29">
        <f t="shared" si="36"/>
        <v>8.709488016202889E-2</v>
      </c>
      <c r="Q128" s="1" t="str">
        <f t="shared" si="48"/>
        <v>SD</v>
      </c>
      <c r="R128" t="str">
        <f t="shared" si="38"/>
        <v>SD</v>
      </c>
      <c r="S128" s="18">
        <f t="shared" si="37"/>
        <v>8.709488016202889E-2</v>
      </c>
      <c r="T128" t="str">
        <f t="shared" si="51"/>
        <v>SD</v>
      </c>
      <c r="V128" s="1">
        <v>-3</v>
      </c>
      <c r="W128" s="1" t="e">
        <f t="shared" si="39"/>
        <v>#N/A</v>
      </c>
      <c r="X128" s="1">
        <f t="shared" si="40"/>
        <v>8.709488016202889E-2</v>
      </c>
      <c r="Y128" s="1" t="e">
        <f t="shared" si="41"/>
        <v>#N/A</v>
      </c>
      <c r="Z128" s="1" t="e">
        <f t="shared" si="42"/>
        <v>#N/A</v>
      </c>
      <c r="AA128" s="1">
        <v>0</v>
      </c>
      <c r="AC128" s="31" t="e">
        <f t="shared" si="43"/>
        <v>#N/A</v>
      </c>
      <c r="AD128" s="31">
        <f t="shared" si="44"/>
        <v>8.709488016202889E-2</v>
      </c>
      <c r="AE128" s="31" t="e">
        <f t="shared" si="45"/>
        <v>#N/A</v>
      </c>
      <c r="AF128" s="31" t="e">
        <f t="shared" si="46"/>
        <v>#N/A</v>
      </c>
      <c r="AL128" s="17">
        <f t="shared" si="47"/>
        <v>40753</v>
      </c>
      <c r="AM128">
        <f t="shared" si="49"/>
        <v>3</v>
      </c>
      <c r="AN128">
        <f t="shared" si="50"/>
        <v>3</v>
      </c>
    </row>
    <row r="129" spans="1:40">
      <c r="A129" s="7">
        <v>40786</v>
      </c>
      <c r="B129" s="8">
        <v>100.6101</v>
      </c>
      <c r="C129" s="8">
        <f t="shared" si="28"/>
        <v>1.3076277155156157</v>
      </c>
      <c r="D129" s="9">
        <f t="shared" si="29"/>
        <v>0.35690692887890396</v>
      </c>
      <c r="E129" s="8">
        <v>52.6</v>
      </c>
      <c r="F129" s="10">
        <f t="shared" si="30"/>
        <v>4.7630611811168633</v>
      </c>
      <c r="G129" s="8">
        <v>1.9199999999999998E-2</v>
      </c>
      <c r="H129" s="10">
        <f t="shared" si="31"/>
        <v>-1.429728213388096E-2</v>
      </c>
      <c r="I129" s="10">
        <f t="shared" si="32"/>
        <v>0.18570271786611905</v>
      </c>
      <c r="J129" s="1">
        <v>-0.03</v>
      </c>
      <c r="K129" s="10">
        <f t="shared" si="34"/>
        <v>-4.5531197090133951E-2</v>
      </c>
      <c r="L129" s="8">
        <v>-2.6669999999999998</v>
      </c>
      <c r="M129" s="11">
        <f t="shared" si="35"/>
        <v>-1.3237142690788231</v>
      </c>
      <c r="N129" s="9">
        <f t="shared" si="33"/>
        <v>-0.57526391097452456</v>
      </c>
      <c r="P129" s="29">
        <f t="shared" si="36"/>
        <v>1.2284872170812977E-2</v>
      </c>
      <c r="Q129" s="1" t="str">
        <f t="shared" si="48"/>
        <v>SD</v>
      </c>
      <c r="R129" t="str">
        <f t="shared" si="38"/>
        <v>SD</v>
      </c>
      <c r="S129" s="18">
        <f t="shared" si="37"/>
        <v>8.709488016202889E-2</v>
      </c>
      <c r="T129" t="str">
        <f t="shared" si="51"/>
        <v>SD</v>
      </c>
      <c r="V129" s="1">
        <v>-103.3</v>
      </c>
      <c r="W129" s="1" t="e">
        <f t="shared" si="39"/>
        <v>#N/A</v>
      </c>
      <c r="X129" s="1">
        <f t="shared" si="40"/>
        <v>1.2284872170812977E-2</v>
      </c>
      <c r="Y129" s="1">
        <f t="shared" si="41"/>
        <v>1.2284872170812977E-2</v>
      </c>
      <c r="Z129" s="1" t="e">
        <f t="shared" si="42"/>
        <v>#N/A</v>
      </c>
      <c r="AA129" s="1">
        <v>0</v>
      </c>
      <c r="AC129" s="31" t="e">
        <f t="shared" si="43"/>
        <v>#N/A</v>
      </c>
      <c r="AD129" s="31">
        <f t="shared" si="44"/>
        <v>1.2284872170812977E-2</v>
      </c>
      <c r="AE129" s="31">
        <f t="shared" si="45"/>
        <v>1.2284872170812977E-2</v>
      </c>
      <c r="AF129" s="31" t="e">
        <f t="shared" si="46"/>
        <v>#N/A</v>
      </c>
      <c r="AL129" s="17">
        <f t="shared" si="47"/>
        <v>40786</v>
      </c>
      <c r="AM129">
        <f t="shared" si="49"/>
        <v>3</v>
      </c>
      <c r="AN129">
        <f t="shared" si="50"/>
        <v>3</v>
      </c>
    </row>
    <row r="130" spans="1:40">
      <c r="A130" s="7">
        <v>40816</v>
      </c>
      <c r="B130" s="8">
        <v>100.2363</v>
      </c>
      <c r="C130" s="8">
        <f t="shared" si="28"/>
        <v>1.0022993165936651</v>
      </c>
      <c r="D130" s="9">
        <f t="shared" si="29"/>
        <v>0.28057482914841625</v>
      </c>
      <c r="E130" s="8">
        <v>53.7</v>
      </c>
      <c r="F130" s="10">
        <f t="shared" si="30"/>
        <v>4.4600887444985577</v>
      </c>
      <c r="G130" s="8">
        <v>-0.1893</v>
      </c>
      <c r="H130" s="10">
        <f t="shared" si="31"/>
        <v>-6.4173056725724889E-2</v>
      </c>
      <c r="I130" s="10">
        <f t="shared" si="32"/>
        <v>0.13582694327427514</v>
      </c>
      <c r="J130" s="1">
        <v>-0.27</v>
      </c>
      <c r="K130" s="10">
        <f t="shared" si="34"/>
        <v>-0.10950480591944579</v>
      </c>
      <c r="L130" s="8">
        <v>-4.2190000000000003</v>
      </c>
      <c r="M130" s="11">
        <f t="shared" si="35"/>
        <v>-2.1488707023913589</v>
      </c>
      <c r="N130" s="9">
        <f t="shared" si="33"/>
        <v>-0.73295134599633538</v>
      </c>
      <c r="P130" s="29">
        <f t="shared" si="36"/>
        <v>-8.0072491281052094E-2</v>
      </c>
      <c r="Q130" s="1" t="str">
        <f t="shared" si="48"/>
        <v>C</v>
      </c>
      <c r="R130" t="str">
        <f t="shared" si="38"/>
        <v>C</v>
      </c>
      <c r="S130" s="18">
        <f t="shared" si="37"/>
        <v>-8.0072491281052094E-2</v>
      </c>
      <c r="T130" t="str">
        <f t="shared" si="51"/>
        <v>C</v>
      </c>
      <c r="V130" s="1">
        <v>-81.400000000000006</v>
      </c>
      <c r="W130" s="1" t="e">
        <f t="shared" si="39"/>
        <v>#N/A</v>
      </c>
      <c r="X130" s="1" t="e">
        <f t="shared" si="40"/>
        <v>#N/A</v>
      </c>
      <c r="Y130" s="1">
        <f t="shared" si="41"/>
        <v>-8.0072491281052094E-2</v>
      </c>
      <c r="Z130" s="1" t="e">
        <f t="shared" si="42"/>
        <v>#N/A</v>
      </c>
      <c r="AA130" s="1">
        <v>0</v>
      </c>
      <c r="AC130" s="31" t="e">
        <f t="shared" si="43"/>
        <v>#N/A</v>
      </c>
      <c r="AD130" s="31" t="e">
        <f t="shared" si="44"/>
        <v>#N/A</v>
      </c>
      <c r="AE130" s="31">
        <f t="shared" si="45"/>
        <v>-8.0072491281052094E-2</v>
      </c>
      <c r="AF130" s="31" t="e">
        <f t="shared" si="46"/>
        <v>#N/A</v>
      </c>
      <c r="AL130" s="17">
        <f t="shared" si="47"/>
        <v>40816</v>
      </c>
      <c r="AM130">
        <f t="shared" si="49"/>
        <v>1</v>
      </c>
      <c r="AN130">
        <f t="shared" si="50"/>
        <v>1</v>
      </c>
    </row>
    <row r="131" spans="1:40">
      <c r="A131" s="7">
        <v>40847</v>
      </c>
      <c r="B131" s="8">
        <v>99.932899999999989</v>
      </c>
      <c r="C131" s="8">
        <f t="shared" si="28"/>
        <v>0.69752051136446747</v>
      </c>
      <c r="D131" s="9">
        <f t="shared" si="29"/>
        <v>0.20438012784111687</v>
      </c>
      <c r="E131" s="8">
        <v>51.4</v>
      </c>
      <c r="F131" s="10">
        <f t="shared" si="30"/>
        <v>3.5879634523164681</v>
      </c>
      <c r="G131" s="8">
        <v>0.2442</v>
      </c>
      <c r="H131" s="10">
        <f t="shared" si="31"/>
        <v>2.3713264441106711E-2</v>
      </c>
      <c r="I131" s="10">
        <f t="shared" si="32"/>
        <v>0.22371326444110673</v>
      </c>
      <c r="J131" s="1">
        <v>0.15</v>
      </c>
      <c r="K131" s="10">
        <f t="shared" si="34"/>
        <v>-3.5545936232403742E-2</v>
      </c>
      <c r="L131" s="8">
        <v>-3.1280000000000001</v>
      </c>
      <c r="M131" s="11">
        <f t="shared" si="35"/>
        <v>-2.4279225522098216</v>
      </c>
      <c r="N131" s="9">
        <f t="shared" si="33"/>
        <v>-0.77908962132251214</v>
      </c>
      <c r="P131" s="29">
        <f t="shared" si="36"/>
        <v>-9.160050924432972E-2</v>
      </c>
      <c r="Q131" s="1" t="str">
        <f t="shared" si="48"/>
        <v>C</v>
      </c>
      <c r="R131" t="str">
        <f t="shared" si="38"/>
        <v>C</v>
      </c>
      <c r="S131" s="18">
        <f t="shared" si="37"/>
        <v>-8.0072491281052094E-2</v>
      </c>
      <c r="T131" t="str">
        <f t="shared" si="51"/>
        <v>C</v>
      </c>
      <c r="V131" s="1">
        <v>-50.1</v>
      </c>
      <c r="W131" s="1" t="e">
        <f t="shared" si="39"/>
        <v>#N/A</v>
      </c>
      <c r="X131" s="1" t="e">
        <f t="shared" si="40"/>
        <v>#N/A</v>
      </c>
      <c r="Y131" s="1">
        <f t="shared" si="41"/>
        <v>-9.160050924432972E-2</v>
      </c>
      <c r="Z131" s="1" t="e">
        <f t="shared" si="42"/>
        <v>#N/A</v>
      </c>
      <c r="AA131" s="1">
        <v>0</v>
      </c>
      <c r="AC131" s="31" t="e">
        <f t="shared" si="43"/>
        <v>#N/A</v>
      </c>
      <c r="AD131" s="31" t="e">
        <f t="shared" si="44"/>
        <v>#N/A</v>
      </c>
      <c r="AE131" s="31">
        <f t="shared" si="45"/>
        <v>-9.160050924432972E-2</v>
      </c>
      <c r="AF131" s="31" t="e">
        <f t="shared" si="46"/>
        <v>#N/A</v>
      </c>
      <c r="AL131" s="17">
        <f t="shared" si="47"/>
        <v>40847</v>
      </c>
      <c r="AM131">
        <f t="shared" si="49"/>
        <v>1</v>
      </c>
      <c r="AN131">
        <f t="shared" si="50"/>
        <v>1</v>
      </c>
    </row>
    <row r="132" spans="1:40">
      <c r="A132" s="7">
        <v>40877</v>
      </c>
      <c r="B132" s="8">
        <v>99.7042</v>
      </c>
      <c r="C132" s="8">
        <f t="shared" si="28"/>
        <v>0.41442416562559425</v>
      </c>
      <c r="D132" s="9">
        <f t="shared" si="29"/>
        <v>0.13360604140639856</v>
      </c>
      <c r="E132" s="8">
        <v>51.8</v>
      </c>
      <c r="F132" s="10">
        <f t="shared" si="30"/>
        <v>3.0783938684062742</v>
      </c>
      <c r="G132" s="8">
        <v>-2.6200000000000001E-2</v>
      </c>
      <c r="H132" s="10">
        <f t="shared" si="31"/>
        <v>9.4879840753912953E-3</v>
      </c>
      <c r="I132" s="10">
        <f t="shared" si="32"/>
        <v>0.20948798407539132</v>
      </c>
      <c r="J132" s="1">
        <v>-0.34</v>
      </c>
      <c r="K132" s="10">
        <f t="shared" si="34"/>
        <v>-0.12231534440616869</v>
      </c>
      <c r="L132" s="8">
        <v>-3.6440000000000001</v>
      </c>
      <c r="M132" s="11">
        <f t="shared" si="35"/>
        <v>-2.7745046248300227</v>
      </c>
      <c r="N132" s="9">
        <f t="shared" si="33"/>
        <v>-0.83284221567323646</v>
      </c>
      <c r="P132" s="29">
        <f t="shared" si="36"/>
        <v>-0.1396580345855761</v>
      </c>
      <c r="Q132" s="1" t="str">
        <f t="shared" si="48"/>
        <v>C</v>
      </c>
      <c r="R132" t="str">
        <f t="shared" si="38"/>
        <v>C</v>
      </c>
      <c r="S132" s="18">
        <f t="shared" si="37"/>
        <v>-8.0072491281052094E-2</v>
      </c>
      <c r="T132" t="str">
        <f t="shared" si="51"/>
        <v>C</v>
      </c>
      <c r="V132" s="1">
        <v>-22.2</v>
      </c>
      <c r="W132" s="1" t="e">
        <f t="shared" si="39"/>
        <v>#N/A</v>
      </c>
      <c r="X132" s="1" t="e">
        <f t="shared" si="40"/>
        <v>#N/A</v>
      </c>
      <c r="Y132" s="1">
        <f t="shared" si="41"/>
        <v>-0.1396580345855761</v>
      </c>
      <c r="Z132" s="1">
        <f t="shared" si="42"/>
        <v>-0.1396580345855761</v>
      </c>
      <c r="AA132" s="1">
        <v>0</v>
      </c>
      <c r="AC132" s="31" t="e">
        <f t="shared" si="43"/>
        <v>#N/A</v>
      </c>
      <c r="AD132" s="31" t="e">
        <f t="shared" si="44"/>
        <v>#N/A</v>
      </c>
      <c r="AE132" s="31">
        <f t="shared" si="45"/>
        <v>-0.1396580345855761</v>
      </c>
      <c r="AF132" s="31">
        <f t="shared" si="46"/>
        <v>-0.1396580345855761</v>
      </c>
      <c r="AL132" s="17">
        <f t="shared" si="47"/>
        <v>40877</v>
      </c>
      <c r="AM132">
        <f t="shared" si="49"/>
        <v>1</v>
      </c>
      <c r="AN132">
        <f t="shared" si="50"/>
        <v>1</v>
      </c>
    </row>
    <row r="133" spans="1:40">
      <c r="A133" s="7">
        <v>40907</v>
      </c>
      <c r="B133" s="8">
        <v>99.533299999999997</v>
      </c>
      <c r="C133" s="8">
        <f t="shared" ref="C133:C196" si="52">$BG$1*C132+(1-$BG$1)*(B133-100)</f>
        <v>0.16330377842229901</v>
      </c>
      <c r="D133" s="9">
        <f t="shared" ref="D133:D196" si="53">C133/4+0.03</f>
        <v>7.0825944605574759E-2</v>
      </c>
      <c r="E133" s="8">
        <v>53</v>
      </c>
      <c r="F133" s="10">
        <f t="shared" ref="F133:F196" si="54">$BG$1*F132+(1-$BG$1)*(E133-50)</f>
        <v>3.0560516159104858</v>
      </c>
      <c r="G133" s="8">
        <v>0.47460000000000002</v>
      </c>
      <c r="H133" s="10">
        <f t="shared" ref="H133:H196" si="55">$BG$1*H132 + (1-$BG$1)*G133</f>
        <v>0.14204490861390479</v>
      </c>
      <c r="I133" s="10">
        <f t="shared" ref="I133:I196" si="56">MAX(IF(H133&lt;-1,-1*SQRT(-H133),IF(H133&gt;1,H133,H133)),-2)+0.2</f>
        <v>0.3420449086139048</v>
      </c>
      <c r="J133" s="1">
        <v>0.26</v>
      </c>
      <c r="K133" s="10">
        <f t="shared" si="34"/>
        <v>-1.3355471250410589E-2</v>
      </c>
      <c r="L133" s="8">
        <v>-3.415</v>
      </c>
      <c r="M133" s="11">
        <f t="shared" si="35"/>
        <v>-2.9570458067534662</v>
      </c>
      <c r="N133" s="9">
        <f t="shared" ref="N133:N196" si="57">IF(M133&lt;-1,-(-M133^(0.5)/2),IF(M133&lt;0,0.5*M133,M133))*1+0*IF(M133&gt;0,M133*6,M133)/6</f>
        <v>-0.85980314705656113</v>
      </c>
      <c r="P133" s="29">
        <f t="shared" si="36"/>
        <v>-0.12805073234541928</v>
      </c>
      <c r="Q133" s="1" t="str">
        <f t="shared" si="48"/>
        <v>R</v>
      </c>
      <c r="R133" t="str">
        <f t="shared" si="38"/>
        <v>C</v>
      </c>
      <c r="S133" s="18">
        <f t="shared" si="37"/>
        <v>-8.0072491281052094E-2</v>
      </c>
      <c r="T133" t="str">
        <f t="shared" si="51"/>
        <v>R</v>
      </c>
      <c r="V133" s="1">
        <v>-8.8000000000000007</v>
      </c>
      <c r="W133" s="1" t="e">
        <f t="shared" si="39"/>
        <v>#N/A</v>
      </c>
      <c r="X133" s="1" t="e">
        <f t="shared" si="40"/>
        <v>#N/A</v>
      </c>
      <c r="Y133" s="1" t="e">
        <f t="shared" si="41"/>
        <v>#N/A</v>
      </c>
      <c r="Z133" s="1">
        <f t="shared" si="42"/>
        <v>-0.12805073234541928</v>
      </c>
      <c r="AA133" s="1">
        <v>0</v>
      </c>
      <c r="AC133" s="31" t="e">
        <f t="shared" si="43"/>
        <v>#N/A</v>
      </c>
      <c r="AD133" s="31" t="e">
        <f t="shared" si="44"/>
        <v>#N/A</v>
      </c>
      <c r="AE133" s="31" t="e">
        <f t="shared" si="45"/>
        <v>#N/A</v>
      </c>
      <c r="AF133" s="31">
        <f t="shared" si="46"/>
        <v>-0.12805073234541928</v>
      </c>
      <c r="AL133" s="17">
        <f t="shared" si="47"/>
        <v>40907</v>
      </c>
      <c r="AM133">
        <f t="shared" si="49"/>
        <v>2</v>
      </c>
      <c r="AN133">
        <f t="shared" si="50"/>
        <v>1</v>
      </c>
    </row>
    <row r="134" spans="1:40">
      <c r="A134" s="7">
        <v>40939</v>
      </c>
      <c r="B134" s="8">
        <v>99.392700000000005</v>
      </c>
      <c r="C134" s="8">
        <f t="shared" si="52"/>
        <v>-5.6318298428054817E-2</v>
      </c>
      <c r="D134" s="9">
        <f t="shared" si="53"/>
        <v>1.5920425392986295E-2</v>
      </c>
      <c r="E134" s="8">
        <v>54.2</v>
      </c>
      <c r="F134" s="10">
        <f t="shared" si="54"/>
        <v>3.3820769053759983</v>
      </c>
      <c r="G134" s="8">
        <v>0.57899999999999996</v>
      </c>
      <c r="H134" s="10">
        <f t="shared" si="55"/>
        <v>0.26657710965894188</v>
      </c>
      <c r="I134" s="10">
        <f t="shared" si="56"/>
        <v>0.46657710965894189</v>
      </c>
      <c r="J134" s="1">
        <v>0.32</v>
      </c>
      <c r="K134" s="10">
        <f t="shared" ref="K134:K197" si="58">$BG$1*K133+(1-$BG$1) * MAX(AVERAGE($J$4:$J$256)-3*STDEVA($J$4:$J$256),MIN(J134,AVERAGE($J$4:$J$256)+3*STDEVA($J$4:$J$256)))</f>
        <v>8.1650838055956451E-2</v>
      </c>
      <c r="L134" s="8">
        <v>-2.5489999999999999</v>
      </c>
      <c r="M134" s="11">
        <f t="shared" ref="M134:M197" si="59">$BG$1*M133+(1-$BG$1)*L134</f>
        <v>-2.8407527518287283</v>
      </c>
      <c r="N134" s="9">
        <f t="shared" si="57"/>
        <v>-0.8427266389269904</v>
      </c>
      <c r="P134" s="29">
        <f t="shared" ref="P134:P197" si="60">AVERAGE(D133,I134,N134)</f>
        <v>-0.1017745282208246</v>
      </c>
      <c r="Q134" s="1" t="str">
        <f t="shared" si="48"/>
        <v>R</v>
      </c>
      <c r="R134" t="str">
        <f t="shared" si="38"/>
        <v>C</v>
      </c>
      <c r="S134" s="18">
        <f t="shared" ref="S134:S197" si="61">IF(R134&lt;&gt;Q133,P134,S133)</f>
        <v>-0.1017745282208246</v>
      </c>
      <c r="T134" t="str">
        <f t="shared" si="51"/>
        <v>R</v>
      </c>
      <c r="V134" s="1">
        <v>13.2</v>
      </c>
      <c r="W134" s="1" t="e">
        <f t="shared" si="39"/>
        <v>#N/A</v>
      </c>
      <c r="X134" s="1" t="e">
        <f t="shared" si="40"/>
        <v>#N/A</v>
      </c>
      <c r="Y134" s="1">
        <f t="shared" si="41"/>
        <v>-0.1017745282208246</v>
      </c>
      <c r="Z134" s="1">
        <f t="shared" si="42"/>
        <v>-0.1017745282208246</v>
      </c>
      <c r="AA134" s="1">
        <v>0</v>
      </c>
      <c r="AC134" s="31" t="e">
        <f t="shared" si="43"/>
        <v>#N/A</v>
      </c>
      <c r="AD134" s="31" t="e">
        <f t="shared" si="44"/>
        <v>#N/A</v>
      </c>
      <c r="AE134" s="31">
        <f t="shared" si="45"/>
        <v>-0.1017745282208246</v>
      </c>
      <c r="AF134" s="31">
        <f t="shared" si="46"/>
        <v>-0.1017745282208246</v>
      </c>
      <c r="AL134" s="17">
        <f t="shared" si="47"/>
        <v>40939</v>
      </c>
      <c r="AM134">
        <f t="shared" si="49"/>
        <v>2</v>
      </c>
      <c r="AN134">
        <f t="shared" si="50"/>
        <v>1</v>
      </c>
    </row>
    <row r="135" spans="1:40">
      <c r="A135" s="7">
        <v>40968</v>
      </c>
      <c r="B135" s="8">
        <v>99.259500000000003</v>
      </c>
      <c r="C135" s="8">
        <f t="shared" si="52"/>
        <v>-0.25131008337605842</v>
      </c>
      <c r="D135" s="9">
        <f t="shared" si="53"/>
        <v>-3.2827520844014607E-2</v>
      </c>
      <c r="E135" s="8">
        <v>53.3</v>
      </c>
      <c r="F135" s="10">
        <f t="shared" si="54"/>
        <v>3.358684987343838</v>
      </c>
      <c r="G135" s="8">
        <v>0.1023</v>
      </c>
      <c r="H135" s="10">
        <f t="shared" si="55"/>
        <v>0.21975813340614345</v>
      </c>
      <c r="I135" s="10">
        <f t="shared" si="56"/>
        <v>0.41975813340614343</v>
      </c>
      <c r="J135" s="1">
        <v>-0.02</v>
      </c>
      <c r="K135" s="10">
        <f t="shared" si="58"/>
        <v>5.2680349210008859E-2</v>
      </c>
      <c r="L135" s="8">
        <v>-1.9379999999999999</v>
      </c>
      <c r="M135" s="11">
        <f t="shared" si="59"/>
        <v>-2.5834682175575407</v>
      </c>
      <c r="N135" s="9">
        <f t="shared" si="57"/>
        <v>-0.80365854340595744</v>
      </c>
      <c r="P135" s="29">
        <f t="shared" si="60"/>
        <v>-0.12265999486894258</v>
      </c>
      <c r="Q135" s="1" t="str">
        <f t="shared" si="48"/>
        <v>C</v>
      </c>
      <c r="R135" t="str">
        <f t="shared" ref="R135:R198" si="62">IF(OR(ABS($P135-$P134)&gt;$R$1,P135*P134&lt;0),Q135,R134)</f>
        <v>C</v>
      </c>
      <c r="S135" s="18">
        <f t="shared" si="61"/>
        <v>-0.12265999486894258</v>
      </c>
      <c r="T135" t="str">
        <f t="shared" si="51"/>
        <v>C</v>
      </c>
      <c r="V135" s="1">
        <v>25.1</v>
      </c>
      <c r="W135" s="1" t="e">
        <f t="shared" ref="W135:W185" si="63">IF(OR($Q135=W$5,$Q136=W$5),$P135,NA())</f>
        <v>#N/A</v>
      </c>
      <c r="X135" s="1" t="e">
        <f t="shared" ref="X135:X185" si="64">IF(OR($Q135=X$5,$Q136=X$5),$P135,NA())</f>
        <v>#N/A</v>
      </c>
      <c r="Y135" s="1">
        <f t="shared" ref="Y135:Y185" si="65">IF(OR($Q135=Y$5,$Q136=Y$5),$P135,NA())</f>
        <v>-0.12265999486894258</v>
      </c>
      <c r="Z135" s="1" t="e">
        <f t="shared" ref="Z135:Z185" si="66">IF(OR($Q135=Z$5,$Q136=Z$5),$P135,NA())</f>
        <v>#N/A</v>
      </c>
      <c r="AA135" s="1">
        <v>0</v>
      </c>
      <c r="AC135" s="31" t="e">
        <f t="shared" ref="AC135:AC198" si="67">IF(OR($T135=AC$5,$T136=AC$5),$P135,NA())</f>
        <v>#N/A</v>
      </c>
      <c r="AD135" s="31" t="e">
        <f t="shared" ref="AD135:AD198" si="68">IF(OR($T135=AD$5,$T136=AD$5),$P135,NA())</f>
        <v>#N/A</v>
      </c>
      <c r="AE135" s="31">
        <f t="shared" ref="AE135:AE198" si="69">IF(OR($T135=AE$5,$T136=AE$5),$P135,NA())</f>
        <v>-0.12265999486894258</v>
      </c>
      <c r="AF135" s="31" t="e">
        <f t="shared" ref="AF135:AF198" si="70">IF(OR($T135=AF$5,$T136=AF$5),$P135,NA())</f>
        <v>#N/A</v>
      </c>
      <c r="AL135" s="17">
        <f t="shared" ref="AL135:AL198" si="71">A135</f>
        <v>40968</v>
      </c>
      <c r="AM135">
        <f t="shared" si="49"/>
        <v>1</v>
      </c>
      <c r="AN135">
        <f t="shared" si="50"/>
        <v>1</v>
      </c>
    </row>
    <row r="136" spans="1:40">
      <c r="A136" s="7">
        <v>40998</v>
      </c>
      <c r="B136" s="8">
        <v>99.100200000000001</v>
      </c>
      <c r="C136" s="8">
        <f t="shared" si="52"/>
        <v>-0.43612970961388153</v>
      </c>
      <c r="D136" s="9">
        <f t="shared" si="53"/>
        <v>-7.9032427403470384E-2</v>
      </c>
      <c r="E136" s="8">
        <v>53.5</v>
      </c>
      <c r="F136" s="10">
        <f t="shared" si="54"/>
        <v>3.3989597659508441</v>
      </c>
      <c r="G136" s="8">
        <v>-0.31869999999999998</v>
      </c>
      <c r="H136" s="10">
        <f t="shared" si="55"/>
        <v>6.6297565385392554E-2</v>
      </c>
      <c r="I136" s="10">
        <f t="shared" si="56"/>
        <v>0.26629756538539257</v>
      </c>
      <c r="J136" s="1">
        <v>-0.38</v>
      </c>
      <c r="K136" s="10">
        <f t="shared" si="58"/>
        <v>-7.0633550314843668E-2</v>
      </c>
      <c r="L136" s="8">
        <v>-1.4359999999999999</v>
      </c>
      <c r="M136" s="11">
        <f t="shared" si="59"/>
        <v>-2.2564397755536416</v>
      </c>
      <c r="N136" s="9">
        <f t="shared" si="57"/>
        <v>-0.75107252904656974</v>
      </c>
      <c r="P136" s="29">
        <f t="shared" si="60"/>
        <v>-0.17253416150173059</v>
      </c>
      <c r="Q136" s="1" t="str">
        <f t="shared" ref="Q136:Q199" si="72">IF(P136-P135&gt;0,IF(P136&gt;=0,"E","R"),IF(P136&gt;=0,"SD","C"))</f>
        <v>C</v>
      </c>
      <c r="R136" t="str">
        <f t="shared" si="62"/>
        <v>C</v>
      </c>
      <c r="S136" s="18">
        <f t="shared" si="61"/>
        <v>-0.12265999486894258</v>
      </c>
      <c r="T136" t="str">
        <f t="shared" si="51"/>
        <v>C</v>
      </c>
      <c r="V136" s="1">
        <v>13.9</v>
      </c>
      <c r="W136" s="1" t="e">
        <f t="shared" si="63"/>
        <v>#N/A</v>
      </c>
      <c r="X136" s="1" t="e">
        <f t="shared" si="64"/>
        <v>#N/A</v>
      </c>
      <c r="Y136" s="1">
        <f t="shared" si="65"/>
        <v>-0.17253416150173059</v>
      </c>
      <c r="Z136" s="1" t="e">
        <f t="shared" si="66"/>
        <v>#N/A</v>
      </c>
      <c r="AA136" s="1">
        <v>0</v>
      </c>
      <c r="AC136" s="31" t="e">
        <f t="shared" si="67"/>
        <v>#N/A</v>
      </c>
      <c r="AD136" s="31" t="e">
        <f t="shared" si="68"/>
        <v>#N/A</v>
      </c>
      <c r="AE136" s="31">
        <f t="shared" si="69"/>
        <v>-0.17253416150173059</v>
      </c>
      <c r="AF136" s="31" t="e">
        <f t="shared" si="70"/>
        <v>#N/A</v>
      </c>
      <c r="AL136" s="17">
        <f t="shared" si="71"/>
        <v>40998</v>
      </c>
      <c r="AM136">
        <f t="shared" ref="AM136:AM167" si="73">IF($Q136="E",4,IF($Q136="R",2,IF($Q136="SD",3,1)))</f>
        <v>1</v>
      </c>
      <c r="AN136">
        <f t="shared" ref="AN136:AN199" si="74">IF($R136="E",4,IF($R136="R",2,IF($R136="SD",3,1)))</f>
        <v>1</v>
      </c>
    </row>
    <row r="137" spans="1:40">
      <c r="A137" s="7">
        <v>41029</v>
      </c>
      <c r="B137" s="8">
        <v>98.898099999999999</v>
      </c>
      <c r="C137" s="8">
        <f t="shared" si="52"/>
        <v>-0.62587424237392542</v>
      </c>
      <c r="D137" s="9">
        <f t="shared" si="53"/>
        <v>-0.12646856059348136</v>
      </c>
      <c r="E137" s="8">
        <v>55.2</v>
      </c>
      <c r="F137" s="10">
        <f t="shared" si="54"/>
        <v>3.9122562326548547</v>
      </c>
      <c r="G137" s="8">
        <v>5.6399999999999999E-2</v>
      </c>
      <c r="H137" s="10">
        <f t="shared" si="55"/>
        <v>6.3476759250555681E-2</v>
      </c>
      <c r="I137" s="10">
        <f t="shared" si="56"/>
        <v>0.26347675925055569</v>
      </c>
      <c r="J137" s="1">
        <v>7.0000000000000007E-2</v>
      </c>
      <c r="K137" s="10">
        <f t="shared" si="58"/>
        <v>-3.0552988475113216E-2</v>
      </c>
      <c r="L137" s="8">
        <v>-1.5349999999999999</v>
      </c>
      <c r="M137" s="11">
        <f t="shared" si="59"/>
        <v>-2.0508294395208537</v>
      </c>
      <c r="N137" s="9">
        <f t="shared" si="57"/>
        <v>-0.71603586493988791</v>
      </c>
      <c r="P137" s="29">
        <f t="shared" si="60"/>
        <v>-0.17719717769760088</v>
      </c>
      <c r="Q137" s="1" t="str">
        <f t="shared" si="72"/>
        <v>C</v>
      </c>
      <c r="R137" t="str">
        <f t="shared" si="62"/>
        <v>C</v>
      </c>
      <c r="S137" s="18">
        <f t="shared" si="61"/>
        <v>-0.12265999486894258</v>
      </c>
      <c r="T137" t="str">
        <f t="shared" si="51"/>
        <v>C</v>
      </c>
      <c r="V137" s="1">
        <v>-9.3000000000000007</v>
      </c>
      <c r="W137" s="1" t="e">
        <f t="shared" si="63"/>
        <v>#N/A</v>
      </c>
      <c r="X137" s="1" t="e">
        <f t="shared" si="64"/>
        <v>#N/A</v>
      </c>
      <c r="Y137" s="1">
        <f t="shared" si="65"/>
        <v>-0.17719717769760088</v>
      </c>
      <c r="Z137" s="1" t="e">
        <f t="shared" si="66"/>
        <v>#N/A</v>
      </c>
      <c r="AA137" s="1">
        <v>0</v>
      </c>
      <c r="AC137" s="31" t="e">
        <f t="shared" si="67"/>
        <v>#N/A</v>
      </c>
      <c r="AD137" s="31" t="e">
        <f t="shared" si="68"/>
        <v>#N/A</v>
      </c>
      <c r="AE137" s="31">
        <f t="shared" si="69"/>
        <v>-0.17719717769760088</v>
      </c>
      <c r="AF137" s="31" t="e">
        <f t="shared" si="70"/>
        <v>#N/A</v>
      </c>
      <c r="AL137" s="17">
        <f t="shared" si="71"/>
        <v>41029</v>
      </c>
      <c r="AM137">
        <f t="shared" si="73"/>
        <v>1</v>
      </c>
      <c r="AN137">
        <f t="shared" si="74"/>
        <v>1</v>
      </c>
    </row>
    <row r="138" spans="1:40">
      <c r="A138" s="7">
        <v>41060</v>
      </c>
      <c r="B138" s="8">
        <v>98.665499999999994</v>
      </c>
      <c r="C138" s="8">
        <f t="shared" si="52"/>
        <v>-0.82783258329735832</v>
      </c>
      <c r="D138" s="9">
        <f t="shared" si="53"/>
        <v>-0.17695814582433958</v>
      </c>
      <c r="E138" s="8">
        <v>53.2</v>
      </c>
      <c r="F138" s="10">
        <f t="shared" si="54"/>
        <v>3.7092632063482216</v>
      </c>
      <c r="G138" s="8">
        <v>-0.20100000000000001</v>
      </c>
      <c r="H138" s="10">
        <f t="shared" si="55"/>
        <v>-1.1899117135852698E-2</v>
      </c>
      <c r="I138" s="10">
        <f t="shared" si="56"/>
        <v>0.18810088286414731</v>
      </c>
      <c r="J138" s="1">
        <v>-0.19</v>
      </c>
      <c r="K138" s="10">
        <f t="shared" si="58"/>
        <v>-7.5995386759705949E-2</v>
      </c>
      <c r="L138" s="8">
        <v>-1.784</v>
      </c>
      <c r="M138" s="11">
        <f t="shared" si="59"/>
        <v>-1.9747830492574105</v>
      </c>
      <c r="N138" s="9">
        <f t="shared" si="57"/>
        <v>-0.70263487126270119</v>
      </c>
      <c r="P138" s="29">
        <f t="shared" si="60"/>
        <v>-0.2136675163306784</v>
      </c>
      <c r="Q138" s="1" t="str">
        <f t="shared" si="72"/>
        <v>C</v>
      </c>
      <c r="R138" t="str">
        <f t="shared" si="62"/>
        <v>C</v>
      </c>
      <c r="S138" s="18">
        <f t="shared" si="61"/>
        <v>-0.12265999486894258</v>
      </c>
      <c r="T138" t="str">
        <f t="shared" si="51"/>
        <v>C</v>
      </c>
      <c r="V138" s="1">
        <v>-56.5</v>
      </c>
      <c r="W138" s="1" t="e">
        <f t="shared" si="63"/>
        <v>#N/A</v>
      </c>
      <c r="X138" s="1" t="e">
        <f t="shared" si="64"/>
        <v>#N/A</v>
      </c>
      <c r="Y138" s="1">
        <f t="shared" si="65"/>
        <v>-0.2136675163306784</v>
      </c>
      <c r="Z138" s="1" t="e">
        <f t="shared" si="66"/>
        <v>#N/A</v>
      </c>
      <c r="AA138" s="1">
        <v>0</v>
      </c>
      <c r="AC138" s="31" t="e">
        <f t="shared" si="67"/>
        <v>#N/A</v>
      </c>
      <c r="AD138" s="31" t="e">
        <f t="shared" si="68"/>
        <v>#N/A</v>
      </c>
      <c r="AE138" s="31">
        <f t="shared" si="69"/>
        <v>-0.2136675163306784</v>
      </c>
      <c r="AF138" s="31" t="e">
        <f t="shared" si="70"/>
        <v>#N/A</v>
      </c>
      <c r="AL138" s="17">
        <f t="shared" si="71"/>
        <v>41060</v>
      </c>
      <c r="AM138">
        <f t="shared" si="73"/>
        <v>1</v>
      </c>
      <c r="AN138">
        <f t="shared" si="74"/>
        <v>1</v>
      </c>
    </row>
    <row r="139" spans="1:40">
      <c r="A139" s="7">
        <v>41089</v>
      </c>
      <c r="B139" s="8">
        <v>98.418300000000002</v>
      </c>
      <c r="C139" s="8">
        <f t="shared" si="52"/>
        <v>-1.0426847970576105</v>
      </c>
      <c r="D139" s="9">
        <f t="shared" si="53"/>
        <v>-0.23067119926440263</v>
      </c>
      <c r="E139" s="8">
        <v>49.5</v>
      </c>
      <c r="F139" s="10">
        <f t="shared" si="54"/>
        <v>2.5096231925389785</v>
      </c>
      <c r="G139" s="8">
        <v>-0.41599999999999998</v>
      </c>
      <c r="H139" s="10">
        <f t="shared" si="55"/>
        <v>-0.12706786875213469</v>
      </c>
      <c r="I139" s="10">
        <f t="shared" si="56"/>
        <v>7.2932131247865323E-2</v>
      </c>
      <c r="J139" s="1">
        <v>-0.34</v>
      </c>
      <c r="K139" s="10">
        <f t="shared" si="58"/>
        <v>-0.15123670153318977</v>
      </c>
      <c r="L139" s="8">
        <v>-1.3440000000000001</v>
      </c>
      <c r="M139" s="11">
        <f t="shared" si="59"/>
        <v>-1.7950098802190486</v>
      </c>
      <c r="N139" s="9">
        <f t="shared" si="57"/>
        <v>-0.66988989397867627</v>
      </c>
      <c r="P139" s="29">
        <f t="shared" si="60"/>
        <v>-0.25797196951838353</v>
      </c>
      <c r="Q139" s="1" t="str">
        <f t="shared" si="72"/>
        <v>C</v>
      </c>
      <c r="R139" t="str">
        <f t="shared" si="62"/>
        <v>C</v>
      </c>
      <c r="S139" s="18">
        <f t="shared" si="61"/>
        <v>-0.12265999486894258</v>
      </c>
      <c r="T139" t="str">
        <f t="shared" si="51"/>
        <v>C</v>
      </c>
      <c r="V139" s="1">
        <v>-89.1</v>
      </c>
      <c r="W139" s="1" t="e">
        <f t="shared" si="63"/>
        <v>#N/A</v>
      </c>
      <c r="X139" s="1" t="e">
        <f t="shared" si="64"/>
        <v>#N/A</v>
      </c>
      <c r="Y139" s="1">
        <f t="shared" si="65"/>
        <v>-0.25797196951838353</v>
      </c>
      <c r="Z139" s="1" t="e">
        <f t="shared" si="66"/>
        <v>#N/A</v>
      </c>
      <c r="AA139" s="1">
        <v>0</v>
      </c>
      <c r="AC139" s="31" t="e">
        <f t="shared" si="67"/>
        <v>#N/A</v>
      </c>
      <c r="AD139" s="31" t="e">
        <f t="shared" si="68"/>
        <v>#N/A</v>
      </c>
      <c r="AE139" s="31">
        <f t="shared" si="69"/>
        <v>-0.25797196951838353</v>
      </c>
      <c r="AF139" s="31" t="e">
        <f t="shared" si="70"/>
        <v>#N/A</v>
      </c>
      <c r="AL139" s="17">
        <f t="shared" si="71"/>
        <v>41089</v>
      </c>
      <c r="AM139">
        <f t="shared" si="73"/>
        <v>1</v>
      </c>
      <c r="AN139">
        <f t="shared" si="74"/>
        <v>1</v>
      </c>
    </row>
    <row r="140" spans="1:40">
      <c r="A140" s="7">
        <v>41121</v>
      </c>
      <c r="B140" s="8">
        <v>98.178399999999996</v>
      </c>
      <c r="C140" s="8">
        <f t="shared" si="52"/>
        <v>-1.2646756298961925</v>
      </c>
      <c r="D140" s="9">
        <f t="shared" si="53"/>
        <v>-0.28616890747404811</v>
      </c>
      <c r="E140" s="8">
        <v>49.6</v>
      </c>
      <c r="F140" s="10">
        <f t="shared" si="54"/>
        <v>1.6803805826653699</v>
      </c>
      <c r="G140" s="8">
        <v>-0.4234</v>
      </c>
      <c r="H140" s="10">
        <f t="shared" si="55"/>
        <v>-0.21152252615777631</v>
      </c>
      <c r="I140" s="10">
        <f t="shared" si="56"/>
        <v>-1.1522526157776297E-2</v>
      </c>
      <c r="J140" s="1">
        <v>-0.28000000000000003</v>
      </c>
      <c r="K140" s="10">
        <f t="shared" si="58"/>
        <v>-0.18793424159623068</v>
      </c>
      <c r="L140" s="8">
        <v>-1.2010000000000001</v>
      </c>
      <c r="M140" s="11">
        <f t="shared" si="59"/>
        <v>-1.6257170643566199</v>
      </c>
      <c r="N140" s="9">
        <f t="shared" si="57"/>
        <v>-0.63751805157905528</v>
      </c>
      <c r="P140" s="29">
        <f t="shared" si="60"/>
        <v>-0.29323725900041137</v>
      </c>
      <c r="Q140" s="1" t="str">
        <f t="shared" si="72"/>
        <v>C</v>
      </c>
      <c r="R140" t="str">
        <f t="shared" si="62"/>
        <v>C</v>
      </c>
      <c r="S140" s="18">
        <f t="shared" si="61"/>
        <v>-0.12265999486894258</v>
      </c>
      <c r="T140" t="str">
        <f t="shared" si="51"/>
        <v>C</v>
      </c>
      <c r="V140" s="1">
        <v>-71.7</v>
      </c>
      <c r="W140" s="1" t="e">
        <f t="shared" si="63"/>
        <v>#N/A</v>
      </c>
      <c r="X140" s="1" t="e">
        <f t="shared" si="64"/>
        <v>#N/A</v>
      </c>
      <c r="Y140" s="1">
        <f t="shared" si="65"/>
        <v>-0.29323725900041137</v>
      </c>
      <c r="Z140" s="1" t="e">
        <f t="shared" si="66"/>
        <v>#N/A</v>
      </c>
      <c r="AA140" s="1">
        <v>0</v>
      </c>
      <c r="AC140" s="31" t="e">
        <f t="shared" si="67"/>
        <v>#N/A</v>
      </c>
      <c r="AD140" s="31" t="e">
        <f t="shared" si="68"/>
        <v>#N/A</v>
      </c>
      <c r="AE140" s="31">
        <f t="shared" si="69"/>
        <v>-0.29323725900041137</v>
      </c>
      <c r="AF140" s="31" t="e">
        <f t="shared" si="70"/>
        <v>#N/A</v>
      </c>
      <c r="AL140" s="17">
        <f t="shared" si="71"/>
        <v>41121</v>
      </c>
      <c r="AM140">
        <f t="shared" si="73"/>
        <v>1</v>
      </c>
      <c r="AN140">
        <f t="shared" si="74"/>
        <v>1</v>
      </c>
    </row>
    <row r="141" spans="1:40">
      <c r="A141" s="7">
        <v>41152</v>
      </c>
      <c r="B141" s="8">
        <v>97.9696</v>
      </c>
      <c r="C141" s="8">
        <f t="shared" si="52"/>
        <v>-1.4829070753757776</v>
      </c>
      <c r="D141" s="9">
        <f t="shared" si="53"/>
        <v>-0.34072676884394437</v>
      </c>
      <c r="E141" s="8">
        <v>49</v>
      </c>
      <c r="F141" s="10">
        <f t="shared" si="54"/>
        <v>0.91647211660573935</v>
      </c>
      <c r="G141" s="8">
        <v>-0.52180000000000004</v>
      </c>
      <c r="H141" s="10">
        <f t="shared" si="55"/>
        <v>-0.29995160620281008</v>
      </c>
      <c r="I141" s="10">
        <f t="shared" si="56"/>
        <v>-9.9951606202810073E-2</v>
      </c>
      <c r="J141" s="1">
        <v>-0.44</v>
      </c>
      <c r="K141" s="10">
        <f t="shared" si="58"/>
        <v>-0.25977298274130495</v>
      </c>
      <c r="L141" s="8">
        <v>-0.48199999999999998</v>
      </c>
      <c r="M141" s="11">
        <f t="shared" si="59"/>
        <v>-1.2997577010149832</v>
      </c>
      <c r="N141" s="9">
        <f t="shared" si="57"/>
        <v>-0.57003458250683858</v>
      </c>
      <c r="P141" s="29">
        <f t="shared" si="60"/>
        <v>-0.31871836539456561</v>
      </c>
      <c r="Q141" s="1" t="str">
        <f t="shared" si="72"/>
        <v>C</v>
      </c>
      <c r="R141" t="str">
        <f t="shared" si="62"/>
        <v>C</v>
      </c>
      <c r="S141" s="18">
        <f t="shared" si="61"/>
        <v>-0.12265999486894258</v>
      </c>
      <c r="T141" t="str">
        <f t="shared" si="51"/>
        <v>C</v>
      </c>
      <c r="V141" s="1">
        <v>-30.7</v>
      </c>
      <c r="W141" s="1" t="e">
        <f t="shared" si="63"/>
        <v>#N/A</v>
      </c>
      <c r="X141" s="1" t="e">
        <f t="shared" si="64"/>
        <v>#N/A</v>
      </c>
      <c r="Y141" s="1">
        <f t="shared" si="65"/>
        <v>-0.31871836539456561</v>
      </c>
      <c r="Z141" s="1">
        <f t="shared" si="66"/>
        <v>-0.31871836539456561</v>
      </c>
      <c r="AA141" s="1">
        <v>0</v>
      </c>
      <c r="AC141" s="31" t="e">
        <f t="shared" si="67"/>
        <v>#N/A</v>
      </c>
      <c r="AD141" s="31" t="e">
        <f t="shared" si="68"/>
        <v>#N/A</v>
      </c>
      <c r="AE141" s="31">
        <f t="shared" si="69"/>
        <v>-0.31871836539456561</v>
      </c>
      <c r="AF141" s="31">
        <f t="shared" si="70"/>
        <v>-0.31871836539456561</v>
      </c>
      <c r="AL141" s="17">
        <f t="shared" si="71"/>
        <v>41152</v>
      </c>
      <c r="AM141">
        <f t="shared" si="73"/>
        <v>1</v>
      </c>
      <c r="AN141">
        <f t="shared" si="74"/>
        <v>1</v>
      </c>
    </row>
    <row r="142" spans="1:40">
      <c r="A142" s="7">
        <v>41180</v>
      </c>
      <c r="B142" s="8">
        <v>97.812600000000003</v>
      </c>
      <c r="C142" s="8">
        <f t="shared" si="52"/>
        <v>-1.6836875588936802</v>
      </c>
      <c r="D142" s="9">
        <f t="shared" si="53"/>
        <v>-0.39092188972342001</v>
      </c>
      <c r="E142" s="8">
        <v>50.8</v>
      </c>
      <c r="F142" s="10">
        <f t="shared" si="54"/>
        <v>0.88327756337310281</v>
      </c>
      <c r="G142" s="8">
        <v>-0.2268</v>
      </c>
      <c r="H142" s="10">
        <f t="shared" si="55"/>
        <v>-0.2791033984350092</v>
      </c>
      <c r="I142" s="10">
        <f t="shared" si="56"/>
        <v>-7.9103398435009187E-2</v>
      </c>
      <c r="J142" s="1">
        <v>-0.11</v>
      </c>
      <c r="K142" s="10">
        <f t="shared" si="58"/>
        <v>-0.21708768266003303</v>
      </c>
      <c r="L142" s="8">
        <v>0.01</v>
      </c>
      <c r="M142" s="11">
        <f t="shared" si="59"/>
        <v>-0.92647675622571291</v>
      </c>
      <c r="N142" s="9">
        <f t="shared" si="57"/>
        <v>-0.46323837811285645</v>
      </c>
      <c r="P142" s="29">
        <f t="shared" si="60"/>
        <v>-0.29435618179727002</v>
      </c>
      <c r="Q142" s="1" t="str">
        <f t="shared" si="72"/>
        <v>R</v>
      </c>
      <c r="R142" t="str">
        <f t="shared" si="62"/>
        <v>C</v>
      </c>
      <c r="S142" s="18">
        <f t="shared" si="61"/>
        <v>-0.12265999486894258</v>
      </c>
      <c r="T142" t="str">
        <f t="shared" si="51"/>
        <v>R</v>
      </c>
      <c r="V142" s="1">
        <v>-6.9</v>
      </c>
      <c r="W142" s="1" t="e">
        <f t="shared" si="63"/>
        <v>#N/A</v>
      </c>
      <c r="X142" s="1" t="e">
        <f t="shared" si="64"/>
        <v>#N/A</v>
      </c>
      <c r="Y142" s="1" t="e">
        <f t="shared" si="65"/>
        <v>#N/A</v>
      </c>
      <c r="Z142" s="1">
        <f t="shared" si="66"/>
        <v>-0.29435618179727002</v>
      </c>
      <c r="AA142" s="1">
        <v>0</v>
      </c>
      <c r="AC142" s="31" t="e">
        <f t="shared" si="67"/>
        <v>#N/A</v>
      </c>
      <c r="AD142" s="31" t="e">
        <f t="shared" si="68"/>
        <v>#N/A</v>
      </c>
      <c r="AE142" s="31" t="e">
        <f t="shared" si="69"/>
        <v>#N/A</v>
      </c>
      <c r="AF142" s="31">
        <f t="shared" si="70"/>
        <v>-0.29435618179727002</v>
      </c>
      <c r="AL142" s="17">
        <f t="shared" si="71"/>
        <v>41180</v>
      </c>
      <c r="AM142">
        <f t="shared" si="73"/>
        <v>2</v>
      </c>
      <c r="AN142">
        <f t="shared" si="74"/>
        <v>1</v>
      </c>
    </row>
    <row r="143" spans="1:40">
      <c r="A143" s="7">
        <v>41213</v>
      </c>
      <c r="B143" s="8">
        <v>97.726500000000001</v>
      </c>
      <c r="C143" s="8">
        <f t="shared" si="52"/>
        <v>-1.8517841046089809</v>
      </c>
      <c r="D143" s="9">
        <f t="shared" si="53"/>
        <v>-0.4329460261522452</v>
      </c>
      <c r="E143" s="8">
        <v>50.5</v>
      </c>
      <c r="F143" s="10">
        <f t="shared" si="54"/>
        <v>0.77404345781176853</v>
      </c>
      <c r="G143" s="8">
        <v>4.7999999999999996E-3</v>
      </c>
      <c r="H143" s="10">
        <f t="shared" si="55"/>
        <v>-0.19819092988103157</v>
      </c>
      <c r="I143" s="10">
        <f t="shared" si="56"/>
        <v>1.8090701189684422E-3</v>
      </c>
      <c r="J143" s="1">
        <v>-0.27</v>
      </c>
      <c r="K143" s="10">
        <f t="shared" si="58"/>
        <v>-0.23216769310192362</v>
      </c>
      <c r="L143" s="8">
        <v>0.13800000000000001</v>
      </c>
      <c r="M143" s="11">
        <f t="shared" si="59"/>
        <v>-0.6231008807013847</v>
      </c>
      <c r="N143" s="9">
        <f t="shared" si="57"/>
        <v>-0.31155044035069235</v>
      </c>
      <c r="P143" s="29">
        <f t="shared" si="60"/>
        <v>-0.23355441998504797</v>
      </c>
      <c r="Q143" s="1" t="str">
        <f t="shared" si="72"/>
        <v>R</v>
      </c>
      <c r="R143" t="str">
        <f t="shared" si="62"/>
        <v>R</v>
      </c>
      <c r="S143" s="18">
        <f t="shared" si="61"/>
        <v>-0.12265999486894258</v>
      </c>
      <c r="T143" t="str">
        <f t="shared" si="51"/>
        <v>R</v>
      </c>
      <c r="V143" s="1">
        <v>-19.2</v>
      </c>
      <c r="W143" s="1" t="e">
        <f t="shared" si="63"/>
        <v>#N/A</v>
      </c>
      <c r="X143" s="1" t="e">
        <f t="shared" si="64"/>
        <v>#N/A</v>
      </c>
      <c r="Y143" s="1" t="e">
        <f t="shared" si="65"/>
        <v>#N/A</v>
      </c>
      <c r="Z143" s="1">
        <f t="shared" si="66"/>
        <v>-0.23355441998504797</v>
      </c>
      <c r="AA143" s="1">
        <v>0</v>
      </c>
      <c r="AC143" s="31" t="e">
        <f t="shared" si="67"/>
        <v>#N/A</v>
      </c>
      <c r="AD143" s="31" t="e">
        <f t="shared" si="68"/>
        <v>#N/A</v>
      </c>
      <c r="AE143" s="31" t="e">
        <f t="shared" si="69"/>
        <v>#N/A</v>
      </c>
      <c r="AF143" s="31">
        <f t="shared" si="70"/>
        <v>-0.23355441998504797</v>
      </c>
      <c r="AL143" s="17">
        <f t="shared" si="71"/>
        <v>41213</v>
      </c>
      <c r="AM143">
        <f t="shared" si="73"/>
        <v>2</v>
      </c>
      <c r="AN143">
        <f t="shared" si="74"/>
        <v>2</v>
      </c>
    </row>
    <row r="144" spans="1:40">
      <c r="A144" s="7">
        <v>41243</v>
      </c>
      <c r="B144" s="8">
        <v>97.718600000000009</v>
      </c>
      <c r="C144" s="8">
        <f t="shared" si="52"/>
        <v>-1.9742246347954189</v>
      </c>
      <c r="D144" s="9">
        <f t="shared" si="53"/>
        <v>-0.46355615869885469</v>
      </c>
      <c r="E144" s="8">
        <v>48</v>
      </c>
      <c r="F144" s="10">
        <f t="shared" si="54"/>
        <v>-1.6558927664585554E-2</v>
      </c>
      <c r="G144" s="8">
        <v>0.6946</v>
      </c>
      <c r="H144" s="10">
        <f t="shared" si="55"/>
        <v>5.6254485135062454E-2</v>
      </c>
      <c r="I144" s="10">
        <f t="shared" si="56"/>
        <v>0.25625448513506244</v>
      </c>
      <c r="J144" s="1">
        <v>0.28000000000000003</v>
      </c>
      <c r="K144" s="10">
        <f t="shared" si="58"/>
        <v>-8.6199900567875382E-2</v>
      </c>
      <c r="L144" s="8">
        <v>0.40799999999999997</v>
      </c>
      <c r="M144" s="11">
        <f t="shared" si="59"/>
        <v>-0.32923712970149005</v>
      </c>
      <c r="N144" s="9">
        <f t="shared" si="57"/>
        <v>-0.16461856485074502</v>
      </c>
      <c r="P144" s="29">
        <f t="shared" si="60"/>
        <v>-0.11377003528930925</v>
      </c>
      <c r="Q144" s="1" t="str">
        <f t="shared" si="72"/>
        <v>R</v>
      </c>
      <c r="R144" t="str">
        <f t="shared" si="62"/>
        <v>R</v>
      </c>
      <c r="S144" s="18">
        <f t="shared" si="61"/>
        <v>-0.12265999486894258</v>
      </c>
      <c r="T144" t="str">
        <f t="shared" si="51"/>
        <v>R</v>
      </c>
      <c r="V144" s="1">
        <v>-16.3</v>
      </c>
      <c r="W144" s="1" t="e">
        <f t="shared" si="63"/>
        <v>#N/A</v>
      </c>
      <c r="X144" s="1" t="e">
        <f t="shared" si="64"/>
        <v>#N/A</v>
      </c>
      <c r="Y144" s="1" t="e">
        <f t="shared" si="65"/>
        <v>#N/A</v>
      </c>
      <c r="Z144" s="1">
        <f t="shared" si="66"/>
        <v>-0.11377003528930925</v>
      </c>
      <c r="AA144" s="1">
        <v>0</v>
      </c>
      <c r="AC144" s="31" t="e">
        <f t="shared" si="67"/>
        <v>#N/A</v>
      </c>
      <c r="AD144" s="31" t="e">
        <f t="shared" si="68"/>
        <v>#N/A</v>
      </c>
      <c r="AE144" s="31" t="e">
        <f t="shared" si="69"/>
        <v>#N/A</v>
      </c>
      <c r="AF144" s="31">
        <f t="shared" si="70"/>
        <v>-0.11377003528930925</v>
      </c>
      <c r="AL144" s="17">
        <f t="shared" si="71"/>
        <v>41243</v>
      </c>
      <c r="AM144">
        <f t="shared" si="73"/>
        <v>2</v>
      </c>
      <c r="AN144">
        <f t="shared" si="74"/>
        <v>2</v>
      </c>
    </row>
    <row r="145" spans="1:40">
      <c r="A145" s="7">
        <v>41274</v>
      </c>
      <c r="B145" s="8">
        <v>97.776600000000002</v>
      </c>
      <c r="C145" s="8">
        <f t="shared" si="52"/>
        <v>-2.0452396138787239</v>
      </c>
      <c r="D145" s="9">
        <f t="shared" si="53"/>
        <v>-0.48130990346968094</v>
      </c>
      <c r="E145" s="8">
        <v>50.1</v>
      </c>
      <c r="F145" s="10">
        <f t="shared" si="54"/>
        <v>1.6660366719821736E-2</v>
      </c>
      <c r="G145" s="8">
        <v>0.17730000000000001</v>
      </c>
      <c r="H145" s="10">
        <f t="shared" si="55"/>
        <v>9.0752456871569659E-2</v>
      </c>
      <c r="I145" s="10">
        <f t="shared" si="56"/>
        <v>0.2907524568715697</v>
      </c>
      <c r="J145" s="1">
        <v>0.14000000000000001</v>
      </c>
      <c r="K145" s="10">
        <f t="shared" si="58"/>
        <v>-2.1732928906030888E-2</v>
      </c>
      <c r="L145" s="8">
        <v>0.60199999999999998</v>
      </c>
      <c r="M145" s="11">
        <f t="shared" si="59"/>
        <v>-6.3834547736565384E-2</v>
      </c>
      <c r="N145" s="9">
        <f t="shared" si="57"/>
        <v>-3.1917273868282692E-2</v>
      </c>
      <c r="P145" s="29">
        <f t="shared" si="60"/>
        <v>-6.82403252318559E-2</v>
      </c>
      <c r="Q145" s="1" t="str">
        <f t="shared" si="72"/>
        <v>R</v>
      </c>
      <c r="R145" t="str">
        <f t="shared" si="62"/>
        <v>R</v>
      </c>
      <c r="S145" s="18">
        <f t="shared" si="61"/>
        <v>-0.12265999486894258</v>
      </c>
      <c r="T145" t="str">
        <f t="shared" si="51"/>
        <v>R</v>
      </c>
      <c r="V145" s="1">
        <v>-7.1</v>
      </c>
      <c r="W145" s="1" t="e">
        <f t="shared" si="63"/>
        <v>#N/A</v>
      </c>
      <c r="X145" s="1" t="e">
        <f t="shared" si="64"/>
        <v>#N/A</v>
      </c>
      <c r="Y145" s="1">
        <f t="shared" si="65"/>
        <v>-6.82403252318559E-2</v>
      </c>
      <c r="Z145" s="1">
        <f t="shared" si="66"/>
        <v>-6.82403252318559E-2</v>
      </c>
      <c r="AA145" s="1">
        <v>0</v>
      </c>
      <c r="AC145" s="31" t="e">
        <f t="shared" si="67"/>
        <v>#N/A</v>
      </c>
      <c r="AD145" s="31" t="e">
        <f t="shared" si="68"/>
        <v>#N/A</v>
      </c>
      <c r="AE145" s="31" t="e">
        <f t="shared" si="69"/>
        <v>#N/A</v>
      </c>
      <c r="AF145" s="31">
        <f t="shared" si="70"/>
        <v>-6.82403252318559E-2</v>
      </c>
      <c r="AL145" s="17">
        <f t="shared" si="71"/>
        <v>41274</v>
      </c>
      <c r="AM145">
        <f t="shared" si="73"/>
        <v>2</v>
      </c>
      <c r="AN145">
        <f t="shared" si="74"/>
        <v>2</v>
      </c>
    </row>
    <row r="146" spans="1:40">
      <c r="A146" s="7">
        <v>41305</v>
      </c>
      <c r="B146" s="8">
        <v>97.879100000000008</v>
      </c>
      <c r="C146" s="8">
        <f t="shared" si="52"/>
        <v>-2.0668028239232852</v>
      </c>
      <c r="D146" s="9">
        <f t="shared" si="53"/>
        <v>-0.48670070598082127</v>
      </c>
      <c r="E146" s="8">
        <v>53.3</v>
      </c>
      <c r="F146" s="10">
        <f t="shared" si="54"/>
        <v>0.95241216220467184</v>
      </c>
      <c r="G146" s="8">
        <v>-0.80659999999999998</v>
      </c>
      <c r="H146" s="10">
        <f t="shared" si="55"/>
        <v>-0.16499299333682771</v>
      </c>
      <c r="I146" s="10">
        <f t="shared" si="56"/>
        <v>3.5007006663172302E-2</v>
      </c>
      <c r="J146" s="1">
        <v>-0.36</v>
      </c>
      <c r="K146" s="10">
        <f t="shared" si="58"/>
        <v>-0.1181390441678121</v>
      </c>
      <c r="L146" s="8">
        <v>0.70699999999999996</v>
      </c>
      <c r="M146" s="11">
        <f t="shared" si="59"/>
        <v>0.15585329836835576</v>
      </c>
      <c r="N146" s="9">
        <f t="shared" si="57"/>
        <v>0.15585329836835576</v>
      </c>
      <c r="P146" s="29">
        <f t="shared" si="60"/>
        <v>-9.6816532812717626E-2</v>
      </c>
      <c r="Q146" s="1" t="str">
        <f t="shared" si="72"/>
        <v>C</v>
      </c>
      <c r="R146" t="str">
        <f t="shared" si="62"/>
        <v>R</v>
      </c>
      <c r="S146" s="18">
        <f t="shared" si="61"/>
        <v>-0.12265999486894258</v>
      </c>
      <c r="T146" t="str">
        <f t="shared" si="51"/>
        <v>R</v>
      </c>
      <c r="V146" s="1">
        <v>61.6</v>
      </c>
      <c r="W146" s="1" t="e">
        <f t="shared" si="63"/>
        <v>#N/A</v>
      </c>
      <c r="X146" s="1" t="e">
        <f t="shared" si="64"/>
        <v>#N/A</v>
      </c>
      <c r="Y146" s="1">
        <f t="shared" si="65"/>
        <v>-9.6816532812717626E-2</v>
      </c>
      <c r="Z146" s="1">
        <f t="shared" si="66"/>
        <v>-9.6816532812717626E-2</v>
      </c>
      <c r="AA146" s="1">
        <v>0</v>
      </c>
      <c r="AC146" s="31" t="e">
        <f t="shared" si="67"/>
        <v>#N/A</v>
      </c>
      <c r="AD146" s="31" t="e">
        <f t="shared" si="68"/>
        <v>#N/A</v>
      </c>
      <c r="AE146" s="31" t="e">
        <f t="shared" si="69"/>
        <v>#N/A</v>
      </c>
      <c r="AF146" s="31">
        <f t="shared" si="70"/>
        <v>-9.6816532812717626E-2</v>
      </c>
      <c r="AL146" s="17">
        <f t="shared" si="71"/>
        <v>41305</v>
      </c>
      <c r="AM146">
        <f t="shared" si="73"/>
        <v>1</v>
      </c>
      <c r="AN146">
        <f t="shared" si="74"/>
        <v>2</v>
      </c>
    </row>
    <row r="147" spans="1:40">
      <c r="A147" s="7">
        <v>41333</v>
      </c>
      <c r="B147" s="8">
        <v>98.000599999999991</v>
      </c>
      <c r="C147" s="8">
        <f t="shared" si="52"/>
        <v>-2.0475930191051512</v>
      </c>
      <c r="D147" s="9">
        <f t="shared" si="53"/>
        <v>-0.48189825477628778</v>
      </c>
      <c r="E147" s="8">
        <v>54.2</v>
      </c>
      <c r="F147" s="10">
        <f t="shared" si="54"/>
        <v>1.8779746959763413</v>
      </c>
      <c r="G147" s="8">
        <v>1.1900000000000001E-2</v>
      </c>
      <c r="H147" s="10">
        <f t="shared" si="55"/>
        <v>-0.1145784902358318</v>
      </c>
      <c r="I147" s="10">
        <f t="shared" si="56"/>
        <v>8.5421509764168208E-2</v>
      </c>
      <c r="J147" s="1">
        <v>0.21</v>
      </c>
      <c r="K147" s="10">
        <f t="shared" si="58"/>
        <v>-2.4619416579985641E-2</v>
      </c>
      <c r="L147" s="8">
        <v>0.32400000000000001</v>
      </c>
      <c r="M147" s="11">
        <f t="shared" si="59"/>
        <v>0.20377510833337437</v>
      </c>
      <c r="N147" s="9">
        <f t="shared" si="57"/>
        <v>0.20377510833337437</v>
      </c>
      <c r="P147" s="29">
        <f t="shared" si="60"/>
        <v>-6.5834695961092912E-2</v>
      </c>
      <c r="Q147" s="1" t="str">
        <f t="shared" si="72"/>
        <v>R</v>
      </c>
      <c r="R147" t="str">
        <f t="shared" si="62"/>
        <v>R</v>
      </c>
      <c r="S147" s="18">
        <f t="shared" si="61"/>
        <v>-6.5834695961092912E-2</v>
      </c>
      <c r="T147" t="str">
        <f t="shared" si="51"/>
        <v>R</v>
      </c>
      <c r="V147" s="1">
        <v>67.8</v>
      </c>
      <c r="W147" s="1" t="e">
        <f t="shared" si="63"/>
        <v>#N/A</v>
      </c>
      <c r="X147" s="1" t="e">
        <f t="shared" si="64"/>
        <v>#N/A</v>
      </c>
      <c r="Y147" s="1" t="e">
        <f t="shared" si="65"/>
        <v>#N/A</v>
      </c>
      <c r="Z147" s="1">
        <f t="shared" si="66"/>
        <v>-6.5834695961092912E-2</v>
      </c>
      <c r="AA147" s="1">
        <v>0</v>
      </c>
      <c r="AC147" s="31" t="e">
        <f t="shared" si="67"/>
        <v>#N/A</v>
      </c>
      <c r="AD147" s="31" t="e">
        <f t="shared" si="68"/>
        <v>#N/A</v>
      </c>
      <c r="AE147" s="31" t="e">
        <f t="shared" si="69"/>
        <v>#N/A</v>
      </c>
      <c r="AF147" s="31">
        <f t="shared" si="70"/>
        <v>-6.5834695961092912E-2</v>
      </c>
      <c r="AL147" s="17">
        <f t="shared" si="71"/>
        <v>41333</v>
      </c>
      <c r="AM147">
        <f t="shared" si="73"/>
        <v>2</v>
      </c>
      <c r="AN147">
        <f t="shared" si="74"/>
        <v>2</v>
      </c>
    </row>
    <row r="148" spans="1:40">
      <c r="A148" s="7">
        <v>41362</v>
      </c>
      <c r="B148" s="8">
        <v>98.123500000000007</v>
      </c>
      <c r="C148" s="8">
        <f t="shared" si="52"/>
        <v>-1.9988315086601811</v>
      </c>
      <c r="D148" s="9">
        <f t="shared" si="53"/>
        <v>-0.46970787716504525</v>
      </c>
      <c r="E148" s="8">
        <v>51.9</v>
      </c>
      <c r="F148" s="10">
        <f t="shared" si="54"/>
        <v>1.8842519076230837</v>
      </c>
      <c r="G148" s="8">
        <v>-0.1479</v>
      </c>
      <c r="H148" s="10">
        <f t="shared" si="55"/>
        <v>-0.12407512051861974</v>
      </c>
      <c r="I148" s="10">
        <f t="shared" si="56"/>
        <v>7.592487948138027E-2</v>
      </c>
      <c r="J148" s="1">
        <v>-0.26</v>
      </c>
      <c r="K148" s="10">
        <f t="shared" si="58"/>
        <v>-9.1702882854689749E-2</v>
      </c>
      <c r="L148" s="8">
        <v>0.222</v>
      </c>
      <c r="M148" s="11">
        <f t="shared" si="59"/>
        <v>0.20896920245836265</v>
      </c>
      <c r="N148" s="9">
        <f t="shared" si="57"/>
        <v>0.20896920245836265</v>
      </c>
      <c r="P148" s="29">
        <f t="shared" si="60"/>
        <v>-6.5668057612181627E-2</v>
      </c>
      <c r="Q148" s="1" t="str">
        <f t="shared" si="72"/>
        <v>R</v>
      </c>
      <c r="R148" t="str">
        <f t="shared" si="62"/>
        <v>R</v>
      </c>
      <c r="S148" s="18">
        <f t="shared" si="61"/>
        <v>-6.5834695961092912E-2</v>
      </c>
      <c r="T148" t="str">
        <f t="shared" si="51"/>
        <v>R</v>
      </c>
      <c r="V148" s="1">
        <v>0</v>
      </c>
      <c r="W148" s="1" t="e">
        <f t="shared" si="63"/>
        <v>#N/A</v>
      </c>
      <c r="X148" s="1" t="e">
        <f t="shared" si="64"/>
        <v>#N/A</v>
      </c>
      <c r="Y148" s="1" t="e">
        <f t="shared" si="65"/>
        <v>#N/A</v>
      </c>
      <c r="Z148" s="1">
        <f t="shared" si="66"/>
        <v>-6.5668057612181627E-2</v>
      </c>
      <c r="AA148" s="1">
        <v>0</v>
      </c>
      <c r="AC148" s="31" t="e">
        <f t="shared" si="67"/>
        <v>#N/A</v>
      </c>
      <c r="AD148" s="31" t="e">
        <f t="shared" si="68"/>
        <v>#N/A</v>
      </c>
      <c r="AE148" s="31" t="e">
        <f t="shared" si="69"/>
        <v>#N/A</v>
      </c>
      <c r="AF148" s="31">
        <f t="shared" si="70"/>
        <v>-6.5668057612181627E-2</v>
      </c>
      <c r="AL148" s="17">
        <f t="shared" si="71"/>
        <v>41362</v>
      </c>
      <c r="AM148">
        <f t="shared" si="73"/>
        <v>2</v>
      </c>
      <c r="AN148">
        <f t="shared" si="74"/>
        <v>2</v>
      </c>
    </row>
    <row r="149" spans="1:40">
      <c r="A149" s="7">
        <v>41394</v>
      </c>
      <c r="B149" s="8">
        <v>98.255099999999999</v>
      </c>
      <c r="C149" s="8">
        <f t="shared" si="52"/>
        <v>-1.9264610286920298</v>
      </c>
      <c r="D149" s="9">
        <f t="shared" si="53"/>
        <v>-0.45161525717300743</v>
      </c>
      <c r="E149" s="8">
        <v>51</v>
      </c>
      <c r="F149" s="10">
        <f t="shared" si="54"/>
        <v>1.6322401139505049</v>
      </c>
      <c r="G149" s="8">
        <v>-0.1993</v>
      </c>
      <c r="H149" s="10">
        <f t="shared" si="55"/>
        <v>-0.14551421117081312</v>
      </c>
      <c r="I149" s="10">
        <f t="shared" si="56"/>
        <v>5.4485788829186893E-2</v>
      </c>
      <c r="J149" s="1">
        <v>-0.3</v>
      </c>
      <c r="K149" s="10">
        <f t="shared" si="58"/>
        <v>-0.15106756124110315</v>
      </c>
      <c r="L149" s="8">
        <v>0.46800000000000003</v>
      </c>
      <c r="M149" s="11">
        <f t="shared" si="59"/>
        <v>0.28279297975772932</v>
      </c>
      <c r="N149" s="9">
        <f t="shared" si="57"/>
        <v>0.28279297975772932</v>
      </c>
      <c r="P149" s="29">
        <f t="shared" si="60"/>
        <v>-4.4143036192709685E-2</v>
      </c>
      <c r="Q149" s="1" t="str">
        <f t="shared" si="72"/>
        <v>R</v>
      </c>
      <c r="R149" t="str">
        <f t="shared" si="62"/>
        <v>R</v>
      </c>
      <c r="S149" s="18">
        <f t="shared" si="61"/>
        <v>-6.5834695961092912E-2</v>
      </c>
      <c r="T149" t="str">
        <f t="shared" si="51"/>
        <v>R</v>
      </c>
      <c r="V149" s="1">
        <v>-79.3</v>
      </c>
      <c r="W149" s="1" t="e">
        <f t="shared" si="63"/>
        <v>#N/A</v>
      </c>
      <c r="X149" s="1" t="e">
        <f t="shared" si="64"/>
        <v>#N/A</v>
      </c>
      <c r="Y149" s="1" t="e">
        <f t="shared" si="65"/>
        <v>#N/A</v>
      </c>
      <c r="Z149" s="1">
        <f t="shared" si="66"/>
        <v>-4.4143036192709685E-2</v>
      </c>
      <c r="AA149" s="1">
        <v>0</v>
      </c>
      <c r="AC149" s="31" t="e">
        <f t="shared" si="67"/>
        <v>#N/A</v>
      </c>
      <c r="AD149" s="31" t="e">
        <f t="shared" si="68"/>
        <v>#N/A</v>
      </c>
      <c r="AE149" s="31" t="e">
        <f t="shared" si="69"/>
        <v>#N/A</v>
      </c>
      <c r="AF149" s="31">
        <f t="shared" si="70"/>
        <v>-4.4143036192709685E-2</v>
      </c>
      <c r="AL149" s="17">
        <f t="shared" si="71"/>
        <v>41394</v>
      </c>
      <c r="AM149">
        <f t="shared" si="73"/>
        <v>2</v>
      </c>
      <c r="AN149">
        <f t="shared" si="74"/>
        <v>2</v>
      </c>
    </row>
    <row r="150" spans="1:40">
      <c r="A150" s="7">
        <v>41425</v>
      </c>
      <c r="B150" s="8">
        <v>98.4148</v>
      </c>
      <c r="C150" s="8">
        <f t="shared" si="52"/>
        <v>-1.8292016355148013</v>
      </c>
      <c r="D150" s="9">
        <f t="shared" si="53"/>
        <v>-0.42730040887870036</v>
      </c>
      <c r="E150" s="8">
        <v>50.8</v>
      </c>
      <c r="F150" s="10">
        <f t="shared" si="54"/>
        <v>1.3950516814746101</v>
      </c>
      <c r="G150" s="8">
        <v>1.35E-2</v>
      </c>
      <c r="H150" s="10">
        <f t="shared" si="55"/>
        <v>-0.10019516098713137</v>
      </c>
      <c r="I150" s="10">
        <f t="shared" si="56"/>
        <v>9.9804839012868643E-2</v>
      </c>
      <c r="J150" s="1">
        <v>0.12</v>
      </c>
      <c r="K150" s="10">
        <f t="shared" si="58"/>
        <v>-7.3813306287388747E-2</v>
      </c>
      <c r="L150" s="8">
        <v>0.496</v>
      </c>
      <c r="M150" s="11">
        <f t="shared" si="59"/>
        <v>0.34355698052677647</v>
      </c>
      <c r="N150" s="9">
        <f t="shared" si="57"/>
        <v>0.34355698052677647</v>
      </c>
      <c r="P150" s="29">
        <f t="shared" si="60"/>
        <v>-2.7511458777874456E-3</v>
      </c>
      <c r="Q150" s="1" t="str">
        <f t="shared" si="72"/>
        <v>R</v>
      </c>
      <c r="R150" t="str">
        <f t="shared" si="62"/>
        <v>R</v>
      </c>
      <c r="S150" s="18">
        <f t="shared" si="61"/>
        <v>-6.5834695961092912E-2</v>
      </c>
      <c r="T150" t="str">
        <f t="shared" si="51"/>
        <v>R</v>
      </c>
      <c r="V150" s="1">
        <v>-63</v>
      </c>
      <c r="W150" s="1" t="e">
        <f t="shared" si="63"/>
        <v>#N/A</v>
      </c>
      <c r="X150" s="1" t="e">
        <f t="shared" si="64"/>
        <v>#N/A</v>
      </c>
      <c r="Y150" s="1">
        <f t="shared" si="65"/>
        <v>-2.7511458777874456E-3</v>
      </c>
      <c r="Z150" s="1">
        <f t="shared" si="66"/>
        <v>-2.7511458777874456E-3</v>
      </c>
      <c r="AA150" s="1">
        <v>0</v>
      </c>
      <c r="AC150" s="31" t="e">
        <f t="shared" si="67"/>
        <v>#N/A</v>
      </c>
      <c r="AD150" s="31" t="e">
        <f t="shared" si="68"/>
        <v>#N/A</v>
      </c>
      <c r="AE150" s="31" t="e">
        <f t="shared" si="69"/>
        <v>#N/A</v>
      </c>
      <c r="AF150" s="31">
        <f t="shared" si="70"/>
        <v>-2.7511458777874456E-3</v>
      </c>
      <c r="AL150" s="17">
        <f t="shared" si="71"/>
        <v>41425</v>
      </c>
      <c r="AM150">
        <f t="shared" si="73"/>
        <v>2</v>
      </c>
      <c r="AN150">
        <f t="shared" si="74"/>
        <v>2</v>
      </c>
    </row>
    <row r="151" spans="1:40">
      <c r="A151" s="7">
        <v>41453</v>
      </c>
      <c r="B151" s="8">
        <v>98.608800000000002</v>
      </c>
      <c r="C151" s="8">
        <f t="shared" si="52"/>
        <v>-1.7043711693930823</v>
      </c>
      <c r="D151" s="9">
        <f t="shared" si="53"/>
        <v>-0.39609279234827055</v>
      </c>
      <c r="E151" s="8">
        <v>51.1</v>
      </c>
      <c r="F151" s="10">
        <f t="shared" si="54"/>
        <v>1.3109619522543468</v>
      </c>
      <c r="G151" s="8">
        <v>-0.28370000000000001</v>
      </c>
      <c r="H151" s="10">
        <f t="shared" si="55"/>
        <v>-0.15249404010579892</v>
      </c>
      <c r="I151" s="10">
        <f t="shared" si="56"/>
        <v>4.7505959894201089E-2</v>
      </c>
      <c r="J151" s="1">
        <v>-0.17</v>
      </c>
      <c r="K151" s="10">
        <f t="shared" si="58"/>
        <v>-0.10122651399548296</v>
      </c>
      <c r="L151" s="8">
        <v>0.27300000000000002</v>
      </c>
      <c r="M151" s="11">
        <f t="shared" si="59"/>
        <v>0.32344824107664516</v>
      </c>
      <c r="N151" s="9">
        <f t="shared" si="57"/>
        <v>0.32344824107664516</v>
      </c>
      <c r="P151" s="29">
        <f t="shared" si="60"/>
        <v>-1.8782069302618037E-2</v>
      </c>
      <c r="Q151" s="1" t="str">
        <f t="shared" si="72"/>
        <v>C</v>
      </c>
      <c r="R151" t="str">
        <f t="shared" si="62"/>
        <v>R</v>
      </c>
      <c r="S151" s="18">
        <f t="shared" si="61"/>
        <v>-6.5834695961092912E-2</v>
      </c>
      <c r="T151" t="str">
        <f t="shared" ref="T151:T214" si="75">IF(OR(ABS($S151-$S150)&gt;$R$1,S151*S150&lt;0,ABS(P151-MAX(P139:P150))&gt;$U$1),Q151,T150)</f>
        <v>R</v>
      </c>
      <c r="V151" s="1">
        <v>2.7</v>
      </c>
      <c r="W151" s="1" t="e">
        <f t="shared" si="63"/>
        <v>#N/A</v>
      </c>
      <c r="X151" s="1" t="e">
        <f t="shared" si="64"/>
        <v>#N/A</v>
      </c>
      <c r="Y151" s="1">
        <f t="shared" si="65"/>
        <v>-1.8782069302618037E-2</v>
      </c>
      <c r="Z151" s="1" t="e">
        <f t="shared" si="66"/>
        <v>#N/A</v>
      </c>
      <c r="AA151" s="1">
        <v>0</v>
      </c>
      <c r="AC151" s="31" t="e">
        <f t="shared" si="67"/>
        <v>#N/A</v>
      </c>
      <c r="AD151" s="31" t="e">
        <f t="shared" si="68"/>
        <v>#N/A</v>
      </c>
      <c r="AE151" s="31" t="e">
        <f t="shared" si="69"/>
        <v>#N/A</v>
      </c>
      <c r="AF151" s="31">
        <f t="shared" si="70"/>
        <v>-1.8782069302618037E-2</v>
      </c>
      <c r="AL151" s="17">
        <f t="shared" si="71"/>
        <v>41453</v>
      </c>
      <c r="AM151">
        <f t="shared" si="73"/>
        <v>1</v>
      </c>
      <c r="AN151">
        <f t="shared" si="74"/>
        <v>2</v>
      </c>
    </row>
    <row r="152" spans="1:40">
      <c r="A152" s="7">
        <v>41486</v>
      </c>
      <c r="B152" s="8">
        <v>98.835700000000003</v>
      </c>
      <c r="C152" s="8">
        <f t="shared" si="52"/>
        <v>-1.5504508861160531</v>
      </c>
      <c r="D152" s="9">
        <f t="shared" si="53"/>
        <v>-0.35761272152901324</v>
      </c>
      <c r="E152" s="8">
        <v>53.8</v>
      </c>
      <c r="F152" s="10">
        <f t="shared" si="54"/>
        <v>2.0203377958618569</v>
      </c>
      <c r="G152" s="8">
        <v>-0.32300000000000001</v>
      </c>
      <c r="H152" s="10">
        <f t="shared" si="55"/>
        <v>-0.20108823867564624</v>
      </c>
      <c r="I152" s="10">
        <f t="shared" si="56"/>
        <v>-1.0882386756462248E-3</v>
      </c>
      <c r="J152" s="1">
        <v>-0.5</v>
      </c>
      <c r="K152" s="10">
        <f t="shared" si="58"/>
        <v>-0.21487695750677033</v>
      </c>
      <c r="L152" s="8">
        <v>0.38</v>
      </c>
      <c r="M152" s="11">
        <f t="shared" si="59"/>
        <v>0.33956549236980127</v>
      </c>
      <c r="N152" s="9">
        <f t="shared" si="57"/>
        <v>0.33956549236980127</v>
      </c>
      <c r="P152" s="29">
        <f t="shared" si="60"/>
        <v>-1.9205179551371836E-2</v>
      </c>
      <c r="Q152" s="1" t="str">
        <f t="shared" si="72"/>
        <v>C</v>
      </c>
      <c r="R152" t="str">
        <f t="shared" si="62"/>
        <v>R</v>
      </c>
      <c r="S152" s="18">
        <f t="shared" si="61"/>
        <v>-1.9205179551371836E-2</v>
      </c>
      <c r="T152" t="str">
        <f t="shared" si="75"/>
        <v>R</v>
      </c>
      <c r="V152" s="1">
        <v>33.4</v>
      </c>
      <c r="W152" s="1">
        <f t="shared" si="63"/>
        <v>-1.9205179551371836E-2</v>
      </c>
      <c r="X152" s="1" t="e">
        <f t="shared" si="64"/>
        <v>#N/A</v>
      </c>
      <c r="Y152" s="1">
        <f t="shared" si="65"/>
        <v>-1.9205179551371836E-2</v>
      </c>
      <c r="Z152" s="1" t="e">
        <f t="shared" si="66"/>
        <v>#N/A</v>
      </c>
      <c r="AA152" s="1">
        <v>0</v>
      </c>
      <c r="AC152" s="31">
        <f t="shared" si="67"/>
        <v>-1.9205179551371836E-2</v>
      </c>
      <c r="AD152" s="31" t="e">
        <f t="shared" si="68"/>
        <v>#N/A</v>
      </c>
      <c r="AE152" s="31" t="e">
        <f t="shared" si="69"/>
        <v>#N/A</v>
      </c>
      <c r="AF152" s="31">
        <f t="shared" si="70"/>
        <v>-1.9205179551371836E-2</v>
      </c>
      <c r="AL152" s="17">
        <f t="shared" si="71"/>
        <v>41486</v>
      </c>
      <c r="AM152">
        <f t="shared" si="73"/>
        <v>1</v>
      </c>
      <c r="AN152">
        <f t="shared" si="74"/>
        <v>2</v>
      </c>
    </row>
    <row r="153" spans="1:40">
      <c r="A153" s="7">
        <v>41516</v>
      </c>
      <c r="B153" s="8">
        <v>99.092100000000002</v>
      </c>
      <c r="C153" s="8">
        <f t="shared" si="52"/>
        <v>-1.3673238835729773</v>
      </c>
      <c r="D153" s="9">
        <f t="shared" si="53"/>
        <v>-0.3118309708932443</v>
      </c>
      <c r="E153" s="8">
        <v>54</v>
      </c>
      <c r="F153" s="10">
        <f t="shared" si="54"/>
        <v>2.5845415240412279</v>
      </c>
      <c r="G153" s="8">
        <v>0.27089999999999997</v>
      </c>
      <c r="H153" s="10">
        <f t="shared" si="55"/>
        <v>-6.6571590653087057E-2</v>
      </c>
      <c r="I153" s="10">
        <f t="shared" si="56"/>
        <v>0.13342840934691297</v>
      </c>
      <c r="J153" s="1">
        <v>0.27</v>
      </c>
      <c r="K153" s="10">
        <f t="shared" si="58"/>
        <v>-7.6687024617340754E-2</v>
      </c>
      <c r="L153" s="8">
        <v>0.22</v>
      </c>
      <c r="M153" s="11">
        <f t="shared" si="59"/>
        <v>0.3054893270444079</v>
      </c>
      <c r="N153" s="9">
        <f t="shared" si="57"/>
        <v>0.3054893270444079</v>
      </c>
      <c r="P153" s="29">
        <f t="shared" si="60"/>
        <v>2.7101671620769208E-2</v>
      </c>
      <c r="Q153" s="1" t="str">
        <f t="shared" si="72"/>
        <v>E</v>
      </c>
      <c r="R153" t="str">
        <f t="shared" si="62"/>
        <v>E</v>
      </c>
      <c r="S153" s="18">
        <f t="shared" si="61"/>
        <v>2.7101671620769208E-2</v>
      </c>
      <c r="T153" t="str">
        <f t="shared" si="75"/>
        <v>E</v>
      </c>
      <c r="V153" s="1">
        <v>55.8</v>
      </c>
      <c r="W153" s="1">
        <f t="shared" si="63"/>
        <v>2.7101671620769208E-2</v>
      </c>
      <c r="X153" s="1" t="e">
        <f t="shared" si="64"/>
        <v>#N/A</v>
      </c>
      <c r="Y153" s="1" t="e">
        <f t="shared" si="65"/>
        <v>#N/A</v>
      </c>
      <c r="Z153" s="1" t="e">
        <f t="shared" si="66"/>
        <v>#N/A</v>
      </c>
      <c r="AA153" s="1">
        <v>0</v>
      </c>
      <c r="AC153" s="31">
        <f t="shared" si="67"/>
        <v>2.7101671620769208E-2</v>
      </c>
      <c r="AD153" s="31" t="e">
        <f t="shared" si="68"/>
        <v>#N/A</v>
      </c>
      <c r="AE153" s="31" t="e">
        <f t="shared" si="69"/>
        <v>#N/A</v>
      </c>
      <c r="AF153" s="31" t="e">
        <f t="shared" si="70"/>
        <v>#N/A</v>
      </c>
      <c r="AL153" s="17">
        <f t="shared" si="71"/>
        <v>41516</v>
      </c>
      <c r="AM153">
        <f t="shared" si="73"/>
        <v>4</v>
      </c>
      <c r="AN153">
        <f t="shared" si="74"/>
        <v>4</v>
      </c>
    </row>
    <row r="154" spans="1:40">
      <c r="A154" s="7">
        <v>41547</v>
      </c>
      <c r="B154" s="8">
        <v>99.355999999999995</v>
      </c>
      <c r="C154" s="8">
        <f t="shared" si="52"/>
        <v>-1.1611765767546802</v>
      </c>
      <c r="D154" s="9">
        <f t="shared" si="53"/>
        <v>-0.26029414418867003</v>
      </c>
      <c r="E154" s="8">
        <v>54.6</v>
      </c>
      <c r="F154" s="10">
        <f t="shared" si="54"/>
        <v>3.1589471896894787</v>
      </c>
      <c r="G154" s="8">
        <v>0.14030000000000001</v>
      </c>
      <c r="H154" s="10">
        <f t="shared" si="55"/>
        <v>-7.6131873169572387E-3</v>
      </c>
      <c r="I154" s="10">
        <f t="shared" si="56"/>
        <v>0.19238681268304278</v>
      </c>
      <c r="J154" s="1">
        <v>0.1</v>
      </c>
      <c r="K154" s="10">
        <f t="shared" si="58"/>
        <v>-2.6331222601398634E-2</v>
      </c>
      <c r="L154" s="8">
        <v>0.51600000000000001</v>
      </c>
      <c r="M154" s="11">
        <f t="shared" si="59"/>
        <v>0.36548486883675169</v>
      </c>
      <c r="N154" s="9">
        <f t="shared" si="57"/>
        <v>0.36548486883675169</v>
      </c>
      <c r="P154" s="29">
        <f t="shared" si="60"/>
        <v>8.2013570208850056E-2</v>
      </c>
      <c r="Q154" s="1" t="str">
        <f t="shared" si="72"/>
        <v>E</v>
      </c>
      <c r="R154" t="str">
        <f t="shared" si="62"/>
        <v>E</v>
      </c>
      <c r="S154" s="18">
        <f t="shared" si="61"/>
        <v>2.7101671620769208E-2</v>
      </c>
      <c r="T154" t="str">
        <f t="shared" si="75"/>
        <v>E</v>
      </c>
      <c r="V154" s="1">
        <v>47</v>
      </c>
      <c r="W154" s="1">
        <f t="shared" si="63"/>
        <v>8.2013570208850056E-2</v>
      </c>
      <c r="X154" s="1" t="e">
        <f t="shared" si="64"/>
        <v>#N/A</v>
      </c>
      <c r="Y154" s="1" t="e">
        <f t="shared" si="65"/>
        <v>#N/A</v>
      </c>
      <c r="Z154" s="1" t="e">
        <f t="shared" si="66"/>
        <v>#N/A</v>
      </c>
      <c r="AA154" s="1">
        <v>0</v>
      </c>
      <c r="AC154" s="31">
        <f t="shared" si="67"/>
        <v>8.2013570208850056E-2</v>
      </c>
      <c r="AD154" s="31" t="e">
        <f t="shared" si="68"/>
        <v>#N/A</v>
      </c>
      <c r="AE154" s="31" t="e">
        <f t="shared" si="69"/>
        <v>#N/A</v>
      </c>
      <c r="AF154" s="31" t="e">
        <f t="shared" si="70"/>
        <v>#N/A</v>
      </c>
      <c r="AL154" s="17">
        <f t="shared" si="71"/>
        <v>41547</v>
      </c>
      <c r="AM154">
        <f t="shared" si="73"/>
        <v>4</v>
      </c>
      <c r="AN154">
        <f t="shared" si="74"/>
        <v>4</v>
      </c>
    </row>
    <row r="155" spans="1:40">
      <c r="A155" s="7">
        <v>41578</v>
      </c>
      <c r="B155" s="8">
        <v>99.601500000000001</v>
      </c>
      <c r="C155" s="8">
        <f t="shared" si="52"/>
        <v>-0.94381375237959597</v>
      </c>
      <c r="D155" s="9">
        <f t="shared" si="53"/>
        <v>-0.20595343809489899</v>
      </c>
      <c r="E155" s="8">
        <v>54.6</v>
      </c>
      <c r="F155" s="10">
        <f t="shared" si="54"/>
        <v>3.5696472406279778</v>
      </c>
      <c r="G155" s="8">
        <v>4.4999999999999998E-2</v>
      </c>
      <c r="H155" s="10">
        <f t="shared" si="55"/>
        <v>7.381571068375576E-3</v>
      </c>
      <c r="I155" s="10">
        <f t="shared" si="56"/>
        <v>0.2073815710683756</v>
      </c>
      <c r="J155" s="1">
        <v>-0.02</v>
      </c>
      <c r="K155" s="10">
        <f t="shared" si="58"/>
        <v>-2.4526824160000023E-2</v>
      </c>
      <c r="L155" s="8">
        <v>0.67500000000000004</v>
      </c>
      <c r="M155" s="11">
        <f t="shared" si="59"/>
        <v>0.45369668121827744</v>
      </c>
      <c r="N155" s="9">
        <f t="shared" si="57"/>
        <v>0.45369668121827744</v>
      </c>
      <c r="P155" s="29">
        <f t="shared" si="60"/>
        <v>0.13359470269932769</v>
      </c>
      <c r="Q155" s="1" t="str">
        <f t="shared" si="72"/>
        <v>E</v>
      </c>
      <c r="R155" t="str">
        <f t="shared" si="62"/>
        <v>E</v>
      </c>
      <c r="S155" s="18">
        <f t="shared" si="61"/>
        <v>2.7101671620769208E-2</v>
      </c>
      <c r="T155" t="str">
        <f t="shared" si="75"/>
        <v>E</v>
      </c>
      <c r="V155" s="1">
        <v>-3.1</v>
      </c>
      <c r="W155" s="1">
        <f t="shared" si="63"/>
        <v>0.13359470269932769</v>
      </c>
      <c r="X155" s="1" t="e">
        <f t="shared" si="64"/>
        <v>#N/A</v>
      </c>
      <c r="Y155" s="1" t="e">
        <f t="shared" si="65"/>
        <v>#N/A</v>
      </c>
      <c r="Z155" s="1" t="e">
        <f t="shared" si="66"/>
        <v>#N/A</v>
      </c>
      <c r="AA155" s="1">
        <v>0</v>
      </c>
      <c r="AC155" s="31">
        <f t="shared" si="67"/>
        <v>0.13359470269932769</v>
      </c>
      <c r="AD155" s="31" t="e">
        <f t="shared" si="68"/>
        <v>#N/A</v>
      </c>
      <c r="AE155" s="31" t="e">
        <f t="shared" si="69"/>
        <v>#N/A</v>
      </c>
      <c r="AF155" s="31" t="e">
        <f t="shared" si="70"/>
        <v>#N/A</v>
      </c>
      <c r="AL155" s="17">
        <f t="shared" si="71"/>
        <v>41578</v>
      </c>
      <c r="AM155">
        <f t="shared" si="73"/>
        <v>4</v>
      </c>
      <c r="AN155">
        <f t="shared" si="74"/>
        <v>4</v>
      </c>
    </row>
    <row r="156" spans="1:40">
      <c r="A156" s="7">
        <v>41607</v>
      </c>
      <c r="B156" s="8">
        <v>99.819600000000008</v>
      </c>
      <c r="C156" s="8">
        <f t="shared" si="52"/>
        <v>-0.72624083295140873</v>
      </c>
      <c r="D156" s="9">
        <f t="shared" si="53"/>
        <v>-0.15156020823785218</v>
      </c>
      <c r="E156" s="8">
        <v>55.5</v>
      </c>
      <c r="F156" s="10">
        <f t="shared" si="54"/>
        <v>4.119797777049004</v>
      </c>
      <c r="G156" s="8">
        <v>0.22509999999999999</v>
      </c>
      <c r="H156" s="10">
        <f t="shared" si="55"/>
        <v>6.9431323313888543E-2</v>
      </c>
      <c r="I156" s="10">
        <f t="shared" si="56"/>
        <v>0.26943132331388853</v>
      </c>
      <c r="J156" s="1">
        <v>0.28000000000000003</v>
      </c>
      <c r="K156" s="10">
        <f t="shared" si="58"/>
        <v>6.2263320725599994E-2</v>
      </c>
      <c r="L156" s="8">
        <v>0.80400000000000005</v>
      </c>
      <c r="M156" s="11">
        <f t="shared" si="59"/>
        <v>0.55353312707106839</v>
      </c>
      <c r="N156" s="9">
        <f t="shared" si="57"/>
        <v>0.55353312707106839</v>
      </c>
      <c r="P156" s="29">
        <f t="shared" si="60"/>
        <v>0.20567033743001931</v>
      </c>
      <c r="Q156" s="1" t="str">
        <f t="shared" si="72"/>
        <v>E</v>
      </c>
      <c r="R156" t="str">
        <f t="shared" si="62"/>
        <v>E</v>
      </c>
      <c r="S156" s="18">
        <f t="shared" si="61"/>
        <v>2.7101671620769208E-2</v>
      </c>
      <c r="T156" t="str">
        <f t="shared" si="75"/>
        <v>E</v>
      </c>
      <c r="V156" s="1">
        <v>-0.7</v>
      </c>
      <c r="W156" s="1">
        <f t="shared" si="63"/>
        <v>0.20567033743001931</v>
      </c>
      <c r="X156" s="1" t="e">
        <f t="shared" si="64"/>
        <v>#N/A</v>
      </c>
      <c r="Y156" s="1" t="e">
        <f t="shared" si="65"/>
        <v>#N/A</v>
      </c>
      <c r="Z156" s="1" t="e">
        <f t="shared" si="66"/>
        <v>#N/A</v>
      </c>
      <c r="AA156" s="1">
        <v>0</v>
      </c>
      <c r="AC156" s="31">
        <f t="shared" si="67"/>
        <v>0.20567033743001931</v>
      </c>
      <c r="AD156" s="31" t="e">
        <f t="shared" si="68"/>
        <v>#N/A</v>
      </c>
      <c r="AE156" s="31" t="e">
        <f t="shared" si="69"/>
        <v>#N/A</v>
      </c>
      <c r="AF156" s="31" t="e">
        <f t="shared" si="70"/>
        <v>#N/A</v>
      </c>
      <c r="AL156" s="17">
        <f t="shared" si="71"/>
        <v>41607</v>
      </c>
      <c r="AM156">
        <f t="shared" si="73"/>
        <v>4</v>
      </c>
      <c r="AN156">
        <f t="shared" si="74"/>
        <v>4</v>
      </c>
    </row>
    <row r="157" spans="1:40">
      <c r="A157" s="7">
        <v>41639</v>
      </c>
      <c r="B157" s="8">
        <v>100.0021</v>
      </c>
      <c r="C157" s="8">
        <f t="shared" si="52"/>
        <v>-0.5186636955602576</v>
      </c>
      <c r="D157" s="9">
        <f t="shared" si="53"/>
        <v>-9.9665923890064401E-2</v>
      </c>
      <c r="E157" s="8">
        <v>56.5</v>
      </c>
      <c r="F157" s="10">
        <f t="shared" si="54"/>
        <v>4.7981554105900379</v>
      </c>
      <c r="G157" s="8">
        <v>-0.33329999999999999</v>
      </c>
      <c r="H157" s="10">
        <f t="shared" si="55"/>
        <v>-4.5347103830569696E-2</v>
      </c>
      <c r="I157" s="10">
        <f t="shared" si="56"/>
        <v>0.15465289616943032</v>
      </c>
      <c r="J157" s="1">
        <v>-0.15</v>
      </c>
      <c r="K157" s="10">
        <f t="shared" si="58"/>
        <v>1.7682743188039904E-3</v>
      </c>
      <c r="L157" s="8">
        <v>0.92400000000000004</v>
      </c>
      <c r="M157" s="11">
        <f t="shared" si="59"/>
        <v>0.65911618585581389</v>
      </c>
      <c r="N157" s="9">
        <f t="shared" si="57"/>
        <v>0.65911618585581389</v>
      </c>
      <c r="P157" s="29">
        <f t="shared" si="60"/>
        <v>0.220736291262464</v>
      </c>
      <c r="Q157" s="1" t="str">
        <f t="shared" si="72"/>
        <v>E</v>
      </c>
      <c r="R157" t="str">
        <f t="shared" si="62"/>
        <v>E</v>
      </c>
      <c r="S157" s="18">
        <f t="shared" si="61"/>
        <v>2.7101671620769208E-2</v>
      </c>
      <c r="T157" t="str">
        <f t="shared" si="75"/>
        <v>E</v>
      </c>
      <c r="V157" s="1">
        <v>6.4</v>
      </c>
      <c r="W157" s="1">
        <f t="shared" si="63"/>
        <v>0.220736291262464</v>
      </c>
      <c r="X157" s="1">
        <f t="shared" si="64"/>
        <v>0.220736291262464</v>
      </c>
      <c r="Y157" s="1" t="e">
        <f t="shared" si="65"/>
        <v>#N/A</v>
      </c>
      <c r="Z157" s="1" t="e">
        <f t="shared" si="66"/>
        <v>#N/A</v>
      </c>
      <c r="AA157" s="1">
        <v>0</v>
      </c>
      <c r="AC157" s="31">
        <f t="shared" si="67"/>
        <v>0.220736291262464</v>
      </c>
      <c r="AD157" s="31" t="e">
        <f t="shared" si="68"/>
        <v>#N/A</v>
      </c>
      <c r="AE157" s="31" t="e">
        <f t="shared" si="69"/>
        <v>#N/A</v>
      </c>
      <c r="AF157" s="31" t="e">
        <f t="shared" si="70"/>
        <v>#N/A</v>
      </c>
      <c r="AL157" s="17">
        <f t="shared" si="71"/>
        <v>41639</v>
      </c>
      <c r="AM157">
        <f t="shared" si="73"/>
        <v>4</v>
      </c>
      <c r="AN157">
        <f t="shared" si="74"/>
        <v>4</v>
      </c>
    </row>
    <row r="158" spans="1:40">
      <c r="A158" s="7">
        <v>41670</v>
      </c>
      <c r="B158" s="8">
        <v>100.1476</v>
      </c>
      <c r="C158" s="8">
        <f t="shared" si="52"/>
        <v>-0.32877854232558501</v>
      </c>
      <c r="D158" s="9">
        <f t="shared" si="53"/>
        <v>-5.2194635581396254E-2</v>
      </c>
      <c r="E158" s="8">
        <v>52.5</v>
      </c>
      <c r="F158" s="10">
        <f t="shared" si="54"/>
        <v>4.143181118571877</v>
      </c>
      <c r="G158" s="8">
        <v>-0.57150000000000001</v>
      </c>
      <c r="H158" s="10">
        <f t="shared" si="55"/>
        <v>-0.19530067923885736</v>
      </c>
      <c r="I158" s="10">
        <f t="shared" si="56"/>
        <v>4.6993207611426557E-3</v>
      </c>
      <c r="J158" s="1">
        <v>-0.69</v>
      </c>
      <c r="K158" s="10">
        <f t="shared" si="58"/>
        <v>-0.19538568386205515</v>
      </c>
      <c r="L158" s="8">
        <v>0.54100000000000004</v>
      </c>
      <c r="M158" s="11">
        <f t="shared" si="59"/>
        <v>0.62545307288690699</v>
      </c>
      <c r="N158" s="9">
        <f t="shared" si="57"/>
        <v>0.62545307288690699</v>
      </c>
      <c r="P158" s="29">
        <f t="shared" si="60"/>
        <v>0.17682882325266172</v>
      </c>
      <c r="Q158" s="1" t="str">
        <f t="shared" si="72"/>
        <v>SD</v>
      </c>
      <c r="R158" t="str">
        <f t="shared" si="62"/>
        <v>E</v>
      </c>
      <c r="S158" s="18">
        <f t="shared" si="61"/>
        <v>2.7101671620769208E-2</v>
      </c>
      <c r="T158" t="str">
        <f t="shared" si="75"/>
        <v>E</v>
      </c>
      <c r="V158" s="1">
        <v>18.3</v>
      </c>
      <c r="W158" s="1">
        <f t="shared" si="63"/>
        <v>0.17682882325266172</v>
      </c>
      <c r="X158" s="1">
        <f t="shared" si="64"/>
        <v>0.17682882325266172</v>
      </c>
      <c r="Y158" s="1" t="e">
        <f t="shared" si="65"/>
        <v>#N/A</v>
      </c>
      <c r="Z158" s="1" t="e">
        <f t="shared" si="66"/>
        <v>#N/A</v>
      </c>
      <c r="AA158" s="1">
        <v>0</v>
      </c>
      <c r="AC158" s="31">
        <f t="shared" si="67"/>
        <v>0.17682882325266172</v>
      </c>
      <c r="AD158" s="31" t="e">
        <f t="shared" si="68"/>
        <v>#N/A</v>
      </c>
      <c r="AE158" s="31" t="e">
        <f t="shared" si="69"/>
        <v>#N/A</v>
      </c>
      <c r="AF158" s="31" t="e">
        <f t="shared" si="70"/>
        <v>#N/A</v>
      </c>
      <c r="AL158" s="17">
        <f t="shared" si="71"/>
        <v>41670</v>
      </c>
      <c r="AM158">
        <f t="shared" si="73"/>
        <v>3</v>
      </c>
      <c r="AN158">
        <f t="shared" si="74"/>
        <v>4</v>
      </c>
    </row>
    <row r="159" spans="1:40">
      <c r="A159" s="7">
        <v>41698</v>
      </c>
      <c r="B159" s="8">
        <v>100.2443</v>
      </c>
      <c r="C159" s="8">
        <f t="shared" si="52"/>
        <v>-0.16545115776279454</v>
      </c>
      <c r="D159" s="9">
        <f t="shared" si="53"/>
        <v>-1.1362789440698635E-2</v>
      </c>
      <c r="E159" s="8">
        <v>55</v>
      </c>
      <c r="F159" s="10">
        <f t="shared" si="54"/>
        <v>4.3873744997788924</v>
      </c>
      <c r="G159" s="8">
        <v>0.2903</v>
      </c>
      <c r="H159" s="10">
        <f t="shared" si="55"/>
        <v>-5.6904485655783002E-2</v>
      </c>
      <c r="I159" s="10">
        <f t="shared" si="56"/>
        <v>0.14309551434421702</v>
      </c>
      <c r="J159" s="1">
        <v>0.43</v>
      </c>
      <c r="K159" s="10">
        <f t="shared" si="58"/>
        <v>-1.7150763961369428E-2</v>
      </c>
      <c r="L159" s="8">
        <v>0.82</v>
      </c>
      <c r="M159" s="11">
        <f t="shared" si="59"/>
        <v>0.68089894711413845</v>
      </c>
      <c r="N159" s="9">
        <f t="shared" si="57"/>
        <v>0.68089894711413845</v>
      </c>
      <c r="P159" s="29">
        <f t="shared" si="60"/>
        <v>0.25726660862565304</v>
      </c>
      <c r="Q159" s="1" t="str">
        <f t="shared" si="72"/>
        <v>E</v>
      </c>
      <c r="R159" t="str">
        <f t="shared" si="62"/>
        <v>E</v>
      </c>
      <c r="S159" s="18">
        <f t="shared" si="61"/>
        <v>0.25726660862565304</v>
      </c>
      <c r="T159" t="str">
        <f t="shared" si="75"/>
        <v>E</v>
      </c>
      <c r="V159" s="1">
        <v>8.8000000000000007</v>
      </c>
      <c r="W159" s="1">
        <f t="shared" si="63"/>
        <v>0.25726660862565304</v>
      </c>
      <c r="X159" s="1" t="e">
        <f t="shared" si="64"/>
        <v>#N/A</v>
      </c>
      <c r="Y159" s="1" t="e">
        <f t="shared" si="65"/>
        <v>#N/A</v>
      </c>
      <c r="Z159" s="1" t="e">
        <f t="shared" si="66"/>
        <v>#N/A</v>
      </c>
      <c r="AA159" s="1">
        <v>0</v>
      </c>
      <c r="AC159" s="31">
        <f t="shared" si="67"/>
        <v>0.25726660862565304</v>
      </c>
      <c r="AD159" s="31" t="e">
        <f t="shared" si="68"/>
        <v>#N/A</v>
      </c>
      <c r="AE159" s="31" t="e">
        <f t="shared" si="69"/>
        <v>#N/A</v>
      </c>
      <c r="AF159" s="31" t="e">
        <f t="shared" si="70"/>
        <v>#N/A</v>
      </c>
      <c r="AL159" s="17">
        <f t="shared" si="71"/>
        <v>41698</v>
      </c>
      <c r="AM159">
        <f t="shared" si="73"/>
        <v>4</v>
      </c>
      <c r="AN159">
        <f t="shared" si="74"/>
        <v>4</v>
      </c>
    </row>
    <row r="160" spans="1:40">
      <c r="A160" s="7">
        <v>41729</v>
      </c>
      <c r="B160" s="8">
        <v>100.2938</v>
      </c>
      <c r="C160" s="8">
        <f t="shared" si="52"/>
        <v>-3.456457780039679E-2</v>
      </c>
      <c r="D160" s="9">
        <f t="shared" si="53"/>
        <v>2.1358855549900801E-2</v>
      </c>
      <c r="E160" s="8">
        <v>55.9</v>
      </c>
      <c r="F160" s="10">
        <f t="shared" si="54"/>
        <v>4.8184727673419072</v>
      </c>
      <c r="G160" s="8">
        <v>0.55620000000000003</v>
      </c>
      <c r="H160" s="10">
        <f t="shared" si="55"/>
        <v>0.11783029275611517</v>
      </c>
      <c r="I160" s="10">
        <f t="shared" si="56"/>
        <v>0.31783029275611518</v>
      </c>
      <c r="J160" s="1">
        <v>0.44</v>
      </c>
      <c r="K160" s="10">
        <f t="shared" si="58"/>
        <v>0.11313720376762088</v>
      </c>
      <c r="L160" s="8">
        <v>0.71899999999999997</v>
      </c>
      <c r="M160" s="11">
        <f t="shared" si="59"/>
        <v>0.69175774718660898</v>
      </c>
      <c r="N160" s="9">
        <f t="shared" si="57"/>
        <v>0.69175774718660898</v>
      </c>
      <c r="P160" s="29">
        <f t="shared" si="60"/>
        <v>0.33274175016734181</v>
      </c>
      <c r="Q160" s="1" t="str">
        <f t="shared" si="72"/>
        <v>E</v>
      </c>
      <c r="R160" t="str">
        <f t="shared" si="62"/>
        <v>E</v>
      </c>
      <c r="S160" s="18">
        <f t="shared" si="61"/>
        <v>0.25726660862565304</v>
      </c>
      <c r="T160" t="str">
        <f t="shared" si="75"/>
        <v>E</v>
      </c>
      <c r="V160" s="1">
        <v>-2.8</v>
      </c>
      <c r="W160" s="1">
        <f t="shared" si="63"/>
        <v>0.33274175016734181</v>
      </c>
      <c r="X160" s="1">
        <f t="shared" si="64"/>
        <v>0.33274175016734181</v>
      </c>
      <c r="Y160" s="1" t="e">
        <f t="shared" si="65"/>
        <v>#N/A</v>
      </c>
      <c r="Z160" s="1" t="e">
        <f t="shared" si="66"/>
        <v>#N/A</v>
      </c>
      <c r="AA160" s="1">
        <v>0</v>
      </c>
      <c r="AC160" s="31">
        <f t="shared" si="67"/>
        <v>0.33274175016734181</v>
      </c>
      <c r="AD160" s="31" t="e">
        <f t="shared" si="68"/>
        <v>#N/A</v>
      </c>
      <c r="AE160" s="31" t="e">
        <f t="shared" si="69"/>
        <v>#N/A</v>
      </c>
      <c r="AF160" s="31" t="e">
        <f t="shared" si="70"/>
        <v>#N/A</v>
      </c>
      <c r="AL160" s="17">
        <f t="shared" si="71"/>
        <v>41729</v>
      </c>
      <c r="AM160">
        <f t="shared" si="73"/>
        <v>4</v>
      </c>
      <c r="AN160">
        <f t="shared" si="74"/>
        <v>4</v>
      </c>
    </row>
    <row r="161" spans="1:40">
      <c r="A161" s="7">
        <v>41759</v>
      </c>
      <c r="B161" s="8">
        <v>100.29349999999999</v>
      </c>
      <c r="C161" s="8">
        <f t="shared" si="52"/>
        <v>5.8933826872714756E-2</v>
      </c>
      <c r="D161" s="9">
        <f t="shared" si="53"/>
        <v>4.4733456718178688E-2</v>
      </c>
      <c r="E161" s="8">
        <v>56.6</v>
      </c>
      <c r="F161" s="10">
        <f t="shared" si="54"/>
        <v>5.3262080286494644</v>
      </c>
      <c r="G161" s="8">
        <v>0.16700000000000001</v>
      </c>
      <c r="H161" s="10">
        <f t="shared" si="55"/>
        <v>0.13184365932062236</v>
      </c>
      <c r="I161" s="10">
        <f t="shared" si="56"/>
        <v>0.33184365932062238</v>
      </c>
      <c r="J161" s="1">
        <v>0.02</v>
      </c>
      <c r="K161" s="10">
        <f t="shared" si="58"/>
        <v>8.6593100693848915E-2</v>
      </c>
      <c r="L161" s="8">
        <v>0.51800000000000002</v>
      </c>
      <c r="M161" s="11">
        <f t="shared" si="59"/>
        <v>0.64223678923842542</v>
      </c>
      <c r="N161" s="9">
        <f t="shared" si="57"/>
        <v>0.64223678923842542</v>
      </c>
      <c r="P161" s="29">
        <f t="shared" si="60"/>
        <v>0.33181310136964953</v>
      </c>
      <c r="Q161" s="1" t="str">
        <f t="shared" si="72"/>
        <v>SD</v>
      </c>
      <c r="R161" t="str">
        <f t="shared" si="62"/>
        <v>E</v>
      </c>
      <c r="S161" s="18">
        <f t="shared" si="61"/>
        <v>0.25726660862565304</v>
      </c>
      <c r="T161" t="str">
        <f t="shared" si="75"/>
        <v>E</v>
      </c>
      <c r="V161" s="1">
        <v>-11.3</v>
      </c>
      <c r="W161" s="1">
        <f t="shared" si="63"/>
        <v>0.33181310136964953</v>
      </c>
      <c r="X161" s="1">
        <f t="shared" si="64"/>
        <v>0.33181310136964953</v>
      </c>
      <c r="Y161" s="1" t="e">
        <f t="shared" si="65"/>
        <v>#N/A</v>
      </c>
      <c r="Z161" s="1" t="e">
        <f t="shared" si="66"/>
        <v>#N/A</v>
      </c>
      <c r="AA161" s="1">
        <v>0</v>
      </c>
      <c r="AC161" s="31">
        <f t="shared" si="67"/>
        <v>0.33181310136964953</v>
      </c>
      <c r="AD161" s="31" t="e">
        <f t="shared" si="68"/>
        <v>#N/A</v>
      </c>
      <c r="AE161" s="31" t="e">
        <f t="shared" si="69"/>
        <v>#N/A</v>
      </c>
      <c r="AF161" s="31" t="e">
        <f t="shared" si="70"/>
        <v>#N/A</v>
      </c>
      <c r="AL161" s="17">
        <f t="shared" si="71"/>
        <v>41759</v>
      </c>
      <c r="AM161">
        <f t="shared" si="73"/>
        <v>3</v>
      </c>
      <c r="AN161">
        <f t="shared" si="74"/>
        <v>4</v>
      </c>
    </row>
    <row r="162" spans="1:40">
      <c r="A162" s="7">
        <v>41789</v>
      </c>
      <c r="B162" s="8">
        <v>100.2475</v>
      </c>
      <c r="C162" s="8">
        <f t="shared" si="52"/>
        <v>0.1126751862139917</v>
      </c>
      <c r="D162" s="9">
        <f t="shared" si="53"/>
        <v>5.8168796553497923E-2</v>
      </c>
      <c r="E162" s="8">
        <v>55.7</v>
      </c>
      <c r="F162" s="10">
        <f t="shared" si="54"/>
        <v>5.4327387404843677</v>
      </c>
      <c r="G162" s="8">
        <v>0.1646</v>
      </c>
      <c r="H162" s="10">
        <f t="shared" si="55"/>
        <v>0.141179216414245</v>
      </c>
      <c r="I162" s="10">
        <f t="shared" si="56"/>
        <v>0.34117921641424498</v>
      </c>
      <c r="J162" s="1">
        <v>0.11</v>
      </c>
      <c r="K162" s="10">
        <f t="shared" si="58"/>
        <v>9.3264066996101971E-2</v>
      </c>
      <c r="L162" s="8">
        <v>0.751</v>
      </c>
      <c r="M162" s="11">
        <f t="shared" si="59"/>
        <v>0.67323430430547426</v>
      </c>
      <c r="N162" s="9">
        <f t="shared" si="57"/>
        <v>0.67323430430547426</v>
      </c>
      <c r="P162" s="29">
        <f t="shared" si="60"/>
        <v>0.35304899247929927</v>
      </c>
      <c r="Q162" s="1" t="str">
        <f t="shared" si="72"/>
        <v>E</v>
      </c>
      <c r="R162" t="str">
        <f t="shared" si="62"/>
        <v>E</v>
      </c>
      <c r="S162" s="18">
        <f t="shared" si="61"/>
        <v>0.35304899247929927</v>
      </c>
      <c r="T162" t="str">
        <f t="shared" si="75"/>
        <v>E</v>
      </c>
      <c r="V162" s="1">
        <v>-28.5</v>
      </c>
      <c r="W162" s="1">
        <f t="shared" si="63"/>
        <v>0.35304899247929927</v>
      </c>
      <c r="X162" s="1" t="e">
        <f t="shared" si="64"/>
        <v>#N/A</v>
      </c>
      <c r="Y162" s="1" t="e">
        <f t="shared" si="65"/>
        <v>#N/A</v>
      </c>
      <c r="Z162" s="1" t="e">
        <f t="shared" si="66"/>
        <v>#N/A</v>
      </c>
      <c r="AA162" s="1">
        <v>0</v>
      </c>
      <c r="AC162" s="31">
        <f t="shared" si="67"/>
        <v>0.35304899247929927</v>
      </c>
      <c r="AD162" s="31" t="e">
        <f t="shared" si="68"/>
        <v>#N/A</v>
      </c>
      <c r="AE162" s="31" t="e">
        <f t="shared" si="69"/>
        <v>#N/A</v>
      </c>
      <c r="AF162" s="31" t="e">
        <f t="shared" si="70"/>
        <v>#N/A</v>
      </c>
      <c r="AL162" s="17">
        <f t="shared" si="71"/>
        <v>41789</v>
      </c>
      <c r="AM162">
        <f t="shared" si="73"/>
        <v>4</v>
      </c>
      <c r="AN162">
        <f t="shared" si="74"/>
        <v>4</v>
      </c>
    </row>
    <row r="163" spans="1:40">
      <c r="A163" s="7">
        <v>41820</v>
      </c>
      <c r="B163" s="8">
        <v>100.1735</v>
      </c>
      <c r="C163" s="8">
        <f t="shared" si="52"/>
        <v>0.13001025814300526</v>
      </c>
      <c r="D163" s="9">
        <f t="shared" si="53"/>
        <v>6.2502564535751315E-2</v>
      </c>
      <c r="E163" s="8">
        <v>55</v>
      </c>
      <c r="F163" s="10">
        <f t="shared" si="54"/>
        <v>5.3094081994463229</v>
      </c>
      <c r="G163" s="8">
        <v>0.2361</v>
      </c>
      <c r="H163" s="10">
        <f t="shared" si="55"/>
        <v>0.16823163973618518</v>
      </c>
      <c r="I163" s="10">
        <f t="shared" si="56"/>
        <v>0.36823163973618522</v>
      </c>
      <c r="J163" s="1">
        <v>0.13</v>
      </c>
      <c r="K163" s="10">
        <f t="shared" si="58"/>
        <v>0.10373380790221293</v>
      </c>
      <c r="L163" s="8">
        <v>0.96299999999999997</v>
      </c>
      <c r="M163" s="11">
        <f t="shared" si="59"/>
        <v>0.75581752757841403</v>
      </c>
      <c r="N163" s="9">
        <f t="shared" si="57"/>
        <v>0.75581752757841403</v>
      </c>
      <c r="P163" s="29">
        <f t="shared" si="60"/>
        <v>0.39407265462269908</v>
      </c>
      <c r="Q163" s="1" t="str">
        <f t="shared" si="72"/>
        <v>E</v>
      </c>
      <c r="R163" t="str">
        <f t="shared" si="62"/>
        <v>E</v>
      </c>
      <c r="S163" s="18">
        <f t="shared" si="61"/>
        <v>0.35304899247929927</v>
      </c>
      <c r="T163" t="str">
        <f t="shared" si="75"/>
        <v>E</v>
      </c>
      <c r="V163" s="1">
        <v>-29.7</v>
      </c>
      <c r="W163" s="1">
        <f t="shared" si="63"/>
        <v>0.39407265462269908</v>
      </c>
      <c r="X163" s="1">
        <f t="shared" si="64"/>
        <v>0.39407265462269908</v>
      </c>
      <c r="Y163" s="1" t="e">
        <f t="shared" si="65"/>
        <v>#N/A</v>
      </c>
      <c r="Z163" s="1" t="e">
        <f t="shared" si="66"/>
        <v>#N/A</v>
      </c>
      <c r="AA163" s="1">
        <v>0</v>
      </c>
      <c r="AC163" s="31">
        <f t="shared" si="67"/>
        <v>0.39407265462269908</v>
      </c>
      <c r="AD163" s="31" t="e">
        <f t="shared" si="68"/>
        <v>#N/A</v>
      </c>
      <c r="AE163" s="31" t="e">
        <f t="shared" si="69"/>
        <v>#N/A</v>
      </c>
      <c r="AF163" s="31" t="e">
        <f t="shared" si="70"/>
        <v>#N/A</v>
      </c>
      <c r="AL163" s="17">
        <f t="shared" si="71"/>
        <v>41820</v>
      </c>
      <c r="AM163">
        <f t="shared" si="73"/>
        <v>4</v>
      </c>
      <c r="AN163">
        <f t="shared" si="74"/>
        <v>4</v>
      </c>
    </row>
    <row r="164" spans="1:40">
      <c r="A164" s="7">
        <v>41851</v>
      </c>
      <c r="B164" s="8">
        <v>100.0907</v>
      </c>
      <c r="C164" s="8">
        <f t="shared" si="52"/>
        <v>0.11880683457224826</v>
      </c>
      <c r="D164" s="9">
        <f t="shared" si="53"/>
        <v>5.9701708643062068E-2</v>
      </c>
      <c r="E164" s="8">
        <v>55.1</v>
      </c>
      <c r="F164" s="10">
        <f t="shared" si="54"/>
        <v>5.2497268626041214</v>
      </c>
      <c r="G164" s="8">
        <v>9.8599999999999993E-2</v>
      </c>
      <c r="H164" s="10">
        <f t="shared" si="55"/>
        <v>0.1483866224113724</v>
      </c>
      <c r="I164" s="10">
        <f t="shared" si="56"/>
        <v>0.34838662241137242</v>
      </c>
      <c r="J164" s="1">
        <v>0.28999999999999998</v>
      </c>
      <c r="K164" s="10">
        <f t="shared" si="58"/>
        <v>0.15681967265008223</v>
      </c>
      <c r="L164" s="8">
        <v>0.70799999999999996</v>
      </c>
      <c r="M164" s="11">
        <f t="shared" si="59"/>
        <v>0.74218953221856609</v>
      </c>
      <c r="N164" s="9">
        <f t="shared" si="57"/>
        <v>0.74218953221856609</v>
      </c>
      <c r="P164" s="29">
        <f t="shared" si="60"/>
        <v>0.38435957305523</v>
      </c>
      <c r="Q164" s="1" t="str">
        <f t="shared" si="72"/>
        <v>SD</v>
      </c>
      <c r="R164" t="str">
        <f t="shared" si="62"/>
        <v>E</v>
      </c>
      <c r="S164" s="18">
        <f t="shared" si="61"/>
        <v>0.35304899247929927</v>
      </c>
      <c r="T164" t="str">
        <f t="shared" si="75"/>
        <v>E</v>
      </c>
      <c r="V164" s="1">
        <v>-21.9</v>
      </c>
      <c r="W164" s="1" t="e">
        <f t="shared" si="63"/>
        <v>#N/A</v>
      </c>
      <c r="X164" s="1">
        <f t="shared" si="64"/>
        <v>0.38435957305523</v>
      </c>
      <c r="Y164" s="1" t="e">
        <f t="shared" si="65"/>
        <v>#N/A</v>
      </c>
      <c r="Z164" s="1" t="e">
        <f t="shared" si="66"/>
        <v>#N/A</v>
      </c>
      <c r="AA164" s="1">
        <v>0</v>
      </c>
      <c r="AC164" s="31">
        <f t="shared" si="67"/>
        <v>0.38435957305523</v>
      </c>
      <c r="AD164" s="31" t="e">
        <f t="shared" si="68"/>
        <v>#N/A</v>
      </c>
      <c r="AE164" s="31" t="e">
        <f t="shared" si="69"/>
        <v>#N/A</v>
      </c>
      <c r="AF164" s="31" t="e">
        <f t="shared" si="70"/>
        <v>#N/A</v>
      </c>
      <c r="AL164" s="17">
        <f t="shared" si="71"/>
        <v>41851</v>
      </c>
      <c r="AM164">
        <f t="shared" si="73"/>
        <v>3</v>
      </c>
      <c r="AN164">
        <f t="shared" si="74"/>
        <v>4</v>
      </c>
    </row>
    <row r="165" spans="1:40">
      <c r="A165" s="7">
        <v>41880</v>
      </c>
      <c r="B165" s="8">
        <v>100.0183</v>
      </c>
      <c r="C165" s="8">
        <f t="shared" si="52"/>
        <v>9.0162386719156495E-2</v>
      </c>
      <c r="D165" s="9">
        <f t="shared" si="53"/>
        <v>5.2540596679789123E-2</v>
      </c>
      <c r="E165" s="8">
        <v>56.3</v>
      </c>
      <c r="F165" s="10">
        <f t="shared" si="54"/>
        <v>5.5490547067619458</v>
      </c>
      <c r="G165" s="8">
        <v>-2.7799999999999998E-2</v>
      </c>
      <c r="H165" s="10">
        <f t="shared" si="55"/>
        <v>9.817343502413127E-2</v>
      </c>
      <c r="I165" s="10">
        <f t="shared" si="56"/>
        <v>0.29817343502413129</v>
      </c>
      <c r="J165" s="1">
        <v>-0.23</v>
      </c>
      <c r="K165" s="10">
        <f t="shared" si="58"/>
        <v>4.6576065944808773E-2</v>
      </c>
      <c r="L165" s="8">
        <v>0.755</v>
      </c>
      <c r="M165" s="11">
        <f t="shared" si="59"/>
        <v>0.74584051553627473</v>
      </c>
      <c r="N165" s="9">
        <f t="shared" si="57"/>
        <v>0.74584051553627473</v>
      </c>
      <c r="P165" s="29">
        <f t="shared" si="60"/>
        <v>0.36790521973448936</v>
      </c>
      <c r="Q165" s="1" t="str">
        <f t="shared" si="72"/>
        <v>SD</v>
      </c>
      <c r="R165" t="str">
        <f t="shared" si="62"/>
        <v>E</v>
      </c>
      <c r="S165" s="18">
        <f t="shared" si="61"/>
        <v>0.36790521973448936</v>
      </c>
      <c r="T165" t="str">
        <f t="shared" si="75"/>
        <v>E</v>
      </c>
      <c r="V165" s="1">
        <v>-45.1</v>
      </c>
      <c r="W165" s="1">
        <f t="shared" si="63"/>
        <v>0.36790521973448936</v>
      </c>
      <c r="X165" s="1">
        <f t="shared" si="64"/>
        <v>0.36790521973448936</v>
      </c>
      <c r="Y165" s="1" t="e">
        <f t="shared" si="65"/>
        <v>#N/A</v>
      </c>
      <c r="Z165" s="1" t="e">
        <f t="shared" si="66"/>
        <v>#N/A</v>
      </c>
      <c r="AA165" s="1">
        <v>0</v>
      </c>
      <c r="AC165" s="31">
        <f t="shared" si="67"/>
        <v>0.36790521973448936</v>
      </c>
      <c r="AD165" s="31" t="e">
        <f t="shared" si="68"/>
        <v>#N/A</v>
      </c>
      <c r="AE165" s="31" t="e">
        <f t="shared" si="69"/>
        <v>#N/A</v>
      </c>
      <c r="AF165" s="31" t="e">
        <f t="shared" si="70"/>
        <v>#N/A</v>
      </c>
      <c r="AL165" s="17">
        <f t="shared" si="71"/>
        <v>41880</v>
      </c>
      <c r="AM165">
        <f t="shared" si="73"/>
        <v>3</v>
      </c>
      <c r="AN165">
        <f t="shared" si="74"/>
        <v>4</v>
      </c>
    </row>
    <row r="166" spans="1:40">
      <c r="A166" s="7">
        <v>41912</v>
      </c>
      <c r="B166" s="8">
        <v>99.979700000000008</v>
      </c>
      <c r="C166" s="8">
        <f t="shared" si="52"/>
        <v>5.8680606504199234E-2</v>
      </c>
      <c r="D166" s="9">
        <f t="shared" si="53"/>
        <v>4.4670151626049807E-2</v>
      </c>
      <c r="E166" s="8">
        <v>55.7</v>
      </c>
      <c r="F166" s="10">
        <f t="shared" si="54"/>
        <v>5.5920741153347917</v>
      </c>
      <c r="G166" s="8">
        <v>7.5700000000000003E-2</v>
      </c>
      <c r="H166" s="10">
        <f t="shared" si="55"/>
        <v>9.1768506042253867E-2</v>
      </c>
      <c r="I166" s="10">
        <f t="shared" si="56"/>
        <v>0.29176850604225391</v>
      </c>
      <c r="J166" s="1">
        <v>0.04</v>
      </c>
      <c r="K166" s="10">
        <f t="shared" si="58"/>
        <v>4.4701887150538272E-2</v>
      </c>
      <c r="L166" s="8">
        <v>0.876</v>
      </c>
      <c r="M166" s="11">
        <f t="shared" si="59"/>
        <v>0.78293596860843639</v>
      </c>
      <c r="N166" s="9">
        <f t="shared" si="57"/>
        <v>0.78293596860843639</v>
      </c>
      <c r="P166" s="29">
        <f t="shared" si="60"/>
        <v>0.3757483571101598</v>
      </c>
      <c r="Q166" s="1" t="str">
        <f t="shared" si="72"/>
        <v>E</v>
      </c>
      <c r="R166" t="str">
        <f t="shared" si="62"/>
        <v>E</v>
      </c>
      <c r="S166" s="18">
        <f t="shared" si="61"/>
        <v>0.3757483571101598</v>
      </c>
      <c r="T166" t="str">
        <f t="shared" si="75"/>
        <v>E</v>
      </c>
      <c r="V166" s="1">
        <v>-43</v>
      </c>
      <c r="W166" s="1">
        <f t="shared" si="63"/>
        <v>0.3757483571101598</v>
      </c>
      <c r="X166" s="1">
        <f t="shared" si="64"/>
        <v>0.3757483571101598</v>
      </c>
      <c r="Y166" s="1" t="e">
        <f t="shared" si="65"/>
        <v>#N/A</v>
      </c>
      <c r="Z166" s="1" t="e">
        <f t="shared" si="66"/>
        <v>#N/A</v>
      </c>
      <c r="AA166" s="1">
        <v>0</v>
      </c>
      <c r="AC166" s="31">
        <f t="shared" si="67"/>
        <v>0.3757483571101598</v>
      </c>
      <c r="AD166" s="31" t="e">
        <f t="shared" si="68"/>
        <v>#N/A</v>
      </c>
      <c r="AE166" s="31" t="e">
        <f t="shared" si="69"/>
        <v>#N/A</v>
      </c>
      <c r="AF166" s="31" t="e">
        <f t="shared" si="70"/>
        <v>#N/A</v>
      </c>
      <c r="AL166" s="17">
        <f t="shared" si="71"/>
        <v>41912</v>
      </c>
      <c r="AM166">
        <f t="shared" si="73"/>
        <v>4</v>
      </c>
      <c r="AN166">
        <f t="shared" si="74"/>
        <v>4</v>
      </c>
    </row>
    <row r="167" spans="1:40">
      <c r="A167" s="7">
        <v>41943</v>
      </c>
      <c r="B167" s="8">
        <v>99.984400000000008</v>
      </c>
      <c r="C167" s="8">
        <f t="shared" si="52"/>
        <v>3.7510633650504714E-2</v>
      </c>
      <c r="D167" s="9">
        <f t="shared" si="53"/>
        <v>3.9377658412626179E-2</v>
      </c>
      <c r="E167" s="8">
        <v>56.2</v>
      </c>
      <c r="F167" s="10">
        <f t="shared" si="54"/>
        <v>5.7653329924643772</v>
      </c>
      <c r="G167" s="8">
        <v>3.0000000000000001E-3</v>
      </c>
      <c r="H167" s="10">
        <f t="shared" si="55"/>
        <v>6.6469481820211507E-2</v>
      </c>
      <c r="I167" s="10">
        <f t="shared" si="56"/>
        <v>0.26646948182021152</v>
      </c>
      <c r="J167" s="1">
        <v>0.01</v>
      </c>
      <c r="K167" s="10">
        <f t="shared" si="58"/>
        <v>3.4811849312634861E-2</v>
      </c>
      <c r="L167" s="8">
        <v>0.62</v>
      </c>
      <c r="M167" s="11">
        <f t="shared" si="59"/>
        <v>0.736499217555032</v>
      </c>
      <c r="N167" s="9">
        <f t="shared" si="57"/>
        <v>0.736499217555032</v>
      </c>
      <c r="P167" s="29">
        <f t="shared" si="60"/>
        <v>0.34921295033376443</v>
      </c>
      <c r="Q167" s="1" t="str">
        <f t="shared" si="72"/>
        <v>SD</v>
      </c>
      <c r="R167" t="str">
        <f t="shared" si="62"/>
        <v>E</v>
      </c>
      <c r="S167" s="18">
        <f t="shared" si="61"/>
        <v>0.3757483571101598</v>
      </c>
      <c r="T167" t="str">
        <f t="shared" si="75"/>
        <v>E</v>
      </c>
      <c r="V167" s="1">
        <v>-32.4</v>
      </c>
      <c r="W167" s="1">
        <f t="shared" si="63"/>
        <v>0.34921295033376443</v>
      </c>
      <c r="X167" s="1">
        <f t="shared" si="64"/>
        <v>0.34921295033376443</v>
      </c>
      <c r="Y167" s="1" t="e">
        <f t="shared" si="65"/>
        <v>#N/A</v>
      </c>
      <c r="Z167" s="1" t="e">
        <f t="shared" si="66"/>
        <v>#N/A</v>
      </c>
      <c r="AA167" s="1">
        <v>0</v>
      </c>
      <c r="AC167" s="31">
        <f t="shared" si="67"/>
        <v>0.34921295033376443</v>
      </c>
      <c r="AD167" s="31" t="e">
        <f t="shared" si="68"/>
        <v>#N/A</v>
      </c>
      <c r="AE167" s="31" t="e">
        <f t="shared" si="69"/>
        <v>#N/A</v>
      </c>
      <c r="AF167" s="31" t="e">
        <f t="shared" si="70"/>
        <v>#N/A</v>
      </c>
      <c r="AL167" s="17">
        <f t="shared" si="71"/>
        <v>41943</v>
      </c>
      <c r="AM167">
        <f t="shared" si="73"/>
        <v>3</v>
      </c>
      <c r="AN167">
        <f t="shared" si="74"/>
        <v>4</v>
      </c>
    </row>
    <row r="168" spans="1:40">
      <c r="A168" s="7">
        <v>41971</v>
      </c>
      <c r="B168" s="8">
        <v>100.0317</v>
      </c>
      <c r="C168" s="8">
        <f t="shared" si="52"/>
        <v>3.5854603060111082E-2</v>
      </c>
      <c r="D168" s="9">
        <f t="shared" si="53"/>
        <v>3.8963650765027766E-2</v>
      </c>
      <c r="E168" s="8">
        <v>56.3</v>
      </c>
      <c r="F168" s="10">
        <f t="shared" si="54"/>
        <v>5.9177130896120289</v>
      </c>
      <c r="G168" s="8">
        <v>0.26290000000000002</v>
      </c>
      <c r="H168" s="10">
        <f t="shared" si="55"/>
        <v>0.12245217950145124</v>
      </c>
      <c r="I168" s="10">
        <f t="shared" si="56"/>
        <v>0.32245217950145122</v>
      </c>
      <c r="J168" s="1">
        <v>0.25</v>
      </c>
      <c r="K168" s="10">
        <f t="shared" si="58"/>
        <v>9.6140472258533935E-2</v>
      </c>
      <c r="L168" s="8">
        <v>0.77900000000000003</v>
      </c>
      <c r="M168" s="11">
        <f t="shared" si="59"/>
        <v>0.74861194055184788</v>
      </c>
      <c r="N168" s="9">
        <f t="shared" si="57"/>
        <v>0.74861194055184788</v>
      </c>
      <c r="P168" s="29">
        <f t="shared" si="60"/>
        <v>0.37014725948864174</v>
      </c>
      <c r="Q168" s="1" t="str">
        <f t="shared" si="72"/>
        <v>E</v>
      </c>
      <c r="R168" t="str">
        <f t="shared" si="62"/>
        <v>E</v>
      </c>
      <c r="S168" s="18">
        <f t="shared" si="61"/>
        <v>0.37014725948864174</v>
      </c>
      <c r="T168" t="str">
        <f t="shared" si="75"/>
        <v>E</v>
      </c>
      <c r="V168" s="1">
        <v>-21.5</v>
      </c>
      <c r="W168" s="1">
        <f t="shared" si="63"/>
        <v>0.37014725948864174</v>
      </c>
      <c r="X168" s="1">
        <f t="shared" si="64"/>
        <v>0.37014725948864174</v>
      </c>
      <c r="Y168" s="1" t="e">
        <f t="shared" si="65"/>
        <v>#N/A</v>
      </c>
      <c r="Z168" s="1" t="e">
        <f t="shared" si="66"/>
        <v>#N/A</v>
      </c>
      <c r="AA168" s="1">
        <v>0</v>
      </c>
      <c r="AC168" s="31">
        <f t="shared" si="67"/>
        <v>0.37014725948864174</v>
      </c>
      <c r="AD168" s="31" t="e">
        <f t="shared" si="68"/>
        <v>#N/A</v>
      </c>
      <c r="AE168" s="31" t="e">
        <f t="shared" si="69"/>
        <v>#N/A</v>
      </c>
      <c r="AF168" s="31" t="e">
        <f t="shared" si="70"/>
        <v>#N/A</v>
      </c>
      <c r="AL168" s="17">
        <f t="shared" si="71"/>
        <v>41971</v>
      </c>
      <c r="AM168">
        <f t="shared" ref="AM168:AM199" si="76">IF($Q168="E",4,IF($Q168="R",2,IF($Q168="SD",3,1)))</f>
        <v>4</v>
      </c>
      <c r="AN168">
        <f t="shared" si="74"/>
        <v>4</v>
      </c>
    </row>
    <row r="169" spans="1:40">
      <c r="A169" s="7">
        <v>42004</v>
      </c>
      <c r="B169" s="8">
        <v>100.11699999999999</v>
      </c>
      <c r="C169" s="8">
        <f t="shared" si="52"/>
        <v>5.8981041187976639E-2</v>
      </c>
      <c r="D169" s="9">
        <f t="shared" si="53"/>
        <v>4.474526029699416E-2</v>
      </c>
      <c r="E169" s="8">
        <v>55.7</v>
      </c>
      <c r="F169" s="10">
        <f t="shared" si="54"/>
        <v>5.8556648590726015</v>
      </c>
      <c r="G169" s="8">
        <v>-3.95E-2</v>
      </c>
      <c r="H169" s="10">
        <f t="shared" si="55"/>
        <v>7.6295808343537622E-2</v>
      </c>
      <c r="I169" s="10">
        <f t="shared" si="56"/>
        <v>0.27629580834353762</v>
      </c>
      <c r="J169" s="1">
        <v>0.05</v>
      </c>
      <c r="K169" s="10">
        <f t="shared" si="58"/>
        <v>8.2990437664851757E-2</v>
      </c>
      <c r="L169" s="8">
        <v>0.42799999999999999</v>
      </c>
      <c r="M169" s="11">
        <f t="shared" si="59"/>
        <v>0.65723753749457114</v>
      </c>
      <c r="N169" s="9">
        <f t="shared" si="57"/>
        <v>0.65723753749457114</v>
      </c>
      <c r="P169" s="29">
        <f t="shared" si="60"/>
        <v>0.32416566553437881</v>
      </c>
      <c r="Q169" s="1" t="str">
        <f t="shared" si="72"/>
        <v>SD</v>
      </c>
      <c r="R169" t="str">
        <f t="shared" si="62"/>
        <v>E</v>
      </c>
      <c r="S169" s="18">
        <f t="shared" si="61"/>
        <v>0.37014725948864174</v>
      </c>
      <c r="T169" t="str">
        <f t="shared" si="75"/>
        <v>E</v>
      </c>
      <c r="V169" s="1">
        <v>10.199999999999999</v>
      </c>
      <c r="W169" s="1" t="e">
        <f t="shared" si="63"/>
        <v>#N/A</v>
      </c>
      <c r="X169" s="1">
        <f t="shared" si="64"/>
        <v>0.32416566553437881</v>
      </c>
      <c r="Y169" s="1" t="e">
        <f t="shared" si="65"/>
        <v>#N/A</v>
      </c>
      <c r="Z169" s="1" t="e">
        <f t="shared" si="66"/>
        <v>#N/A</v>
      </c>
      <c r="AA169" s="1">
        <v>0</v>
      </c>
      <c r="AC169" s="31">
        <f t="shared" si="67"/>
        <v>0.32416566553437881</v>
      </c>
      <c r="AD169" s="31">
        <f t="shared" si="68"/>
        <v>0.32416566553437881</v>
      </c>
      <c r="AE169" s="31" t="e">
        <f t="shared" si="69"/>
        <v>#N/A</v>
      </c>
      <c r="AF169" s="31" t="e">
        <f t="shared" si="70"/>
        <v>#N/A</v>
      </c>
      <c r="AL169" s="17">
        <f t="shared" si="71"/>
        <v>42004</v>
      </c>
      <c r="AM169">
        <f t="shared" si="76"/>
        <v>3</v>
      </c>
      <c r="AN169">
        <f t="shared" si="74"/>
        <v>4</v>
      </c>
    </row>
    <row r="170" spans="1:40">
      <c r="A170" s="7">
        <v>42034</v>
      </c>
      <c r="B170" s="8">
        <v>100.22839999999999</v>
      </c>
      <c r="C170" s="8">
        <f t="shared" si="52"/>
        <v>0.10726544444940145</v>
      </c>
      <c r="D170" s="9">
        <f t="shared" si="53"/>
        <v>5.6816361112350361E-2</v>
      </c>
      <c r="E170" s="8">
        <v>53.9</v>
      </c>
      <c r="F170" s="10">
        <f t="shared" si="54"/>
        <v>5.2983003742369092</v>
      </c>
      <c r="G170" s="8">
        <v>-0.42649999999999999</v>
      </c>
      <c r="H170" s="10">
        <f t="shared" si="55"/>
        <v>-6.700099703437061E-2</v>
      </c>
      <c r="I170" s="10">
        <f t="shared" si="56"/>
        <v>0.13299900296562939</v>
      </c>
      <c r="J170" s="1">
        <v>-0.27</v>
      </c>
      <c r="K170" s="10">
        <f t="shared" si="58"/>
        <v>-1.7611837069631014E-2</v>
      </c>
      <c r="L170" s="8">
        <v>2.5999999999999999E-2</v>
      </c>
      <c r="M170" s="11">
        <f t="shared" si="59"/>
        <v>0.47733483930861836</v>
      </c>
      <c r="N170" s="9">
        <f t="shared" si="57"/>
        <v>0.47733483930861836</v>
      </c>
      <c r="P170" s="29">
        <f t="shared" si="60"/>
        <v>0.21835970085708065</v>
      </c>
      <c r="Q170" s="1" t="str">
        <f t="shared" si="72"/>
        <v>SD</v>
      </c>
      <c r="R170" t="str">
        <f t="shared" si="62"/>
        <v>SD</v>
      </c>
      <c r="S170" s="18">
        <f t="shared" si="61"/>
        <v>0.37014725948864174</v>
      </c>
      <c r="T170" t="str">
        <f t="shared" si="75"/>
        <v>SD</v>
      </c>
      <c r="V170" s="1">
        <v>10</v>
      </c>
      <c r="W170" s="1" t="e">
        <f t="shared" si="63"/>
        <v>#N/A</v>
      </c>
      <c r="X170" s="1">
        <f t="shared" si="64"/>
        <v>0.21835970085708065</v>
      </c>
      <c r="Y170" s="1" t="e">
        <f t="shared" si="65"/>
        <v>#N/A</v>
      </c>
      <c r="Z170" s="1" t="e">
        <f t="shared" si="66"/>
        <v>#N/A</v>
      </c>
      <c r="AA170" s="1">
        <v>0</v>
      </c>
      <c r="AC170" s="31" t="e">
        <f t="shared" si="67"/>
        <v>#N/A</v>
      </c>
      <c r="AD170" s="31">
        <f t="shared" si="68"/>
        <v>0.21835970085708065</v>
      </c>
      <c r="AE170" s="31" t="e">
        <f t="shared" si="69"/>
        <v>#N/A</v>
      </c>
      <c r="AF170" s="31" t="e">
        <f t="shared" si="70"/>
        <v>#N/A</v>
      </c>
      <c r="AL170" s="17">
        <f t="shared" si="71"/>
        <v>42034</v>
      </c>
      <c r="AM170">
        <f t="shared" si="76"/>
        <v>3</v>
      </c>
      <c r="AN170">
        <f t="shared" si="74"/>
        <v>3</v>
      </c>
    </row>
    <row r="171" spans="1:40">
      <c r="A171" s="7">
        <v>42062</v>
      </c>
      <c r="B171" s="8">
        <v>100.3428</v>
      </c>
      <c r="C171" s="8">
        <f t="shared" si="52"/>
        <v>0.17439279278132114</v>
      </c>
      <c r="D171" s="9">
        <f t="shared" si="53"/>
        <v>7.3598198195330283E-2</v>
      </c>
      <c r="E171" s="8">
        <v>53</v>
      </c>
      <c r="F171" s="10">
        <f t="shared" si="54"/>
        <v>4.6432847675793898</v>
      </c>
      <c r="G171" s="8">
        <v>-0.63129999999999997</v>
      </c>
      <c r="H171" s="10">
        <f t="shared" si="55"/>
        <v>-0.227826212879575</v>
      </c>
      <c r="I171" s="10">
        <f t="shared" si="56"/>
        <v>-2.7826212879574985E-2</v>
      </c>
      <c r="J171" s="1">
        <v>-0.44</v>
      </c>
      <c r="K171" s="10">
        <f t="shared" si="58"/>
        <v>-0.13799246350478619</v>
      </c>
      <c r="L171" s="8">
        <v>0.41899999999999998</v>
      </c>
      <c r="M171" s="11">
        <f t="shared" si="59"/>
        <v>0.46070941010566213</v>
      </c>
      <c r="N171" s="9">
        <f t="shared" si="57"/>
        <v>0.46070941010566213</v>
      </c>
      <c r="P171" s="29">
        <f t="shared" si="60"/>
        <v>0.16323318611281248</v>
      </c>
      <c r="Q171" s="1" t="str">
        <f t="shared" si="72"/>
        <v>SD</v>
      </c>
      <c r="R171" t="str">
        <f t="shared" si="62"/>
        <v>SD</v>
      </c>
      <c r="S171" s="18">
        <f t="shared" si="61"/>
        <v>0.37014725948864174</v>
      </c>
      <c r="T171" t="str">
        <f t="shared" si="75"/>
        <v>SD</v>
      </c>
      <c r="V171" s="1">
        <v>51</v>
      </c>
      <c r="W171" s="1" t="e">
        <f t="shared" si="63"/>
        <v>#N/A</v>
      </c>
      <c r="X171" s="1">
        <f t="shared" si="64"/>
        <v>0.16323318611281248</v>
      </c>
      <c r="Y171" s="1" t="e">
        <f t="shared" si="65"/>
        <v>#N/A</v>
      </c>
      <c r="Z171" s="1" t="e">
        <f t="shared" si="66"/>
        <v>#N/A</v>
      </c>
      <c r="AA171" s="1">
        <v>0</v>
      </c>
      <c r="AC171" s="31" t="e">
        <f t="shared" si="67"/>
        <v>#N/A</v>
      </c>
      <c r="AD171" s="31">
        <f t="shared" si="68"/>
        <v>0.16323318611281248</v>
      </c>
      <c r="AE171" s="31" t="e">
        <f t="shared" si="69"/>
        <v>#N/A</v>
      </c>
      <c r="AF171" s="31" t="e">
        <f t="shared" si="70"/>
        <v>#N/A</v>
      </c>
      <c r="AL171" s="17">
        <f t="shared" si="71"/>
        <v>42062</v>
      </c>
      <c r="AM171">
        <f t="shared" si="76"/>
        <v>3</v>
      </c>
      <c r="AN171">
        <f t="shared" si="74"/>
        <v>3</v>
      </c>
    </row>
    <row r="172" spans="1:40">
      <c r="A172" s="7">
        <v>42094</v>
      </c>
      <c r="B172" s="8">
        <v>100.4439</v>
      </c>
      <c r="C172" s="8">
        <f t="shared" si="52"/>
        <v>0.2512023468386444</v>
      </c>
      <c r="D172" s="9">
        <f t="shared" si="53"/>
        <v>9.2800586709661098E-2</v>
      </c>
      <c r="E172" s="8">
        <v>52.1</v>
      </c>
      <c r="F172" s="10">
        <f t="shared" si="54"/>
        <v>3.918448608819264</v>
      </c>
      <c r="G172" s="8">
        <v>-0.4158</v>
      </c>
      <c r="H172" s="10">
        <f t="shared" si="55"/>
        <v>-0.2813987422088961</v>
      </c>
      <c r="I172" s="10">
        <f t="shared" si="56"/>
        <v>-8.1398742208896091E-2</v>
      </c>
      <c r="J172" s="1">
        <v>-0.04</v>
      </c>
      <c r="K172" s="10">
        <f t="shared" si="58"/>
        <v>-0.11006461140592214</v>
      </c>
      <c r="L172" s="8">
        <v>0.187</v>
      </c>
      <c r="M172" s="11">
        <f t="shared" si="59"/>
        <v>0.38270222822554845</v>
      </c>
      <c r="N172" s="9">
        <f t="shared" si="57"/>
        <v>0.38270222822554845</v>
      </c>
      <c r="P172" s="29">
        <f t="shared" si="60"/>
        <v>0.12496722807066089</v>
      </c>
      <c r="Q172" s="1" t="str">
        <f t="shared" si="72"/>
        <v>SD</v>
      </c>
      <c r="R172" t="str">
        <f t="shared" si="62"/>
        <v>SD</v>
      </c>
      <c r="S172" s="18">
        <f t="shared" si="61"/>
        <v>0.37014725948864174</v>
      </c>
      <c r="T172" t="str">
        <f t="shared" si="75"/>
        <v>SD</v>
      </c>
      <c r="V172" s="1">
        <v>58.4</v>
      </c>
      <c r="W172" s="1" t="e">
        <f t="shared" si="63"/>
        <v>#N/A</v>
      </c>
      <c r="X172" s="1">
        <f t="shared" si="64"/>
        <v>0.12496722807066089</v>
      </c>
      <c r="Y172" s="1" t="e">
        <f t="shared" si="65"/>
        <v>#N/A</v>
      </c>
      <c r="Z172" s="1" t="e">
        <f t="shared" si="66"/>
        <v>#N/A</v>
      </c>
      <c r="AA172" s="1">
        <v>0</v>
      </c>
      <c r="AC172" s="31" t="e">
        <f t="shared" si="67"/>
        <v>#N/A</v>
      </c>
      <c r="AD172" s="31">
        <f t="shared" si="68"/>
        <v>0.12496722807066089</v>
      </c>
      <c r="AE172" s="31" t="e">
        <f t="shared" si="69"/>
        <v>#N/A</v>
      </c>
      <c r="AF172" s="31" t="e">
        <f t="shared" si="70"/>
        <v>#N/A</v>
      </c>
      <c r="AL172" s="17">
        <f t="shared" si="71"/>
        <v>42094</v>
      </c>
      <c r="AM172">
        <f t="shared" si="76"/>
        <v>3</v>
      </c>
      <c r="AN172">
        <f t="shared" si="74"/>
        <v>3</v>
      </c>
    </row>
    <row r="173" spans="1:40">
      <c r="A173" s="7">
        <v>42124</v>
      </c>
      <c r="B173" s="8">
        <v>100.5172</v>
      </c>
      <c r="C173" s="8">
        <f t="shared" si="52"/>
        <v>0.32701167798963149</v>
      </c>
      <c r="D173" s="9">
        <f t="shared" si="53"/>
        <v>0.11175291949740787</v>
      </c>
      <c r="E173" s="8">
        <v>51.9</v>
      </c>
      <c r="F173" s="10">
        <f t="shared" si="54"/>
        <v>3.3431907553057734</v>
      </c>
      <c r="G173" s="8">
        <v>-0.29370000000000002</v>
      </c>
      <c r="H173" s="10">
        <f t="shared" si="55"/>
        <v>-0.28490460067936074</v>
      </c>
      <c r="I173" s="10">
        <f t="shared" si="56"/>
        <v>-8.4904600679360731E-2</v>
      </c>
      <c r="J173" s="1">
        <v>-0.02</v>
      </c>
      <c r="K173" s="10">
        <f t="shared" si="58"/>
        <v>-8.4396197155234318E-2</v>
      </c>
      <c r="L173" s="8">
        <v>0.22</v>
      </c>
      <c r="M173" s="11">
        <f t="shared" si="59"/>
        <v>0.33633209318126711</v>
      </c>
      <c r="N173" s="9">
        <f t="shared" si="57"/>
        <v>0.33633209318126711</v>
      </c>
      <c r="P173" s="29">
        <f t="shared" si="60"/>
        <v>0.1147426930705225</v>
      </c>
      <c r="Q173" s="1" t="str">
        <f t="shared" si="72"/>
        <v>SD</v>
      </c>
      <c r="R173" t="str">
        <f t="shared" si="62"/>
        <v>SD</v>
      </c>
      <c r="S173" s="18">
        <f t="shared" si="61"/>
        <v>0.37014725948864174</v>
      </c>
      <c r="T173" t="str">
        <f t="shared" si="75"/>
        <v>SD</v>
      </c>
      <c r="V173" s="1">
        <v>11.9</v>
      </c>
      <c r="W173" s="1" t="e">
        <f t="shared" si="63"/>
        <v>#N/A</v>
      </c>
      <c r="X173" s="1">
        <f t="shared" si="64"/>
        <v>0.1147426930705225</v>
      </c>
      <c r="Y173" s="1" t="e">
        <f t="shared" si="65"/>
        <v>#N/A</v>
      </c>
      <c r="Z173" s="1" t="e">
        <f t="shared" si="66"/>
        <v>#N/A</v>
      </c>
      <c r="AA173" s="1">
        <v>0</v>
      </c>
      <c r="AC173" s="31" t="e">
        <f t="shared" si="67"/>
        <v>#N/A</v>
      </c>
      <c r="AD173" s="31">
        <f t="shared" si="68"/>
        <v>0.1147426930705225</v>
      </c>
      <c r="AE173" s="31" t="e">
        <f t="shared" si="69"/>
        <v>#N/A</v>
      </c>
      <c r="AF173" s="31" t="e">
        <f t="shared" si="70"/>
        <v>#N/A</v>
      </c>
      <c r="AL173" s="17">
        <f t="shared" si="71"/>
        <v>42124</v>
      </c>
      <c r="AM173">
        <f t="shared" si="76"/>
        <v>3</v>
      </c>
      <c r="AN173">
        <f t="shared" si="74"/>
        <v>3</v>
      </c>
    </row>
    <row r="174" spans="1:40">
      <c r="A174" s="7">
        <v>42153</v>
      </c>
      <c r="B174" s="8">
        <v>100.5591</v>
      </c>
      <c r="C174" s="8">
        <f t="shared" si="52"/>
        <v>0.39315684976258675</v>
      </c>
      <c r="D174" s="9">
        <f t="shared" si="53"/>
        <v>0.12828921244064667</v>
      </c>
      <c r="E174" s="8">
        <v>52.9</v>
      </c>
      <c r="F174" s="10">
        <f t="shared" si="54"/>
        <v>3.2168813900436275</v>
      </c>
      <c r="G174" s="8">
        <v>-0.60219999999999996</v>
      </c>
      <c r="H174" s="10">
        <f t="shared" si="55"/>
        <v>-0.37533378948574292</v>
      </c>
      <c r="I174" s="10">
        <f t="shared" si="56"/>
        <v>-0.17533378948574291</v>
      </c>
      <c r="J174" s="1">
        <v>-0.34</v>
      </c>
      <c r="K174" s="10">
        <f t="shared" si="58"/>
        <v>-0.15724328096599255</v>
      </c>
      <c r="L174" s="8">
        <v>0.127</v>
      </c>
      <c r="M174" s="11">
        <f t="shared" si="59"/>
        <v>0.27667244662460599</v>
      </c>
      <c r="N174" s="9">
        <f t="shared" si="57"/>
        <v>0.27667244662460599</v>
      </c>
      <c r="P174" s="29">
        <f t="shared" si="60"/>
        <v>7.1030525545423648E-2</v>
      </c>
      <c r="Q174" s="1" t="str">
        <f t="shared" si="72"/>
        <v>SD</v>
      </c>
      <c r="R174" t="str">
        <f t="shared" si="62"/>
        <v>SD</v>
      </c>
      <c r="S174" s="18">
        <f t="shared" si="61"/>
        <v>0.37014725948864174</v>
      </c>
      <c r="T174" t="str">
        <f t="shared" si="75"/>
        <v>SD</v>
      </c>
      <c r="V174" s="1">
        <v>-13.9</v>
      </c>
      <c r="W174" s="1" t="e">
        <f t="shared" si="63"/>
        <v>#N/A</v>
      </c>
      <c r="X174" s="1">
        <f t="shared" si="64"/>
        <v>7.1030525545423648E-2</v>
      </c>
      <c r="Y174" s="1" t="e">
        <f t="shared" si="65"/>
        <v>#N/A</v>
      </c>
      <c r="Z174" s="1" t="e">
        <f t="shared" si="66"/>
        <v>#N/A</v>
      </c>
      <c r="AA174" s="1">
        <v>0</v>
      </c>
      <c r="AC174" s="31" t="e">
        <f t="shared" si="67"/>
        <v>#N/A</v>
      </c>
      <c r="AD174" s="31">
        <f t="shared" si="68"/>
        <v>7.1030525545423648E-2</v>
      </c>
      <c r="AE174" s="31" t="e">
        <f t="shared" si="69"/>
        <v>#N/A</v>
      </c>
      <c r="AF174" s="31" t="e">
        <f t="shared" si="70"/>
        <v>#N/A</v>
      </c>
      <c r="AL174" s="17">
        <f t="shared" si="71"/>
        <v>42153</v>
      </c>
      <c r="AM174">
        <f t="shared" si="76"/>
        <v>3</v>
      </c>
      <c r="AN174">
        <f t="shared" si="74"/>
        <v>3</v>
      </c>
    </row>
    <row r="175" spans="1:40">
      <c r="A175" s="7">
        <v>42185</v>
      </c>
      <c r="B175" s="8">
        <v>100.58250000000001</v>
      </c>
      <c r="C175" s="8">
        <f t="shared" si="52"/>
        <v>0.44711964758025247</v>
      </c>
      <c r="D175" s="9">
        <f t="shared" si="53"/>
        <v>0.14177991189506312</v>
      </c>
      <c r="E175" s="8">
        <v>52.5</v>
      </c>
      <c r="F175" s="10">
        <f t="shared" si="54"/>
        <v>3.012570193881194</v>
      </c>
      <c r="G175" s="8">
        <v>-0.38090000000000002</v>
      </c>
      <c r="H175" s="10">
        <f t="shared" si="55"/>
        <v>-0.37692015948230617</v>
      </c>
      <c r="I175" s="10">
        <f t="shared" si="56"/>
        <v>-0.17692015948230616</v>
      </c>
      <c r="J175" s="1">
        <v>-0.11</v>
      </c>
      <c r="K175" s="10">
        <f t="shared" si="58"/>
        <v>-0.14377894589068468</v>
      </c>
      <c r="L175" s="8">
        <v>-0.16300000000000001</v>
      </c>
      <c r="M175" s="11">
        <f t="shared" si="59"/>
        <v>0.15136579933659328</v>
      </c>
      <c r="N175" s="9">
        <f t="shared" si="57"/>
        <v>0.15136579933659328</v>
      </c>
      <c r="P175" s="29">
        <f t="shared" si="60"/>
        <v>3.4244950764977931E-2</v>
      </c>
      <c r="Q175" s="1" t="str">
        <f t="shared" si="72"/>
        <v>SD</v>
      </c>
      <c r="R175" t="str">
        <f t="shared" si="62"/>
        <v>SD</v>
      </c>
      <c r="S175" s="18">
        <f t="shared" si="61"/>
        <v>0.37014725948864174</v>
      </c>
      <c r="T175" t="str">
        <f t="shared" si="75"/>
        <v>SD</v>
      </c>
      <c r="V175" s="1">
        <v>-5</v>
      </c>
      <c r="W175" s="1">
        <f t="shared" si="63"/>
        <v>3.4244950764977931E-2</v>
      </c>
      <c r="X175" s="1">
        <f t="shared" si="64"/>
        <v>3.4244950764977931E-2</v>
      </c>
      <c r="Y175" s="1" t="e">
        <f t="shared" si="65"/>
        <v>#N/A</v>
      </c>
      <c r="Z175" s="1" t="e">
        <f t="shared" si="66"/>
        <v>#N/A</v>
      </c>
      <c r="AA175" s="1">
        <v>0</v>
      </c>
      <c r="AC175" s="31">
        <f t="shared" si="67"/>
        <v>3.4244950764977931E-2</v>
      </c>
      <c r="AD175" s="31">
        <f t="shared" si="68"/>
        <v>3.4244950764977931E-2</v>
      </c>
      <c r="AE175" s="31" t="e">
        <f t="shared" si="69"/>
        <v>#N/A</v>
      </c>
      <c r="AF175" s="31" t="e">
        <f t="shared" si="70"/>
        <v>#N/A</v>
      </c>
      <c r="AL175" s="17">
        <f t="shared" si="71"/>
        <v>42185</v>
      </c>
      <c r="AM175">
        <f t="shared" si="76"/>
        <v>3</v>
      </c>
      <c r="AN175">
        <f t="shared" si="74"/>
        <v>3</v>
      </c>
    </row>
    <row r="176" spans="1:40">
      <c r="A176" s="7">
        <v>42216</v>
      </c>
      <c r="B176" s="8">
        <v>100.6006</v>
      </c>
      <c r="C176" s="8">
        <f t="shared" si="52"/>
        <v>0.49086154801988052</v>
      </c>
      <c r="D176" s="9">
        <f t="shared" si="53"/>
        <v>0.15271538700497012</v>
      </c>
      <c r="E176" s="8">
        <v>52</v>
      </c>
      <c r="F176" s="10">
        <f t="shared" si="54"/>
        <v>2.723987688625054</v>
      </c>
      <c r="G176" s="8">
        <v>7.6999999999999999E-2</v>
      </c>
      <c r="H176" s="10">
        <f t="shared" si="55"/>
        <v>-0.24755291402984891</v>
      </c>
      <c r="I176" s="10">
        <f t="shared" si="56"/>
        <v>-4.7552914029848903E-2</v>
      </c>
      <c r="J176" s="1">
        <v>0.32</v>
      </c>
      <c r="K176" s="10">
        <f t="shared" si="58"/>
        <v>-1.1601946311839528E-2</v>
      </c>
      <c r="L176" s="8">
        <v>0.38700000000000001</v>
      </c>
      <c r="M176" s="11">
        <f t="shared" si="59"/>
        <v>0.21852154652566419</v>
      </c>
      <c r="N176" s="9">
        <f t="shared" si="57"/>
        <v>0.21852154652566419</v>
      </c>
      <c r="P176" s="29">
        <f t="shared" si="60"/>
        <v>0.10424951479695947</v>
      </c>
      <c r="Q176" s="1" t="str">
        <f t="shared" si="72"/>
        <v>E</v>
      </c>
      <c r="R176" t="str">
        <f t="shared" si="62"/>
        <v>E</v>
      </c>
      <c r="S176" s="18">
        <f t="shared" si="61"/>
        <v>0.10424951479695947</v>
      </c>
      <c r="T176" t="str">
        <f t="shared" si="75"/>
        <v>E</v>
      </c>
      <c r="V176" s="1">
        <v>7.1</v>
      </c>
      <c r="W176" s="1">
        <f t="shared" si="63"/>
        <v>0.10424951479695947</v>
      </c>
      <c r="X176" s="1">
        <f t="shared" si="64"/>
        <v>0.10424951479695947</v>
      </c>
      <c r="Y176" s="1" t="e">
        <f t="shared" si="65"/>
        <v>#N/A</v>
      </c>
      <c r="Z176" s="1" t="e">
        <f t="shared" si="66"/>
        <v>#N/A</v>
      </c>
      <c r="AA176" s="1">
        <v>0</v>
      </c>
      <c r="AC176" s="31">
        <f t="shared" si="67"/>
        <v>0.10424951479695947</v>
      </c>
      <c r="AD176" s="31">
        <f t="shared" si="68"/>
        <v>0.10424951479695947</v>
      </c>
      <c r="AE176" s="31" t="e">
        <f t="shared" si="69"/>
        <v>#N/A</v>
      </c>
      <c r="AF176" s="31" t="e">
        <f t="shared" si="70"/>
        <v>#N/A</v>
      </c>
      <c r="AL176" s="17">
        <f t="shared" si="71"/>
        <v>42216</v>
      </c>
      <c r="AM176">
        <f t="shared" si="76"/>
        <v>4</v>
      </c>
      <c r="AN176">
        <f t="shared" si="74"/>
        <v>4</v>
      </c>
    </row>
    <row r="177" spans="1:40">
      <c r="A177" s="7">
        <v>42247</v>
      </c>
      <c r="B177" s="8">
        <v>100.62260000000001</v>
      </c>
      <c r="C177" s="8">
        <f t="shared" si="52"/>
        <v>0.52840700683421615</v>
      </c>
      <c r="D177" s="9">
        <f t="shared" si="53"/>
        <v>0.16210175170855404</v>
      </c>
      <c r="E177" s="8">
        <v>50.2</v>
      </c>
      <c r="F177" s="10">
        <f t="shared" si="54"/>
        <v>2.0046511973669143</v>
      </c>
      <c r="G177" s="8">
        <v>-0.27529999999999999</v>
      </c>
      <c r="H177" s="10">
        <f t="shared" si="55"/>
        <v>-0.25546083353134197</v>
      </c>
      <c r="I177" s="10">
        <f t="shared" si="56"/>
        <v>-5.5460833531341958E-2</v>
      </c>
      <c r="J177" s="1">
        <v>-0.32</v>
      </c>
      <c r="K177" s="10">
        <f t="shared" si="58"/>
        <v>-9.9495391612965278E-2</v>
      </c>
      <c r="L177" s="8">
        <v>-0.10299999999999999</v>
      </c>
      <c r="M177" s="11">
        <f t="shared" si="59"/>
        <v>0.12688790576584991</v>
      </c>
      <c r="N177" s="9">
        <f t="shared" si="57"/>
        <v>0.12688790576584991</v>
      </c>
      <c r="P177" s="29">
        <f t="shared" si="60"/>
        <v>7.4714153079826026E-2</v>
      </c>
      <c r="Q177" s="1" t="str">
        <f t="shared" si="72"/>
        <v>SD</v>
      </c>
      <c r="R177" t="str">
        <f t="shared" si="62"/>
        <v>E</v>
      </c>
      <c r="S177" s="18">
        <f t="shared" si="61"/>
        <v>0.10424951479695947</v>
      </c>
      <c r="T177" t="str">
        <f t="shared" si="75"/>
        <v>SD</v>
      </c>
      <c r="V177" s="1">
        <v>16.2</v>
      </c>
      <c r="W177" s="1" t="e">
        <f t="shared" si="63"/>
        <v>#N/A</v>
      </c>
      <c r="X177" s="1">
        <f t="shared" si="64"/>
        <v>7.4714153079826026E-2</v>
      </c>
      <c r="Y177" s="1" t="e">
        <f t="shared" si="65"/>
        <v>#N/A</v>
      </c>
      <c r="Z177" s="1" t="e">
        <f t="shared" si="66"/>
        <v>#N/A</v>
      </c>
      <c r="AA177" s="1">
        <v>0</v>
      </c>
      <c r="AC177" s="31" t="e">
        <f t="shared" si="67"/>
        <v>#N/A</v>
      </c>
      <c r="AD177" s="31">
        <f t="shared" si="68"/>
        <v>7.4714153079826026E-2</v>
      </c>
      <c r="AE177" s="31" t="e">
        <f t="shared" si="69"/>
        <v>#N/A</v>
      </c>
      <c r="AF177" s="31" t="e">
        <f t="shared" si="70"/>
        <v>#N/A</v>
      </c>
      <c r="AL177" s="17">
        <f t="shared" si="71"/>
        <v>42247</v>
      </c>
      <c r="AM177">
        <f t="shared" si="76"/>
        <v>3</v>
      </c>
      <c r="AN177">
        <f t="shared" si="74"/>
        <v>4</v>
      </c>
    </row>
    <row r="178" spans="1:40">
      <c r="A178" s="7">
        <v>42277</v>
      </c>
      <c r="B178" s="8">
        <v>100.6519</v>
      </c>
      <c r="C178" s="8">
        <f t="shared" si="52"/>
        <v>0.56360250988646388</v>
      </c>
      <c r="D178" s="9">
        <f t="shared" si="53"/>
        <v>0.17090062747161597</v>
      </c>
      <c r="E178" s="8">
        <v>50.1</v>
      </c>
      <c r="F178" s="10">
        <f t="shared" si="54"/>
        <v>1.461825606117344</v>
      </c>
      <c r="G178" s="8">
        <v>-0.26240000000000002</v>
      </c>
      <c r="H178" s="10">
        <f t="shared" si="55"/>
        <v>-0.25743849597490953</v>
      </c>
      <c r="I178" s="10">
        <f t="shared" si="56"/>
        <v>-5.743849597490952E-2</v>
      </c>
      <c r="J178" s="1">
        <v>-0.14000000000000001</v>
      </c>
      <c r="K178" s="10">
        <f t="shared" si="58"/>
        <v>-0.11103920500327018</v>
      </c>
      <c r="L178" s="8">
        <v>-0.432</v>
      </c>
      <c r="M178" s="11">
        <f t="shared" si="59"/>
        <v>-3.2395147377417333E-2</v>
      </c>
      <c r="N178" s="9">
        <f t="shared" si="57"/>
        <v>-1.6197573688708666E-2</v>
      </c>
      <c r="P178" s="29">
        <f t="shared" si="60"/>
        <v>2.9488560681645282E-2</v>
      </c>
      <c r="Q178" s="1" t="str">
        <f t="shared" si="72"/>
        <v>SD</v>
      </c>
      <c r="R178" t="str">
        <f t="shared" si="62"/>
        <v>E</v>
      </c>
      <c r="S178" s="18">
        <f t="shared" si="61"/>
        <v>2.9488560681645282E-2</v>
      </c>
      <c r="T178" t="str">
        <f t="shared" si="75"/>
        <v>SD</v>
      </c>
      <c r="V178" s="1">
        <v>33</v>
      </c>
      <c r="W178" s="1" t="e">
        <f t="shared" si="63"/>
        <v>#N/A</v>
      </c>
      <c r="X178" s="1">
        <f t="shared" si="64"/>
        <v>2.9488560681645282E-2</v>
      </c>
      <c r="Y178" s="1" t="e">
        <f t="shared" si="65"/>
        <v>#N/A</v>
      </c>
      <c r="Z178" s="1" t="e">
        <f t="shared" si="66"/>
        <v>#N/A</v>
      </c>
      <c r="AA178" s="1">
        <v>0</v>
      </c>
      <c r="AC178" s="31" t="e">
        <f t="shared" si="67"/>
        <v>#N/A</v>
      </c>
      <c r="AD178" s="31">
        <f t="shared" si="68"/>
        <v>2.9488560681645282E-2</v>
      </c>
      <c r="AE178" s="31" t="e">
        <f t="shared" si="69"/>
        <v>#N/A</v>
      </c>
      <c r="AF178" s="31" t="e">
        <f t="shared" si="70"/>
        <v>#N/A</v>
      </c>
      <c r="AL178" s="17">
        <f t="shared" si="71"/>
        <v>42277</v>
      </c>
      <c r="AM178">
        <f t="shared" si="76"/>
        <v>3</v>
      </c>
      <c r="AN178">
        <f t="shared" si="74"/>
        <v>4</v>
      </c>
    </row>
    <row r="179" spans="1:40">
      <c r="A179" s="7">
        <v>42307</v>
      </c>
      <c r="B179" s="8">
        <v>100.6769</v>
      </c>
      <c r="C179" s="8">
        <f t="shared" si="52"/>
        <v>0.59589229456882264</v>
      </c>
      <c r="D179" s="9">
        <f t="shared" si="53"/>
        <v>0.17897307364220566</v>
      </c>
      <c r="E179" s="8">
        <v>49.1</v>
      </c>
      <c r="F179" s="10">
        <f t="shared" si="54"/>
        <v>0.7887053083739014</v>
      </c>
      <c r="G179" s="8">
        <v>-0.51119999999999999</v>
      </c>
      <c r="H179" s="10">
        <f t="shared" si="55"/>
        <v>-0.32976052462206029</v>
      </c>
      <c r="I179" s="10">
        <f t="shared" si="56"/>
        <v>-0.12976052462206028</v>
      </c>
      <c r="J179" s="1">
        <v>-0.23</v>
      </c>
      <c r="K179" s="10">
        <f t="shared" si="58"/>
        <v>-0.14494303157733818</v>
      </c>
      <c r="L179" s="8">
        <v>6.3E-2</v>
      </c>
      <c r="M179" s="11">
        <f t="shared" si="59"/>
        <v>-5.2075303748533898E-3</v>
      </c>
      <c r="N179" s="9">
        <f t="shared" si="57"/>
        <v>-2.6037651874266949E-3</v>
      </c>
      <c r="P179" s="29">
        <f t="shared" si="60"/>
        <v>1.2845445887376331E-2</v>
      </c>
      <c r="Q179" s="1" t="str">
        <f t="shared" si="72"/>
        <v>SD</v>
      </c>
      <c r="R179" t="str">
        <f t="shared" si="62"/>
        <v>E</v>
      </c>
      <c r="S179" s="18">
        <f t="shared" si="61"/>
        <v>1.2845445887376331E-2</v>
      </c>
      <c r="T179" t="str">
        <f t="shared" si="75"/>
        <v>SD</v>
      </c>
      <c r="V179" s="1">
        <v>32.700000000000003</v>
      </c>
      <c r="W179" s="1" t="e">
        <f t="shared" si="63"/>
        <v>#N/A</v>
      </c>
      <c r="X179" s="1">
        <f t="shared" si="64"/>
        <v>1.2845445887376331E-2</v>
      </c>
      <c r="Y179" s="1">
        <f t="shared" si="65"/>
        <v>1.2845445887376331E-2</v>
      </c>
      <c r="Z179" s="1" t="e">
        <f t="shared" si="66"/>
        <v>#N/A</v>
      </c>
      <c r="AA179" s="1">
        <v>0</v>
      </c>
      <c r="AC179" s="31" t="e">
        <f t="shared" si="67"/>
        <v>#N/A</v>
      </c>
      <c r="AD179" s="31">
        <f t="shared" si="68"/>
        <v>1.2845445887376331E-2</v>
      </c>
      <c r="AE179" s="31">
        <f t="shared" si="69"/>
        <v>1.2845445887376331E-2</v>
      </c>
      <c r="AF179" s="31" t="e">
        <f t="shared" si="70"/>
        <v>#N/A</v>
      </c>
      <c r="AL179" s="17">
        <f t="shared" si="71"/>
        <v>42307</v>
      </c>
      <c r="AM179">
        <f t="shared" si="76"/>
        <v>3</v>
      </c>
      <c r="AN179">
        <f t="shared" si="74"/>
        <v>4</v>
      </c>
    </row>
    <row r="180" spans="1:40">
      <c r="A180" s="7">
        <v>42338</v>
      </c>
      <c r="B180" s="8">
        <v>100.67960000000001</v>
      </c>
      <c r="C180" s="8">
        <f t="shared" si="52"/>
        <v>0.6197489906167104</v>
      </c>
      <c r="D180" s="9">
        <f t="shared" si="53"/>
        <v>0.1849372476541776</v>
      </c>
      <c r="E180" s="8">
        <v>49.1</v>
      </c>
      <c r="F180" s="10">
        <f t="shared" si="54"/>
        <v>0.30742429548733985</v>
      </c>
      <c r="G180" s="8">
        <v>-0.79649999999999999</v>
      </c>
      <c r="H180" s="10">
        <f t="shared" si="55"/>
        <v>-0.46278127510477313</v>
      </c>
      <c r="I180" s="10">
        <f t="shared" si="56"/>
        <v>-0.26278127510477312</v>
      </c>
      <c r="J180" s="1">
        <v>-0.34</v>
      </c>
      <c r="K180" s="10">
        <f t="shared" si="58"/>
        <v>-0.2005342675777968</v>
      </c>
      <c r="L180" s="8">
        <v>-3.7999999999999999E-2</v>
      </c>
      <c r="M180" s="11">
        <f t="shared" si="59"/>
        <v>-1.4553384218020174E-2</v>
      </c>
      <c r="N180" s="9">
        <f t="shared" si="57"/>
        <v>-7.276692109010087E-3</v>
      </c>
      <c r="P180" s="29">
        <f t="shared" si="60"/>
        <v>-3.0361631190525845E-2</v>
      </c>
      <c r="Q180" s="1" t="str">
        <f t="shared" si="72"/>
        <v>C</v>
      </c>
      <c r="R180" t="str">
        <f t="shared" si="62"/>
        <v>C</v>
      </c>
      <c r="S180" s="18">
        <f t="shared" si="61"/>
        <v>-3.0361631190525845E-2</v>
      </c>
      <c r="T180" t="str">
        <f t="shared" si="75"/>
        <v>C</v>
      </c>
      <c r="V180" s="1">
        <v>23.1</v>
      </c>
      <c r="W180" s="1" t="e">
        <f t="shared" si="63"/>
        <v>#N/A</v>
      </c>
      <c r="X180" s="1" t="e">
        <f t="shared" si="64"/>
        <v>#N/A</v>
      </c>
      <c r="Y180" s="1">
        <f t="shared" si="65"/>
        <v>-3.0361631190525845E-2</v>
      </c>
      <c r="Z180" s="1" t="e">
        <f t="shared" si="66"/>
        <v>#N/A</v>
      </c>
      <c r="AA180" s="1">
        <v>0</v>
      </c>
      <c r="AC180" s="31" t="e">
        <f t="shared" si="67"/>
        <v>#N/A</v>
      </c>
      <c r="AD180" s="31" t="e">
        <f t="shared" si="68"/>
        <v>#N/A</v>
      </c>
      <c r="AE180" s="31">
        <f t="shared" si="69"/>
        <v>-3.0361631190525845E-2</v>
      </c>
      <c r="AF180" s="31" t="e">
        <f t="shared" si="70"/>
        <v>#N/A</v>
      </c>
      <c r="AL180" s="17">
        <f t="shared" si="71"/>
        <v>42338</v>
      </c>
      <c r="AM180">
        <f t="shared" si="76"/>
        <v>1</v>
      </c>
      <c r="AN180">
        <f t="shared" si="74"/>
        <v>1</v>
      </c>
    </row>
    <row r="181" spans="1:40">
      <c r="A181" s="7">
        <v>42369</v>
      </c>
      <c r="B181" s="8">
        <v>100.6486</v>
      </c>
      <c r="C181" s="8">
        <f t="shared" si="52"/>
        <v>0.62797152829094849</v>
      </c>
      <c r="D181" s="9">
        <f t="shared" si="53"/>
        <v>0.18699288207273712</v>
      </c>
      <c r="E181" s="8">
        <v>48.7</v>
      </c>
      <c r="F181" s="10">
        <f t="shared" si="54"/>
        <v>-0.15069162872655123</v>
      </c>
      <c r="G181" s="8">
        <v>-0.47810000000000002</v>
      </c>
      <c r="H181" s="10">
        <f t="shared" si="55"/>
        <v>-0.46714711169991285</v>
      </c>
      <c r="I181" s="10">
        <f t="shared" si="56"/>
        <v>-0.26714711169991284</v>
      </c>
      <c r="J181" s="1">
        <v>-0.3</v>
      </c>
      <c r="K181" s="10">
        <f t="shared" si="58"/>
        <v>-0.22888200131812469</v>
      </c>
      <c r="L181" s="8">
        <v>-0.20300000000000001</v>
      </c>
      <c r="M181" s="11">
        <f t="shared" si="59"/>
        <v>-6.8260669715884431E-2</v>
      </c>
      <c r="N181" s="9">
        <f t="shared" si="57"/>
        <v>-3.4130334857942216E-2</v>
      </c>
      <c r="P181" s="29">
        <f t="shared" si="60"/>
        <v>-3.8780066301225817E-2</v>
      </c>
      <c r="Q181" s="1" t="str">
        <f t="shared" si="72"/>
        <v>C</v>
      </c>
      <c r="R181" t="str">
        <f t="shared" si="62"/>
        <v>C</v>
      </c>
      <c r="S181" s="18">
        <f t="shared" si="61"/>
        <v>-3.0361631190525845E-2</v>
      </c>
      <c r="T181" t="str">
        <f t="shared" si="75"/>
        <v>C</v>
      </c>
      <c r="V181" s="1">
        <v>15.4</v>
      </c>
      <c r="W181" s="1" t="e">
        <f t="shared" si="63"/>
        <v>#N/A</v>
      </c>
      <c r="X181" s="1" t="e">
        <f t="shared" si="64"/>
        <v>#N/A</v>
      </c>
      <c r="Y181" s="1">
        <f t="shared" si="65"/>
        <v>-3.8780066301225817E-2</v>
      </c>
      <c r="Z181" s="1">
        <f t="shared" si="66"/>
        <v>-3.8780066301225817E-2</v>
      </c>
      <c r="AA181" s="1">
        <v>0</v>
      </c>
      <c r="AC181" s="31" t="e">
        <f t="shared" si="67"/>
        <v>#N/A</v>
      </c>
      <c r="AD181" s="31" t="e">
        <f t="shared" si="68"/>
        <v>#N/A</v>
      </c>
      <c r="AE181" s="31">
        <f t="shared" si="69"/>
        <v>-3.8780066301225817E-2</v>
      </c>
      <c r="AF181" s="31">
        <f t="shared" si="70"/>
        <v>-3.8780066301225817E-2</v>
      </c>
      <c r="AL181" s="17">
        <f t="shared" si="71"/>
        <v>42369</v>
      </c>
      <c r="AM181">
        <f t="shared" si="76"/>
        <v>1</v>
      </c>
      <c r="AN181">
        <f t="shared" si="74"/>
        <v>1</v>
      </c>
    </row>
    <row r="182" spans="1:40">
      <c r="A182" s="7">
        <v>42398</v>
      </c>
      <c r="B182" s="8">
        <v>100.58279999999999</v>
      </c>
      <c r="C182" s="8">
        <f t="shared" si="52"/>
        <v>0.61509764272802581</v>
      </c>
      <c r="D182" s="9">
        <f t="shared" si="53"/>
        <v>0.18377441068200645</v>
      </c>
      <c r="E182" s="8">
        <v>47.6</v>
      </c>
      <c r="F182" s="10">
        <f t="shared" si="54"/>
        <v>-0.7917445145394838</v>
      </c>
      <c r="G182" s="8">
        <v>-0.1193</v>
      </c>
      <c r="H182" s="10">
        <f t="shared" si="55"/>
        <v>-0.36801068486543764</v>
      </c>
      <c r="I182" s="10">
        <f t="shared" si="56"/>
        <v>-0.16801068486543763</v>
      </c>
      <c r="J182" s="1">
        <v>7.0000000000000007E-2</v>
      </c>
      <c r="K182" s="10">
        <f t="shared" si="58"/>
        <v>-0.14370063094245916</v>
      </c>
      <c r="L182" s="8">
        <v>-0.35799999999999998</v>
      </c>
      <c r="M182" s="11">
        <f t="shared" si="59"/>
        <v>-0.15083637884685738</v>
      </c>
      <c r="N182" s="9">
        <f t="shared" si="57"/>
        <v>-7.5418189423428691E-2</v>
      </c>
      <c r="P182" s="29">
        <f t="shared" si="60"/>
        <v>-1.88119974053764E-2</v>
      </c>
      <c r="Q182" s="1" t="str">
        <f t="shared" si="72"/>
        <v>R</v>
      </c>
      <c r="R182" t="str">
        <f t="shared" si="62"/>
        <v>C</v>
      </c>
      <c r="S182" s="18">
        <f t="shared" si="61"/>
        <v>-3.0361631190525845E-2</v>
      </c>
      <c r="T182" t="str">
        <f t="shared" si="75"/>
        <v>R</v>
      </c>
      <c r="V182" s="1">
        <v>-25.1</v>
      </c>
      <c r="W182" s="1" t="e">
        <f t="shared" si="63"/>
        <v>#N/A</v>
      </c>
      <c r="X182" s="1" t="e">
        <f t="shared" si="64"/>
        <v>#N/A</v>
      </c>
      <c r="Y182" s="1">
        <f t="shared" si="65"/>
        <v>-1.88119974053764E-2</v>
      </c>
      <c r="Z182" s="1">
        <f t="shared" si="66"/>
        <v>-1.88119974053764E-2</v>
      </c>
      <c r="AA182" s="1">
        <v>0</v>
      </c>
      <c r="AC182" s="31" t="e">
        <f t="shared" si="67"/>
        <v>#N/A</v>
      </c>
      <c r="AD182" s="31" t="e">
        <f t="shared" si="68"/>
        <v>#N/A</v>
      </c>
      <c r="AE182" s="31">
        <f t="shared" si="69"/>
        <v>-1.88119974053764E-2</v>
      </c>
      <c r="AF182" s="31">
        <f t="shared" si="70"/>
        <v>-1.88119974053764E-2</v>
      </c>
      <c r="AL182" s="17">
        <f t="shared" si="71"/>
        <v>42398</v>
      </c>
      <c r="AM182">
        <f t="shared" si="76"/>
        <v>2</v>
      </c>
      <c r="AN182">
        <f t="shared" si="74"/>
        <v>1</v>
      </c>
    </row>
    <row r="183" spans="1:40">
      <c r="A183" s="7">
        <v>42429</v>
      </c>
      <c r="B183" s="8">
        <v>100.4884</v>
      </c>
      <c r="C183" s="8">
        <f t="shared" si="52"/>
        <v>0.57898881455053808</v>
      </c>
      <c r="D183" s="9">
        <f t="shared" si="53"/>
        <v>0.17474720363763452</v>
      </c>
      <c r="E183" s="8">
        <v>49.2</v>
      </c>
      <c r="F183" s="10">
        <f t="shared" si="54"/>
        <v>-0.79409732789573007</v>
      </c>
      <c r="G183" s="8">
        <v>-0.37390000000000001</v>
      </c>
      <c r="H183" s="10">
        <f t="shared" si="55"/>
        <v>-0.36968913967878791</v>
      </c>
      <c r="I183" s="10">
        <f t="shared" si="56"/>
        <v>-0.1696891396787879</v>
      </c>
      <c r="J183" s="1">
        <v>-0.2</v>
      </c>
      <c r="K183" s="10">
        <f t="shared" si="58"/>
        <v>-0.15974595112385831</v>
      </c>
      <c r="L183" s="8">
        <v>-0.66600000000000004</v>
      </c>
      <c r="M183" s="11">
        <f t="shared" si="59"/>
        <v>-0.29765801087550303</v>
      </c>
      <c r="N183" s="9">
        <f t="shared" si="57"/>
        <v>-0.14882900543775152</v>
      </c>
      <c r="P183" s="29">
        <f t="shared" si="60"/>
        <v>-4.4914578144844321E-2</v>
      </c>
      <c r="Q183" s="1" t="str">
        <f t="shared" si="72"/>
        <v>C</v>
      </c>
      <c r="R183" t="str">
        <f t="shared" si="62"/>
        <v>C</v>
      </c>
      <c r="S183" s="18">
        <f t="shared" si="61"/>
        <v>-4.4914578144844321E-2</v>
      </c>
      <c r="T183" t="str">
        <f t="shared" si="75"/>
        <v>C</v>
      </c>
      <c r="V183" s="1">
        <v>-71.099999999999994</v>
      </c>
      <c r="W183" s="1" t="e">
        <f t="shared" si="63"/>
        <v>#N/A</v>
      </c>
      <c r="X183" s="1" t="e">
        <f t="shared" si="64"/>
        <v>#N/A</v>
      </c>
      <c r="Y183" s="1">
        <f t="shared" si="65"/>
        <v>-4.4914578144844321E-2</v>
      </c>
      <c r="Z183" s="1" t="e">
        <f t="shared" si="66"/>
        <v>#N/A</v>
      </c>
      <c r="AA183" s="1">
        <v>0</v>
      </c>
      <c r="AC183" s="31" t="e">
        <f t="shared" si="67"/>
        <v>#N/A</v>
      </c>
      <c r="AD183" s="31" t="e">
        <f t="shared" si="68"/>
        <v>#N/A</v>
      </c>
      <c r="AE183" s="31">
        <f t="shared" si="69"/>
        <v>-4.4914578144844321E-2</v>
      </c>
      <c r="AF183" s="31" t="e">
        <f t="shared" si="70"/>
        <v>#N/A</v>
      </c>
      <c r="AL183" s="17">
        <f t="shared" si="71"/>
        <v>42429</v>
      </c>
      <c r="AM183">
        <f t="shared" si="76"/>
        <v>1</v>
      </c>
      <c r="AN183">
        <f t="shared" si="74"/>
        <v>1</v>
      </c>
    </row>
    <row r="184" spans="1:40">
      <c r="A184" s="7">
        <v>42460</v>
      </c>
      <c r="B184" s="8">
        <v>100.3892</v>
      </c>
      <c r="C184" s="8">
        <f t="shared" si="52"/>
        <v>0.52489900240363541</v>
      </c>
      <c r="D184" s="9">
        <f t="shared" si="53"/>
        <v>0.16122475060090885</v>
      </c>
      <c r="E184" s="8">
        <v>51</v>
      </c>
      <c r="F184" s="10">
        <f t="shared" si="54"/>
        <v>-0.2827795894454469</v>
      </c>
      <c r="G184" s="8">
        <v>-0.53290000000000004</v>
      </c>
      <c r="H184" s="10">
        <f t="shared" si="55"/>
        <v>-0.41620423487033337</v>
      </c>
      <c r="I184" s="10">
        <f t="shared" si="56"/>
        <v>-0.21620423487033336</v>
      </c>
      <c r="J184" s="1">
        <v>-0.35</v>
      </c>
      <c r="K184" s="10">
        <f t="shared" si="58"/>
        <v>-0.21396835505355871</v>
      </c>
      <c r="L184" s="8">
        <v>-0.312</v>
      </c>
      <c r="M184" s="11">
        <f t="shared" si="59"/>
        <v>-0.30174547777598465</v>
      </c>
      <c r="N184" s="9">
        <f t="shared" si="57"/>
        <v>-0.15087273888799232</v>
      </c>
      <c r="P184" s="29">
        <f t="shared" si="60"/>
        <v>-6.4109923373563721E-2</v>
      </c>
      <c r="Q184" s="1" t="str">
        <f t="shared" si="72"/>
        <v>C</v>
      </c>
      <c r="R184" t="str">
        <f t="shared" si="62"/>
        <v>C</v>
      </c>
      <c r="S184" s="18">
        <f t="shared" si="61"/>
        <v>-4.4914578144844321E-2</v>
      </c>
      <c r="T184" t="str">
        <f t="shared" si="75"/>
        <v>C</v>
      </c>
      <c r="V184" s="1">
        <v>-22.3</v>
      </c>
      <c r="W184" s="1" t="e">
        <f t="shared" si="63"/>
        <v>#N/A</v>
      </c>
      <c r="X184" s="1" t="e">
        <f t="shared" si="64"/>
        <v>#N/A</v>
      </c>
      <c r="Y184" s="1">
        <f t="shared" si="65"/>
        <v>-6.4109923373563721E-2</v>
      </c>
      <c r="Z184" s="1" t="e">
        <f t="shared" si="66"/>
        <v>#N/A</v>
      </c>
      <c r="AA184" s="1">
        <v>0</v>
      </c>
      <c r="AC184" s="31" t="e">
        <f t="shared" si="67"/>
        <v>#N/A</v>
      </c>
      <c r="AD184" s="31" t="e">
        <f t="shared" si="68"/>
        <v>#N/A</v>
      </c>
      <c r="AE184" s="31">
        <f t="shared" si="69"/>
        <v>-6.4109923373563721E-2</v>
      </c>
      <c r="AF184" s="31" t="e">
        <f t="shared" si="70"/>
        <v>#N/A</v>
      </c>
      <c r="AL184" s="17">
        <f t="shared" si="71"/>
        <v>42460</v>
      </c>
      <c r="AM184">
        <f t="shared" si="76"/>
        <v>1</v>
      </c>
      <c r="AN184">
        <f t="shared" si="74"/>
        <v>1</v>
      </c>
    </row>
    <row r="185" spans="1:40">
      <c r="A185" s="7">
        <v>42489</v>
      </c>
      <c r="B185" s="8">
        <v>100.29900000000001</v>
      </c>
      <c r="C185" s="8">
        <f t="shared" si="52"/>
        <v>0.46051778671860116</v>
      </c>
      <c r="D185" s="9">
        <f t="shared" si="53"/>
        <v>0.14512944667965028</v>
      </c>
      <c r="E185" s="8">
        <v>51.3</v>
      </c>
      <c r="F185" s="10">
        <f t="shared" si="54"/>
        <v>0.16831259354650469</v>
      </c>
      <c r="G185" s="8">
        <v>-0.4521</v>
      </c>
      <c r="H185" s="10">
        <f t="shared" si="55"/>
        <v>-0.42643452793228831</v>
      </c>
      <c r="I185" s="10">
        <f t="shared" si="56"/>
        <v>-0.2264345279322883</v>
      </c>
      <c r="J185" s="1">
        <v>-0.14000000000000001</v>
      </c>
      <c r="K185" s="10">
        <f t="shared" si="58"/>
        <v>-0.19288737386329446</v>
      </c>
      <c r="L185" s="8">
        <v>-0.23400000000000001</v>
      </c>
      <c r="M185" s="11">
        <f t="shared" si="59"/>
        <v>-0.28243801660982903</v>
      </c>
      <c r="N185" s="9">
        <f t="shared" si="57"/>
        <v>-0.14121900830491452</v>
      </c>
      <c r="P185" s="29">
        <f t="shared" si="60"/>
        <v>-6.8809595212097993E-2</v>
      </c>
      <c r="Q185" s="1" t="str">
        <f t="shared" si="72"/>
        <v>C</v>
      </c>
      <c r="R185" t="str">
        <f t="shared" si="62"/>
        <v>C</v>
      </c>
      <c r="S185" s="18">
        <f t="shared" si="61"/>
        <v>-4.4914578144844321E-2</v>
      </c>
      <c r="T185" t="str">
        <f t="shared" si="75"/>
        <v>C</v>
      </c>
      <c r="V185" s="1">
        <v>-13</v>
      </c>
      <c r="W185" s="1" t="e">
        <f t="shared" si="63"/>
        <v>#N/A</v>
      </c>
      <c r="X185" s="1" t="e">
        <f t="shared" si="64"/>
        <v>#N/A</v>
      </c>
      <c r="Y185" s="1">
        <f t="shared" si="65"/>
        <v>-6.8809595212097993E-2</v>
      </c>
      <c r="Z185" s="1">
        <f t="shared" si="66"/>
        <v>-6.8809595212097993E-2</v>
      </c>
      <c r="AA185" s="1">
        <v>0</v>
      </c>
      <c r="AC185" s="31" t="e">
        <f t="shared" si="67"/>
        <v>#N/A</v>
      </c>
      <c r="AD185" s="31" t="e">
        <f t="shared" si="68"/>
        <v>#N/A</v>
      </c>
      <c r="AE185" s="31">
        <f t="shared" si="69"/>
        <v>-6.8809595212097993E-2</v>
      </c>
      <c r="AF185" s="31">
        <f t="shared" si="70"/>
        <v>-6.8809595212097993E-2</v>
      </c>
      <c r="AL185" s="17">
        <f t="shared" si="71"/>
        <v>42489</v>
      </c>
      <c r="AM185">
        <f t="shared" si="76"/>
        <v>1</v>
      </c>
      <c r="AN185">
        <f t="shared" si="74"/>
        <v>1</v>
      </c>
    </row>
    <row r="186" spans="1:40">
      <c r="A186" s="7">
        <v>42521</v>
      </c>
      <c r="B186" s="8">
        <v>100.2218</v>
      </c>
      <c r="C186" s="8">
        <f t="shared" si="52"/>
        <v>0.39248321750380033</v>
      </c>
      <c r="D186" s="9">
        <f t="shared" si="53"/>
        <v>0.12812080437595008</v>
      </c>
      <c r="E186" s="8">
        <v>51.4</v>
      </c>
      <c r="F186" s="10">
        <f t="shared" si="54"/>
        <v>0.5193435043857505</v>
      </c>
      <c r="G186" s="8">
        <v>-0.45979999999999999</v>
      </c>
      <c r="H186" s="10">
        <f t="shared" si="55"/>
        <v>-0.43594368747158613</v>
      </c>
      <c r="I186" s="10">
        <f t="shared" si="56"/>
        <v>-0.23594368747158612</v>
      </c>
      <c r="J186" s="1">
        <v>-0.31</v>
      </c>
      <c r="K186" s="10">
        <f t="shared" si="58"/>
        <v>-0.22626447231225555</v>
      </c>
      <c r="L186" s="8">
        <v>-8.6999999999999994E-2</v>
      </c>
      <c r="M186" s="11">
        <f t="shared" si="59"/>
        <v>-0.22673818187602776</v>
      </c>
      <c r="N186" s="9">
        <f t="shared" si="57"/>
        <v>-0.11336909093801388</v>
      </c>
      <c r="P186" s="29">
        <f t="shared" si="60"/>
        <v>-6.8061110576649916E-2</v>
      </c>
      <c r="Q186" s="1" t="str">
        <f t="shared" si="72"/>
        <v>R</v>
      </c>
      <c r="R186" t="str">
        <f t="shared" si="62"/>
        <v>C</v>
      </c>
      <c r="S186" s="18">
        <f t="shared" si="61"/>
        <v>-4.4914578144844321E-2</v>
      </c>
      <c r="T186" t="str">
        <f t="shared" si="75"/>
        <v>R</v>
      </c>
      <c r="V186" s="1">
        <v>4.8</v>
      </c>
      <c r="W186" s="1" t="e">
        <f t="shared" ref="W186:W249" si="77">IF(OR($Q186=W$5,$Q187=W$5),$P186,NA())</f>
        <v>#N/A</v>
      </c>
      <c r="X186" s="1" t="e">
        <f t="shared" ref="X186:X249" si="78">IF(OR($Q186=X$5,$Q187=X$5),$P186,NA())</f>
        <v>#N/A</v>
      </c>
      <c r="Y186" s="1" t="e">
        <f t="shared" ref="Y186:Y249" si="79">IF(OR($Q186=Y$5,$Q187=Y$5),$P186,NA())</f>
        <v>#N/A</v>
      </c>
      <c r="Z186" s="1">
        <f t="shared" ref="Z186:Z249" si="80">IF(OR($Q186=Z$5,$Q187=Z$5),$P186,NA())</f>
        <v>-6.8061110576649916E-2</v>
      </c>
      <c r="AA186" s="1">
        <v>0</v>
      </c>
      <c r="AC186" s="31" t="e">
        <f t="shared" si="67"/>
        <v>#N/A</v>
      </c>
      <c r="AD186" s="31" t="e">
        <f t="shared" si="68"/>
        <v>#N/A</v>
      </c>
      <c r="AE186" s="31" t="e">
        <f t="shared" si="69"/>
        <v>#N/A</v>
      </c>
      <c r="AF186" s="31">
        <f t="shared" si="70"/>
        <v>-6.8061110576649916E-2</v>
      </c>
      <c r="AL186" s="17">
        <f t="shared" si="71"/>
        <v>42521</v>
      </c>
      <c r="AM186">
        <f t="shared" si="76"/>
        <v>2</v>
      </c>
      <c r="AN186">
        <f t="shared" si="74"/>
        <v>1</v>
      </c>
    </row>
    <row r="187" spans="1:40">
      <c r="A187" s="7">
        <v>42551</v>
      </c>
      <c r="B187" s="8">
        <v>100.16900000000001</v>
      </c>
      <c r="C187" s="8">
        <f t="shared" si="52"/>
        <v>0.32879050051522041</v>
      </c>
      <c r="D187" s="9">
        <f t="shared" si="53"/>
        <v>0.1121976251288051</v>
      </c>
      <c r="E187" s="8">
        <v>52.2</v>
      </c>
      <c r="F187" s="10">
        <f t="shared" si="54"/>
        <v>0.99833060563581255</v>
      </c>
      <c r="G187" s="8">
        <v>0.13730000000000001</v>
      </c>
      <c r="H187" s="10">
        <f t="shared" si="55"/>
        <v>-0.27256923654218407</v>
      </c>
      <c r="I187" s="10">
        <f t="shared" si="56"/>
        <v>-7.2569236542184057E-2</v>
      </c>
      <c r="J187" s="1">
        <v>0.11</v>
      </c>
      <c r="K187" s="10">
        <f t="shared" si="58"/>
        <v>-0.13042909770326272</v>
      </c>
      <c r="L187" s="8">
        <v>-0.70799999999999996</v>
      </c>
      <c r="M187" s="11">
        <f t="shared" si="59"/>
        <v>-0.36389780004135985</v>
      </c>
      <c r="N187" s="9">
        <f t="shared" si="57"/>
        <v>-0.18194890002067993</v>
      </c>
      <c r="P187" s="29">
        <f t="shared" si="60"/>
        <v>-4.2132444062304632E-2</v>
      </c>
      <c r="Q187" s="1" t="str">
        <f t="shared" si="72"/>
        <v>R</v>
      </c>
      <c r="R187" t="str">
        <f t="shared" si="62"/>
        <v>C</v>
      </c>
      <c r="S187" s="18">
        <f t="shared" si="61"/>
        <v>-4.2132444062304632E-2</v>
      </c>
      <c r="T187" t="str">
        <f t="shared" si="75"/>
        <v>R</v>
      </c>
      <c r="V187" s="1">
        <v>5</v>
      </c>
      <c r="W187" s="1" t="e">
        <f t="shared" si="77"/>
        <v>#N/A</v>
      </c>
      <c r="X187" s="1" t="e">
        <f t="shared" si="78"/>
        <v>#N/A</v>
      </c>
      <c r="Y187" s="1" t="e">
        <f t="shared" si="79"/>
        <v>#N/A</v>
      </c>
      <c r="Z187" s="1">
        <f t="shared" si="80"/>
        <v>-4.2132444062304632E-2</v>
      </c>
      <c r="AA187" s="1">
        <v>0</v>
      </c>
      <c r="AC187" s="31" t="e">
        <f t="shared" si="67"/>
        <v>#N/A</v>
      </c>
      <c r="AD187" s="31" t="e">
        <f t="shared" si="68"/>
        <v>#N/A</v>
      </c>
      <c r="AE187" s="31" t="e">
        <f t="shared" si="69"/>
        <v>#N/A</v>
      </c>
      <c r="AF187" s="31">
        <f t="shared" si="70"/>
        <v>-4.2132444062304632E-2</v>
      </c>
      <c r="AL187" s="17">
        <f t="shared" si="71"/>
        <v>42551</v>
      </c>
      <c r="AM187">
        <f t="shared" si="76"/>
        <v>2</v>
      </c>
      <c r="AN187">
        <f t="shared" si="74"/>
        <v>1</v>
      </c>
    </row>
    <row r="188" spans="1:40">
      <c r="A188" s="7">
        <v>42580</v>
      </c>
      <c r="B188" s="8">
        <v>100.1469</v>
      </c>
      <c r="C188" s="8">
        <f t="shared" si="52"/>
        <v>0.27695170786838325</v>
      </c>
      <c r="D188" s="9">
        <f t="shared" si="53"/>
        <v>9.923792696709581E-2</v>
      </c>
      <c r="E188" s="8">
        <v>52.7</v>
      </c>
      <c r="F188" s="10">
        <f t="shared" si="54"/>
        <v>1.4833063830296069</v>
      </c>
      <c r="G188" s="8">
        <v>2.87E-2</v>
      </c>
      <c r="H188" s="10">
        <f t="shared" si="55"/>
        <v>-0.1867075041276616</v>
      </c>
      <c r="I188" s="10">
        <f t="shared" si="56"/>
        <v>1.3292495872338411E-2</v>
      </c>
      <c r="J188" s="1">
        <v>0.04</v>
      </c>
      <c r="K188" s="10">
        <f t="shared" si="58"/>
        <v>-8.1856804857832838E-2</v>
      </c>
      <c r="L188" s="8">
        <v>-0.124</v>
      </c>
      <c r="M188" s="11">
        <f t="shared" si="59"/>
        <v>-0.29552692702957228</v>
      </c>
      <c r="N188" s="9">
        <f t="shared" si="57"/>
        <v>-0.14776346351478614</v>
      </c>
      <c r="P188" s="29">
        <f t="shared" si="60"/>
        <v>-7.4244475045475433E-3</v>
      </c>
      <c r="Q188" s="1" t="str">
        <f t="shared" si="72"/>
        <v>R</v>
      </c>
      <c r="R188" t="str">
        <f t="shared" si="62"/>
        <v>C</v>
      </c>
      <c r="S188" s="18">
        <f t="shared" si="61"/>
        <v>-7.4244475045475433E-3</v>
      </c>
      <c r="T188" t="str">
        <f t="shared" si="75"/>
        <v>R</v>
      </c>
      <c r="V188" s="1">
        <v>28.3</v>
      </c>
      <c r="W188" s="1">
        <f t="shared" si="77"/>
        <v>-7.4244475045475433E-3</v>
      </c>
      <c r="X188" s="1" t="e">
        <f t="shared" si="78"/>
        <v>#N/A</v>
      </c>
      <c r="Y188" s="1" t="e">
        <f t="shared" si="79"/>
        <v>#N/A</v>
      </c>
      <c r="Z188" s="1">
        <f t="shared" si="80"/>
        <v>-7.4244475045475433E-3</v>
      </c>
      <c r="AA188" s="1">
        <v>0</v>
      </c>
      <c r="AC188" s="31">
        <f t="shared" si="67"/>
        <v>-7.4244475045475433E-3</v>
      </c>
      <c r="AD188" s="31" t="e">
        <f t="shared" si="68"/>
        <v>#N/A</v>
      </c>
      <c r="AE188" s="31" t="e">
        <f t="shared" si="69"/>
        <v>#N/A</v>
      </c>
      <c r="AF188" s="31">
        <f t="shared" si="70"/>
        <v>-7.4244475045475433E-3</v>
      </c>
      <c r="AL188" s="17">
        <f t="shared" si="71"/>
        <v>42580</v>
      </c>
      <c r="AM188">
        <f t="shared" si="76"/>
        <v>2</v>
      </c>
      <c r="AN188">
        <f t="shared" si="74"/>
        <v>1</v>
      </c>
    </row>
    <row r="189" spans="1:40">
      <c r="A189" s="7">
        <v>42613</v>
      </c>
      <c r="B189" s="8">
        <v>100.1615</v>
      </c>
      <c r="C189" s="8">
        <f t="shared" si="52"/>
        <v>0.2440479711258951</v>
      </c>
      <c r="D189" s="9">
        <f t="shared" si="53"/>
        <v>9.1011992781473774E-2</v>
      </c>
      <c r="E189" s="8">
        <v>49.8</v>
      </c>
      <c r="F189" s="10">
        <f t="shared" si="54"/>
        <v>1.003564063866168</v>
      </c>
      <c r="G189" s="8">
        <v>-0.1227</v>
      </c>
      <c r="H189" s="10">
        <f t="shared" si="55"/>
        <v>-0.16846536545127805</v>
      </c>
      <c r="I189" s="10">
        <f t="shared" si="56"/>
        <v>3.1534634548721963E-2</v>
      </c>
      <c r="J189" s="1">
        <v>-0.2</v>
      </c>
      <c r="K189" s="10">
        <f t="shared" si="58"/>
        <v>-0.11552761547335048</v>
      </c>
      <c r="L189" s="8">
        <v>-7.6999999999999999E-2</v>
      </c>
      <c r="M189" s="11">
        <f t="shared" si="59"/>
        <v>-0.23324675282614415</v>
      </c>
      <c r="N189" s="9">
        <f t="shared" si="57"/>
        <v>-0.11662337641307208</v>
      </c>
      <c r="P189" s="29">
        <f t="shared" si="60"/>
        <v>4.7163950342485701E-3</v>
      </c>
      <c r="Q189" s="1" t="str">
        <f t="shared" si="72"/>
        <v>E</v>
      </c>
      <c r="R189" t="str">
        <f t="shared" si="62"/>
        <v>E</v>
      </c>
      <c r="S189" s="18">
        <f t="shared" si="61"/>
        <v>4.7163950342485701E-3</v>
      </c>
      <c r="T189" t="str">
        <f t="shared" si="75"/>
        <v>E</v>
      </c>
      <c r="V189" s="1">
        <v>-3.1</v>
      </c>
      <c r="W189" s="1">
        <f t="shared" si="77"/>
        <v>4.7163950342485701E-3</v>
      </c>
      <c r="X189" s="1" t="e">
        <f t="shared" si="78"/>
        <v>#N/A</v>
      </c>
      <c r="Y189" s="1" t="e">
        <f t="shared" si="79"/>
        <v>#N/A</v>
      </c>
      <c r="Z189" s="1" t="e">
        <f t="shared" si="80"/>
        <v>#N/A</v>
      </c>
      <c r="AA189" s="1">
        <v>0</v>
      </c>
      <c r="AC189" s="31">
        <f t="shared" si="67"/>
        <v>4.7163950342485701E-3</v>
      </c>
      <c r="AD189" s="31" t="e">
        <f t="shared" si="68"/>
        <v>#N/A</v>
      </c>
      <c r="AE189" s="31" t="e">
        <f t="shared" si="69"/>
        <v>#N/A</v>
      </c>
      <c r="AF189" s="31" t="e">
        <f t="shared" si="70"/>
        <v>#N/A</v>
      </c>
      <c r="AL189" s="17">
        <f t="shared" si="71"/>
        <v>42613</v>
      </c>
      <c r="AM189">
        <f t="shared" si="76"/>
        <v>4</v>
      </c>
      <c r="AN189">
        <f t="shared" si="74"/>
        <v>4</v>
      </c>
    </row>
    <row r="190" spans="1:40">
      <c r="A190" s="7">
        <v>42643</v>
      </c>
      <c r="B190" s="8">
        <v>100.2166</v>
      </c>
      <c r="C190" s="8">
        <f t="shared" si="52"/>
        <v>0.23622529935501491</v>
      </c>
      <c r="D190" s="9">
        <f t="shared" si="53"/>
        <v>8.9056324838753725E-2</v>
      </c>
      <c r="E190" s="8">
        <v>51.1</v>
      </c>
      <c r="F190" s="10">
        <f t="shared" si="54"/>
        <v>1.0310483056643105</v>
      </c>
      <c r="G190" s="8">
        <v>-0.1318</v>
      </c>
      <c r="H190" s="10">
        <f t="shared" si="55"/>
        <v>-0.1580157362976638</v>
      </c>
      <c r="I190" s="10">
        <f t="shared" si="56"/>
        <v>4.1984263702336211E-2</v>
      </c>
      <c r="J190" s="1">
        <v>-0.14000000000000001</v>
      </c>
      <c r="K190" s="10">
        <f t="shared" si="58"/>
        <v>-0.12250224506344559</v>
      </c>
      <c r="L190" s="8">
        <v>-0.111</v>
      </c>
      <c r="M190" s="11">
        <f t="shared" si="59"/>
        <v>-0.19840642827069305</v>
      </c>
      <c r="N190" s="9">
        <f t="shared" si="57"/>
        <v>-9.9203214135346524E-2</v>
      </c>
      <c r="P190" s="29">
        <f t="shared" si="60"/>
        <v>1.1264347449487816E-2</v>
      </c>
      <c r="Q190" s="1" t="str">
        <f t="shared" si="72"/>
        <v>E</v>
      </c>
      <c r="R190" t="str">
        <f t="shared" si="62"/>
        <v>E</v>
      </c>
      <c r="S190" s="18">
        <f t="shared" si="61"/>
        <v>4.7163950342485701E-3</v>
      </c>
      <c r="T190" t="str">
        <f t="shared" si="75"/>
        <v>E</v>
      </c>
      <c r="V190" s="1">
        <v>2.6</v>
      </c>
      <c r="W190" s="1">
        <f t="shared" si="77"/>
        <v>1.1264347449487816E-2</v>
      </c>
      <c r="X190" s="1" t="e">
        <f t="shared" si="78"/>
        <v>#N/A</v>
      </c>
      <c r="Y190" s="1">
        <f t="shared" si="79"/>
        <v>1.1264347449487816E-2</v>
      </c>
      <c r="Z190" s="1" t="e">
        <f t="shared" si="80"/>
        <v>#N/A</v>
      </c>
      <c r="AA190" s="1">
        <v>0</v>
      </c>
      <c r="AC190" s="31">
        <f t="shared" si="67"/>
        <v>1.1264347449487816E-2</v>
      </c>
      <c r="AD190" s="31" t="e">
        <f t="shared" si="68"/>
        <v>#N/A</v>
      </c>
      <c r="AE190" s="31">
        <f t="shared" si="69"/>
        <v>1.1264347449487816E-2</v>
      </c>
      <c r="AF190" s="31" t="e">
        <f t="shared" si="70"/>
        <v>#N/A</v>
      </c>
      <c r="AL190" s="17">
        <f t="shared" si="71"/>
        <v>42643</v>
      </c>
      <c r="AM190">
        <f t="shared" si="76"/>
        <v>4</v>
      </c>
      <c r="AN190">
        <f t="shared" si="74"/>
        <v>4</v>
      </c>
    </row>
    <row r="191" spans="1:40">
      <c r="A191" s="7">
        <v>42674</v>
      </c>
      <c r="B191" s="8">
        <v>100.3031</v>
      </c>
      <c r="C191" s="8">
        <f t="shared" si="52"/>
        <v>0.25528458903883583</v>
      </c>
      <c r="D191" s="9">
        <f t="shared" si="53"/>
        <v>9.3821147259708956E-2</v>
      </c>
      <c r="E191" s="8">
        <v>51.8</v>
      </c>
      <c r="F191" s="10">
        <f t="shared" si="54"/>
        <v>1.2501995385499813</v>
      </c>
      <c r="G191" s="8">
        <v>-0.3337</v>
      </c>
      <c r="H191" s="10">
        <f t="shared" si="55"/>
        <v>-0.20808575145282962</v>
      </c>
      <c r="I191" s="10">
        <f t="shared" si="56"/>
        <v>-8.0857514528296093E-3</v>
      </c>
      <c r="J191" s="1">
        <v>-0.03</v>
      </c>
      <c r="K191" s="10">
        <f t="shared" si="58"/>
        <v>-9.6139105220363591E-2</v>
      </c>
      <c r="L191" s="8">
        <v>-7.9000000000000001E-2</v>
      </c>
      <c r="M191" s="11">
        <f t="shared" si="59"/>
        <v>-0.16437559621354553</v>
      </c>
      <c r="N191" s="9">
        <f t="shared" si="57"/>
        <v>-8.2187798106772764E-2</v>
      </c>
      <c r="P191" s="29">
        <f t="shared" si="60"/>
        <v>-4.0574157361621582E-4</v>
      </c>
      <c r="Q191" s="1" t="str">
        <f t="shared" si="72"/>
        <v>C</v>
      </c>
      <c r="R191" t="str">
        <f t="shared" si="62"/>
        <v>C</v>
      </c>
      <c r="S191" s="18">
        <f t="shared" si="61"/>
        <v>-4.0574157361621582E-4</v>
      </c>
      <c r="T191" t="str">
        <f t="shared" si="75"/>
        <v>C</v>
      </c>
      <c r="V191" s="1">
        <v>40.799999999999997</v>
      </c>
      <c r="W191" s="1">
        <f t="shared" si="77"/>
        <v>-4.0574157361621582E-4</v>
      </c>
      <c r="X191" s="1" t="e">
        <f t="shared" si="78"/>
        <v>#N/A</v>
      </c>
      <c r="Y191" s="1">
        <f t="shared" si="79"/>
        <v>-4.0574157361621582E-4</v>
      </c>
      <c r="Z191" s="1" t="e">
        <f t="shared" si="80"/>
        <v>#N/A</v>
      </c>
      <c r="AA191" s="1">
        <v>0</v>
      </c>
      <c r="AC191" s="31">
        <f t="shared" si="67"/>
        <v>-4.0574157361621582E-4</v>
      </c>
      <c r="AD191" s="31" t="e">
        <f t="shared" si="68"/>
        <v>#N/A</v>
      </c>
      <c r="AE191" s="31">
        <f t="shared" si="69"/>
        <v>-4.0574157361621582E-4</v>
      </c>
      <c r="AF191" s="31" t="e">
        <f t="shared" si="70"/>
        <v>#N/A</v>
      </c>
      <c r="AL191" s="17">
        <f t="shared" si="71"/>
        <v>42674</v>
      </c>
      <c r="AM191">
        <f t="shared" si="76"/>
        <v>1</v>
      </c>
      <c r="AN191">
        <f t="shared" si="74"/>
        <v>1</v>
      </c>
    </row>
    <row r="192" spans="1:40">
      <c r="A192" s="7">
        <v>42704</v>
      </c>
      <c r="B192" s="8">
        <v>100.40549999999999</v>
      </c>
      <c r="C192" s="8">
        <f t="shared" si="52"/>
        <v>0.29809598116276459</v>
      </c>
      <c r="D192" s="9">
        <f t="shared" si="53"/>
        <v>0.10452399529069115</v>
      </c>
      <c r="E192" s="8">
        <v>53.2</v>
      </c>
      <c r="F192" s="10">
        <f t="shared" si="54"/>
        <v>1.8058926700632374</v>
      </c>
      <c r="G192" s="8">
        <v>-0.2281</v>
      </c>
      <c r="H192" s="10">
        <f t="shared" si="55"/>
        <v>-0.2137898122887732</v>
      </c>
      <c r="I192" s="10">
        <f t="shared" si="56"/>
        <v>-1.3789812288773184E-2</v>
      </c>
      <c r="J192" s="1">
        <v>-0.21</v>
      </c>
      <c r="K192" s="10">
        <f t="shared" si="58"/>
        <v>-0.12858946023255996</v>
      </c>
      <c r="L192" s="8">
        <v>-0.11</v>
      </c>
      <c r="M192" s="11">
        <f t="shared" si="59"/>
        <v>-0.14887855129268507</v>
      </c>
      <c r="N192" s="9">
        <f t="shared" si="57"/>
        <v>-7.4439275646342534E-2</v>
      </c>
      <c r="P192" s="29">
        <f t="shared" si="60"/>
        <v>1.8640197748644126E-3</v>
      </c>
      <c r="Q192" s="1" t="str">
        <f t="shared" si="72"/>
        <v>E</v>
      </c>
      <c r="R192" t="str">
        <f t="shared" si="62"/>
        <v>E</v>
      </c>
      <c r="S192" s="18">
        <f t="shared" si="61"/>
        <v>1.8640197748644126E-3</v>
      </c>
      <c r="T192" t="str">
        <f t="shared" si="75"/>
        <v>E</v>
      </c>
      <c r="V192" s="1">
        <v>56.9</v>
      </c>
      <c r="W192" s="1">
        <f t="shared" si="77"/>
        <v>1.8640197748644126E-3</v>
      </c>
      <c r="X192" s="1" t="e">
        <f t="shared" si="78"/>
        <v>#N/A</v>
      </c>
      <c r="Y192" s="1" t="e">
        <f t="shared" si="79"/>
        <v>#N/A</v>
      </c>
      <c r="Z192" s="1" t="e">
        <f t="shared" si="80"/>
        <v>#N/A</v>
      </c>
      <c r="AA192" s="1">
        <v>0</v>
      </c>
      <c r="AC192" s="31">
        <f t="shared" si="67"/>
        <v>1.8640197748644126E-3</v>
      </c>
      <c r="AD192" s="31" t="e">
        <f t="shared" si="68"/>
        <v>#N/A</v>
      </c>
      <c r="AE192" s="31" t="e">
        <f t="shared" si="69"/>
        <v>#N/A</v>
      </c>
      <c r="AF192" s="31" t="e">
        <f t="shared" si="70"/>
        <v>#N/A</v>
      </c>
      <c r="AL192" s="17">
        <f t="shared" si="71"/>
        <v>42704</v>
      </c>
      <c r="AM192">
        <f t="shared" si="76"/>
        <v>4</v>
      </c>
      <c r="AN192">
        <f t="shared" si="74"/>
        <v>4</v>
      </c>
    </row>
    <row r="193" spans="1:40">
      <c r="A193" s="7">
        <v>42734</v>
      </c>
      <c r="B193" s="8">
        <v>100.5188</v>
      </c>
      <c r="C193" s="8">
        <f t="shared" si="52"/>
        <v>0.36099662653137632</v>
      </c>
      <c r="D193" s="9">
        <f t="shared" si="53"/>
        <v>0.12024915663284408</v>
      </c>
      <c r="E193" s="8">
        <v>54.4</v>
      </c>
      <c r="F193" s="10">
        <f t="shared" si="54"/>
        <v>2.5452132590952146</v>
      </c>
      <c r="G193" s="8">
        <v>0.36030000000000001</v>
      </c>
      <c r="H193" s="10">
        <f t="shared" si="55"/>
        <v>-5.0174215786472826E-2</v>
      </c>
      <c r="I193" s="10">
        <f t="shared" si="56"/>
        <v>0.14982578421352719</v>
      </c>
      <c r="J193" s="1">
        <v>0.35</v>
      </c>
      <c r="K193" s="10">
        <f t="shared" si="58"/>
        <v>7.8085359337196347E-3</v>
      </c>
      <c r="L193" s="8">
        <v>-0.13600000000000001</v>
      </c>
      <c r="M193" s="11">
        <f t="shared" si="59"/>
        <v>-0.14520816417426982</v>
      </c>
      <c r="N193" s="9">
        <f t="shared" si="57"/>
        <v>-7.2604082087134911E-2</v>
      </c>
      <c r="P193" s="29">
        <f t="shared" si="60"/>
        <v>6.0581899139027805E-2</v>
      </c>
      <c r="Q193" s="1" t="str">
        <f t="shared" si="72"/>
        <v>E</v>
      </c>
      <c r="R193" t="str">
        <f t="shared" si="62"/>
        <v>E</v>
      </c>
      <c r="S193" s="18">
        <f t="shared" si="61"/>
        <v>1.8640197748644126E-3</v>
      </c>
      <c r="T193" t="str">
        <f t="shared" si="75"/>
        <v>E</v>
      </c>
      <c r="V193" s="1">
        <v>53.1</v>
      </c>
      <c r="W193" s="1">
        <f t="shared" si="77"/>
        <v>6.0581899139027805E-2</v>
      </c>
      <c r="X193" s="1" t="e">
        <f t="shared" si="78"/>
        <v>#N/A</v>
      </c>
      <c r="Y193" s="1" t="e">
        <f t="shared" si="79"/>
        <v>#N/A</v>
      </c>
      <c r="Z193" s="1" t="e">
        <f t="shared" si="80"/>
        <v>#N/A</v>
      </c>
      <c r="AA193" s="1">
        <v>0</v>
      </c>
      <c r="AC193" s="31">
        <f t="shared" si="67"/>
        <v>6.0581899139027805E-2</v>
      </c>
      <c r="AD193" s="31" t="e">
        <f t="shared" si="68"/>
        <v>#N/A</v>
      </c>
      <c r="AE193" s="31" t="e">
        <f t="shared" si="69"/>
        <v>#N/A</v>
      </c>
      <c r="AF193" s="31" t="e">
        <f t="shared" si="70"/>
        <v>#N/A</v>
      </c>
      <c r="AL193" s="17">
        <f t="shared" si="71"/>
        <v>42734</v>
      </c>
      <c r="AM193">
        <f t="shared" si="76"/>
        <v>4</v>
      </c>
      <c r="AN193">
        <f t="shared" si="74"/>
        <v>4</v>
      </c>
    </row>
    <row r="194" spans="1:40">
      <c r="A194" s="7">
        <v>42766</v>
      </c>
      <c r="B194" s="8">
        <v>100.6353</v>
      </c>
      <c r="C194" s="8">
        <f t="shared" si="52"/>
        <v>0.43917308796993437</v>
      </c>
      <c r="D194" s="9">
        <f t="shared" si="53"/>
        <v>0.13979327199248359</v>
      </c>
      <c r="E194" s="8">
        <v>55.7</v>
      </c>
      <c r="F194" s="10">
        <f t="shared" si="54"/>
        <v>3.4443274802530794</v>
      </c>
      <c r="G194" s="8">
        <v>-0.17199999999999999</v>
      </c>
      <c r="H194" s="10">
        <f t="shared" si="55"/>
        <v>-8.489456428732807E-2</v>
      </c>
      <c r="I194" s="10">
        <f t="shared" si="56"/>
        <v>0.11510543571267194</v>
      </c>
      <c r="J194" s="1">
        <v>-0.22</v>
      </c>
      <c r="K194" s="10">
        <f t="shared" si="58"/>
        <v>-5.7116896807390467E-2</v>
      </c>
      <c r="L194" s="8">
        <v>0.23200000000000001</v>
      </c>
      <c r="M194" s="11">
        <f t="shared" si="59"/>
        <v>-3.7703837384602909E-2</v>
      </c>
      <c r="N194" s="9">
        <f t="shared" si="57"/>
        <v>-1.8851918692301455E-2</v>
      </c>
      <c r="P194" s="29">
        <f t="shared" si="60"/>
        <v>7.2167557884404862E-2</v>
      </c>
      <c r="Q194" s="1" t="str">
        <f t="shared" si="72"/>
        <v>E</v>
      </c>
      <c r="R194" t="str">
        <f t="shared" si="62"/>
        <v>E</v>
      </c>
      <c r="S194" s="18">
        <f t="shared" si="61"/>
        <v>1.8640197748644126E-3</v>
      </c>
      <c r="T194" t="str">
        <f t="shared" si="75"/>
        <v>E</v>
      </c>
      <c r="V194" s="1">
        <v>55.3</v>
      </c>
      <c r="W194" s="1">
        <f t="shared" si="77"/>
        <v>7.2167557884404862E-2</v>
      </c>
      <c r="X194" s="1">
        <f t="shared" si="78"/>
        <v>7.2167557884404862E-2</v>
      </c>
      <c r="Y194" s="1" t="e">
        <f t="shared" si="79"/>
        <v>#N/A</v>
      </c>
      <c r="Z194" s="1" t="e">
        <f t="shared" si="80"/>
        <v>#N/A</v>
      </c>
      <c r="AA194" s="1">
        <v>0</v>
      </c>
      <c r="AC194" s="31">
        <f t="shared" si="67"/>
        <v>7.2167557884404862E-2</v>
      </c>
      <c r="AD194" s="31" t="e">
        <f t="shared" si="68"/>
        <v>#N/A</v>
      </c>
      <c r="AE194" s="31" t="e">
        <f t="shared" si="69"/>
        <v>#N/A</v>
      </c>
      <c r="AF194" s="31" t="e">
        <f t="shared" si="70"/>
        <v>#N/A</v>
      </c>
      <c r="AL194" s="17">
        <f t="shared" si="71"/>
        <v>42766</v>
      </c>
      <c r="AM194">
        <f t="shared" si="76"/>
        <v>4</v>
      </c>
      <c r="AN194">
        <f t="shared" si="74"/>
        <v>4</v>
      </c>
    </row>
    <row r="195" spans="1:40">
      <c r="A195" s="7">
        <v>42794</v>
      </c>
      <c r="B195" s="8">
        <v>100.7543</v>
      </c>
      <c r="C195" s="8">
        <f t="shared" si="52"/>
        <v>0.52898425789850334</v>
      </c>
      <c r="D195" s="9">
        <f t="shared" si="53"/>
        <v>0.16224606447462583</v>
      </c>
      <c r="E195" s="8">
        <v>57.7</v>
      </c>
      <c r="F195" s="10">
        <f t="shared" si="54"/>
        <v>4.6571941483809525</v>
      </c>
      <c r="G195" s="8">
        <v>-0.35420000000000001</v>
      </c>
      <c r="H195" s="10">
        <f t="shared" si="55"/>
        <v>-0.16164661346543957</v>
      </c>
      <c r="I195" s="10">
        <f t="shared" si="56"/>
        <v>3.8353386534560441E-2</v>
      </c>
      <c r="J195" s="1">
        <v>-0.12</v>
      </c>
      <c r="K195" s="10">
        <f t="shared" si="58"/>
        <v>-7.5038581217284184E-2</v>
      </c>
      <c r="L195" s="8">
        <v>-0.04</v>
      </c>
      <c r="M195" s="11">
        <f t="shared" si="59"/>
        <v>-3.8358243729991082E-2</v>
      </c>
      <c r="N195" s="9">
        <f t="shared" si="57"/>
        <v>-1.9179121864995541E-2</v>
      </c>
      <c r="P195" s="29">
        <f t="shared" si="60"/>
        <v>5.2989178887349497E-2</v>
      </c>
      <c r="Q195" s="1" t="str">
        <f t="shared" si="72"/>
        <v>SD</v>
      </c>
      <c r="R195" t="str">
        <f t="shared" si="62"/>
        <v>E</v>
      </c>
      <c r="S195" s="18">
        <f t="shared" si="61"/>
        <v>1.8640197748644126E-3</v>
      </c>
      <c r="T195" t="str">
        <f t="shared" si="75"/>
        <v>E</v>
      </c>
      <c r="V195" s="1">
        <v>71.099999999999994</v>
      </c>
      <c r="W195" s="1">
        <f t="shared" si="77"/>
        <v>5.2989178887349497E-2</v>
      </c>
      <c r="X195" s="1">
        <f t="shared" si="78"/>
        <v>5.2989178887349497E-2</v>
      </c>
      <c r="Y195" s="1" t="e">
        <f t="shared" si="79"/>
        <v>#N/A</v>
      </c>
      <c r="Z195" s="1" t="e">
        <f t="shared" si="80"/>
        <v>#N/A</v>
      </c>
      <c r="AA195" s="1">
        <v>0</v>
      </c>
      <c r="AC195" s="31">
        <f t="shared" si="67"/>
        <v>5.2989178887349497E-2</v>
      </c>
      <c r="AD195" s="31" t="e">
        <f t="shared" si="68"/>
        <v>#N/A</v>
      </c>
      <c r="AE195" s="31" t="e">
        <f t="shared" si="69"/>
        <v>#N/A</v>
      </c>
      <c r="AF195" s="31" t="e">
        <f t="shared" si="70"/>
        <v>#N/A</v>
      </c>
      <c r="AL195" s="17">
        <f t="shared" si="71"/>
        <v>42794</v>
      </c>
      <c r="AM195">
        <f t="shared" si="76"/>
        <v>3</v>
      </c>
      <c r="AN195">
        <f t="shared" si="74"/>
        <v>4</v>
      </c>
    </row>
    <row r="196" spans="1:40">
      <c r="A196" s="7">
        <v>42825</v>
      </c>
      <c r="B196" s="8">
        <v>100.8779</v>
      </c>
      <c r="C196" s="8">
        <f t="shared" si="52"/>
        <v>0.62842524439742897</v>
      </c>
      <c r="D196" s="9">
        <f t="shared" si="53"/>
        <v>0.18710631109935724</v>
      </c>
      <c r="E196" s="8">
        <v>56.5</v>
      </c>
      <c r="F196" s="10">
        <f t="shared" si="54"/>
        <v>5.1823938160923815</v>
      </c>
      <c r="G196" s="8">
        <v>6.3399999999999998E-2</v>
      </c>
      <c r="H196" s="10">
        <f t="shared" si="55"/>
        <v>-9.7508328627789284E-2</v>
      </c>
      <c r="I196" s="10">
        <f t="shared" si="56"/>
        <v>0.10249167137221073</v>
      </c>
      <c r="J196" s="1">
        <v>7.0000000000000007E-2</v>
      </c>
      <c r="K196" s="10">
        <f t="shared" si="58"/>
        <v>-3.3702585570358184E-2</v>
      </c>
      <c r="L196" s="8">
        <v>0.153</v>
      </c>
      <c r="M196" s="11">
        <f t="shared" si="59"/>
        <v>1.6178855733056382E-2</v>
      </c>
      <c r="N196" s="9">
        <f t="shared" si="57"/>
        <v>1.6178855733056382E-2</v>
      </c>
      <c r="P196" s="29">
        <f t="shared" si="60"/>
        <v>9.3638863859964325E-2</v>
      </c>
      <c r="Q196" s="1" t="str">
        <f t="shared" si="72"/>
        <v>E</v>
      </c>
      <c r="R196" t="str">
        <f t="shared" si="62"/>
        <v>E</v>
      </c>
      <c r="S196" s="18">
        <f t="shared" si="61"/>
        <v>9.3638863859964325E-2</v>
      </c>
      <c r="T196" t="str">
        <f t="shared" si="75"/>
        <v>E</v>
      </c>
      <c r="V196" s="1">
        <v>54.1</v>
      </c>
      <c r="W196" s="1">
        <f t="shared" si="77"/>
        <v>9.3638863859964325E-2</v>
      </c>
      <c r="X196" s="1" t="e">
        <f t="shared" si="78"/>
        <v>#N/A</v>
      </c>
      <c r="Y196" s="1" t="e">
        <f t="shared" si="79"/>
        <v>#N/A</v>
      </c>
      <c r="Z196" s="1" t="e">
        <f t="shared" si="80"/>
        <v>#N/A</v>
      </c>
      <c r="AA196" s="1">
        <v>0</v>
      </c>
      <c r="AC196" s="31">
        <f t="shared" si="67"/>
        <v>9.3638863859964325E-2</v>
      </c>
      <c r="AD196" s="31" t="e">
        <f t="shared" si="68"/>
        <v>#N/A</v>
      </c>
      <c r="AE196" s="31" t="e">
        <f t="shared" si="69"/>
        <v>#N/A</v>
      </c>
      <c r="AF196" s="31" t="e">
        <f t="shared" si="70"/>
        <v>#N/A</v>
      </c>
      <c r="AL196" s="17">
        <f t="shared" si="71"/>
        <v>42825</v>
      </c>
      <c r="AM196">
        <f t="shared" si="76"/>
        <v>4</v>
      </c>
      <c r="AN196">
        <f t="shared" si="74"/>
        <v>4</v>
      </c>
    </row>
    <row r="197" spans="1:40">
      <c r="A197" s="7">
        <v>42853</v>
      </c>
      <c r="B197" s="8">
        <v>101.0094</v>
      </c>
      <c r="C197" s="8">
        <f t="shared" ref="C197:C257" si="81">$BG$1*C196+(1-$BG$1)*(B197-100)</f>
        <v>0.73700304974416153</v>
      </c>
      <c r="D197" s="9">
        <f t="shared" ref="D197:D260" si="82">C197/4+0.03</f>
        <v>0.21425076243604038</v>
      </c>
      <c r="E197" s="8">
        <v>55.8</v>
      </c>
      <c r="F197" s="10">
        <f t="shared" ref="F197:F257" si="83">$BG$1*F196+(1-$BG$1)*(E197-50)</f>
        <v>5.3584115785060522</v>
      </c>
      <c r="G197" s="8">
        <v>0.20069999999999999</v>
      </c>
      <c r="H197" s="10">
        <f t="shared" ref="H197:H257" si="84">$BG$1*H196 + (1-$BG$1)*G197</f>
        <v>-1.2518954968869331E-2</v>
      </c>
      <c r="I197" s="10">
        <f t="shared" ref="I197:I260" si="85">MAX(IF(H197&lt;-1,-1*SQRT(-H197),IF(H197&gt;1,H197,H197)),-2)+0.2</f>
        <v>0.18748104503113067</v>
      </c>
      <c r="J197" s="1">
        <v>0.32</v>
      </c>
      <c r="K197" s="10">
        <f t="shared" si="58"/>
        <v>6.7102651317193923E-2</v>
      </c>
      <c r="L197" s="8">
        <v>5.0999999999999997E-2</v>
      </c>
      <c r="M197" s="11">
        <f t="shared" si="59"/>
        <v>2.6102881849135312E-2</v>
      </c>
      <c r="N197" s="9">
        <f t="shared" ref="N197:N260" si="86">IF(M197&lt;-1,-(-M197^(0.5)/2),IF(M197&lt;0,0.5*M197,M197))*1+0*IF(M197&gt;0,M197*6,M197)/6</f>
        <v>2.6102881849135312E-2</v>
      </c>
      <c r="P197" s="29">
        <f t="shared" si="60"/>
        <v>0.1335634126598744</v>
      </c>
      <c r="Q197" s="1" t="str">
        <f t="shared" si="72"/>
        <v>E</v>
      </c>
      <c r="R197" t="str">
        <f t="shared" si="62"/>
        <v>E</v>
      </c>
      <c r="S197" s="18">
        <f t="shared" si="61"/>
        <v>9.3638863859964325E-2</v>
      </c>
      <c r="T197" t="str">
        <f t="shared" si="75"/>
        <v>E</v>
      </c>
      <c r="V197" s="1">
        <v>70.400000000000006</v>
      </c>
      <c r="W197" s="1">
        <f t="shared" si="77"/>
        <v>0.1335634126598744</v>
      </c>
      <c r="X197" s="1" t="e">
        <f t="shared" si="78"/>
        <v>#N/A</v>
      </c>
      <c r="Y197" s="1" t="e">
        <f t="shared" si="79"/>
        <v>#N/A</v>
      </c>
      <c r="Z197" s="1" t="e">
        <f t="shared" si="80"/>
        <v>#N/A</v>
      </c>
      <c r="AA197" s="1">
        <v>0</v>
      </c>
      <c r="AC197" s="31">
        <f t="shared" si="67"/>
        <v>0.1335634126598744</v>
      </c>
      <c r="AD197" s="31" t="e">
        <f t="shared" si="68"/>
        <v>#N/A</v>
      </c>
      <c r="AE197" s="31" t="e">
        <f t="shared" si="69"/>
        <v>#N/A</v>
      </c>
      <c r="AF197" s="31" t="e">
        <f t="shared" si="70"/>
        <v>#N/A</v>
      </c>
      <c r="AL197" s="17">
        <f t="shared" si="71"/>
        <v>42853</v>
      </c>
      <c r="AM197">
        <f t="shared" si="76"/>
        <v>4</v>
      </c>
      <c r="AN197">
        <f t="shared" si="74"/>
        <v>4</v>
      </c>
    </row>
    <row r="198" spans="1:40">
      <c r="A198" s="7">
        <v>42886</v>
      </c>
      <c r="B198" s="8">
        <v>101.1454</v>
      </c>
      <c r="C198" s="8">
        <f t="shared" si="81"/>
        <v>0.85339618056707423</v>
      </c>
      <c r="D198" s="9">
        <f t="shared" si="82"/>
        <v>0.24334904514176856</v>
      </c>
      <c r="E198" s="8">
        <v>56.4</v>
      </c>
      <c r="F198" s="10">
        <f t="shared" si="83"/>
        <v>5.6552642786318268</v>
      </c>
      <c r="G198" s="8">
        <v>2.4E-2</v>
      </c>
      <c r="H198" s="10">
        <f t="shared" si="84"/>
        <v>-2.1110528027415698E-3</v>
      </c>
      <c r="I198" s="10">
        <f t="shared" si="85"/>
        <v>0.19788894719725844</v>
      </c>
      <c r="J198" s="1">
        <v>0</v>
      </c>
      <c r="K198" s="10">
        <f t="shared" ref="K198:K259" si="87">$BG$1*K197+(1-$BG$1) * MAX(AVERAGE($J$4:$J$256)-3*STDEVA($J$4:$J$256),MIN(J198,AVERAGE($J$4:$J$256)+3*STDEVA($J$4:$J$256)))</f>
        <v>4.797839569179365E-2</v>
      </c>
      <c r="L198" s="8">
        <v>8.7999999999999995E-2</v>
      </c>
      <c r="M198" s="11">
        <f t="shared" ref="M198:M257" si="88">$BG$1*M197+(1-$BG$1)*L198</f>
        <v>4.3743560522131748E-2</v>
      </c>
      <c r="N198" s="9">
        <f t="shared" si="86"/>
        <v>4.3743560522131748E-2</v>
      </c>
      <c r="P198" s="29">
        <f t="shared" ref="P198:P261" si="89">AVERAGE(D197,I198,N198)</f>
        <v>0.15196109005181019</v>
      </c>
      <c r="Q198" s="1" t="str">
        <f t="shared" si="72"/>
        <v>E</v>
      </c>
      <c r="R198" t="str">
        <f t="shared" si="62"/>
        <v>E</v>
      </c>
      <c r="S198" s="18">
        <f t="shared" ref="S198:S253" si="90">IF(R198&lt;&gt;Q197,P198,S197)</f>
        <v>9.3638863859964325E-2</v>
      </c>
      <c r="T198" t="str">
        <f t="shared" si="75"/>
        <v>E</v>
      </c>
      <c r="V198" s="1">
        <v>40.6</v>
      </c>
      <c r="W198" s="1">
        <f t="shared" si="77"/>
        <v>0.15196109005181019</v>
      </c>
      <c r="X198" s="1" t="e">
        <f t="shared" si="78"/>
        <v>#N/A</v>
      </c>
      <c r="Y198" s="1" t="e">
        <f t="shared" si="79"/>
        <v>#N/A</v>
      </c>
      <c r="Z198" s="1" t="e">
        <f t="shared" si="80"/>
        <v>#N/A</v>
      </c>
      <c r="AA198" s="1">
        <v>0</v>
      </c>
      <c r="AC198" s="31">
        <f t="shared" si="67"/>
        <v>0.15196109005181019</v>
      </c>
      <c r="AD198" s="31" t="e">
        <f t="shared" si="68"/>
        <v>#N/A</v>
      </c>
      <c r="AE198" s="31" t="e">
        <f t="shared" si="69"/>
        <v>#N/A</v>
      </c>
      <c r="AF198" s="31" t="e">
        <f t="shared" si="70"/>
        <v>#N/A</v>
      </c>
      <c r="AL198" s="17">
        <f t="shared" si="71"/>
        <v>42886</v>
      </c>
      <c r="AM198">
        <f t="shared" si="76"/>
        <v>4</v>
      </c>
      <c r="AN198">
        <f t="shared" si="74"/>
        <v>4</v>
      </c>
    </row>
    <row r="199" spans="1:40">
      <c r="A199" s="7">
        <v>42916</v>
      </c>
      <c r="B199" s="8">
        <v>101.28490000000001</v>
      </c>
      <c r="C199" s="8">
        <f t="shared" si="81"/>
        <v>0.97637476910546017</v>
      </c>
      <c r="D199" s="9">
        <f t="shared" si="82"/>
        <v>0.27409369227636504</v>
      </c>
      <c r="E199" s="8">
        <v>56.2</v>
      </c>
      <c r="F199" s="10">
        <f t="shared" si="83"/>
        <v>5.8105139592217574</v>
      </c>
      <c r="G199" s="8">
        <v>-7.7200000000000005E-2</v>
      </c>
      <c r="H199" s="10">
        <f t="shared" si="84"/>
        <v>-2.3511402753960228E-2</v>
      </c>
      <c r="I199" s="10">
        <f t="shared" si="85"/>
        <v>0.17648859724603977</v>
      </c>
      <c r="J199" s="1">
        <v>0.12</v>
      </c>
      <c r="K199" s="10">
        <f t="shared" si="87"/>
        <v>6.850455291963245E-2</v>
      </c>
      <c r="L199" s="8">
        <v>6.3E-2</v>
      </c>
      <c r="M199" s="11">
        <f t="shared" si="88"/>
        <v>4.9231645773324201E-2</v>
      </c>
      <c r="N199" s="9">
        <f t="shared" si="86"/>
        <v>4.9231645773324201E-2</v>
      </c>
      <c r="P199" s="29">
        <f t="shared" si="89"/>
        <v>0.15635642938704417</v>
      </c>
      <c r="Q199" s="1" t="str">
        <f t="shared" si="72"/>
        <v>E</v>
      </c>
      <c r="R199" t="str">
        <f t="shared" ref="R199:R262" si="91">IF(OR(ABS($P199-$P198)&gt;$R$1,P199*P198&lt;0),Q199,R198)</f>
        <v>E</v>
      </c>
      <c r="S199" s="18">
        <f t="shared" si="90"/>
        <v>9.3638863859964325E-2</v>
      </c>
      <c r="T199" t="str">
        <f t="shared" si="75"/>
        <v>E</v>
      </c>
      <c r="V199" s="1">
        <v>30.3</v>
      </c>
      <c r="W199" s="1">
        <f t="shared" si="77"/>
        <v>0.15635642938704417</v>
      </c>
      <c r="X199" s="1" t="e">
        <f t="shared" si="78"/>
        <v>#N/A</v>
      </c>
      <c r="Y199" s="1" t="e">
        <f t="shared" si="79"/>
        <v>#N/A</v>
      </c>
      <c r="Z199" s="1" t="e">
        <f t="shared" si="80"/>
        <v>#N/A</v>
      </c>
      <c r="AA199" s="1">
        <v>0</v>
      </c>
      <c r="AC199" s="31">
        <f t="shared" ref="AC199:AC262" si="92">IF(OR($T199=AC$5,$T200=AC$5),$P199,NA())</f>
        <v>0.15635642938704417</v>
      </c>
      <c r="AD199" s="31" t="e">
        <f t="shared" ref="AD199:AD262" si="93">IF(OR($T199=AD$5,$T200=AD$5),$P199,NA())</f>
        <v>#N/A</v>
      </c>
      <c r="AE199" s="31" t="e">
        <f t="shared" ref="AE199:AE262" si="94">IF(OR($T199=AE$5,$T200=AE$5),$P199,NA())</f>
        <v>#N/A</v>
      </c>
      <c r="AF199" s="31" t="e">
        <f t="shared" ref="AF199:AF262" si="95">IF(OR($T199=AF$5,$T200=AF$5),$P199,NA())</f>
        <v>#N/A</v>
      </c>
      <c r="AL199" s="17">
        <f t="shared" ref="AL199:AL262" si="96">A199</f>
        <v>42916</v>
      </c>
      <c r="AM199">
        <f t="shared" si="76"/>
        <v>4</v>
      </c>
      <c r="AN199">
        <f t="shared" si="74"/>
        <v>4</v>
      </c>
    </row>
    <row r="200" spans="1:40">
      <c r="A200" s="7">
        <v>42947</v>
      </c>
      <c r="B200" s="8">
        <v>101.4247</v>
      </c>
      <c r="C200" s="8">
        <f t="shared" si="81"/>
        <v>1.1041474599104044</v>
      </c>
      <c r="D200" s="9">
        <f t="shared" si="82"/>
        <v>0.30603686497760108</v>
      </c>
      <c r="E200" s="8">
        <v>56.5</v>
      </c>
      <c r="F200" s="10">
        <f t="shared" si="83"/>
        <v>6.0070174808435564</v>
      </c>
      <c r="G200" s="8">
        <v>-0.21779999999999999</v>
      </c>
      <c r="H200" s="10">
        <f t="shared" si="84"/>
        <v>-7.8883652969081564E-2</v>
      </c>
      <c r="I200" s="10">
        <f t="shared" si="85"/>
        <v>0.12111634703091845</v>
      </c>
      <c r="J200" s="1">
        <v>-0.1</v>
      </c>
      <c r="K200" s="10">
        <f t="shared" si="87"/>
        <v>2.0480755337537196E-2</v>
      </c>
      <c r="L200" s="8">
        <v>0.42699999999999999</v>
      </c>
      <c r="M200" s="11">
        <f t="shared" si="88"/>
        <v>0.15689562672792681</v>
      </c>
      <c r="N200" s="9">
        <f t="shared" si="86"/>
        <v>0.15689562672792681</v>
      </c>
      <c r="P200" s="29">
        <f t="shared" si="89"/>
        <v>0.18403522201173675</v>
      </c>
      <c r="Q200" s="1" t="str">
        <f t="shared" ref="Q200:Q259" si="97">IF(P200-P199&gt;0,IF(P200&gt;=0,"E","R"),IF(P200&gt;=0,"SD","C"))</f>
        <v>E</v>
      </c>
      <c r="R200" t="str">
        <f t="shared" si="91"/>
        <v>E</v>
      </c>
      <c r="S200" s="18">
        <f t="shared" si="90"/>
        <v>9.3638863859964325E-2</v>
      </c>
      <c r="T200" t="str">
        <f t="shared" si="75"/>
        <v>E</v>
      </c>
      <c r="V200" s="1">
        <v>19.100000000000001</v>
      </c>
      <c r="W200" s="1">
        <f t="shared" si="77"/>
        <v>0.18403522201173675</v>
      </c>
      <c r="X200" s="1">
        <f t="shared" si="78"/>
        <v>0.18403522201173675</v>
      </c>
      <c r="Y200" s="1" t="e">
        <f t="shared" si="79"/>
        <v>#N/A</v>
      </c>
      <c r="Z200" s="1" t="e">
        <f t="shared" si="80"/>
        <v>#N/A</v>
      </c>
      <c r="AA200" s="1">
        <v>0</v>
      </c>
      <c r="AC200" s="31">
        <f t="shared" si="92"/>
        <v>0.18403522201173675</v>
      </c>
      <c r="AD200" s="31" t="e">
        <f t="shared" si="93"/>
        <v>#N/A</v>
      </c>
      <c r="AE200" s="31" t="e">
        <f t="shared" si="94"/>
        <v>#N/A</v>
      </c>
      <c r="AF200" s="31" t="e">
        <f t="shared" si="95"/>
        <v>#N/A</v>
      </c>
      <c r="AL200" s="17">
        <f t="shared" si="96"/>
        <v>42947</v>
      </c>
      <c r="AM200">
        <f t="shared" ref="AM200:AM231" si="98">IF($Q200="E",4,IF($Q200="R",2,IF($Q200="SD",3,1)))</f>
        <v>4</v>
      </c>
      <c r="AN200">
        <f t="shared" ref="AN200:AN263" si="99">IF($R200="E",4,IF($R200="R",2,IF($R200="SD",3,1)))</f>
        <v>4</v>
      </c>
    </row>
    <row r="201" spans="1:40">
      <c r="A201" s="7">
        <v>42978</v>
      </c>
      <c r="B201" s="8">
        <v>101.55850000000001</v>
      </c>
      <c r="C201" s="8">
        <f t="shared" si="81"/>
        <v>1.2336379338359418</v>
      </c>
      <c r="D201" s="9">
        <f t="shared" si="82"/>
        <v>0.33840948345898547</v>
      </c>
      <c r="E201" s="8">
        <v>58.4</v>
      </c>
      <c r="F201" s="10">
        <f t="shared" si="83"/>
        <v>6.6890174988031426</v>
      </c>
      <c r="G201" s="8">
        <v>-0.32469999999999999</v>
      </c>
      <c r="H201" s="10">
        <f t="shared" si="84"/>
        <v>-0.14894131187289333</v>
      </c>
      <c r="I201" s="10">
        <f t="shared" si="85"/>
        <v>5.1058688127106677E-2</v>
      </c>
      <c r="J201" s="1">
        <v>-0.04</v>
      </c>
      <c r="K201" s="10">
        <f t="shared" si="87"/>
        <v>3.2437400663390924E-3</v>
      </c>
      <c r="L201" s="8">
        <v>0.24299999999999999</v>
      </c>
      <c r="M201" s="11">
        <f t="shared" si="88"/>
        <v>0.18143537311046767</v>
      </c>
      <c r="N201" s="9">
        <f t="shared" si="86"/>
        <v>0.18143537311046767</v>
      </c>
      <c r="P201" s="29">
        <f t="shared" si="89"/>
        <v>0.1795103087383918</v>
      </c>
      <c r="Q201" s="1" t="str">
        <f t="shared" si="97"/>
        <v>SD</v>
      </c>
      <c r="R201" t="str">
        <f t="shared" si="91"/>
        <v>E</v>
      </c>
      <c r="S201" s="18">
        <f t="shared" si="90"/>
        <v>9.3638863859964325E-2</v>
      </c>
      <c r="T201" t="str">
        <f t="shared" si="75"/>
        <v>E</v>
      </c>
      <c r="V201" s="1">
        <v>28</v>
      </c>
      <c r="W201" s="1">
        <f t="shared" si="77"/>
        <v>0.1795103087383918</v>
      </c>
      <c r="X201" s="1">
        <f t="shared" si="78"/>
        <v>0.1795103087383918</v>
      </c>
      <c r="Y201" s="1" t="e">
        <f t="shared" si="79"/>
        <v>#N/A</v>
      </c>
      <c r="Z201" s="1" t="e">
        <f t="shared" si="80"/>
        <v>#N/A</v>
      </c>
      <c r="AA201" s="1">
        <v>0</v>
      </c>
      <c r="AC201" s="31">
        <f t="shared" si="92"/>
        <v>0.1795103087383918</v>
      </c>
      <c r="AD201" s="31" t="e">
        <f t="shared" si="93"/>
        <v>#N/A</v>
      </c>
      <c r="AE201" s="31" t="e">
        <f t="shared" si="94"/>
        <v>#N/A</v>
      </c>
      <c r="AF201" s="31" t="e">
        <f t="shared" si="95"/>
        <v>#N/A</v>
      </c>
      <c r="AL201" s="17">
        <f t="shared" si="96"/>
        <v>42978</v>
      </c>
      <c r="AM201">
        <f t="shared" si="98"/>
        <v>3</v>
      </c>
      <c r="AN201">
        <f t="shared" si="99"/>
        <v>4</v>
      </c>
    </row>
    <row r="202" spans="1:40">
      <c r="A202" s="7">
        <v>43007</v>
      </c>
      <c r="B202" s="8">
        <v>101.67999999999999</v>
      </c>
      <c r="C202" s="8">
        <f t="shared" si="81"/>
        <v>1.3608511226926963</v>
      </c>
      <c r="D202" s="9">
        <f t="shared" si="82"/>
        <v>0.37021278067317409</v>
      </c>
      <c r="E202" s="8">
        <v>60</v>
      </c>
      <c r="F202" s="10">
        <f t="shared" si="83"/>
        <v>7.6326475116442474</v>
      </c>
      <c r="G202" s="8">
        <v>0.1447</v>
      </c>
      <c r="H202" s="10">
        <f t="shared" si="84"/>
        <v>-6.5253537989118732E-2</v>
      </c>
      <c r="I202" s="10">
        <f t="shared" si="85"/>
        <v>0.13474646201088128</v>
      </c>
      <c r="J202" s="1">
        <v>0.15</v>
      </c>
      <c r="K202" s="10">
        <f t="shared" si="87"/>
        <v>4.5069274147432455E-2</v>
      </c>
      <c r="L202" s="8">
        <v>0.45</v>
      </c>
      <c r="M202" s="11">
        <f t="shared" si="88"/>
        <v>0.2579762917739844</v>
      </c>
      <c r="N202" s="9">
        <f t="shared" si="86"/>
        <v>0.2579762917739844</v>
      </c>
      <c r="P202" s="29">
        <f t="shared" si="89"/>
        <v>0.24371074574795037</v>
      </c>
      <c r="Q202" s="1" t="str">
        <f t="shared" si="97"/>
        <v>E</v>
      </c>
      <c r="R202" t="str">
        <f t="shared" si="91"/>
        <v>E</v>
      </c>
      <c r="S202" s="18">
        <f t="shared" si="90"/>
        <v>0.24371074574795037</v>
      </c>
      <c r="T202" t="str">
        <f t="shared" si="75"/>
        <v>E</v>
      </c>
      <c r="V202" s="1">
        <v>50.2</v>
      </c>
      <c r="W202" s="1">
        <f t="shared" si="77"/>
        <v>0.24371074574795037</v>
      </c>
      <c r="X202" s="1" t="e">
        <f t="shared" si="78"/>
        <v>#N/A</v>
      </c>
      <c r="Y202" s="1" t="e">
        <f t="shared" si="79"/>
        <v>#N/A</v>
      </c>
      <c r="Z202" s="1" t="e">
        <f t="shared" si="80"/>
        <v>#N/A</v>
      </c>
      <c r="AA202" s="1">
        <v>0</v>
      </c>
      <c r="AC202" s="31">
        <f t="shared" si="92"/>
        <v>0.24371074574795037</v>
      </c>
      <c r="AD202" s="31" t="e">
        <f t="shared" si="93"/>
        <v>#N/A</v>
      </c>
      <c r="AE202" s="31" t="e">
        <f t="shared" si="94"/>
        <v>#N/A</v>
      </c>
      <c r="AF202" s="31" t="e">
        <f t="shared" si="95"/>
        <v>#N/A</v>
      </c>
      <c r="AL202" s="17">
        <f t="shared" si="96"/>
        <v>43007</v>
      </c>
      <c r="AM202">
        <f t="shared" si="98"/>
        <v>4</v>
      </c>
      <c r="AN202">
        <f t="shared" si="99"/>
        <v>4</v>
      </c>
    </row>
    <row r="203" spans="1:40">
      <c r="A203" s="7">
        <v>43039</v>
      </c>
      <c r="B203" s="8">
        <v>101.7788</v>
      </c>
      <c r="C203" s="8">
        <f t="shared" si="81"/>
        <v>1.479966552725279</v>
      </c>
      <c r="D203" s="9">
        <f t="shared" si="82"/>
        <v>0.39999163818131978</v>
      </c>
      <c r="E203" s="8">
        <v>58.6</v>
      </c>
      <c r="F203" s="10">
        <f t="shared" si="83"/>
        <v>7.908342970825637</v>
      </c>
      <c r="G203" s="8">
        <v>0.623</v>
      </c>
      <c r="H203" s="10">
        <f t="shared" si="84"/>
        <v>0.13089872033778013</v>
      </c>
      <c r="I203" s="10">
        <f t="shared" si="85"/>
        <v>0.33089872033778012</v>
      </c>
      <c r="J203" s="1">
        <v>0.5</v>
      </c>
      <c r="K203" s="10">
        <f t="shared" si="87"/>
        <v>0.17472453101541421</v>
      </c>
      <c r="L203" s="8">
        <v>0.27900000000000003</v>
      </c>
      <c r="M203" s="11">
        <f t="shared" si="88"/>
        <v>0.26396804861839884</v>
      </c>
      <c r="N203" s="9">
        <f t="shared" si="86"/>
        <v>0.26396804861839884</v>
      </c>
      <c r="P203" s="29">
        <f t="shared" si="89"/>
        <v>0.32169318320978435</v>
      </c>
      <c r="Q203" s="1" t="str">
        <f t="shared" si="97"/>
        <v>E</v>
      </c>
      <c r="R203" t="str">
        <f t="shared" si="91"/>
        <v>E</v>
      </c>
      <c r="S203" s="18">
        <f t="shared" si="90"/>
        <v>0.24371074574795037</v>
      </c>
      <c r="T203" t="str">
        <f t="shared" si="75"/>
        <v>E</v>
      </c>
      <c r="V203" s="1">
        <v>59</v>
      </c>
      <c r="W203" s="1">
        <f t="shared" si="77"/>
        <v>0.32169318320978435</v>
      </c>
      <c r="X203" s="1" t="e">
        <f t="shared" si="78"/>
        <v>#N/A</v>
      </c>
      <c r="Y203" s="1" t="e">
        <f t="shared" si="79"/>
        <v>#N/A</v>
      </c>
      <c r="Z203" s="1" t="e">
        <f t="shared" si="80"/>
        <v>#N/A</v>
      </c>
      <c r="AA203" s="1">
        <v>0</v>
      </c>
      <c r="AC203" s="31">
        <f t="shared" si="92"/>
        <v>0.32169318320978435</v>
      </c>
      <c r="AD203" s="31" t="e">
        <f t="shared" si="93"/>
        <v>#N/A</v>
      </c>
      <c r="AE203" s="31" t="e">
        <f t="shared" si="94"/>
        <v>#N/A</v>
      </c>
      <c r="AF203" s="31" t="e">
        <f t="shared" si="95"/>
        <v>#N/A</v>
      </c>
      <c r="AL203" s="17">
        <f t="shared" si="96"/>
        <v>43039</v>
      </c>
      <c r="AM203">
        <f t="shared" si="98"/>
        <v>4</v>
      </c>
      <c r="AN203">
        <f t="shared" si="99"/>
        <v>4</v>
      </c>
    </row>
    <row r="204" spans="1:40">
      <c r="A204" s="7">
        <v>43069</v>
      </c>
      <c r="B204" s="8">
        <v>101.8447</v>
      </c>
      <c r="C204" s="8">
        <f t="shared" si="81"/>
        <v>1.5839155851985753</v>
      </c>
      <c r="D204" s="9">
        <f t="shared" si="82"/>
        <v>0.42597889629964381</v>
      </c>
      <c r="E204" s="8">
        <v>57.6</v>
      </c>
      <c r="F204" s="10">
        <f t="shared" si="83"/>
        <v>7.8204652241403316</v>
      </c>
      <c r="G204" s="8">
        <v>0.36909999999999998</v>
      </c>
      <c r="H204" s="10">
        <f t="shared" si="84"/>
        <v>0.19878608504151279</v>
      </c>
      <c r="I204" s="10">
        <f t="shared" si="85"/>
        <v>0.39878608504151281</v>
      </c>
      <c r="J204" s="1">
        <v>0.24</v>
      </c>
      <c r="K204" s="10">
        <f t="shared" si="87"/>
        <v>0.19332803967602116</v>
      </c>
      <c r="L204" s="8">
        <v>-4.2000000000000003E-2</v>
      </c>
      <c r="M204" s="11">
        <f t="shared" si="88"/>
        <v>0.17676715476215515</v>
      </c>
      <c r="N204" s="9">
        <f t="shared" si="86"/>
        <v>0.17676715476215515</v>
      </c>
      <c r="P204" s="29">
        <f t="shared" si="89"/>
        <v>0.32518162599499595</v>
      </c>
      <c r="Q204" s="1" t="str">
        <f t="shared" si="97"/>
        <v>E</v>
      </c>
      <c r="R204" t="str">
        <f t="shared" si="91"/>
        <v>E</v>
      </c>
      <c r="S204" s="18">
        <f t="shared" si="90"/>
        <v>0.24371074574795037</v>
      </c>
      <c r="T204" t="str">
        <f t="shared" si="75"/>
        <v>E</v>
      </c>
      <c r="V204" s="1">
        <v>71.3</v>
      </c>
      <c r="W204" s="1">
        <f t="shared" si="77"/>
        <v>0.32518162599499595</v>
      </c>
      <c r="X204" s="1">
        <f t="shared" si="78"/>
        <v>0.32518162599499595</v>
      </c>
      <c r="Y204" s="1" t="e">
        <f t="shared" si="79"/>
        <v>#N/A</v>
      </c>
      <c r="Z204" s="1" t="e">
        <f t="shared" si="80"/>
        <v>#N/A</v>
      </c>
      <c r="AA204" s="1">
        <v>0</v>
      </c>
      <c r="AC204" s="31">
        <f t="shared" si="92"/>
        <v>0.32518162599499595</v>
      </c>
      <c r="AD204" s="31" t="e">
        <f t="shared" si="93"/>
        <v>#N/A</v>
      </c>
      <c r="AE204" s="31" t="e">
        <f t="shared" si="94"/>
        <v>#N/A</v>
      </c>
      <c r="AF204" s="31" t="e">
        <f t="shared" si="95"/>
        <v>#N/A</v>
      </c>
      <c r="AL204" s="17">
        <f t="shared" si="96"/>
        <v>43069</v>
      </c>
      <c r="AM204">
        <f t="shared" si="98"/>
        <v>4</v>
      </c>
      <c r="AN204">
        <f t="shared" si="99"/>
        <v>4</v>
      </c>
    </row>
    <row r="205" spans="1:40">
      <c r="A205" s="7">
        <v>43098</v>
      </c>
      <c r="B205" s="8">
        <v>101.86749999999999</v>
      </c>
      <c r="C205" s="8">
        <f t="shared" si="81"/>
        <v>1.6647371434169793</v>
      </c>
      <c r="D205" s="9">
        <f t="shared" si="82"/>
        <v>0.44618428585424486</v>
      </c>
      <c r="E205" s="8">
        <v>59.7</v>
      </c>
      <c r="F205" s="10">
        <f t="shared" si="83"/>
        <v>8.3561326352603373</v>
      </c>
      <c r="G205" s="8">
        <v>-4.07E-2</v>
      </c>
      <c r="H205" s="10">
        <f t="shared" si="84"/>
        <v>0.13053255080468162</v>
      </c>
      <c r="I205" s="10">
        <f t="shared" si="85"/>
        <v>0.33053255080468164</v>
      </c>
      <c r="J205" s="1">
        <v>0.15</v>
      </c>
      <c r="K205" s="10">
        <f t="shared" si="87"/>
        <v>0.18097954836835514</v>
      </c>
      <c r="L205" s="8">
        <v>0.3</v>
      </c>
      <c r="M205" s="11">
        <f t="shared" si="88"/>
        <v>0.21188851565494093</v>
      </c>
      <c r="N205" s="9">
        <f t="shared" si="86"/>
        <v>0.21188851565494093</v>
      </c>
      <c r="P205" s="29">
        <f t="shared" si="89"/>
        <v>0.32279998758642214</v>
      </c>
      <c r="Q205" s="1" t="str">
        <f t="shared" si="97"/>
        <v>SD</v>
      </c>
      <c r="R205" t="str">
        <f t="shared" si="91"/>
        <v>E</v>
      </c>
      <c r="S205" s="18">
        <f t="shared" si="90"/>
        <v>0.24371074574795037</v>
      </c>
      <c r="T205" t="str">
        <f t="shared" si="75"/>
        <v>E</v>
      </c>
      <c r="V205" s="1">
        <v>49.3</v>
      </c>
      <c r="W205" s="1" t="e">
        <f t="shared" si="77"/>
        <v>#N/A</v>
      </c>
      <c r="X205" s="1">
        <f t="shared" si="78"/>
        <v>0.32279998758642214</v>
      </c>
      <c r="Y205" s="1" t="e">
        <f t="shared" si="79"/>
        <v>#N/A</v>
      </c>
      <c r="Z205" s="1" t="e">
        <f t="shared" si="80"/>
        <v>#N/A</v>
      </c>
      <c r="AA205" s="1">
        <v>0</v>
      </c>
      <c r="AC205" s="31">
        <f t="shared" si="92"/>
        <v>0.32279998758642214</v>
      </c>
      <c r="AD205" s="31">
        <f t="shared" si="93"/>
        <v>0.32279998758642214</v>
      </c>
      <c r="AE205" s="31" t="e">
        <f t="shared" si="94"/>
        <v>#N/A</v>
      </c>
      <c r="AF205" s="31" t="e">
        <f t="shared" si="95"/>
        <v>#N/A</v>
      </c>
      <c r="AL205" s="17">
        <f t="shared" si="96"/>
        <v>43098</v>
      </c>
      <c r="AM205">
        <f t="shared" si="98"/>
        <v>3</v>
      </c>
      <c r="AN205">
        <f t="shared" si="99"/>
        <v>4</v>
      </c>
    </row>
    <row r="206" spans="1:40">
      <c r="A206" s="7">
        <v>43131</v>
      </c>
      <c r="B206" s="8">
        <v>101.8378</v>
      </c>
      <c r="C206" s="8">
        <f t="shared" si="81"/>
        <v>1.7140600575431406</v>
      </c>
      <c r="D206" s="9">
        <f t="shared" si="82"/>
        <v>0.45851501438578512</v>
      </c>
      <c r="E206" s="8">
        <v>59.4</v>
      </c>
      <c r="F206" s="10">
        <f t="shared" si="83"/>
        <v>8.6536348342111413</v>
      </c>
      <c r="G206" s="8">
        <v>-0.38030000000000003</v>
      </c>
      <c r="H206" s="10">
        <f t="shared" si="84"/>
        <v>-1.5054726174652672E-2</v>
      </c>
      <c r="I206" s="10">
        <f t="shared" si="85"/>
        <v>0.18494527382534734</v>
      </c>
      <c r="J206" s="1">
        <v>-0.23</v>
      </c>
      <c r="K206" s="10">
        <f t="shared" si="87"/>
        <v>6.3850377083373919E-2</v>
      </c>
      <c r="L206" s="8">
        <v>0.501</v>
      </c>
      <c r="M206" s="11">
        <f t="shared" si="88"/>
        <v>0.2942852886932828</v>
      </c>
      <c r="N206" s="9">
        <f t="shared" si="86"/>
        <v>0.2942852886932828</v>
      </c>
      <c r="P206" s="29">
        <f t="shared" si="89"/>
        <v>0.30847161612429169</v>
      </c>
      <c r="Q206" s="1" t="str">
        <f t="shared" si="97"/>
        <v>SD</v>
      </c>
      <c r="R206" t="str">
        <f t="shared" si="91"/>
        <v>E</v>
      </c>
      <c r="S206" s="18">
        <f t="shared" si="90"/>
        <v>0.30847161612429169</v>
      </c>
      <c r="T206" t="str">
        <f t="shared" si="75"/>
        <v>SD</v>
      </c>
      <c r="V206" s="1">
        <v>35.6</v>
      </c>
      <c r="W206" s="1">
        <f t="shared" si="77"/>
        <v>0.30847161612429169</v>
      </c>
      <c r="X206" s="1">
        <f t="shared" si="78"/>
        <v>0.30847161612429169</v>
      </c>
      <c r="Y206" s="1" t="e">
        <f t="shared" si="79"/>
        <v>#N/A</v>
      </c>
      <c r="Z206" s="1" t="e">
        <f t="shared" si="80"/>
        <v>#N/A</v>
      </c>
      <c r="AA206" s="1">
        <v>0</v>
      </c>
      <c r="AC206" s="31" t="e">
        <f t="shared" si="92"/>
        <v>#N/A</v>
      </c>
      <c r="AD206" s="31">
        <f t="shared" si="93"/>
        <v>0.30847161612429169</v>
      </c>
      <c r="AE206" s="31" t="e">
        <f t="shared" si="94"/>
        <v>#N/A</v>
      </c>
      <c r="AF206" s="31" t="e">
        <f t="shared" si="95"/>
        <v>#N/A</v>
      </c>
      <c r="AL206" s="17">
        <f t="shared" si="96"/>
        <v>43131</v>
      </c>
      <c r="AM206">
        <f t="shared" si="98"/>
        <v>3</v>
      </c>
      <c r="AN206">
        <f t="shared" si="99"/>
        <v>4</v>
      </c>
    </row>
    <row r="207" spans="1:40">
      <c r="A207" s="7">
        <v>43159</v>
      </c>
      <c r="B207" s="8">
        <v>101.7647</v>
      </c>
      <c r="C207" s="8">
        <f t="shared" si="81"/>
        <v>1.7284924411433469</v>
      </c>
      <c r="D207" s="9">
        <f t="shared" si="82"/>
        <v>0.46212311028583675</v>
      </c>
      <c r="E207" s="8">
        <v>60.9</v>
      </c>
      <c r="F207" s="10">
        <f t="shared" si="83"/>
        <v>9.2938489064609655</v>
      </c>
      <c r="G207" s="8">
        <v>0.1011</v>
      </c>
      <c r="H207" s="10">
        <f t="shared" si="84"/>
        <v>1.8049370785123343E-2</v>
      </c>
      <c r="I207" s="10">
        <f t="shared" si="85"/>
        <v>0.21804937078512335</v>
      </c>
      <c r="J207" s="1">
        <v>0.42</v>
      </c>
      <c r="K207" s="10">
        <f t="shared" si="87"/>
        <v>0.16535301961461235</v>
      </c>
      <c r="L207" s="8">
        <v>0.158</v>
      </c>
      <c r="M207" s="11">
        <f t="shared" si="88"/>
        <v>0.25544398141569719</v>
      </c>
      <c r="N207" s="9">
        <f t="shared" si="86"/>
        <v>0.25544398141569719</v>
      </c>
      <c r="P207" s="29">
        <f t="shared" si="89"/>
        <v>0.31066945552886854</v>
      </c>
      <c r="Q207" s="1" t="str">
        <f t="shared" si="97"/>
        <v>E</v>
      </c>
      <c r="R207" t="str">
        <f t="shared" si="91"/>
        <v>E</v>
      </c>
      <c r="S207" s="18">
        <f t="shared" si="90"/>
        <v>0.31066945552886854</v>
      </c>
      <c r="T207" t="str">
        <f t="shared" si="75"/>
        <v>SD</v>
      </c>
      <c r="V207" s="1">
        <v>2.4</v>
      </c>
      <c r="W207" s="1">
        <f t="shared" si="77"/>
        <v>0.31066945552886854</v>
      </c>
      <c r="X207" s="1">
        <f t="shared" si="78"/>
        <v>0.31066945552886854</v>
      </c>
      <c r="Y207" s="1" t="e">
        <f t="shared" si="79"/>
        <v>#N/A</v>
      </c>
      <c r="Z207" s="1" t="e">
        <f t="shared" si="80"/>
        <v>#N/A</v>
      </c>
      <c r="AA207" s="1">
        <v>0</v>
      </c>
      <c r="AC207" s="31" t="e">
        <f t="shared" si="92"/>
        <v>#N/A</v>
      </c>
      <c r="AD207" s="31">
        <f t="shared" si="93"/>
        <v>0.31066945552886854</v>
      </c>
      <c r="AE207" s="31" t="e">
        <f t="shared" si="94"/>
        <v>#N/A</v>
      </c>
      <c r="AF207" s="31" t="e">
        <f t="shared" si="95"/>
        <v>#N/A</v>
      </c>
      <c r="AL207" s="17">
        <f t="shared" si="96"/>
        <v>43159</v>
      </c>
      <c r="AM207">
        <f t="shared" si="98"/>
        <v>4</v>
      </c>
      <c r="AN207">
        <f t="shared" si="99"/>
        <v>4</v>
      </c>
    </row>
    <row r="208" spans="1:40">
      <c r="A208" s="7">
        <v>43189</v>
      </c>
      <c r="B208" s="8">
        <v>101.66040000000001</v>
      </c>
      <c r="C208" s="8">
        <f t="shared" si="81"/>
        <v>1.7090860954174958</v>
      </c>
      <c r="D208" s="9">
        <f t="shared" si="82"/>
        <v>0.45727152385437397</v>
      </c>
      <c r="E208" s="8">
        <v>58.8</v>
      </c>
      <c r="F208" s="10">
        <f t="shared" si="83"/>
        <v>9.1531019681195893</v>
      </c>
      <c r="G208" s="8">
        <v>0.1386</v>
      </c>
      <c r="H208" s="10">
        <f t="shared" si="84"/>
        <v>5.2406300111363192E-2</v>
      </c>
      <c r="I208" s="10">
        <f t="shared" si="85"/>
        <v>0.25240630011136322</v>
      </c>
      <c r="J208" s="1">
        <v>0.17</v>
      </c>
      <c r="K208" s="10">
        <f t="shared" si="87"/>
        <v>0.16667740902444783</v>
      </c>
      <c r="L208" s="8">
        <v>-7.2999999999999995E-2</v>
      </c>
      <c r="M208" s="11">
        <f t="shared" si="88"/>
        <v>0.1618374467122235</v>
      </c>
      <c r="N208" s="9">
        <f t="shared" si="86"/>
        <v>0.1618374467122235</v>
      </c>
      <c r="P208" s="29">
        <f t="shared" si="89"/>
        <v>0.29212228570314114</v>
      </c>
      <c r="Q208" s="1" t="str">
        <f t="shared" si="97"/>
        <v>SD</v>
      </c>
      <c r="R208" t="str">
        <f t="shared" si="91"/>
        <v>E</v>
      </c>
      <c r="S208" s="18">
        <f t="shared" si="90"/>
        <v>0.31066945552886854</v>
      </c>
      <c r="T208" t="str">
        <f t="shared" si="75"/>
        <v>SD</v>
      </c>
      <c r="V208" s="1">
        <v>-40</v>
      </c>
      <c r="W208" s="1">
        <f t="shared" si="77"/>
        <v>0.29212228570314114</v>
      </c>
      <c r="X208" s="1">
        <f t="shared" si="78"/>
        <v>0.29212228570314114</v>
      </c>
      <c r="Y208" s="1" t="e">
        <f t="shared" si="79"/>
        <v>#N/A</v>
      </c>
      <c r="Z208" s="1" t="e">
        <f t="shared" si="80"/>
        <v>#N/A</v>
      </c>
      <c r="AA208" s="1">
        <v>0</v>
      </c>
      <c r="AC208" s="31" t="e">
        <f t="shared" si="92"/>
        <v>#N/A</v>
      </c>
      <c r="AD208" s="31">
        <f t="shared" si="93"/>
        <v>0.29212228570314114</v>
      </c>
      <c r="AE208" s="31" t="e">
        <f t="shared" si="94"/>
        <v>#N/A</v>
      </c>
      <c r="AF208" s="31" t="e">
        <f t="shared" si="95"/>
        <v>#N/A</v>
      </c>
      <c r="AL208" s="17">
        <f t="shared" si="96"/>
        <v>43189</v>
      </c>
      <c r="AM208">
        <f t="shared" si="98"/>
        <v>3</v>
      </c>
      <c r="AN208">
        <f t="shared" si="99"/>
        <v>4</v>
      </c>
    </row>
    <row r="209" spans="1:40">
      <c r="A209" s="7">
        <v>43220</v>
      </c>
      <c r="B209" s="8">
        <v>101.5399</v>
      </c>
      <c r="C209" s="8">
        <f t="shared" si="81"/>
        <v>1.6608680582235102</v>
      </c>
      <c r="D209" s="9">
        <f t="shared" si="82"/>
        <v>0.44521701455587759</v>
      </c>
      <c r="E209" s="8">
        <v>58.6</v>
      </c>
      <c r="F209" s="10">
        <f t="shared" si="83"/>
        <v>8.9954679072055068</v>
      </c>
      <c r="G209" s="8">
        <v>0.15620000000000001</v>
      </c>
      <c r="H209" s="10">
        <f t="shared" si="84"/>
        <v>8.1987504579624698E-2</v>
      </c>
      <c r="I209" s="10">
        <f t="shared" si="85"/>
        <v>0.28198750457962474</v>
      </c>
      <c r="J209" s="1">
        <v>0.39</v>
      </c>
      <c r="K209" s="10">
        <f t="shared" si="87"/>
        <v>0.2303243474524802</v>
      </c>
      <c r="L209" s="8">
        <v>0.28999999999999998</v>
      </c>
      <c r="M209" s="11">
        <f t="shared" si="88"/>
        <v>0.1983637743992398</v>
      </c>
      <c r="N209" s="9">
        <f t="shared" si="86"/>
        <v>0.1983637743992398</v>
      </c>
      <c r="P209" s="29">
        <f t="shared" si="89"/>
        <v>0.31254093427774615</v>
      </c>
      <c r="Q209" s="1" t="str">
        <f t="shared" si="97"/>
        <v>E</v>
      </c>
      <c r="R209" t="str">
        <f t="shared" si="91"/>
        <v>E</v>
      </c>
      <c r="S209" s="18">
        <f t="shared" si="90"/>
        <v>0.31254093427774615</v>
      </c>
      <c r="T209" t="str">
        <f t="shared" si="75"/>
        <v>SD</v>
      </c>
      <c r="V209" s="1">
        <v>-77.5</v>
      </c>
      <c r="W209" s="1">
        <f t="shared" si="77"/>
        <v>0.31254093427774615</v>
      </c>
      <c r="X209" s="1">
        <f t="shared" si="78"/>
        <v>0.31254093427774615</v>
      </c>
      <c r="Y209" s="1" t="e">
        <f t="shared" si="79"/>
        <v>#N/A</v>
      </c>
      <c r="Z209" s="1" t="e">
        <f t="shared" si="80"/>
        <v>#N/A</v>
      </c>
      <c r="AA209" s="1">
        <v>0</v>
      </c>
      <c r="AC209" s="31" t="e">
        <f t="shared" si="92"/>
        <v>#N/A</v>
      </c>
      <c r="AD209" s="31">
        <f t="shared" si="93"/>
        <v>0.31254093427774615</v>
      </c>
      <c r="AE209" s="31" t="e">
        <f t="shared" si="94"/>
        <v>#N/A</v>
      </c>
      <c r="AF209" s="31" t="e">
        <f t="shared" si="95"/>
        <v>#N/A</v>
      </c>
      <c r="AL209" s="17">
        <f t="shared" si="96"/>
        <v>43220</v>
      </c>
      <c r="AM209">
        <f t="shared" si="98"/>
        <v>4</v>
      </c>
      <c r="AN209">
        <f t="shared" si="99"/>
        <v>4</v>
      </c>
    </row>
    <row r="210" spans="1:40">
      <c r="A210" s="7">
        <v>43251</v>
      </c>
      <c r="B210" s="8">
        <v>101.4101</v>
      </c>
      <c r="C210" s="8">
        <f t="shared" si="81"/>
        <v>1.5893991616298098</v>
      </c>
      <c r="D210" s="9">
        <f t="shared" si="82"/>
        <v>0.42734979040745247</v>
      </c>
      <c r="E210" s="8">
        <v>59</v>
      </c>
      <c r="F210" s="10">
        <f t="shared" si="83"/>
        <v>8.9967595536519376</v>
      </c>
      <c r="G210" s="8">
        <v>-0.22539999999999999</v>
      </c>
      <c r="H210" s="10">
        <f t="shared" si="84"/>
        <v>-5.6179342255683468E-3</v>
      </c>
      <c r="I210" s="10">
        <f t="shared" si="85"/>
        <v>0.19438206577443168</v>
      </c>
      <c r="J210" s="1">
        <v>-0.19</v>
      </c>
      <c r="K210" s="10">
        <f t="shared" si="87"/>
        <v>0.11053190842852334</v>
      </c>
      <c r="L210" s="8">
        <v>-8.5000000000000006E-2</v>
      </c>
      <c r="M210" s="11">
        <f t="shared" si="88"/>
        <v>0.11760509869545646</v>
      </c>
      <c r="N210" s="9">
        <f t="shared" si="86"/>
        <v>0.11760509869545646</v>
      </c>
      <c r="P210" s="29">
        <f t="shared" si="89"/>
        <v>0.2524013930085886</v>
      </c>
      <c r="Q210" s="1" t="str">
        <f t="shared" si="97"/>
        <v>SD</v>
      </c>
      <c r="R210" t="str">
        <f t="shared" si="91"/>
        <v>SD</v>
      </c>
      <c r="S210" s="18">
        <f t="shared" si="90"/>
        <v>0.2524013930085886</v>
      </c>
      <c r="T210" t="str">
        <f t="shared" si="75"/>
        <v>SD</v>
      </c>
      <c r="V210" s="1">
        <v>-91.4</v>
      </c>
      <c r="W210" s="1" t="e">
        <f t="shared" si="77"/>
        <v>#N/A</v>
      </c>
      <c r="X210" s="1">
        <f t="shared" si="78"/>
        <v>0.2524013930085886</v>
      </c>
      <c r="Y210" s="1" t="e">
        <f t="shared" si="79"/>
        <v>#N/A</v>
      </c>
      <c r="Z210" s="1" t="e">
        <f t="shared" si="80"/>
        <v>#N/A</v>
      </c>
      <c r="AA210" s="1">
        <v>0</v>
      </c>
      <c r="AC210" s="31" t="e">
        <f t="shared" si="92"/>
        <v>#N/A</v>
      </c>
      <c r="AD210" s="31">
        <f t="shared" si="93"/>
        <v>0.2524013930085886</v>
      </c>
      <c r="AE210" s="31" t="e">
        <f t="shared" si="94"/>
        <v>#N/A</v>
      </c>
      <c r="AF210" s="31" t="e">
        <f t="shared" si="95"/>
        <v>#N/A</v>
      </c>
      <c r="AL210" s="17">
        <f t="shared" si="96"/>
        <v>43251</v>
      </c>
      <c r="AM210">
        <f t="shared" si="98"/>
        <v>3</v>
      </c>
      <c r="AN210">
        <f t="shared" si="99"/>
        <v>3</v>
      </c>
    </row>
    <row r="211" spans="1:40">
      <c r="A211" s="7">
        <v>43280</v>
      </c>
      <c r="B211" s="8">
        <v>101.26730000000001</v>
      </c>
      <c r="C211" s="8">
        <f t="shared" si="81"/>
        <v>1.4976009005653157</v>
      </c>
      <c r="D211" s="9">
        <f t="shared" si="82"/>
        <v>0.4044002251413289</v>
      </c>
      <c r="E211" s="8">
        <v>59.9</v>
      </c>
      <c r="F211" s="10">
        <f t="shared" si="83"/>
        <v>9.2541830808611358</v>
      </c>
      <c r="G211" s="8">
        <v>4.3E-3</v>
      </c>
      <c r="H211" s="10">
        <f t="shared" si="84"/>
        <v>-2.7913229712813676E-3</v>
      </c>
      <c r="I211" s="10">
        <f t="shared" si="85"/>
        <v>0.19720867702871864</v>
      </c>
      <c r="J211" s="1">
        <v>0.25</v>
      </c>
      <c r="K211" s="10">
        <f t="shared" si="87"/>
        <v>0.15028031452639418</v>
      </c>
      <c r="L211" s="8">
        <v>-0.108</v>
      </c>
      <c r="M211" s="11">
        <f t="shared" si="88"/>
        <v>5.3307645567251358E-2</v>
      </c>
      <c r="N211" s="9">
        <f t="shared" si="86"/>
        <v>5.3307645567251358E-2</v>
      </c>
      <c r="P211" s="29">
        <f t="shared" si="89"/>
        <v>0.2259553710011408</v>
      </c>
      <c r="Q211" s="1" t="str">
        <f t="shared" si="97"/>
        <v>SD</v>
      </c>
      <c r="R211" t="str">
        <f t="shared" si="91"/>
        <v>SD</v>
      </c>
      <c r="S211" s="18">
        <f t="shared" si="90"/>
        <v>0.2524013930085886</v>
      </c>
      <c r="T211" t="str">
        <f t="shared" si="75"/>
        <v>SD</v>
      </c>
      <c r="V211" s="1">
        <v>-61</v>
      </c>
      <c r="W211" s="1">
        <f t="shared" si="77"/>
        <v>0.2259553710011408</v>
      </c>
      <c r="X211" s="1">
        <f t="shared" si="78"/>
        <v>0.2259553710011408</v>
      </c>
      <c r="Y211" s="1" t="e">
        <f t="shared" si="79"/>
        <v>#N/A</v>
      </c>
      <c r="Z211" s="1" t="e">
        <f t="shared" si="80"/>
        <v>#N/A</v>
      </c>
      <c r="AA211" s="1">
        <v>0</v>
      </c>
      <c r="AC211" s="31" t="e">
        <f t="shared" si="92"/>
        <v>#N/A</v>
      </c>
      <c r="AD211" s="31">
        <f t="shared" si="93"/>
        <v>0.2259553710011408</v>
      </c>
      <c r="AE211" s="31" t="e">
        <f t="shared" si="94"/>
        <v>#N/A</v>
      </c>
      <c r="AF211" s="31" t="e">
        <f t="shared" si="95"/>
        <v>#N/A</v>
      </c>
      <c r="AL211" s="17">
        <f t="shared" si="96"/>
        <v>43280</v>
      </c>
      <c r="AM211">
        <f t="shared" si="98"/>
        <v>3</v>
      </c>
      <c r="AN211">
        <f t="shared" si="99"/>
        <v>3</v>
      </c>
    </row>
    <row r="212" spans="1:40">
      <c r="A212" s="7">
        <v>43312</v>
      </c>
      <c r="B212" s="8">
        <v>101.10760000000001</v>
      </c>
      <c r="C212" s="8">
        <f t="shared" si="81"/>
        <v>1.3864506439042019</v>
      </c>
      <c r="D212" s="9">
        <f t="shared" si="82"/>
        <v>0.37661266097605051</v>
      </c>
      <c r="E212" s="8">
        <v>58.1</v>
      </c>
      <c r="F212" s="10">
        <f t="shared" si="83"/>
        <v>8.9252409028157125</v>
      </c>
      <c r="G212" s="8">
        <v>2.8000000000000001E-2</v>
      </c>
      <c r="H212" s="10">
        <f t="shared" si="84"/>
        <v>5.9842040755338239E-3</v>
      </c>
      <c r="I212" s="10">
        <f t="shared" si="85"/>
        <v>0.20598420407553383</v>
      </c>
      <c r="J212" s="1">
        <v>0.06</v>
      </c>
      <c r="K212" s="10">
        <f t="shared" si="87"/>
        <v>0.12455042488637183</v>
      </c>
      <c r="L212" s="8">
        <v>0.23200000000000001</v>
      </c>
      <c r="M212" s="11">
        <f t="shared" si="88"/>
        <v>0.10423496658058473</v>
      </c>
      <c r="N212" s="9">
        <f t="shared" si="86"/>
        <v>0.10423496658058473</v>
      </c>
      <c r="P212" s="29">
        <f t="shared" si="89"/>
        <v>0.23820646526581582</v>
      </c>
      <c r="Q212" s="1" t="str">
        <f t="shared" si="97"/>
        <v>E</v>
      </c>
      <c r="R212" t="str">
        <f t="shared" si="91"/>
        <v>SD</v>
      </c>
      <c r="S212" s="18">
        <f t="shared" si="90"/>
        <v>0.2524013930085886</v>
      </c>
      <c r="T212" t="str">
        <f t="shared" si="75"/>
        <v>SD</v>
      </c>
      <c r="V212" s="1">
        <v>-25.9</v>
      </c>
      <c r="W212" s="1">
        <f t="shared" si="77"/>
        <v>0.23820646526581582</v>
      </c>
      <c r="X212" s="1" t="e">
        <f t="shared" si="78"/>
        <v>#N/A</v>
      </c>
      <c r="Y212" s="1" t="e">
        <f t="shared" si="79"/>
        <v>#N/A</v>
      </c>
      <c r="Z212" s="1" t="e">
        <f t="shared" si="80"/>
        <v>#N/A</v>
      </c>
      <c r="AA212" s="1">
        <v>0</v>
      </c>
      <c r="AC212" s="31" t="e">
        <f t="shared" si="92"/>
        <v>#N/A</v>
      </c>
      <c r="AD212" s="31">
        <f t="shared" si="93"/>
        <v>0.23820646526581582</v>
      </c>
      <c r="AE212" s="31" t="e">
        <f t="shared" si="94"/>
        <v>#N/A</v>
      </c>
      <c r="AF212" s="31" t="e">
        <f t="shared" si="95"/>
        <v>#N/A</v>
      </c>
      <c r="AL212" s="17">
        <f t="shared" si="96"/>
        <v>43312</v>
      </c>
      <c r="AM212">
        <f t="shared" si="98"/>
        <v>4</v>
      </c>
      <c r="AN212">
        <f t="shared" si="99"/>
        <v>3</v>
      </c>
    </row>
    <row r="213" spans="1:40">
      <c r="A213" s="7">
        <v>43343</v>
      </c>
      <c r="B213" s="8">
        <v>100.93010000000001</v>
      </c>
      <c r="C213" s="8">
        <f t="shared" si="81"/>
        <v>1.2563907103915073</v>
      </c>
      <c r="D213" s="9">
        <f t="shared" si="82"/>
        <v>0.34409767759787679</v>
      </c>
      <c r="E213" s="8">
        <v>60.5</v>
      </c>
      <c r="F213" s="10">
        <f t="shared" si="83"/>
        <v>9.3740472455132338</v>
      </c>
      <c r="G213" s="8">
        <v>0.24940000000000001</v>
      </c>
      <c r="H213" s="10">
        <f t="shared" si="84"/>
        <v>7.5357705914006701E-2</v>
      </c>
      <c r="I213" s="10">
        <f t="shared" si="85"/>
        <v>0.27535770591400671</v>
      </c>
      <c r="J213" s="1">
        <v>0.26</v>
      </c>
      <c r="K213" s="10">
        <f t="shared" si="87"/>
        <v>0.16315355379375587</v>
      </c>
      <c r="L213" s="8">
        <v>-2.9000000000000001E-2</v>
      </c>
      <c r="M213" s="11">
        <f t="shared" si="88"/>
        <v>6.6263001105118069E-2</v>
      </c>
      <c r="N213" s="9">
        <f t="shared" si="86"/>
        <v>6.6263001105118069E-2</v>
      </c>
      <c r="P213" s="29">
        <f t="shared" si="89"/>
        <v>0.2394111226650584</v>
      </c>
      <c r="Q213" s="1" t="str">
        <f t="shared" si="97"/>
        <v>E</v>
      </c>
      <c r="R213" t="str">
        <f t="shared" si="91"/>
        <v>SD</v>
      </c>
      <c r="S213" s="18">
        <f t="shared" si="90"/>
        <v>0.2394111226650584</v>
      </c>
      <c r="T213" t="str">
        <f t="shared" si="75"/>
        <v>SD</v>
      </c>
      <c r="V213" s="1">
        <v>1.4</v>
      </c>
      <c r="W213" s="1">
        <f t="shared" si="77"/>
        <v>0.2394111226650584</v>
      </c>
      <c r="X213" s="1">
        <f t="shared" si="78"/>
        <v>0.2394111226650584</v>
      </c>
      <c r="Y213" s="1" t="e">
        <f t="shared" si="79"/>
        <v>#N/A</v>
      </c>
      <c r="Z213" s="1" t="e">
        <f t="shared" si="80"/>
        <v>#N/A</v>
      </c>
      <c r="AA213" s="1">
        <v>0</v>
      </c>
      <c r="AC213" s="31" t="e">
        <f t="shared" si="92"/>
        <v>#N/A</v>
      </c>
      <c r="AD213" s="31">
        <f t="shared" si="93"/>
        <v>0.2394111226650584</v>
      </c>
      <c r="AE213" s="31" t="e">
        <f t="shared" si="94"/>
        <v>#N/A</v>
      </c>
      <c r="AF213" s="31" t="e">
        <f t="shared" si="95"/>
        <v>#N/A</v>
      </c>
      <c r="AL213" s="17">
        <f t="shared" si="96"/>
        <v>43343</v>
      </c>
      <c r="AM213">
        <f t="shared" si="98"/>
        <v>4</v>
      </c>
      <c r="AN213">
        <f t="shared" si="99"/>
        <v>3</v>
      </c>
    </row>
    <row r="214" spans="1:40">
      <c r="A214" s="7">
        <v>43371</v>
      </c>
      <c r="B214" s="8">
        <v>100.74510000000001</v>
      </c>
      <c r="C214" s="8">
        <f t="shared" si="81"/>
        <v>1.1106728579299299</v>
      </c>
      <c r="D214" s="9">
        <f t="shared" si="82"/>
        <v>0.30766821448248249</v>
      </c>
      <c r="E214" s="8">
        <v>59.3</v>
      </c>
      <c r="F214" s="10">
        <f t="shared" si="83"/>
        <v>9.3529437805419615</v>
      </c>
      <c r="G214" s="8">
        <v>-0.30209999999999998</v>
      </c>
      <c r="H214" s="10">
        <f t="shared" si="84"/>
        <v>-3.2217740271485218E-2</v>
      </c>
      <c r="I214" s="10">
        <f t="shared" si="85"/>
        <v>0.16778225972851479</v>
      </c>
      <c r="J214" s="1">
        <v>-0.04</v>
      </c>
      <c r="K214" s="10">
        <f t="shared" si="87"/>
        <v>0.10525479096253544</v>
      </c>
      <c r="L214" s="8">
        <v>0.16</v>
      </c>
      <c r="M214" s="11">
        <f t="shared" si="88"/>
        <v>9.2978045790159419E-2</v>
      </c>
      <c r="N214" s="9">
        <f t="shared" si="86"/>
        <v>9.2978045790159419E-2</v>
      </c>
      <c r="P214" s="29">
        <f t="shared" si="89"/>
        <v>0.20161932770551702</v>
      </c>
      <c r="Q214" s="1" t="str">
        <f t="shared" si="97"/>
        <v>SD</v>
      </c>
      <c r="R214" t="str">
        <f t="shared" si="91"/>
        <v>SD</v>
      </c>
      <c r="S214" s="18">
        <f t="shared" si="90"/>
        <v>0.20161932770551702</v>
      </c>
      <c r="T214" t="str">
        <f t="shared" si="75"/>
        <v>SD</v>
      </c>
      <c r="V214" s="1">
        <v>-31.9</v>
      </c>
      <c r="W214" s="1" t="e">
        <f t="shared" si="77"/>
        <v>#N/A</v>
      </c>
      <c r="X214" s="1">
        <f t="shared" si="78"/>
        <v>0.20161932770551702</v>
      </c>
      <c r="Y214" s="1" t="e">
        <f t="shared" si="79"/>
        <v>#N/A</v>
      </c>
      <c r="Z214" s="1" t="e">
        <f t="shared" si="80"/>
        <v>#N/A</v>
      </c>
      <c r="AA214" s="1">
        <v>0</v>
      </c>
      <c r="AC214" s="31" t="e">
        <f t="shared" si="92"/>
        <v>#N/A</v>
      </c>
      <c r="AD214" s="31">
        <f t="shared" si="93"/>
        <v>0.20161932770551702</v>
      </c>
      <c r="AE214" s="31" t="e">
        <f t="shared" si="94"/>
        <v>#N/A</v>
      </c>
      <c r="AF214" s="31" t="e">
        <f t="shared" si="95"/>
        <v>#N/A</v>
      </c>
      <c r="AL214" s="17">
        <f t="shared" si="96"/>
        <v>43371</v>
      </c>
      <c r="AM214">
        <f t="shared" si="98"/>
        <v>3</v>
      </c>
      <c r="AN214">
        <f t="shared" si="99"/>
        <v>3</v>
      </c>
    </row>
    <row r="215" spans="1:40">
      <c r="A215" s="7">
        <v>43404</v>
      </c>
      <c r="B215" s="8">
        <v>100.5675</v>
      </c>
      <c r="C215" s="8">
        <f t="shared" si="81"/>
        <v>0.9558685934198986</v>
      </c>
      <c r="D215" s="9">
        <f t="shared" si="82"/>
        <v>0.26896714835497465</v>
      </c>
      <c r="E215" s="8">
        <v>58.1</v>
      </c>
      <c r="F215" s="10">
        <f t="shared" si="83"/>
        <v>8.9958548030875036</v>
      </c>
      <c r="G215" s="8">
        <v>-0.46479999999999999</v>
      </c>
      <c r="H215" s="10">
        <f t="shared" si="84"/>
        <v>-0.15550368429411193</v>
      </c>
      <c r="I215" s="10">
        <f t="shared" si="85"/>
        <v>4.4496315705888079E-2</v>
      </c>
      <c r="J215" s="1">
        <v>-0.21</v>
      </c>
      <c r="K215" s="10">
        <f t="shared" si="87"/>
        <v>1.5407175538212824E-2</v>
      </c>
      <c r="L215" s="8">
        <v>-0.60699999999999998</v>
      </c>
      <c r="M215" s="11">
        <f t="shared" si="88"/>
        <v>-0.10651569726003603</v>
      </c>
      <c r="N215" s="9">
        <f t="shared" si="86"/>
        <v>-5.3257848630018013E-2</v>
      </c>
      <c r="P215" s="29">
        <f t="shared" si="89"/>
        <v>9.9635560519450841E-2</v>
      </c>
      <c r="Q215" s="1" t="str">
        <f t="shared" si="97"/>
        <v>SD</v>
      </c>
      <c r="R215" t="str">
        <f t="shared" si="91"/>
        <v>SD</v>
      </c>
      <c r="S215" s="18">
        <f t="shared" si="90"/>
        <v>0.20161932770551702</v>
      </c>
      <c r="T215" t="str">
        <f t="shared" ref="T215:T278" si="100">IF(OR(ABS($S215-$S214)&gt;$R$1,S215*S214&lt;0,ABS(P215-MAX(P203:P214))&gt;$U$1),Q215,T214)</f>
        <v>SD</v>
      </c>
      <c r="V215" s="1">
        <v>-57.6</v>
      </c>
      <c r="W215" s="1" t="e">
        <f t="shared" si="77"/>
        <v>#N/A</v>
      </c>
      <c r="X215" s="1">
        <f t="shared" si="78"/>
        <v>9.9635560519450841E-2</v>
      </c>
      <c r="Y215" s="1" t="e">
        <f t="shared" si="79"/>
        <v>#N/A</v>
      </c>
      <c r="Z215" s="1" t="e">
        <f t="shared" si="80"/>
        <v>#N/A</v>
      </c>
      <c r="AA215" s="1">
        <v>0</v>
      </c>
      <c r="AC215" s="31" t="e">
        <f t="shared" si="92"/>
        <v>#N/A</v>
      </c>
      <c r="AD215" s="31">
        <f t="shared" si="93"/>
        <v>9.9635560519450841E-2</v>
      </c>
      <c r="AE215" s="31" t="e">
        <f t="shared" si="94"/>
        <v>#N/A</v>
      </c>
      <c r="AF215" s="31" t="e">
        <f t="shared" si="95"/>
        <v>#N/A</v>
      </c>
      <c r="AL215" s="17">
        <f t="shared" si="96"/>
        <v>43404</v>
      </c>
      <c r="AM215">
        <f t="shared" si="98"/>
        <v>3</v>
      </c>
      <c r="AN215">
        <f t="shared" si="99"/>
        <v>3</v>
      </c>
    </row>
    <row r="216" spans="1:40">
      <c r="A216" s="7">
        <v>43434</v>
      </c>
      <c r="B216" s="8">
        <v>100.4092</v>
      </c>
      <c r="C216" s="8">
        <f t="shared" si="81"/>
        <v>0.80006804429522704</v>
      </c>
      <c r="D216" s="9">
        <f t="shared" si="82"/>
        <v>0.23001701107380676</v>
      </c>
      <c r="E216" s="8">
        <v>58.6</v>
      </c>
      <c r="F216" s="10">
        <f t="shared" si="83"/>
        <v>8.8830361842075654</v>
      </c>
      <c r="G216" s="8">
        <v>-0.25230000000000002</v>
      </c>
      <c r="H216" s="10">
        <f t="shared" si="84"/>
        <v>-0.18309063427029004</v>
      </c>
      <c r="I216" s="10">
        <f t="shared" si="85"/>
        <v>1.6909365729709969E-2</v>
      </c>
      <c r="J216" s="1">
        <v>-0.18</v>
      </c>
      <c r="K216" s="10">
        <f t="shared" si="87"/>
        <v>-4.0283869490177836E-2</v>
      </c>
      <c r="L216" s="8">
        <v>-0.48899999999999999</v>
      </c>
      <c r="M216" s="11">
        <f t="shared" si="88"/>
        <v>-0.21552372354092578</v>
      </c>
      <c r="N216" s="9">
        <f t="shared" si="86"/>
        <v>-0.10776186177046289</v>
      </c>
      <c r="P216" s="29">
        <f t="shared" si="89"/>
        <v>5.9371550771407246E-2</v>
      </c>
      <c r="Q216" s="1" t="str">
        <f t="shared" si="97"/>
        <v>SD</v>
      </c>
      <c r="R216" t="str">
        <f t="shared" si="91"/>
        <v>SD</v>
      </c>
      <c r="S216" s="18">
        <f t="shared" si="90"/>
        <v>0.20161932770551702</v>
      </c>
      <c r="T216" t="str">
        <f t="shared" si="100"/>
        <v>SD</v>
      </c>
      <c r="V216" s="1">
        <v>-62.9</v>
      </c>
      <c r="W216" s="1" t="e">
        <f t="shared" si="77"/>
        <v>#N/A</v>
      </c>
      <c r="X216" s="1">
        <f t="shared" si="78"/>
        <v>5.9371550771407246E-2</v>
      </c>
      <c r="Y216" s="1" t="e">
        <f t="shared" si="79"/>
        <v>#N/A</v>
      </c>
      <c r="Z216" s="1" t="e">
        <f t="shared" si="80"/>
        <v>#N/A</v>
      </c>
      <c r="AA216" s="1">
        <v>0</v>
      </c>
      <c r="AC216" s="31" t="e">
        <f t="shared" si="92"/>
        <v>#N/A</v>
      </c>
      <c r="AD216" s="31">
        <f t="shared" si="93"/>
        <v>5.9371550771407246E-2</v>
      </c>
      <c r="AE216" s="31" t="e">
        <f t="shared" si="94"/>
        <v>#N/A</v>
      </c>
      <c r="AF216" s="31" t="e">
        <f t="shared" si="95"/>
        <v>#N/A</v>
      </c>
      <c r="AL216" s="17">
        <f t="shared" si="96"/>
        <v>43434</v>
      </c>
      <c r="AM216">
        <f t="shared" si="98"/>
        <v>3</v>
      </c>
      <c r="AN216">
        <f t="shared" si="99"/>
        <v>3</v>
      </c>
    </row>
    <row r="217" spans="1:40">
      <c r="A217" s="7">
        <v>43465</v>
      </c>
      <c r="B217" s="8">
        <v>100.26739999999999</v>
      </c>
      <c r="C217" s="8">
        <f t="shared" si="81"/>
        <v>0.64825765167108584</v>
      </c>
      <c r="D217" s="9">
        <f t="shared" si="82"/>
        <v>0.19206441291777146</v>
      </c>
      <c r="E217" s="8">
        <v>54.9</v>
      </c>
      <c r="F217" s="10">
        <f t="shared" si="83"/>
        <v>7.7478708717084084</v>
      </c>
      <c r="G217" s="8">
        <v>-0.23200000000000001</v>
      </c>
      <c r="H217" s="10">
        <f t="shared" si="84"/>
        <v>-0.19702980350325738</v>
      </c>
      <c r="I217" s="10">
        <f t="shared" si="85"/>
        <v>2.9701964967426275E-3</v>
      </c>
      <c r="J217" s="1">
        <v>-0.13</v>
      </c>
      <c r="K217" s="10">
        <f t="shared" si="87"/>
        <v>-6.585296668547716E-2</v>
      </c>
      <c r="L217" s="8">
        <v>-0.82</v>
      </c>
      <c r="M217" s="11">
        <f t="shared" si="88"/>
        <v>-0.38779946233176193</v>
      </c>
      <c r="N217" s="9">
        <f t="shared" si="86"/>
        <v>-0.19389973116588097</v>
      </c>
      <c r="P217" s="29">
        <f t="shared" si="89"/>
        <v>1.302915880155614E-2</v>
      </c>
      <c r="Q217" s="1" t="str">
        <f t="shared" si="97"/>
        <v>SD</v>
      </c>
      <c r="R217" t="str">
        <f t="shared" si="91"/>
        <v>SD</v>
      </c>
      <c r="S217" s="18">
        <f t="shared" si="90"/>
        <v>0.20161932770551702</v>
      </c>
      <c r="T217" t="str">
        <f t="shared" si="100"/>
        <v>SD</v>
      </c>
      <c r="V217" s="1">
        <v>-71.8</v>
      </c>
      <c r="W217" s="1" t="e">
        <f t="shared" si="77"/>
        <v>#N/A</v>
      </c>
      <c r="X217" s="1">
        <f t="shared" si="78"/>
        <v>1.302915880155614E-2</v>
      </c>
      <c r="Y217" s="1">
        <f t="shared" si="79"/>
        <v>1.302915880155614E-2</v>
      </c>
      <c r="Z217" s="1" t="e">
        <f t="shared" si="80"/>
        <v>#N/A</v>
      </c>
      <c r="AA217" s="1">
        <v>0</v>
      </c>
      <c r="AC217" s="31" t="e">
        <f t="shared" si="92"/>
        <v>#N/A</v>
      </c>
      <c r="AD217" s="31">
        <f t="shared" si="93"/>
        <v>1.302915880155614E-2</v>
      </c>
      <c r="AE217" s="31">
        <f t="shared" si="94"/>
        <v>1.302915880155614E-2</v>
      </c>
      <c r="AF217" s="31" t="e">
        <f t="shared" si="95"/>
        <v>#N/A</v>
      </c>
      <c r="AL217" s="17">
        <f t="shared" si="96"/>
        <v>43465</v>
      </c>
      <c r="AM217">
        <f t="shared" si="98"/>
        <v>3</v>
      </c>
      <c r="AN217">
        <f t="shared" si="99"/>
        <v>3</v>
      </c>
    </row>
    <row r="218" spans="1:40">
      <c r="A218" s="7">
        <v>43496</v>
      </c>
      <c r="B218" s="8">
        <v>100.1494</v>
      </c>
      <c r="C218" s="8">
        <f t="shared" si="81"/>
        <v>0.50608322094482638</v>
      </c>
      <c r="D218" s="9">
        <f t="shared" si="82"/>
        <v>0.15652080523620659</v>
      </c>
      <c r="E218" s="8">
        <v>55.7</v>
      </c>
      <c r="F218" s="10">
        <f t="shared" si="83"/>
        <v>7.1642276732715127</v>
      </c>
      <c r="G218" s="8">
        <v>-0.56889999999999996</v>
      </c>
      <c r="H218" s="10">
        <f t="shared" si="84"/>
        <v>-0.30301280950482901</v>
      </c>
      <c r="I218" s="10">
        <f t="shared" si="85"/>
        <v>-0.10301280950482899</v>
      </c>
      <c r="J218" s="1">
        <v>-0.18</v>
      </c>
      <c r="K218" s="10">
        <f t="shared" si="87"/>
        <v>-9.8384871180116171E-2</v>
      </c>
      <c r="L218" s="8">
        <v>-3.7999999999999999E-2</v>
      </c>
      <c r="M218" s="11">
        <f t="shared" si="88"/>
        <v>-0.28810661556720979</v>
      </c>
      <c r="N218" s="9">
        <f t="shared" si="86"/>
        <v>-0.14405330778360489</v>
      </c>
      <c r="P218" s="29">
        <f t="shared" si="89"/>
        <v>-1.8333901456887475E-2</v>
      </c>
      <c r="Q218" s="1" t="str">
        <f t="shared" si="97"/>
        <v>C</v>
      </c>
      <c r="R218" t="str">
        <f t="shared" si="91"/>
        <v>C</v>
      </c>
      <c r="S218" s="18">
        <f t="shared" si="90"/>
        <v>-1.8333901456887475E-2</v>
      </c>
      <c r="T218" t="str">
        <f t="shared" si="100"/>
        <v>C</v>
      </c>
      <c r="V218" s="1">
        <v>-82.6</v>
      </c>
      <c r="W218" s="1" t="e">
        <f t="shared" si="77"/>
        <v>#N/A</v>
      </c>
      <c r="X218" s="1" t="e">
        <f t="shared" si="78"/>
        <v>#N/A</v>
      </c>
      <c r="Y218" s="1">
        <f t="shared" si="79"/>
        <v>-1.8333901456887475E-2</v>
      </c>
      <c r="Z218" s="1" t="e">
        <f t="shared" si="80"/>
        <v>#N/A</v>
      </c>
      <c r="AA218" s="1">
        <v>0</v>
      </c>
      <c r="AC218" s="31" t="e">
        <f t="shared" si="92"/>
        <v>#N/A</v>
      </c>
      <c r="AD218" s="31" t="e">
        <f t="shared" si="93"/>
        <v>#N/A</v>
      </c>
      <c r="AE218" s="31">
        <f t="shared" si="94"/>
        <v>-1.8333901456887475E-2</v>
      </c>
      <c r="AF218" s="31" t="e">
        <f t="shared" si="95"/>
        <v>#N/A</v>
      </c>
      <c r="AL218" s="17">
        <f t="shared" si="96"/>
        <v>43496</v>
      </c>
      <c r="AM218">
        <f t="shared" si="98"/>
        <v>1</v>
      </c>
      <c r="AN218">
        <f t="shared" si="99"/>
        <v>1</v>
      </c>
    </row>
    <row r="219" spans="1:40">
      <c r="A219" s="7">
        <v>43524</v>
      </c>
      <c r="B219" s="8">
        <v>100.0552</v>
      </c>
      <c r="C219" s="8">
        <f t="shared" si="81"/>
        <v>0.37758150297555065</v>
      </c>
      <c r="D219" s="9">
        <f t="shared" si="82"/>
        <v>0.12439537574388766</v>
      </c>
      <c r="E219" s="8">
        <v>54.4</v>
      </c>
      <c r="F219" s="10">
        <f t="shared" si="83"/>
        <v>6.3764227863891305</v>
      </c>
      <c r="G219" s="8">
        <v>-0.55459999999999998</v>
      </c>
      <c r="H219" s="10">
        <f t="shared" si="84"/>
        <v>-0.37471515879595274</v>
      </c>
      <c r="I219" s="10">
        <f t="shared" si="85"/>
        <v>-0.17471515879595273</v>
      </c>
      <c r="J219" s="1">
        <v>-0.37</v>
      </c>
      <c r="K219" s="10">
        <f t="shared" si="87"/>
        <v>-0.17579518289378307</v>
      </c>
      <c r="L219" s="8">
        <v>9.8000000000000004E-2</v>
      </c>
      <c r="M219" s="11">
        <f t="shared" si="88"/>
        <v>-0.17806623013055498</v>
      </c>
      <c r="N219" s="9">
        <f t="shared" si="86"/>
        <v>-8.9033115065277488E-2</v>
      </c>
      <c r="P219" s="29">
        <f t="shared" si="89"/>
        <v>-3.5742489541674541E-2</v>
      </c>
      <c r="Q219" s="1" t="str">
        <f t="shared" si="97"/>
        <v>C</v>
      </c>
      <c r="R219" t="str">
        <f t="shared" si="91"/>
        <v>C</v>
      </c>
      <c r="S219" s="18">
        <f t="shared" si="90"/>
        <v>-1.8333901456887475E-2</v>
      </c>
      <c r="T219" t="str">
        <f t="shared" si="100"/>
        <v>C</v>
      </c>
      <c r="V219" s="1">
        <v>-58.8</v>
      </c>
      <c r="W219" s="1" t="e">
        <f t="shared" si="77"/>
        <v>#N/A</v>
      </c>
      <c r="X219" s="1" t="e">
        <f t="shared" si="78"/>
        <v>#N/A</v>
      </c>
      <c r="Y219" s="1">
        <f t="shared" si="79"/>
        <v>-3.5742489541674541E-2</v>
      </c>
      <c r="Z219" s="1">
        <f t="shared" si="80"/>
        <v>-3.5742489541674541E-2</v>
      </c>
      <c r="AA219" s="1">
        <v>0</v>
      </c>
      <c r="AC219" s="31" t="e">
        <f t="shared" si="92"/>
        <v>#N/A</v>
      </c>
      <c r="AD219" s="31" t="e">
        <f t="shared" si="93"/>
        <v>#N/A</v>
      </c>
      <c r="AE219" s="31">
        <f t="shared" si="94"/>
        <v>-3.5742489541674541E-2</v>
      </c>
      <c r="AF219" s="31">
        <f t="shared" si="95"/>
        <v>-3.5742489541674541E-2</v>
      </c>
      <c r="AL219" s="17">
        <f t="shared" si="96"/>
        <v>43524</v>
      </c>
      <c r="AM219">
        <f t="shared" si="98"/>
        <v>1</v>
      </c>
      <c r="AN219">
        <f t="shared" si="99"/>
        <v>1</v>
      </c>
    </row>
    <row r="220" spans="1:40">
      <c r="A220" s="7">
        <v>43553</v>
      </c>
      <c r="B220" s="8">
        <v>99.971699999999998</v>
      </c>
      <c r="C220" s="8">
        <f t="shared" si="81"/>
        <v>0.26190527462751828</v>
      </c>
      <c r="D220" s="9">
        <f t="shared" si="82"/>
        <v>9.5476318656879569E-2</v>
      </c>
      <c r="E220" s="8">
        <v>54.9</v>
      </c>
      <c r="F220" s="10">
        <f t="shared" si="83"/>
        <v>5.9556422922682275</v>
      </c>
      <c r="G220" s="8">
        <v>-0.33579999999999999</v>
      </c>
      <c r="H220" s="10">
        <f t="shared" si="84"/>
        <v>-0.36362433853910625</v>
      </c>
      <c r="I220" s="10">
        <f t="shared" si="85"/>
        <v>-0.16362433853910624</v>
      </c>
      <c r="J220" s="1">
        <v>-0.03</v>
      </c>
      <c r="K220" s="10">
        <f t="shared" si="87"/>
        <v>-0.13424355576905489</v>
      </c>
      <c r="L220" s="8">
        <v>2.3E-2</v>
      </c>
      <c r="M220" s="11">
        <f t="shared" si="88"/>
        <v>-0.1207623545433468</v>
      </c>
      <c r="N220" s="9">
        <f t="shared" si="86"/>
        <v>-6.03811772716734E-2</v>
      </c>
      <c r="P220" s="29">
        <f t="shared" si="89"/>
        <v>-3.3203380022297328E-2</v>
      </c>
      <c r="Q220" s="1" t="str">
        <f t="shared" si="97"/>
        <v>R</v>
      </c>
      <c r="R220" t="str">
        <f t="shared" si="91"/>
        <v>C</v>
      </c>
      <c r="S220" s="18">
        <f t="shared" si="90"/>
        <v>-1.8333901456887475E-2</v>
      </c>
      <c r="T220" t="str">
        <f t="shared" si="100"/>
        <v>R</v>
      </c>
      <c r="V220" s="1">
        <v>-61</v>
      </c>
      <c r="W220" s="1" t="e">
        <f t="shared" si="77"/>
        <v>#N/A</v>
      </c>
      <c r="X220" s="1" t="e">
        <f t="shared" si="78"/>
        <v>#N/A</v>
      </c>
      <c r="Y220" s="1">
        <f t="shared" si="79"/>
        <v>-3.3203380022297328E-2</v>
      </c>
      <c r="Z220" s="1">
        <f t="shared" si="80"/>
        <v>-3.3203380022297328E-2</v>
      </c>
      <c r="AA220" s="1">
        <v>0</v>
      </c>
      <c r="AC220" s="31" t="e">
        <f t="shared" si="92"/>
        <v>#N/A</v>
      </c>
      <c r="AD220" s="31" t="e">
        <f t="shared" si="93"/>
        <v>#N/A</v>
      </c>
      <c r="AE220" s="31">
        <f t="shared" si="94"/>
        <v>-3.3203380022297328E-2</v>
      </c>
      <c r="AF220" s="31">
        <f t="shared" si="95"/>
        <v>-3.3203380022297328E-2</v>
      </c>
      <c r="AL220" s="17">
        <f t="shared" si="96"/>
        <v>43553</v>
      </c>
      <c r="AM220">
        <f t="shared" si="98"/>
        <v>2</v>
      </c>
      <c r="AN220">
        <f t="shared" si="99"/>
        <v>1</v>
      </c>
    </row>
    <row r="221" spans="1:40">
      <c r="A221" s="7">
        <v>43585</v>
      </c>
      <c r="B221" s="8">
        <v>99.886099999999999</v>
      </c>
      <c r="C221" s="8">
        <f t="shared" si="81"/>
        <v>0.15480077135867529</v>
      </c>
      <c r="D221" s="9">
        <f t="shared" si="82"/>
        <v>6.8700192839668828E-2</v>
      </c>
      <c r="E221" s="8">
        <v>53.6</v>
      </c>
      <c r="F221" s="10">
        <f t="shared" si="83"/>
        <v>5.2842842389717832</v>
      </c>
      <c r="G221" s="8">
        <v>-0.66639999999999999</v>
      </c>
      <c r="H221" s="10">
        <f t="shared" si="84"/>
        <v>-0.44991540205546099</v>
      </c>
      <c r="I221" s="10">
        <f t="shared" si="85"/>
        <v>-0.24991540205546098</v>
      </c>
      <c r="J221" s="1">
        <v>-0.53</v>
      </c>
      <c r="K221" s="10">
        <f t="shared" si="87"/>
        <v>-0.24703414237487425</v>
      </c>
      <c r="L221" s="8">
        <v>0.20200000000000001</v>
      </c>
      <c r="M221" s="11">
        <f t="shared" si="88"/>
        <v>-2.8775083498492948E-2</v>
      </c>
      <c r="N221" s="9">
        <f t="shared" si="86"/>
        <v>-1.4387541749246474E-2</v>
      </c>
      <c r="P221" s="29">
        <f t="shared" si="89"/>
        <v>-5.627554171594263E-2</v>
      </c>
      <c r="Q221" s="1" t="str">
        <f t="shared" si="97"/>
        <v>C</v>
      </c>
      <c r="R221" t="str">
        <f t="shared" si="91"/>
        <v>C</v>
      </c>
      <c r="S221" s="18">
        <f t="shared" si="90"/>
        <v>-5.627554171594263E-2</v>
      </c>
      <c r="T221" t="str">
        <f t="shared" si="100"/>
        <v>C</v>
      </c>
      <c r="V221" s="1">
        <v>-31.1</v>
      </c>
      <c r="W221" s="1" t="e">
        <f t="shared" si="77"/>
        <v>#N/A</v>
      </c>
      <c r="X221" s="1" t="e">
        <f t="shared" si="78"/>
        <v>#N/A</v>
      </c>
      <c r="Y221" s="1">
        <f t="shared" si="79"/>
        <v>-5.627554171594263E-2</v>
      </c>
      <c r="Z221" s="1">
        <f t="shared" si="80"/>
        <v>-5.627554171594263E-2</v>
      </c>
      <c r="AA221" s="1">
        <v>0</v>
      </c>
      <c r="AC221" s="31" t="e">
        <f t="shared" si="92"/>
        <v>#N/A</v>
      </c>
      <c r="AD221" s="31" t="e">
        <f t="shared" si="93"/>
        <v>#N/A</v>
      </c>
      <c r="AE221" s="31">
        <f t="shared" si="94"/>
        <v>-5.627554171594263E-2</v>
      </c>
      <c r="AF221" s="31">
        <f t="shared" si="95"/>
        <v>-5.627554171594263E-2</v>
      </c>
      <c r="AL221" s="17">
        <f t="shared" si="96"/>
        <v>43585</v>
      </c>
      <c r="AM221">
        <f t="shared" si="98"/>
        <v>1</v>
      </c>
      <c r="AN221">
        <f t="shared" si="99"/>
        <v>1</v>
      </c>
    </row>
    <row r="222" spans="1:40">
      <c r="A222" s="7">
        <v>43616</v>
      </c>
      <c r="B222" s="8">
        <v>99.789700000000011</v>
      </c>
      <c r="C222" s="8">
        <f t="shared" si="81"/>
        <v>5.0747051521455817E-2</v>
      </c>
      <c r="D222" s="9">
        <f t="shared" si="82"/>
        <v>4.2686762880363952E-2</v>
      </c>
      <c r="E222" s="8">
        <v>52.6</v>
      </c>
      <c r="F222" s="10">
        <f t="shared" si="83"/>
        <v>4.5192632308648255</v>
      </c>
      <c r="G222" s="8">
        <v>-0.2266</v>
      </c>
      <c r="H222" s="10">
        <f t="shared" si="84"/>
        <v>-0.3862705124696546</v>
      </c>
      <c r="I222" s="10">
        <f t="shared" si="85"/>
        <v>-0.18627051246965459</v>
      </c>
      <c r="J222" s="1">
        <v>-0.03</v>
      </c>
      <c r="K222" s="10">
        <f t="shared" si="87"/>
        <v>-0.1851794117980351</v>
      </c>
      <c r="L222" s="8">
        <v>-0.113</v>
      </c>
      <c r="M222" s="11">
        <f t="shared" si="88"/>
        <v>-5.2779184701422462E-2</v>
      </c>
      <c r="N222" s="9">
        <f t="shared" si="86"/>
        <v>-2.6389592350711231E-2</v>
      </c>
      <c r="P222" s="29">
        <f t="shared" si="89"/>
        <v>-4.7986637326899E-2</v>
      </c>
      <c r="Q222" s="1" t="str">
        <f t="shared" si="97"/>
        <v>R</v>
      </c>
      <c r="R222" t="str">
        <f t="shared" si="91"/>
        <v>C</v>
      </c>
      <c r="S222" s="18">
        <f t="shared" si="90"/>
        <v>-5.627554171594263E-2</v>
      </c>
      <c r="T222" t="str">
        <f t="shared" si="100"/>
        <v>R</v>
      </c>
      <c r="V222" s="1">
        <v>-20.3</v>
      </c>
      <c r="W222" s="1" t="e">
        <f t="shared" si="77"/>
        <v>#N/A</v>
      </c>
      <c r="X222" s="1" t="e">
        <f t="shared" si="78"/>
        <v>#N/A</v>
      </c>
      <c r="Y222" s="1" t="e">
        <f t="shared" si="79"/>
        <v>#N/A</v>
      </c>
      <c r="Z222" s="1">
        <f t="shared" si="80"/>
        <v>-4.7986637326899E-2</v>
      </c>
      <c r="AA222" s="1">
        <v>0</v>
      </c>
      <c r="AC222" s="31" t="e">
        <f t="shared" si="92"/>
        <v>#N/A</v>
      </c>
      <c r="AD222" s="31" t="e">
        <f t="shared" si="93"/>
        <v>#N/A</v>
      </c>
      <c r="AE222" s="31" t="e">
        <f t="shared" si="94"/>
        <v>#N/A</v>
      </c>
      <c r="AF222" s="31">
        <f t="shared" si="95"/>
        <v>-4.7986637326899E-2</v>
      </c>
      <c r="AL222" s="17">
        <f t="shared" si="96"/>
        <v>43616</v>
      </c>
      <c r="AM222">
        <f t="shared" si="98"/>
        <v>2</v>
      </c>
      <c r="AN222">
        <f t="shared" si="99"/>
        <v>1</v>
      </c>
    </row>
    <row r="223" spans="1:40">
      <c r="A223" s="7">
        <v>43644</v>
      </c>
      <c r="B223" s="8">
        <v>99.678399999999996</v>
      </c>
      <c r="C223" s="8">
        <f t="shared" si="81"/>
        <v>-5.5371858162160149E-2</v>
      </c>
      <c r="D223" s="9">
        <f t="shared" si="82"/>
        <v>1.6157035459459963E-2</v>
      </c>
      <c r="E223" s="8">
        <v>51.5</v>
      </c>
      <c r="F223" s="10">
        <f t="shared" si="83"/>
        <v>3.6587732100683503</v>
      </c>
      <c r="G223" s="8">
        <v>-0.1043</v>
      </c>
      <c r="H223" s="10">
        <f t="shared" si="84"/>
        <v>-0.30590891641580303</v>
      </c>
      <c r="I223" s="10">
        <f t="shared" si="85"/>
        <v>-0.10590891641580302</v>
      </c>
      <c r="J223" s="1">
        <v>7.0000000000000007E-2</v>
      </c>
      <c r="K223" s="10">
        <f t="shared" si="87"/>
        <v>-0.1124532794355951</v>
      </c>
      <c r="L223" s="8">
        <v>0.161</v>
      </c>
      <c r="M223" s="11">
        <f t="shared" si="88"/>
        <v>8.1478829384829532E-3</v>
      </c>
      <c r="N223" s="9">
        <f t="shared" si="86"/>
        <v>8.1478829384829532E-3</v>
      </c>
      <c r="P223" s="29">
        <f t="shared" si="89"/>
        <v>-1.8358090198985374E-2</v>
      </c>
      <c r="Q223" s="1" t="str">
        <f t="shared" si="97"/>
        <v>R</v>
      </c>
      <c r="R223" t="str">
        <f t="shared" si="91"/>
        <v>C</v>
      </c>
      <c r="S223" s="18">
        <f t="shared" si="90"/>
        <v>-1.8358090198985374E-2</v>
      </c>
      <c r="T223" t="str">
        <f t="shared" si="100"/>
        <v>R</v>
      </c>
      <c r="V223" s="1">
        <v>-4.4000000000000004</v>
      </c>
      <c r="W223" s="1">
        <f t="shared" si="77"/>
        <v>-1.8358090198985374E-2</v>
      </c>
      <c r="X223" s="1" t="e">
        <f t="shared" si="78"/>
        <v>#N/A</v>
      </c>
      <c r="Y223" s="1" t="e">
        <f t="shared" si="79"/>
        <v>#N/A</v>
      </c>
      <c r="Z223" s="1">
        <f t="shared" si="80"/>
        <v>-1.8358090198985374E-2</v>
      </c>
      <c r="AA223" s="1">
        <v>0</v>
      </c>
      <c r="AC223" s="31">
        <f t="shared" si="92"/>
        <v>-1.8358090198985374E-2</v>
      </c>
      <c r="AD223" s="31" t="e">
        <f t="shared" si="93"/>
        <v>#N/A</v>
      </c>
      <c r="AE223" s="31" t="e">
        <f t="shared" si="94"/>
        <v>#N/A</v>
      </c>
      <c r="AF223" s="31">
        <f t="shared" si="95"/>
        <v>-1.8358090198985374E-2</v>
      </c>
      <c r="AL223" s="17">
        <f t="shared" si="96"/>
        <v>43644</v>
      </c>
      <c r="AM223">
        <f t="shared" si="98"/>
        <v>2</v>
      </c>
      <c r="AN223">
        <f t="shared" si="99"/>
        <v>1</v>
      </c>
    </row>
    <row r="224" spans="1:40">
      <c r="A224" s="7">
        <v>43677</v>
      </c>
      <c r="B224" s="8">
        <v>99.566800000000001</v>
      </c>
      <c r="C224" s="8">
        <f t="shared" si="81"/>
        <v>-0.16305287858594433</v>
      </c>
      <c r="D224" s="9">
        <f t="shared" si="82"/>
        <v>-1.0763219646486084E-2</v>
      </c>
      <c r="E224" s="8">
        <v>51</v>
      </c>
      <c r="F224" s="10">
        <f t="shared" si="83"/>
        <v>2.9010228451988707</v>
      </c>
      <c r="G224" s="8">
        <v>-0.26519999999999999</v>
      </c>
      <c r="H224" s="10">
        <f t="shared" si="84"/>
        <v>-0.29430687523729915</v>
      </c>
      <c r="I224" s="10">
        <f t="shared" si="85"/>
        <v>-9.4306875237299137E-2</v>
      </c>
      <c r="J224" s="1">
        <v>-0.31</v>
      </c>
      <c r="K224" s="10">
        <f t="shared" si="87"/>
        <v>-0.16875409479645051</v>
      </c>
      <c r="L224" s="8">
        <v>0.33100000000000002</v>
      </c>
      <c r="M224" s="11">
        <f t="shared" si="88"/>
        <v>0.10016073630101532</v>
      </c>
      <c r="N224" s="9">
        <f t="shared" si="86"/>
        <v>0.10016073630101532</v>
      </c>
      <c r="P224" s="29">
        <f t="shared" si="89"/>
        <v>7.3369655077253808E-3</v>
      </c>
      <c r="Q224" s="1" t="str">
        <f t="shared" si="97"/>
        <v>E</v>
      </c>
      <c r="R224" t="str">
        <f t="shared" si="91"/>
        <v>E</v>
      </c>
      <c r="S224" s="18">
        <f t="shared" si="90"/>
        <v>7.3369655077253808E-3</v>
      </c>
      <c r="T224" t="str">
        <f t="shared" si="100"/>
        <v>E</v>
      </c>
      <c r="V224" s="1">
        <v>-55</v>
      </c>
      <c r="W224" s="1">
        <f t="shared" si="77"/>
        <v>7.3369655077253808E-3</v>
      </c>
      <c r="X224" s="1" t="e">
        <f t="shared" si="78"/>
        <v>#N/A</v>
      </c>
      <c r="Y224" s="1" t="e">
        <f t="shared" si="79"/>
        <v>#N/A</v>
      </c>
      <c r="Z224" s="1" t="e">
        <f t="shared" si="80"/>
        <v>#N/A</v>
      </c>
      <c r="AA224" s="1">
        <v>0</v>
      </c>
      <c r="AC224" s="31">
        <f t="shared" si="92"/>
        <v>7.3369655077253808E-3</v>
      </c>
      <c r="AD224" s="31" t="e">
        <f t="shared" si="93"/>
        <v>#N/A</v>
      </c>
      <c r="AE224" s="31" t="e">
        <f t="shared" si="94"/>
        <v>#N/A</v>
      </c>
      <c r="AF224" s="31" t="e">
        <f t="shared" si="95"/>
        <v>#N/A</v>
      </c>
      <c r="AL224" s="17">
        <f t="shared" si="96"/>
        <v>43677</v>
      </c>
      <c r="AM224">
        <f t="shared" si="98"/>
        <v>4</v>
      </c>
      <c r="AN224">
        <f t="shared" si="99"/>
        <v>4</v>
      </c>
    </row>
    <row r="225" spans="1:40">
      <c r="A225" s="7">
        <v>43707</v>
      </c>
      <c r="B225" s="8">
        <v>99.4726</v>
      </c>
      <c r="C225" s="8">
        <f t="shared" si="81"/>
        <v>-0.26689180818895025</v>
      </c>
      <c r="D225" s="9">
        <f t="shared" si="82"/>
        <v>-3.6722952047237564E-2</v>
      </c>
      <c r="E225" s="8">
        <v>48.5</v>
      </c>
      <c r="F225" s="10">
        <f t="shared" si="83"/>
        <v>1.6467313343171923</v>
      </c>
      <c r="G225" s="8">
        <v>0.22639999999999999</v>
      </c>
      <c r="H225" s="10">
        <f t="shared" si="84"/>
        <v>-0.1459054157946689</v>
      </c>
      <c r="I225" s="10">
        <f t="shared" si="85"/>
        <v>5.4094584205331114E-2</v>
      </c>
      <c r="J225" s="1">
        <v>0.1</v>
      </c>
      <c r="K225" s="10">
        <f t="shared" si="87"/>
        <v>-9.2159177779462115E-2</v>
      </c>
      <c r="L225" s="8">
        <v>0.11700000000000001</v>
      </c>
      <c r="M225" s="11">
        <f t="shared" si="88"/>
        <v>0.10495992645522595</v>
      </c>
      <c r="N225" s="9">
        <f t="shared" si="86"/>
        <v>0.10495992645522595</v>
      </c>
      <c r="P225" s="29">
        <f t="shared" si="89"/>
        <v>4.9430430338023662E-2</v>
      </c>
      <c r="Q225" s="1" t="str">
        <f t="shared" si="97"/>
        <v>E</v>
      </c>
      <c r="R225" t="str">
        <f t="shared" si="91"/>
        <v>E</v>
      </c>
      <c r="S225" s="18">
        <f t="shared" si="90"/>
        <v>7.3369655077253808E-3</v>
      </c>
      <c r="T225" t="str">
        <f t="shared" si="100"/>
        <v>E</v>
      </c>
      <c r="V225" s="1">
        <v>-39.299999999999997</v>
      </c>
      <c r="W225" s="1">
        <f t="shared" si="77"/>
        <v>4.9430430338023662E-2</v>
      </c>
      <c r="X225" s="1">
        <f t="shared" si="78"/>
        <v>4.9430430338023662E-2</v>
      </c>
      <c r="Y225" s="1" t="e">
        <f t="shared" si="79"/>
        <v>#N/A</v>
      </c>
      <c r="Z225" s="1" t="e">
        <f t="shared" si="80"/>
        <v>#N/A</v>
      </c>
      <c r="AA225" s="1">
        <v>0</v>
      </c>
      <c r="AC225" s="31">
        <f t="shared" si="92"/>
        <v>4.9430430338023662E-2</v>
      </c>
      <c r="AD225" s="31">
        <f t="shared" si="93"/>
        <v>4.9430430338023662E-2</v>
      </c>
      <c r="AE225" s="31" t="e">
        <f t="shared" si="94"/>
        <v>#N/A</v>
      </c>
      <c r="AF225" s="31" t="e">
        <f t="shared" si="95"/>
        <v>#N/A</v>
      </c>
      <c r="AL225" s="17">
        <f t="shared" si="96"/>
        <v>43707</v>
      </c>
      <c r="AM225">
        <f t="shared" si="98"/>
        <v>4</v>
      </c>
      <c r="AN225">
        <f t="shared" si="99"/>
        <v>4</v>
      </c>
    </row>
    <row r="226" spans="1:40">
      <c r="A226" s="7">
        <v>43738</v>
      </c>
      <c r="B226" s="8">
        <v>99.399799999999999</v>
      </c>
      <c r="C226" s="8">
        <f t="shared" si="81"/>
        <v>-0.36188464285509969</v>
      </c>
      <c r="D226" s="9">
        <f t="shared" si="82"/>
        <v>-6.0471160713774924E-2</v>
      </c>
      <c r="E226" s="8">
        <v>48.1</v>
      </c>
      <c r="F226" s="10">
        <f t="shared" si="83"/>
        <v>0.63591290403679279</v>
      </c>
      <c r="G226" s="8">
        <v>-0.50780000000000003</v>
      </c>
      <c r="H226" s="10">
        <f t="shared" si="84"/>
        <v>-0.24904537229318829</v>
      </c>
      <c r="I226" s="10">
        <f t="shared" si="85"/>
        <v>-4.9045372293188283E-2</v>
      </c>
      <c r="J226" s="1">
        <v>-0.36</v>
      </c>
      <c r="K226" s="10">
        <f t="shared" si="87"/>
        <v>-0.1684938121123154</v>
      </c>
      <c r="L226" s="8">
        <v>0.44900000000000001</v>
      </c>
      <c r="M226" s="11">
        <f t="shared" si="88"/>
        <v>0.20301134741548657</v>
      </c>
      <c r="N226" s="9">
        <f t="shared" si="86"/>
        <v>0.20301134741548657</v>
      </c>
      <c r="P226" s="29">
        <f t="shared" si="89"/>
        <v>3.908100769168691E-2</v>
      </c>
      <c r="Q226" s="1" t="str">
        <f t="shared" si="97"/>
        <v>SD</v>
      </c>
      <c r="R226" t="str">
        <f t="shared" si="91"/>
        <v>E</v>
      </c>
      <c r="S226" s="18">
        <f t="shared" si="90"/>
        <v>7.3369655077253808E-3</v>
      </c>
      <c r="T226" t="str">
        <f t="shared" si="100"/>
        <v>SD</v>
      </c>
      <c r="V226" s="1">
        <v>-72</v>
      </c>
      <c r="W226" s="1" t="e">
        <f t="shared" si="77"/>
        <v>#N/A</v>
      </c>
      <c r="X226" s="1">
        <f t="shared" si="78"/>
        <v>3.908100769168691E-2</v>
      </c>
      <c r="Y226" s="1">
        <f t="shared" si="79"/>
        <v>3.908100769168691E-2</v>
      </c>
      <c r="Z226" s="1" t="e">
        <f t="shared" si="80"/>
        <v>#N/A</v>
      </c>
      <c r="AA226" s="1">
        <v>0</v>
      </c>
      <c r="AC226" s="31" t="e">
        <f t="shared" si="92"/>
        <v>#N/A</v>
      </c>
      <c r="AD226" s="31">
        <f t="shared" si="93"/>
        <v>3.908100769168691E-2</v>
      </c>
      <c r="AE226" s="31">
        <f t="shared" si="94"/>
        <v>3.908100769168691E-2</v>
      </c>
      <c r="AF226" s="31" t="e">
        <f t="shared" si="95"/>
        <v>#N/A</v>
      </c>
      <c r="AL226" s="17">
        <f t="shared" si="96"/>
        <v>43738</v>
      </c>
      <c r="AM226">
        <f t="shared" si="98"/>
        <v>3</v>
      </c>
      <c r="AN226">
        <f t="shared" si="99"/>
        <v>4</v>
      </c>
    </row>
    <row r="227" spans="1:40">
      <c r="A227" s="7">
        <v>43769</v>
      </c>
      <c r="B227" s="8">
        <v>99.342299999999994</v>
      </c>
      <c r="C227" s="8">
        <f t="shared" si="81"/>
        <v>-0.44619201964139787</v>
      </c>
      <c r="D227" s="9">
        <f t="shared" si="82"/>
        <v>-8.154800491034947E-2</v>
      </c>
      <c r="E227" s="8">
        <v>48.1</v>
      </c>
      <c r="F227" s="10">
        <f t="shared" si="83"/>
        <v>-8.6822273613692824E-2</v>
      </c>
      <c r="G227" s="8">
        <v>-0.79590000000000005</v>
      </c>
      <c r="H227" s="10">
        <f t="shared" si="84"/>
        <v>-0.40489894118962966</v>
      </c>
      <c r="I227" s="10">
        <f t="shared" si="85"/>
        <v>-0.20489894118962965</v>
      </c>
      <c r="J227" s="1">
        <v>-0.63</v>
      </c>
      <c r="K227" s="10">
        <f t="shared" si="87"/>
        <v>-0.3000230756603055</v>
      </c>
      <c r="L227" s="8">
        <v>0.40200000000000002</v>
      </c>
      <c r="M227" s="11">
        <f t="shared" si="88"/>
        <v>0.25972311340207294</v>
      </c>
      <c r="N227" s="9">
        <f t="shared" si="86"/>
        <v>0.25972311340207294</v>
      </c>
      <c r="P227" s="29">
        <f t="shared" si="89"/>
        <v>-1.8823295004438874E-3</v>
      </c>
      <c r="Q227" s="1" t="str">
        <f t="shared" si="97"/>
        <v>C</v>
      </c>
      <c r="R227" t="str">
        <f t="shared" si="91"/>
        <v>C</v>
      </c>
      <c r="S227" s="18">
        <f t="shared" si="90"/>
        <v>-1.8823295004438874E-3</v>
      </c>
      <c r="T227" t="str">
        <f t="shared" si="100"/>
        <v>C</v>
      </c>
      <c r="V227" s="1">
        <v>-43.1</v>
      </c>
      <c r="W227" s="1">
        <f t="shared" si="77"/>
        <v>-1.8823295004438874E-3</v>
      </c>
      <c r="X227" s="1" t="e">
        <f t="shared" si="78"/>
        <v>#N/A</v>
      </c>
      <c r="Y227" s="1">
        <f t="shared" si="79"/>
        <v>-1.8823295004438874E-3</v>
      </c>
      <c r="Z227" s="1" t="e">
        <f t="shared" si="80"/>
        <v>#N/A</v>
      </c>
      <c r="AA227" s="1">
        <v>0</v>
      </c>
      <c r="AC227" s="31">
        <f t="shared" si="92"/>
        <v>-1.8823295004438874E-3</v>
      </c>
      <c r="AD227" s="31" t="e">
        <f t="shared" si="93"/>
        <v>#N/A</v>
      </c>
      <c r="AE227" s="31">
        <f t="shared" si="94"/>
        <v>-1.8823295004438874E-3</v>
      </c>
      <c r="AF227" s="31" t="e">
        <f t="shared" si="95"/>
        <v>#N/A</v>
      </c>
      <c r="AL227" s="17">
        <f t="shared" si="96"/>
        <v>43769</v>
      </c>
      <c r="AM227">
        <f t="shared" si="98"/>
        <v>1</v>
      </c>
      <c r="AN227">
        <f t="shared" si="99"/>
        <v>1</v>
      </c>
    </row>
    <row r="228" spans="1:40">
      <c r="A228" s="7">
        <v>43798</v>
      </c>
      <c r="B228" s="8">
        <v>99.283600000000007</v>
      </c>
      <c r="C228" s="8">
        <f t="shared" si="81"/>
        <v>-0.5232012940435975</v>
      </c>
      <c r="D228" s="9">
        <f t="shared" si="82"/>
        <v>-0.10080032351089938</v>
      </c>
      <c r="E228" s="8">
        <v>48.1</v>
      </c>
      <c r="F228" s="10">
        <f t="shared" si="83"/>
        <v>-0.60357792563378998</v>
      </c>
      <c r="G228" s="8">
        <v>-0.1022</v>
      </c>
      <c r="H228" s="10">
        <f t="shared" si="84"/>
        <v>-0.31862974295058522</v>
      </c>
      <c r="I228" s="10">
        <f t="shared" si="85"/>
        <v>-0.1186297429505852</v>
      </c>
      <c r="J228" s="1">
        <v>0.15</v>
      </c>
      <c r="K228" s="10">
        <f t="shared" si="87"/>
        <v>-0.17176649909711841</v>
      </c>
      <c r="L228" s="8">
        <v>0.47299999999999998</v>
      </c>
      <c r="M228" s="11">
        <f t="shared" si="88"/>
        <v>0.32050702608248216</v>
      </c>
      <c r="N228" s="9">
        <f t="shared" si="86"/>
        <v>0.32050702608248216</v>
      </c>
      <c r="P228" s="29">
        <f t="shared" si="89"/>
        <v>4.0109759407182498E-2</v>
      </c>
      <c r="Q228" s="1" t="str">
        <f t="shared" si="97"/>
        <v>E</v>
      </c>
      <c r="R228" t="str">
        <f t="shared" si="91"/>
        <v>E</v>
      </c>
      <c r="S228" s="18">
        <f t="shared" si="90"/>
        <v>4.0109759407182498E-2</v>
      </c>
      <c r="T228" t="str">
        <f t="shared" si="100"/>
        <v>E</v>
      </c>
      <c r="V228" s="1">
        <v>-8.9</v>
      </c>
      <c r="W228" s="1">
        <f t="shared" si="77"/>
        <v>4.0109759407182498E-2</v>
      </c>
      <c r="X228" s="1">
        <f t="shared" si="78"/>
        <v>4.0109759407182498E-2</v>
      </c>
      <c r="Y228" s="1" t="e">
        <f t="shared" si="79"/>
        <v>#N/A</v>
      </c>
      <c r="Z228" s="1" t="e">
        <f t="shared" si="80"/>
        <v>#N/A</v>
      </c>
      <c r="AA228" s="1">
        <v>0</v>
      </c>
      <c r="AC228" s="31">
        <f t="shared" si="92"/>
        <v>4.0109759407182498E-2</v>
      </c>
      <c r="AD228" s="31" t="e">
        <f t="shared" si="93"/>
        <v>#N/A</v>
      </c>
      <c r="AE228" s="31" t="e">
        <f t="shared" si="94"/>
        <v>#N/A</v>
      </c>
      <c r="AF228" s="31" t="e">
        <f t="shared" si="95"/>
        <v>#N/A</v>
      </c>
      <c r="AL228" s="17">
        <f t="shared" si="96"/>
        <v>43798</v>
      </c>
      <c r="AM228">
        <f t="shared" si="98"/>
        <v>4</v>
      </c>
      <c r="AN228">
        <f t="shared" si="99"/>
        <v>4</v>
      </c>
    </row>
    <row r="229" spans="1:40">
      <c r="A229" s="7">
        <v>43830</v>
      </c>
      <c r="B229" s="8">
        <v>99.198800000000006</v>
      </c>
      <c r="C229" s="8">
        <f t="shared" si="81"/>
        <v>-0.60243092524117059</v>
      </c>
      <c r="D229" s="9">
        <f t="shared" si="82"/>
        <v>-0.12060773131029265</v>
      </c>
      <c r="E229" s="8">
        <v>47.9</v>
      </c>
      <c r="F229" s="10">
        <f t="shared" si="83"/>
        <v>-1.0300582168281602</v>
      </c>
      <c r="G229" s="8">
        <v>-0.43309999999999998</v>
      </c>
      <c r="H229" s="10">
        <f t="shared" si="84"/>
        <v>-0.35125376620966842</v>
      </c>
      <c r="I229" s="10">
        <f t="shared" si="85"/>
        <v>-0.15125376620966841</v>
      </c>
      <c r="J229" s="1">
        <v>-0.34</v>
      </c>
      <c r="K229" s="10">
        <f t="shared" si="87"/>
        <v>-0.21971304685443968</v>
      </c>
      <c r="L229" s="8">
        <v>0.42799999999999999</v>
      </c>
      <c r="M229" s="11">
        <f t="shared" si="88"/>
        <v>0.35114252364897475</v>
      </c>
      <c r="N229" s="9">
        <f t="shared" si="86"/>
        <v>0.35114252364897475</v>
      </c>
      <c r="P229" s="29">
        <f t="shared" si="89"/>
        <v>3.3029477976135667E-2</v>
      </c>
      <c r="Q229" s="1" t="str">
        <f t="shared" si="97"/>
        <v>SD</v>
      </c>
      <c r="R229" t="str">
        <f t="shared" si="91"/>
        <v>E</v>
      </c>
      <c r="S229" s="18">
        <f t="shared" si="90"/>
        <v>4.0109759407182498E-2</v>
      </c>
      <c r="T229" t="str">
        <f t="shared" si="100"/>
        <v>E</v>
      </c>
      <c r="V229" s="1">
        <v>30.4</v>
      </c>
      <c r="W229" s="1">
        <f t="shared" si="77"/>
        <v>3.3029477976135667E-2</v>
      </c>
      <c r="X229" s="1">
        <f t="shared" si="78"/>
        <v>3.3029477976135667E-2</v>
      </c>
      <c r="Y229" s="1" t="e">
        <f t="shared" si="79"/>
        <v>#N/A</v>
      </c>
      <c r="Z229" s="1" t="e">
        <f t="shared" si="80"/>
        <v>#N/A</v>
      </c>
      <c r="AA229" s="1">
        <v>0</v>
      </c>
      <c r="AC229" s="31">
        <f t="shared" si="92"/>
        <v>3.3029477976135667E-2</v>
      </c>
      <c r="AD229" s="31" t="e">
        <f t="shared" si="93"/>
        <v>#N/A</v>
      </c>
      <c r="AE229" s="31" t="e">
        <f t="shared" si="94"/>
        <v>#N/A</v>
      </c>
      <c r="AF229" s="31" t="e">
        <f t="shared" si="95"/>
        <v>#N/A</v>
      </c>
      <c r="AL229" s="17">
        <f t="shared" si="96"/>
        <v>43830</v>
      </c>
      <c r="AM229">
        <f t="shared" si="98"/>
        <v>3</v>
      </c>
      <c r="AN229">
        <f t="shared" si="99"/>
        <v>4</v>
      </c>
    </row>
    <row r="230" spans="1:40">
      <c r="A230" s="7">
        <v>43861</v>
      </c>
      <c r="B230" s="8">
        <v>99.0732</v>
      </c>
      <c r="C230" s="8">
        <f t="shared" si="81"/>
        <v>-0.694876111547437</v>
      </c>
      <c r="D230" s="9">
        <f t="shared" si="82"/>
        <v>-0.14371902788685925</v>
      </c>
      <c r="E230" s="8">
        <v>51.4</v>
      </c>
      <c r="F230" s="10">
        <f t="shared" si="83"/>
        <v>-0.33749162503213487</v>
      </c>
      <c r="G230" s="8">
        <v>-2.41E-2</v>
      </c>
      <c r="H230" s="10">
        <f t="shared" si="84"/>
        <v>-0.25801494283991289</v>
      </c>
      <c r="I230" s="10">
        <f t="shared" si="85"/>
        <v>-5.8014942839912875E-2</v>
      </c>
      <c r="J230" s="1">
        <v>-0.15</v>
      </c>
      <c r="K230" s="10">
        <f t="shared" si="87"/>
        <v>-0.19984482850092439</v>
      </c>
      <c r="L230" s="8">
        <v>0.51</v>
      </c>
      <c r="M230" s="11">
        <f t="shared" si="88"/>
        <v>0.39641690440901689</v>
      </c>
      <c r="N230" s="9">
        <f t="shared" si="86"/>
        <v>0.39641690440901689</v>
      </c>
      <c r="P230" s="29">
        <f t="shared" si="89"/>
        <v>7.2598076752937127E-2</v>
      </c>
      <c r="Q230" s="1" t="str">
        <f t="shared" si="97"/>
        <v>E</v>
      </c>
      <c r="R230" t="str">
        <f t="shared" si="91"/>
        <v>E</v>
      </c>
      <c r="S230" s="18">
        <f t="shared" si="90"/>
        <v>7.2598076752937127E-2</v>
      </c>
      <c r="T230" t="str">
        <f t="shared" si="100"/>
        <v>E</v>
      </c>
      <c r="V230" s="1">
        <v>21.1</v>
      </c>
      <c r="W230" s="1">
        <f t="shared" si="77"/>
        <v>7.2598076752937127E-2</v>
      </c>
      <c r="X230" s="1" t="e">
        <f t="shared" si="78"/>
        <v>#N/A</v>
      </c>
      <c r="Y230" s="1">
        <f t="shared" si="79"/>
        <v>7.2598076752937127E-2</v>
      </c>
      <c r="Z230" s="1" t="e">
        <f t="shared" si="80"/>
        <v>#N/A</v>
      </c>
      <c r="AA230" s="1">
        <v>0</v>
      </c>
      <c r="AC230" s="31">
        <f t="shared" si="92"/>
        <v>7.2598076752937127E-2</v>
      </c>
      <c r="AD230" s="31" t="e">
        <f t="shared" si="93"/>
        <v>#N/A</v>
      </c>
      <c r="AE230" s="31">
        <f t="shared" si="94"/>
        <v>7.2598076752937127E-2</v>
      </c>
      <c r="AF230" s="31" t="e">
        <f t="shared" si="95"/>
        <v>#N/A</v>
      </c>
      <c r="AL230" s="17">
        <f t="shared" si="96"/>
        <v>43861</v>
      </c>
      <c r="AM230">
        <f t="shared" si="98"/>
        <v>4</v>
      </c>
      <c r="AN230">
        <f t="shared" si="99"/>
        <v>4</v>
      </c>
    </row>
    <row r="231" spans="1:40">
      <c r="A231" s="7">
        <v>43889</v>
      </c>
      <c r="B231" s="8">
        <v>98.898099999999999</v>
      </c>
      <c r="C231" s="8">
        <f t="shared" si="81"/>
        <v>-0.81087791975641765</v>
      </c>
      <c r="D231" s="9">
        <f t="shared" si="82"/>
        <v>-0.17271947993910441</v>
      </c>
      <c r="E231" s="8">
        <v>50.3</v>
      </c>
      <c r="F231" s="10">
        <f t="shared" si="83"/>
        <v>-0.15580651189797723</v>
      </c>
      <c r="G231" s="8">
        <v>-1.4389000000000001</v>
      </c>
      <c r="H231" s="10">
        <f t="shared" si="84"/>
        <v>-0.59456718413053777</v>
      </c>
      <c r="I231" s="10">
        <f t="shared" si="85"/>
        <v>-0.39456718413053776</v>
      </c>
      <c r="J231" s="1">
        <v>0.08</v>
      </c>
      <c r="K231" s="10">
        <f t="shared" si="87"/>
        <v>-0.12008905237816093</v>
      </c>
      <c r="L231" s="8">
        <v>-0.70399999999999996</v>
      </c>
      <c r="M231" s="11">
        <f t="shared" si="88"/>
        <v>8.2798086652447062E-2</v>
      </c>
      <c r="N231" s="9">
        <f t="shared" si="86"/>
        <v>8.2798086652447062E-2</v>
      </c>
      <c r="P231" s="29">
        <f t="shared" si="89"/>
        <v>-0.15182937512164998</v>
      </c>
      <c r="Q231" s="1" t="str">
        <f t="shared" si="97"/>
        <v>C</v>
      </c>
      <c r="R231" t="str">
        <f t="shared" si="91"/>
        <v>C</v>
      </c>
      <c r="S231" s="18">
        <f t="shared" si="90"/>
        <v>-0.15182937512164998</v>
      </c>
      <c r="T231" t="str">
        <f t="shared" si="100"/>
        <v>C</v>
      </c>
      <c r="V231" s="1">
        <v>0.4</v>
      </c>
      <c r="W231" s="1" t="e">
        <f t="shared" si="77"/>
        <v>#N/A</v>
      </c>
      <c r="X231" s="1" t="e">
        <f t="shared" si="78"/>
        <v>#N/A</v>
      </c>
      <c r="Y231" s="1">
        <f t="shared" si="79"/>
        <v>-0.15182937512164998</v>
      </c>
      <c r="Z231" s="1" t="e">
        <f t="shared" si="80"/>
        <v>#N/A</v>
      </c>
      <c r="AA231" s="1">
        <v>0</v>
      </c>
      <c r="AC231" s="31" t="e">
        <f t="shared" si="92"/>
        <v>#N/A</v>
      </c>
      <c r="AD231" s="31" t="e">
        <f t="shared" si="93"/>
        <v>#N/A</v>
      </c>
      <c r="AE231" s="31">
        <f t="shared" si="94"/>
        <v>-0.15182937512164998</v>
      </c>
      <c r="AF231" s="31" t="e">
        <f t="shared" si="95"/>
        <v>#N/A</v>
      </c>
      <c r="AL231" s="17">
        <f t="shared" si="96"/>
        <v>43889</v>
      </c>
      <c r="AM231">
        <f t="shared" si="98"/>
        <v>1</v>
      </c>
      <c r="AN231">
        <f t="shared" si="99"/>
        <v>1</v>
      </c>
    </row>
    <row r="232" spans="1:40">
      <c r="A232" s="7">
        <v>43921</v>
      </c>
      <c r="B232" s="8">
        <v>95.723299999999995</v>
      </c>
      <c r="C232" s="8">
        <f t="shared" si="81"/>
        <v>-1.7986372126258401</v>
      </c>
      <c r="D232" s="9">
        <f t="shared" si="82"/>
        <v>-0.41965930315646005</v>
      </c>
      <c r="E232" s="8">
        <v>49.1</v>
      </c>
      <c r="F232" s="10">
        <f t="shared" si="83"/>
        <v>-0.36790165600705332</v>
      </c>
      <c r="G232" s="8">
        <v>-21.689299999999999</v>
      </c>
      <c r="H232" s="10">
        <f t="shared" si="84"/>
        <v>-6.6065660366533345</v>
      </c>
      <c r="I232" s="10">
        <f t="shared" si="85"/>
        <v>-1.8</v>
      </c>
      <c r="J232" s="1">
        <v>-4.3</v>
      </c>
      <c r="K232" s="10">
        <f t="shared" si="87"/>
        <v>-1.2994783162188135</v>
      </c>
      <c r="L232" s="8">
        <v>-1.889</v>
      </c>
      <c r="M232" s="11">
        <f t="shared" si="88"/>
        <v>-0.47916436804350043</v>
      </c>
      <c r="N232" s="9">
        <f t="shared" si="86"/>
        <v>-0.23958218402175022</v>
      </c>
      <c r="P232" s="29">
        <f t="shared" si="89"/>
        <v>-0.73743388798695164</v>
      </c>
      <c r="Q232" s="1" t="str">
        <f t="shared" si="97"/>
        <v>C</v>
      </c>
      <c r="R232" t="str">
        <f t="shared" si="91"/>
        <v>C</v>
      </c>
      <c r="S232" s="18">
        <f t="shared" si="90"/>
        <v>-0.15182937512164998</v>
      </c>
      <c r="T232" t="str">
        <f t="shared" si="100"/>
        <v>C</v>
      </c>
      <c r="V232" s="1">
        <v>-50.2</v>
      </c>
      <c r="W232" s="1" t="e">
        <f t="shared" si="77"/>
        <v>#N/A</v>
      </c>
      <c r="X232" s="1" t="e">
        <f t="shared" si="78"/>
        <v>#N/A</v>
      </c>
      <c r="Y232" s="1">
        <f t="shared" si="79"/>
        <v>-0.73743388798695164</v>
      </c>
      <c r="Z232" s="1" t="e">
        <f t="shared" si="80"/>
        <v>#N/A</v>
      </c>
      <c r="AA232" s="1">
        <v>0</v>
      </c>
      <c r="AC232" s="31" t="e">
        <f t="shared" si="92"/>
        <v>#N/A</v>
      </c>
      <c r="AD232" s="31" t="e">
        <f t="shared" si="93"/>
        <v>#N/A</v>
      </c>
      <c r="AE232" s="31">
        <f t="shared" si="94"/>
        <v>-0.73743388798695164</v>
      </c>
      <c r="AF232" s="31" t="e">
        <f t="shared" si="95"/>
        <v>#N/A</v>
      </c>
      <c r="AL232" s="17">
        <f t="shared" si="96"/>
        <v>43921</v>
      </c>
      <c r="AM232">
        <f t="shared" ref="AM232:AM263" si="101">IF($Q232="E",4,IF($Q232="R",2,IF($Q232="SD",3,1)))</f>
        <v>1</v>
      </c>
      <c r="AN232">
        <f t="shared" si="99"/>
        <v>1</v>
      </c>
    </row>
    <row r="233" spans="1:40">
      <c r="A233" s="7">
        <v>43951</v>
      </c>
      <c r="B233" s="8">
        <v>90.435100000000006</v>
      </c>
      <c r="C233" s="8">
        <f t="shared" si="81"/>
        <v>-4.012022107027474</v>
      </c>
      <c r="D233" s="9">
        <f t="shared" si="82"/>
        <v>-0.97300552675686847</v>
      </c>
      <c r="E233" s="8">
        <v>41.6</v>
      </c>
      <c r="F233" s="10">
        <f t="shared" si="83"/>
        <v>-2.6570496840450426</v>
      </c>
      <c r="G233" s="8">
        <v>-20.143599999999999</v>
      </c>
      <c r="H233" s="10">
        <f t="shared" si="84"/>
        <v>-10.464620716207135</v>
      </c>
      <c r="I233" s="10">
        <f t="shared" si="85"/>
        <v>-1.8</v>
      </c>
      <c r="J233" s="1">
        <v>-17.850000000000001</v>
      </c>
      <c r="K233" s="10">
        <f t="shared" si="87"/>
        <v>-2.1427416398648798</v>
      </c>
      <c r="L233" s="8">
        <v>-1.2569999999999999</v>
      </c>
      <c r="M233" s="11">
        <f t="shared" si="88"/>
        <v>-0.70084752315110288</v>
      </c>
      <c r="N233" s="9">
        <f t="shared" si="86"/>
        <v>-0.35042376157555144</v>
      </c>
      <c r="P233" s="29">
        <f t="shared" si="89"/>
        <v>-0.85669435491067036</v>
      </c>
      <c r="Q233" s="1" t="str">
        <f t="shared" si="97"/>
        <v>C</v>
      </c>
      <c r="R233" t="str">
        <f t="shared" si="91"/>
        <v>C</v>
      </c>
      <c r="S233" s="18">
        <f t="shared" si="90"/>
        <v>-0.15182937512164998</v>
      </c>
      <c r="T233" t="str">
        <f t="shared" si="100"/>
        <v>C</v>
      </c>
      <c r="V233" s="1">
        <v>-268.5</v>
      </c>
      <c r="W233" s="1" t="e">
        <f t="shared" si="77"/>
        <v>#N/A</v>
      </c>
      <c r="X233" s="1" t="e">
        <f t="shared" si="78"/>
        <v>#N/A</v>
      </c>
      <c r="Y233" s="1">
        <f t="shared" si="79"/>
        <v>-0.85669435491067036</v>
      </c>
      <c r="Z233" s="1" t="e">
        <f t="shared" si="80"/>
        <v>#N/A</v>
      </c>
      <c r="AA233" s="1">
        <v>0</v>
      </c>
      <c r="AC233" s="31" t="e">
        <f t="shared" si="92"/>
        <v>#N/A</v>
      </c>
      <c r="AD233" s="31" t="e">
        <f t="shared" si="93"/>
        <v>#N/A</v>
      </c>
      <c r="AE233" s="31">
        <f t="shared" si="94"/>
        <v>-0.85669435491067036</v>
      </c>
      <c r="AF233" s="31" t="e">
        <f t="shared" si="95"/>
        <v>#N/A</v>
      </c>
      <c r="AL233" s="17">
        <f t="shared" si="96"/>
        <v>43951</v>
      </c>
      <c r="AM233">
        <f t="shared" si="101"/>
        <v>1</v>
      </c>
      <c r="AN233">
        <f t="shared" si="99"/>
        <v>1</v>
      </c>
    </row>
    <row r="234" spans="1:40">
      <c r="A234" s="7">
        <v>43980</v>
      </c>
      <c r="B234" s="8">
        <v>92.872100000000003</v>
      </c>
      <c r="C234" s="8">
        <f t="shared" si="81"/>
        <v>-4.9000473065246428</v>
      </c>
      <c r="D234" s="9">
        <f t="shared" si="82"/>
        <v>-1.1950118266311607</v>
      </c>
      <c r="E234" s="8">
        <v>43.5</v>
      </c>
      <c r="F234" s="10">
        <f t="shared" si="83"/>
        <v>-3.7522905240922055</v>
      </c>
      <c r="G234" s="8">
        <v>6.5111999999999997</v>
      </c>
      <c r="H234" s="10">
        <f t="shared" si="84"/>
        <v>-5.6265118120881006</v>
      </c>
      <c r="I234" s="10">
        <f t="shared" si="85"/>
        <v>-1.8</v>
      </c>
      <c r="J234" s="1">
        <v>4.63</v>
      </c>
      <c r="K234" s="10">
        <f t="shared" si="87"/>
        <v>-0.39349187379424899</v>
      </c>
      <c r="L234" s="8">
        <v>-0.61499999999999999</v>
      </c>
      <c r="M234" s="11">
        <f t="shared" si="88"/>
        <v>-0.67638097905303862</v>
      </c>
      <c r="N234" s="9">
        <f t="shared" si="86"/>
        <v>-0.33819048952651931</v>
      </c>
      <c r="P234" s="29">
        <f t="shared" si="89"/>
        <v>-1.0370653387611293</v>
      </c>
      <c r="Q234" s="1" t="str">
        <f t="shared" si="97"/>
        <v>C</v>
      </c>
      <c r="R234" t="str">
        <f t="shared" si="91"/>
        <v>C</v>
      </c>
      <c r="S234" s="18">
        <f t="shared" si="90"/>
        <v>-0.15182937512164998</v>
      </c>
      <c r="T234" t="str">
        <f t="shared" si="100"/>
        <v>C</v>
      </c>
      <c r="V234" s="1">
        <v>-275.60000000000002</v>
      </c>
      <c r="W234" s="1" t="e">
        <f t="shared" si="77"/>
        <v>#N/A</v>
      </c>
      <c r="X234" s="1" t="e">
        <f t="shared" si="78"/>
        <v>#N/A</v>
      </c>
      <c r="Y234" s="1">
        <f t="shared" si="79"/>
        <v>-1.0370653387611293</v>
      </c>
      <c r="Z234" s="1">
        <f t="shared" si="80"/>
        <v>-1.0370653387611293</v>
      </c>
      <c r="AA234" s="1">
        <v>0</v>
      </c>
      <c r="AC234" s="31" t="e">
        <f t="shared" si="92"/>
        <v>#N/A</v>
      </c>
      <c r="AD234" s="31" t="e">
        <f t="shared" si="93"/>
        <v>#N/A</v>
      </c>
      <c r="AE234" s="31">
        <f t="shared" si="94"/>
        <v>-1.0370653387611293</v>
      </c>
      <c r="AF234" s="31">
        <f t="shared" si="95"/>
        <v>-1.0370653387611293</v>
      </c>
      <c r="AL234" s="17">
        <f t="shared" si="96"/>
        <v>43980</v>
      </c>
      <c r="AM234">
        <f t="shared" si="101"/>
        <v>1</v>
      </c>
      <c r="AN234">
        <f t="shared" si="99"/>
        <v>1</v>
      </c>
    </row>
    <row r="235" spans="1:40">
      <c r="A235" s="7">
        <v>44012</v>
      </c>
      <c r="B235" s="8">
        <v>96.423500000000004</v>
      </c>
      <c r="C235" s="8">
        <f t="shared" si="81"/>
        <v>-4.5228363241651177</v>
      </c>
      <c r="D235" s="9">
        <f t="shared" si="82"/>
        <v>-1.1007090810412794</v>
      </c>
      <c r="E235" s="8">
        <v>52.4</v>
      </c>
      <c r="F235" s="10">
        <f t="shared" si="83"/>
        <v>-1.9988877247259271</v>
      </c>
      <c r="G235" s="8">
        <v>8.6822999999999997</v>
      </c>
      <c r="H235" s="10">
        <f t="shared" si="84"/>
        <v>-1.5485004456429916</v>
      </c>
      <c r="I235" s="10">
        <f t="shared" si="85"/>
        <v>-1.044387578547372</v>
      </c>
      <c r="J235" s="1">
        <v>5.97</v>
      </c>
      <c r="K235" s="10">
        <f t="shared" si="87"/>
        <v>0.85722170894625194</v>
      </c>
      <c r="L235" s="8">
        <v>-0.224</v>
      </c>
      <c r="M235" s="11">
        <f t="shared" si="88"/>
        <v>-0.54745240002292261</v>
      </c>
      <c r="N235" s="9">
        <f t="shared" si="86"/>
        <v>-0.27372620001146131</v>
      </c>
      <c r="P235" s="29">
        <f t="shared" si="89"/>
        <v>-0.83770853506333121</v>
      </c>
      <c r="Q235" s="1" t="str">
        <f t="shared" si="97"/>
        <v>R</v>
      </c>
      <c r="R235" t="str">
        <f t="shared" si="91"/>
        <v>R</v>
      </c>
      <c r="S235" s="18">
        <f t="shared" si="90"/>
        <v>-0.83770853506333121</v>
      </c>
      <c r="T235" t="str">
        <f t="shared" si="100"/>
        <v>R</v>
      </c>
      <c r="V235" s="1">
        <v>-90.2</v>
      </c>
      <c r="W235" s="1" t="e">
        <f t="shared" si="77"/>
        <v>#N/A</v>
      </c>
      <c r="X235" s="1" t="e">
        <f t="shared" si="78"/>
        <v>#N/A</v>
      </c>
      <c r="Y235" s="1" t="e">
        <f t="shared" si="79"/>
        <v>#N/A</v>
      </c>
      <c r="Z235" s="1">
        <f t="shared" si="80"/>
        <v>-0.83770853506333121</v>
      </c>
      <c r="AA235" s="1">
        <v>0</v>
      </c>
      <c r="AC235" s="31" t="e">
        <f t="shared" si="92"/>
        <v>#N/A</v>
      </c>
      <c r="AD235" s="31" t="e">
        <f t="shared" si="93"/>
        <v>#N/A</v>
      </c>
      <c r="AE235" s="31" t="e">
        <f t="shared" si="94"/>
        <v>#N/A</v>
      </c>
      <c r="AF235" s="31">
        <f t="shared" si="95"/>
        <v>-0.83770853506333121</v>
      </c>
      <c r="AL235" s="17">
        <f t="shared" si="96"/>
        <v>44012</v>
      </c>
      <c r="AM235">
        <f t="shared" si="101"/>
        <v>2</v>
      </c>
      <c r="AN235">
        <f t="shared" si="99"/>
        <v>2</v>
      </c>
    </row>
    <row r="236" spans="1:40">
      <c r="A236" s="7">
        <v>44043</v>
      </c>
      <c r="B236" s="8">
        <v>97.186400000000006</v>
      </c>
      <c r="C236" s="8">
        <f t="shared" si="81"/>
        <v>-4.0357039717780578</v>
      </c>
      <c r="D236" s="9">
        <f t="shared" si="82"/>
        <v>-0.97892599294451443</v>
      </c>
      <c r="E236" s="8">
        <v>53.9</v>
      </c>
      <c r="F236" s="10">
        <f t="shared" si="83"/>
        <v>-0.3177047231790382</v>
      </c>
      <c r="G236" s="8">
        <v>5.2610000000000001</v>
      </c>
      <c r="H236" s="10">
        <f t="shared" si="84"/>
        <v>0.39220718136526123</v>
      </c>
      <c r="I236" s="10">
        <f t="shared" si="85"/>
        <v>0.59220718136526118</v>
      </c>
      <c r="J236" s="1">
        <v>2.6</v>
      </c>
      <c r="K236" s="10">
        <f t="shared" si="87"/>
        <v>1.3539135218965703</v>
      </c>
      <c r="L236" s="8">
        <v>0.09</v>
      </c>
      <c r="M236" s="11">
        <f t="shared" si="88"/>
        <v>-0.36577846601638964</v>
      </c>
      <c r="N236" s="9">
        <f t="shared" si="86"/>
        <v>-0.18288923300819482</v>
      </c>
      <c r="P236" s="29">
        <f t="shared" si="89"/>
        <v>-0.23046371089473769</v>
      </c>
      <c r="Q236" s="1" t="str">
        <f t="shared" si="97"/>
        <v>R</v>
      </c>
      <c r="R236" t="str">
        <f t="shared" si="91"/>
        <v>R</v>
      </c>
      <c r="S236" s="18">
        <f t="shared" si="90"/>
        <v>-0.83770853506333121</v>
      </c>
      <c r="T236" t="str">
        <f t="shared" si="100"/>
        <v>R</v>
      </c>
      <c r="V236" s="1">
        <v>166.3</v>
      </c>
      <c r="W236" s="1">
        <f t="shared" si="77"/>
        <v>-0.23046371089473769</v>
      </c>
      <c r="X236" s="1" t="e">
        <f t="shared" si="78"/>
        <v>#N/A</v>
      </c>
      <c r="Y236" s="1" t="e">
        <f t="shared" si="79"/>
        <v>#N/A</v>
      </c>
      <c r="Z236" s="1">
        <f t="shared" si="80"/>
        <v>-0.23046371089473769</v>
      </c>
      <c r="AA236" s="1">
        <v>0</v>
      </c>
      <c r="AC236" s="31">
        <f t="shared" si="92"/>
        <v>-0.23046371089473769</v>
      </c>
      <c r="AD236" s="31" t="e">
        <f t="shared" si="93"/>
        <v>#N/A</v>
      </c>
      <c r="AE236" s="31" t="e">
        <f t="shared" si="94"/>
        <v>#N/A</v>
      </c>
      <c r="AF236" s="31">
        <f t="shared" si="95"/>
        <v>-0.23046371089473769</v>
      </c>
      <c r="AL236" s="17">
        <f t="shared" si="96"/>
        <v>44043</v>
      </c>
      <c r="AM236">
        <f t="shared" si="101"/>
        <v>2</v>
      </c>
      <c r="AN236">
        <f t="shared" si="99"/>
        <v>2</v>
      </c>
    </row>
    <row r="237" spans="1:40">
      <c r="A237" s="7">
        <v>44074</v>
      </c>
      <c r="B237" s="8">
        <v>97.588800000000006</v>
      </c>
      <c r="C237" s="8">
        <f t="shared" si="81"/>
        <v>-3.5727203398213097</v>
      </c>
      <c r="D237" s="9">
        <f t="shared" si="82"/>
        <v>-0.86318008495532739</v>
      </c>
      <c r="E237" s="8">
        <v>55.4</v>
      </c>
      <c r="F237" s="10">
        <f t="shared" si="83"/>
        <v>1.3118411229269875</v>
      </c>
      <c r="G237" s="8">
        <v>2.4660000000000002</v>
      </c>
      <c r="H237" s="10">
        <f t="shared" si="84"/>
        <v>0.98323813467616195</v>
      </c>
      <c r="I237" s="10">
        <f t="shared" si="85"/>
        <v>1.183238134676162</v>
      </c>
      <c r="J237" s="1">
        <v>1.21</v>
      </c>
      <c r="K237" s="10">
        <f t="shared" si="87"/>
        <v>1.3128981681560479</v>
      </c>
      <c r="L237" s="8">
        <v>0.313</v>
      </c>
      <c r="M237" s="11">
        <f t="shared" si="88"/>
        <v>-0.17232660320171858</v>
      </c>
      <c r="N237" s="9">
        <f t="shared" si="86"/>
        <v>-8.6163301600859291E-2</v>
      </c>
      <c r="P237" s="29">
        <f t="shared" si="89"/>
        <v>3.938294671026276E-2</v>
      </c>
      <c r="Q237" s="1" t="str">
        <f t="shared" si="97"/>
        <v>E</v>
      </c>
      <c r="R237" t="str">
        <f t="shared" si="91"/>
        <v>E</v>
      </c>
      <c r="S237" s="18">
        <f t="shared" si="90"/>
        <v>3.938294671026276E-2</v>
      </c>
      <c r="T237" t="str">
        <f t="shared" si="100"/>
        <v>E</v>
      </c>
      <c r="V237" s="1">
        <v>132.6</v>
      </c>
      <c r="W237" s="1">
        <f t="shared" si="77"/>
        <v>3.938294671026276E-2</v>
      </c>
      <c r="X237" s="1" t="e">
        <f t="shared" si="78"/>
        <v>#N/A</v>
      </c>
      <c r="Y237" s="1" t="e">
        <f t="shared" si="79"/>
        <v>#N/A</v>
      </c>
      <c r="Z237" s="1" t="e">
        <f t="shared" si="80"/>
        <v>#N/A</v>
      </c>
      <c r="AA237" s="1">
        <v>0</v>
      </c>
      <c r="AC237" s="31">
        <f t="shared" si="92"/>
        <v>3.938294671026276E-2</v>
      </c>
      <c r="AD237" s="31" t="e">
        <f t="shared" si="93"/>
        <v>#N/A</v>
      </c>
      <c r="AE237" s="31" t="e">
        <f t="shared" si="94"/>
        <v>#N/A</v>
      </c>
      <c r="AF237" s="31" t="e">
        <f t="shared" si="95"/>
        <v>#N/A</v>
      </c>
      <c r="AL237" s="17">
        <f t="shared" si="96"/>
        <v>44074</v>
      </c>
      <c r="AM237">
        <f t="shared" si="101"/>
        <v>4</v>
      </c>
      <c r="AN237">
        <f t="shared" si="99"/>
        <v>4</v>
      </c>
    </row>
    <row r="238" spans="1:40">
      <c r="A238" s="7">
        <v>44104</v>
      </c>
      <c r="B238" s="8">
        <v>97.779499999999999</v>
      </c>
      <c r="C238" s="8">
        <f t="shared" si="81"/>
        <v>-3.1873375429722364</v>
      </c>
      <c r="D238" s="9">
        <f t="shared" si="82"/>
        <v>-0.76683438574305907</v>
      </c>
      <c r="E238" s="8">
        <v>55.4</v>
      </c>
      <c r="F238" s="10">
        <f t="shared" si="83"/>
        <v>2.4769664028927956</v>
      </c>
      <c r="G238" s="8">
        <v>1.3404</v>
      </c>
      <c r="H238" s="10">
        <f t="shared" si="84"/>
        <v>1.0850292662934558</v>
      </c>
      <c r="I238" s="10">
        <f t="shared" si="85"/>
        <v>1.2850292662934557</v>
      </c>
      <c r="J238" s="1">
        <v>0.37</v>
      </c>
      <c r="K238" s="10">
        <f t="shared" si="87"/>
        <v>1.0441721902315741</v>
      </c>
      <c r="L238" s="8">
        <v>0.17299999999999999</v>
      </c>
      <c r="M238" s="11">
        <f t="shared" si="88"/>
        <v>-7.3908521289228785E-2</v>
      </c>
      <c r="N238" s="9">
        <f t="shared" si="86"/>
        <v>-3.6954260644614392E-2</v>
      </c>
      <c r="P238" s="29">
        <f t="shared" si="89"/>
        <v>0.12829830689783797</v>
      </c>
      <c r="Q238" s="1" t="str">
        <f t="shared" si="97"/>
        <v>E</v>
      </c>
      <c r="R238" t="str">
        <f t="shared" si="91"/>
        <v>E</v>
      </c>
      <c r="S238" s="18">
        <f t="shared" si="90"/>
        <v>3.938294671026276E-2</v>
      </c>
      <c r="T238" t="str">
        <f t="shared" si="100"/>
        <v>E</v>
      </c>
      <c r="V238" s="1">
        <v>47.8</v>
      </c>
      <c r="W238" s="1">
        <f t="shared" si="77"/>
        <v>0.12829830689783797</v>
      </c>
      <c r="X238" s="1">
        <f t="shared" si="78"/>
        <v>0.12829830689783797</v>
      </c>
      <c r="Y238" s="1" t="e">
        <f t="shared" si="79"/>
        <v>#N/A</v>
      </c>
      <c r="Z238" s="1" t="e">
        <f t="shared" si="80"/>
        <v>#N/A</v>
      </c>
      <c r="AA238" s="1">
        <v>0</v>
      </c>
      <c r="AC238" s="31">
        <f t="shared" si="92"/>
        <v>0.12829830689783797</v>
      </c>
      <c r="AD238" s="31" t="e">
        <f t="shared" si="93"/>
        <v>#N/A</v>
      </c>
      <c r="AE238" s="31" t="e">
        <f t="shared" si="94"/>
        <v>#N/A</v>
      </c>
      <c r="AF238" s="31" t="e">
        <f t="shared" si="95"/>
        <v>#N/A</v>
      </c>
      <c r="AL238" s="17">
        <f t="shared" si="96"/>
        <v>44104</v>
      </c>
      <c r="AM238">
        <f t="shared" si="101"/>
        <v>4</v>
      </c>
      <c r="AN238">
        <f t="shared" si="99"/>
        <v>4</v>
      </c>
    </row>
    <row r="239" spans="1:40">
      <c r="A239" s="7">
        <v>44134</v>
      </c>
      <c r="B239" s="8">
        <v>97.955399999999997</v>
      </c>
      <c r="C239" s="8">
        <f t="shared" si="81"/>
        <v>-2.8616573432251498</v>
      </c>
      <c r="D239" s="9">
        <f t="shared" si="82"/>
        <v>-0.68541433580628741</v>
      </c>
      <c r="E239" s="8">
        <v>58.8</v>
      </c>
      <c r="F239" s="10">
        <f t="shared" si="83"/>
        <v>4.2790309780683486</v>
      </c>
      <c r="G239" s="8">
        <v>0.72299999999999998</v>
      </c>
      <c r="H239" s="10">
        <f t="shared" si="84"/>
        <v>0.98185092539982077</v>
      </c>
      <c r="I239" s="10">
        <f t="shared" si="85"/>
        <v>1.1818509253998208</v>
      </c>
      <c r="J239" s="1">
        <v>1.07</v>
      </c>
      <c r="K239" s="10">
        <f t="shared" si="87"/>
        <v>1.0515331160155754</v>
      </c>
      <c r="L239" s="8">
        <v>-0.53800000000000003</v>
      </c>
      <c r="M239" s="11">
        <f t="shared" si="88"/>
        <v>-0.20617459272179861</v>
      </c>
      <c r="N239" s="9">
        <f t="shared" si="86"/>
        <v>-0.10308729636089931</v>
      </c>
      <c r="P239" s="29">
        <f t="shared" si="89"/>
        <v>0.10397641443195416</v>
      </c>
      <c r="Q239" s="1" t="str">
        <f t="shared" si="97"/>
        <v>SD</v>
      </c>
      <c r="R239" t="str">
        <f t="shared" si="91"/>
        <v>E</v>
      </c>
      <c r="S239" s="18">
        <f t="shared" si="90"/>
        <v>3.938294671026276E-2</v>
      </c>
      <c r="T239" t="str">
        <f t="shared" si="100"/>
        <v>E</v>
      </c>
      <c r="V239" s="1">
        <v>103.2</v>
      </c>
      <c r="W239" s="1" t="e">
        <f t="shared" si="77"/>
        <v>#N/A</v>
      </c>
      <c r="X239" s="1">
        <f t="shared" si="78"/>
        <v>0.10397641443195416</v>
      </c>
      <c r="Y239" s="1" t="e">
        <f t="shared" si="79"/>
        <v>#N/A</v>
      </c>
      <c r="Z239" s="1" t="e">
        <f t="shared" si="80"/>
        <v>#N/A</v>
      </c>
      <c r="AA239" s="1">
        <v>0</v>
      </c>
      <c r="AC239" s="31">
        <f t="shared" si="92"/>
        <v>0.10397641443195416</v>
      </c>
      <c r="AD239" s="31" t="e">
        <f t="shared" si="93"/>
        <v>#N/A</v>
      </c>
      <c r="AE239" s="31" t="e">
        <f t="shared" si="94"/>
        <v>#N/A</v>
      </c>
      <c r="AF239" s="31" t="e">
        <f t="shared" si="95"/>
        <v>#N/A</v>
      </c>
      <c r="AL239" s="17">
        <f t="shared" si="96"/>
        <v>44134</v>
      </c>
      <c r="AM239">
        <f t="shared" si="101"/>
        <v>3</v>
      </c>
      <c r="AN239">
        <f t="shared" si="99"/>
        <v>4</v>
      </c>
    </row>
    <row r="240" spans="1:40">
      <c r="A240" s="7">
        <v>44165</v>
      </c>
      <c r="B240" s="8">
        <v>98.16</v>
      </c>
      <c r="C240" s="8">
        <f t="shared" si="81"/>
        <v>-2.5704850004059829</v>
      </c>
      <c r="D240" s="9">
        <f t="shared" si="82"/>
        <v>-0.61262125010149571</v>
      </c>
      <c r="E240" s="8">
        <v>57.3</v>
      </c>
      <c r="F240" s="10">
        <f t="shared" si="83"/>
        <v>5.140007149318869</v>
      </c>
      <c r="G240" s="8">
        <v>-6.6E-3</v>
      </c>
      <c r="H240" s="10">
        <f t="shared" si="84"/>
        <v>0.70014241166087177</v>
      </c>
      <c r="I240" s="10">
        <f t="shared" si="85"/>
        <v>0.90014241166087183</v>
      </c>
      <c r="J240" s="1">
        <v>0.24</v>
      </c>
      <c r="K240" s="10">
        <f t="shared" si="87"/>
        <v>0.82024617795113641</v>
      </c>
      <c r="L240" s="8">
        <v>0.29099999999999998</v>
      </c>
      <c r="M240" s="11">
        <f t="shared" si="88"/>
        <v>-6.4479833796085989E-2</v>
      </c>
      <c r="N240" s="9">
        <f t="shared" si="86"/>
        <v>-3.2239916898042995E-2</v>
      </c>
      <c r="P240" s="29">
        <f t="shared" si="89"/>
        <v>6.0829386318847135E-2</v>
      </c>
      <c r="Q240" s="1" t="str">
        <f t="shared" si="97"/>
        <v>SD</v>
      </c>
      <c r="R240" t="str">
        <f t="shared" si="91"/>
        <v>E</v>
      </c>
      <c r="S240" s="18">
        <f t="shared" si="90"/>
        <v>6.0829386318847135E-2</v>
      </c>
      <c r="T240" t="str">
        <f t="shared" si="100"/>
        <v>E</v>
      </c>
      <c r="V240" s="1">
        <v>123.7</v>
      </c>
      <c r="W240" s="1">
        <f t="shared" si="77"/>
        <v>6.0829386318847135E-2</v>
      </c>
      <c r="X240" s="1">
        <f t="shared" si="78"/>
        <v>6.0829386318847135E-2</v>
      </c>
      <c r="Y240" s="1" t="e">
        <f t="shared" si="79"/>
        <v>#N/A</v>
      </c>
      <c r="Z240" s="1" t="e">
        <f t="shared" si="80"/>
        <v>#N/A</v>
      </c>
      <c r="AA240" s="1">
        <v>0</v>
      </c>
      <c r="AC240" s="31">
        <f t="shared" si="92"/>
        <v>6.0829386318847135E-2</v>
      </c>
      <c r="AD240" s="31" t="e">
        <f t="shared" si="93"/>
        <v>#N/A</v>
      </c>
      <c r="AE240" s="31" t="e">
        <f t="shared" si="94"/>
        <v>#N/A</v>
      </c>
      <c r="AF240" s="31" t="e">
        <f t="shared" si="95"/>
        <v>#N/A</v>
      </c>
      <c r="AL240" s="17">
        <f t="shared" si="96"/>
        <v>44165</v>
      </c>
      <c r="AM240">
        <f t="shared" si="101"/>
        <v>3</v>
      </c>
      <c r="AN240">
        <f t="shared" si="99"/>
        <v>4</v>
      </c>
    </row>
    <row r="241" spans="1:40">
      <c r="A241" s="7">
        <v>44196</v>
      </c>
      <c r="B241" s="8">
        <v>98.414299999999997</v>
      </c>
      <c r="C241" s="8">
        <f t="shared" si="81"/>
        <v>-2.2898212752902785</v>
      </c>
      <c r="D241" s="9">
        <f t="shared" si="82"/>
        <v>-0.54245531882256959</v>
      </c>
      <c r="E241" s="8">
        <v>60.5</v>
      </c>
      <c r="F241" s="10">
        <f t="shared" si="83"/>
        <v>6.6676051117629918</v>
      </c>
      <c r="G241" s="8">
        <v>0.51290000000000002</v>
      </c>
      <c r="H241" s="10">
        <f t="shared" si="84"/>
        <v>0.64677832433752336</v>
      </c>
      <c r="I241" s="10">
        <f t="shared" si="85"/>
        <v>0.84677832433752331</v>
      </c>
      <c r="J241" s="1">
        <v>0.36</v>
      </c>
      <c r="K241" s="10">
        <f t="shared" si="87"/>
        <v>0.68907601723506251</v>
      </c>
      <c r="L241" s="8">
        <v>0.36299999999999999</v>
      </c>
      <c r="M241" s="11">
        <f t="shared" si="88"/>
        <v>5.7351918835798522E-2</v>
      </c>
      <c r="N241" s="9">
        <f t="shared" si="86"/>
        <v>5.7351918835798522E-2</v>
      </c>
      <c r="P241" s="29">
        <f t="shared" si="89"/>
        <v>9.7169664357275379E-2</v>
      </c>
      <c r="Q241" s="1" t="str">
        <f t="shared" si="97"/>
        <v>E</v>
      </c>
      <c r="R241" t="str">
        <f t="shared" si="91"/>
        <v>E</v>
      </c>
      <c r="S241" s="18">
        <f t="shared" si="90"/>
        <v>9.7169664357275379E-2</v>
      </c>
      <c r="T241" t="str">
        <f t="shared" si="100"/>
        <v>E</v>
      </c>
      <c r="V241" s="1">
        <v>188.5</v>
      </c>
      <c r="W241" s="1">
        <f t="shared" si="77"/>
        <v>9.7169664357275379E-2</v>
      </c>
      <c r="X241" s="1" t="e">
        <f t="shared" si="78"/>
        <v>#N/A</v>
      </c>
      <c r="Y241" s="1" t="e">
        <f t="shared" si="79"/>
        <v>#N/A</v>
      </c>
      <c r="Z241" s="1" t="e">
        <f t="shared" si="80"/>
        <v>#N/A</v>
      </c>
      <c r="AA241" s="1">
        <v>0</v>
      </c>
      <c r="AC241" s="31">
        <f t="shared" si="92"/>
        <v>9.7169664357275379E-2</v>
      </c>
      <c r="AD241" s="31" t="e">
        <f t="shared" si="93"/>
        <v>#N/A</v>
      </c>
      <c r="AE241" s="31" t="e">
        <f t="shared" si="94"/>
        <v>#N/A</v>
      </c>
      <c r="AF241" s="31" t="e">
        <f t="shared" si="95"/>
        <v>#N/A</v>
      </c>
      <c r="AL241" s="17">
        <f t="shared" si="96"/>
        <v>44196</v>
      </c>
      <c r="AM241">
        <f t="shared" si="101"/>
        <v>4</v>
      </c>
      <c r="AN241">
        <f t="shared" si="99"/>
        <v>4</v>
      </c>
    </row>
    <row r="242" spans="1:40">
      <c r="A242" s="7">
        <v>44225</v>
      </c>
      <c r="B242" s="8">
        <v>98.749499999999998</v>
      </c>
      <c r="C242" s="8">
        <f t="shared" si="81"/>
        <v>-1.9936147118325498</v>
      </c>
      <c r="D242" s="9">
        <f t="shared" si="82"/>
        <v>-0.46840367795813742</v>
      </c>
      <c r="E242" s="8">
        <v>59.4</v>
      </c>
      <c r="F242" s="10">
        <f t="shared" si="83"/>
        <v>7.446337654910538</v>
      </c>
      <c r="G242" s="8">
        <v>0.30270000000000002</v>
      </c>
      <c r="H242" s="10">
        <f t="shared" si="84"/>
        <v>0.54871600190132919</v>
      </c>
      <c r="I242" s="10">
        <f t="shared" si="85"/>
        <v>0.74871600190132925</v>
      </c>
      <c r="J242" s="1">
        <v>1.23</v>
      </c>
      <c r="K242" s="10">
        <f t="shared" si="87"/>
        <v>0.84323935232306968</v>
      </c>
      <c r="L242" s="8">
        <v>0.33800000000000002</v>
      </c>
      <c r="M242" s="11">
        <f t="shared" si="88"/>
        <v>0.13733662196759594</v>
      </c>
      <c r="N242" s="9">
        <f t="shared" si="86"/>
        <v>0.13733662196759594</v>
      </c>
      <c r="P242" s="29">
        <f t="shared" si="89"/>
        <v>0.11453243501545186</v>
      </c>
      <c r="Q242" s="1" t="str">
        <f t="shared" si="97"/>
        <v>E</v>
      </c>
      <c r="R242" t="str">
        <f t="shared" si="91"/>
        <v>E</v>
      </c>
      <c r="S242" s="18">
        <f t="shared" si="90"/>
        <v>9.7169664357275379E-2</v>
      </c>
      <c r="T242" t="str">
        <f t="shared" si="100"/>
        <v>E</v>
      </c>
      <c r="V242" s="1">
        <v>128.19999999999999</v>
      </c>
      <c r="W242" s="1">
        <f t="shared" si="77"/>
        <v>0.11453243501545186</v>
      </c>
      <c r="X242" s="1">
        <f t="shared" si="78"/>
        <v>0.11453243501545186</v>
      </c>
      <c r="Y242" s="1" t="e">
        <f t="shared" si="79"/>
        <v>#N/A</v>
      </c>
      <c r="Z242" s="1" t="e">
        <f t="shared" si="80"/>
        <v>#N/A</v>
      </c>
      <c r="AA242" s="1">
        <v>0</v>
      </c>
      <c r="AC242" s="31">
        <f t="shared" si="92"/>
        <v>0.11453243501545186</v>
      </c>
      <c r="AD242" s="31">
        <f t="shared" si="93"/>
        <v>0.11453243501545186</v>
      </c>
      <c r="AE242" s="31" t="e">
        <f t="shared" si="94"/>
        <v>#N/A</v>
      </c>
      <c r="AF242" s="31" t="e">
        <f t="shared" si="95"/>
        <v>#N/A</v>
      </c>
      <c r="AL242" s="17">
        <f t="shared" si="96"/>
        <v>44225</v>
      </c>
      <c r="AM242">
        <f t="shared" si="101"/>
        <v>4</v>
      </c>
      <c r="AN242">
        <f t="shared" si="99"/>
        <v>4</v>
      </c>
    </row>
    <row r="243" spans="1:40">
      <c r="A243" s="7">
        <v>44253</v>
      </c>
      <c r="B243" s="8">
        <v>99.168300000000002</v>
      </c>
      <c r="C243" s="8">
        <f t="shared" si="81"/>
        <v>-1.6624690189602724</v>
      </c>
      <c r="D243" s="9">
        <f t="shared" si="82"/>
        <v>-0.38561725474006814</v>
      </c>
      <c r="E243" s="8">
        <v>60.9</v>
      </c>
      <c r="F243" s="10">
        <f t="shared" si="83"/>
        <v>8.4306314232610351</v>
      </c>
      <c r="G243" s="8">
        <v>-1.137</v>
      </c>
      <c r="H243" s="10">
        <f t="shared" si="84"/>
        <v>6.8286941359450348E-2</v>
      </c>
      <c r="I243" s="10">
        <f t="shared" si="85"/>
        <v>0.26828694135945036</v>
      </c>
      <c r="J243" s="1">
        <v>-1.59</v>
      </c>
      <c r="K243" s="10">
        <f t="shared" si="87"/>
        <v>0.14976613691099472</v>
      </c>
      <c r="L243" s="8">
        <v>0.52900000000000003</v>
      </c>
      <c r="M243" s="11">
        <f t="shared" si="88"/>
        <v>0.24896068470683111</v>
      </c>
      <c r="N243" s="9">
        <f t="shared" si="86"/>
        <v>0.24896068470683111</v>
      </c>
      <c r="P243" s="29">
        <f t="shared" si="89"/>
        <v>1.6281316036048016E-2</v>
      </c>
      <c r="Q243" s="1" t="str">
        <f t="shared" si="97"/>
        <v>SD</v>
      </c>
      <c r="R243" t="str">
        <f t="shared" si="91"/>
        <v>SD</v>
      </c>
      <c r="S243" s="18">
        <f t="shared" si="90"/>
        <v>1.6281316036048016E-2</v>
      </c>
      <c r="T243" t="str">
        <f t="shared" si="100"/>
        <v>SD</v>
      </c>
      <c r="V243" s="1">
        <v>157.30000000000001</v>
      </c>
      <c r="W243" s="1">
        <f t="shared" si="77"/>
        <v>1.6281316036048016E-2</v>
      </c>
      <c r="X243" s="1">
        <f t="shared" si="78"/>
        <v>1.6281316036048016E-2</v>
      </c>
      <c r="Y243" s="1" t="e">
        <f t="shared" si="79"/>
        <v>#N/A</v>
      </c>
      <c r="Z243" s="1" t="e">
        <f t="shared" si="80"/>
        <v>#N/A</v>
      </c>
      <c r="AA243" s="1">
        <v>0</v>
      </c>
      <c r="AC243" s="31">
        <f t="shared" si="92"/>
        <v>1.6281316036048016E-2</v>
      </c>
      <c r="AD243" s="31">
        <f t="shared" si="93"/>
        <v>1.6281316036048016E-2</v>
      </c>
      <c r="AE243" s="31" t="e">
        <f t="shared" si="94"/>
        <v>#N/A</v>
      </c>
      <c r="AF243" s="31" t="e">
        <f t="shared" si="95"/>
        <v>#N/A</v>
      </c>
      <c r="AL243" s="17">
        <f t="shared" si="96"/>
        <v>44253</v>
      </c>
      <c r="AM243">
        <f t="shared" si="101"/>
        <v>3</v>
      </c>
      <c r="AN243">
        <f t="shared" si="99"/>
        <v>3</v>
      </c>
    </row>
    <row r="244" spans="1:40">
      <c r="A244" s="7">
        <v>44286</v>
      </c>
      <c r="B244" s="8">
        <v>99.741600000000005</v>
      </c>
      <c r="C244" s="8">
        <f t="shared" si="81"/>
        <v>-1.2623093485565933</v>
      </c>
      <c r="D244" s="9">
        <f t="shared" si="82"/>
        <v>-0.28557733713914835</v>
      </c>
      <c r="E244" s="8">
        <v>63.7</v>
      </c>
      <c r="F244" s="10">
        <f t="shared" si="83"/>
        <v>9.9324014676316423</v>
      </c>
      <c r="G244" s="8">
        <v>1.9377</v>
      </c>
      <c r="H244" s="10">
        <f t="shared" si="84"/>
        <v>0.60106966307200704</v>
      </c>
      <c r="I244" s="10">
        <f t="shared" si="85"/>
        <v>0.80106966307200711</v>
      </c>
      <c r="J244" s="1">
        <v>2.31</v>
      </c>
      <c r="K244" s="10">
        <f t="shared" si="87"/>
        <v>0.76543278789136138</v>
      </c>
      <c r="L244" s="8">
        <v>0.73599999999999999</v>
      </c>
      <c r="M244" s="11">
        <f t="shared" si="88"/>
        <v>0.3877668895653843</v>
      </c>
      <c r="N244" s="9">
        <f t="shared" si="86"/>
        <v>0.3877668895653843</v>
      </c>
      <c r="P244" s="29">
        <f t="shared" si="89"/>
        <v>0.26773976596577442</v>
      </c>
      <c r="Q244" s="1" t="str">
        <f t="shared" si="97"/>
        <v>E</v>
      </c>
      <c r="R244" t="str">
        <f t="shared" si="91"/>
        <v>E</v>
      </c>
      <c r="S244" s="18">
        <f t="shared" si="90"/>
        <v>0.26773976596577442</v>
      </c>
      <c r="T244" t="str">
        <f t="shared" si="100"/>
        <v>E</v>
      </c>
      <c r="V244" s="1">
        <v>173</v>
      </c>
      <c r="W244" s="1">
        <f t="shared" si="77"/>
        <v>0.26773976596577442</v>
      </c>
      <c r="X244" s="1" t="e">
        <f t="shared" si="78"/>
        <v>#N/A</v>
      </c>
      <c r="Y244" s="1" t="e">
        <f t="shared" si="79"/>
        <v>#N/A</v>
      </c>
      <c r="Z244" s="1" t="e">
        <f t="shared" si="80"/>
        <v>#N/A</v>
      </c>
      <c r="AA244" s="1">
        <v>0</v>
      </c>
      <c r="AC244" s="31">
        <f t="shared" si="92"/>
        <v>0.26773976596577442</v>
      </c>
      <c r="AD244" s="31" t="e">
        <f t="shared" si="93"/>
        <v>#N/A</v>
      </c>
      <c r="AE244" s="31" t="e">
        <f t="shared" si="94"/>
        <v>#N/A</v>
      </c>
      <c r="AF244" s="31" t="e">
        <f t="shared" si="95"/>
        <v>#N/A</v>
      </c>
      <c r="AL244" s="17">
        <f t="shared" si="96"/>
        <v>44286</v>
      </c>
      <c r="AM244">
        <f t="shared" si="101"/>
        <v>4</v>
      </c>
      <c r="AN244">
        <f t="shared" si="99"/>
        <v>4</v>
      </c>
    </row>
    <row r="245" spans="1:40">
      <c r="A245" s="7">
        <v>44316</v>
      </c>
      <c r="B245" s="8">
        <v>100.29049999999999</v>
      </c>
      <c r="C245" s="8">
        <f t="shared" si="81"/>
        <v>-0.81975868421796572</v>
      </c>
      <c r="D245" s="9">
        <f t="shared" si="82"/>
        <v>-0.17493967105449143</v>
      </c>
      <c r="E245" s="8">
        <v>60.6</v>
      </c>
      <c r="F245" s="10">
        <f t="shared" si="83"/>
        <v>10.122667049356625</v>
      </c>
      <c r="G245" s="8">
        <v>0.68920000000000003</v>
      </c>
      <c r="H245" s="10">
        <f t="shared" si="84"/>
        <v>0.62618680909648505</v>
      </c>
      <c r="I245" s="10">
        <f t="shared" si="85"/>
        <v>0.82618680909648501</v>
      </c>
      <c r="J245" s="1">
        <v>-7.0000000000000007E-2</v>
      </c>
      <c r="K245" s="10">
        <f t="shared" si="87"/>
        <v>0.52733444334232338</v>
      </c>
      <c r="L245" s="8">
        <v>0.74099999999999999</v>
      </c>
      <c r="M245" s="11">
        <f t="shared" si="88"/>
        <v>0.48843832603924975</v>
      </c>
      <c r="N245" s="9">
        <f t="shared" si="86"/>
        <v>0.48843832603924975</v>
      </c>
      <c r="P245" s="29">
        <f t="shared" si="89"/>
        <v>0.34301593266552882</v>
      </c>
      <c r="Q245" s="1" t="str">
        <f t="shared" si="97"/>
        <v>E</v>
      </c>
      <c r="R245" t="str">
        <f t="shared" si="91"/>
        <v>E</v>
      </c>
      <c r="S245" s="18">
        <f t="shared" si="90"/>
        <v>0.26773976596577442</v>
      </c>
      <c r="T245" t="str">
        <f t="shared" si="100"/>
        <v>E</v>
      </c>
      <c r="V245" s="1">
        <v>164.7</v>
      </c>
      <c r="W245" s="1">
        <f t="shared" si="77"/>
        <v>0.34301593266552882</v>
      </c>
      <c r="X245" s="1" t="e">
        <f t="shared" si="78"/>
        <v>#N/A</v>
      </c>
      <c r="Y245" s="1" t="e">
        <f t="shared" si="79"/>
        <v>#N/A</v>
      </c>
      <c r="Z245" s="1" t="e">
        <f t="shared" si="80"/>
        <v>#N/A</v>
      </c>
      <c r="AA245" s="1">
        <v>0</v>
      </c>
      <c r="AC245" s="31">
        <f t="shared" si="92"/>
        <v>0.34301593266552882</v>
      </c>
      <c r="AD245" s="31" t="e">
        <f t="shared" si="93"/>
        <v>#N/A</v>
      </c>
      <c r="AE245" s="31" t="e">
        <f t="shared" si="94"/>
        <v>#N/A</v>
      </c>
      <c r="AF245" s="31" t="e">
        <f t="shared" si="95"/>
        <v>#N/A</v>
      </c>
      <c r="AL245" s="17">
        <f t="shared" si="96"/>
        <v>44316</v>
      </c>
      <c r="AM245">
        <f t="shared" si="101"/>
        <v>4</v>
      </c>
      <c r="AN245">
        <f t="shared" si="99"/>
        <v>4</v>
      </c>
    </row>
    <row r="246" spans="1:40">
      <c r="A246" s="7">
        <v>44347</v>
      </c>
      <c r="B246" s="8">
        <v>100.7217</v>
      </c>
      <c r="C246" s="8">
        <f t="shared" si="81"/>
        <v>-0.38044295921584581</v>
      </c>
      <c r="D246" s="9">
        <f t="shared" si="82"/>
        <v>-6.5110739803961454E-2</v>
      </c>
      <c r="E246" s="8">
        <v>61.6</v>
      </c>
      <c r="F246" s="10">
        <f t="shared" si="83"/>
        <v>10.543706940289987</v>
      </c>
      <c r="G246" s="8">
        <v>0.29480000000000001</v>
      </c>
      <c r="H246" s="10">
        <f t="shared" si="84"/>
        <v>0.53174156850398679</v>
      </c>
      <c r="I246" s="10">
        <f t="shared" si="85"/>
        <v>0.73174156850398675</v>
      </c>
      <c r="J246" s="1">
        <v>0.04</v>
      </c>
      <c r="K246" s="10">
        <f t="shared" si="87"/>
        <v>0.38844412698976122</v>
      </c>
      <c r="L246" s="8">
        <v>0.90200000000000002</v>
      </c>
      <c r="M246" s="11">
        <f t="shared" si="88"/>
        <v>0.60630340311806363</v>
      </c>
      <c r="N246" s="9">
        <f t="shared" si="86"/>
        <v>0.60630340311806363</v>
      </c>
      <c r="P246" s="29">
        <f t="shared" si="89"/>
        <v>0.38770176685585295</v>
      </c>
      <c r="Q246" s="1" t="str">
        <f t="shared" si="97"/>
        <v>E</v>
      </c>
      <c r="R246" t="str">
        <f t="shared" si="91"/>
        <v>E</v>
      </c>
      <c r="S246" s="18">
        <f t="shared" si="90"/>
        <v>0.26773976596577442</v>
      </c>
      <c r="T246" t="str">
        <f t="shared" si="100"/>
        <v>E</v>
      </c>
      <c r="V246" s="1">
        <v>130</v>
      </c>
      <c r="W246" s="1">
        <f t="shared" si="77"/>
        <v>0.38770176685585295</v>
      </c>
      <c r="X246" s="1" t="e">
        <f t="shared" si="78"/>
        <v>#N/A</v>
      </c>
      <c r="Y246" s="1" t="e">
        <f t="shared" si="79"/>
        <v>#N/A</v>
      </c>
      <c r="Z246" s="1" t="e">
        <f t="shared" si="80"/>
        <v>#N/A</v>
      </c>
      <c r="AA246" s="1">
        <v>0</v>
      </c>
      <c r="AC246" s="31">
        <f t="shared" si="92"/>
        <v>0.38770176685585295</v>
      </c>
      <c r="AD246" s="31" t="e">
        <f t="shared" si="93"/>
        <v>#N/A</v>
      </c>
      <c r="AE246" s="31" t="e">
        <f t="shared" si="94"/>
        <v>#N/A</v>
      </c>
      <c r="AF246" s="31" t="e">
        <f t="shared" si="95"/>
        <v>#N/A</v>
      </c>
      <c r="AL246" s="17">
        <f t="shared" si="96"/>
        <v>44347</v>
      </c>
      <c r="AM246">
        <f t="shared" si="101"/>
        <v>4</v>
      </c>
      <c r="AN246">
        <f t="shared" si="99"/>
        <v>4</v>
      </c>
    </row>
    <row r="247" spans="1:40">
      <c r="A247" s="7">
        <v>44377</v>
      </c>
      <c r="B247" s="8">
        <v>101.0076</v>
      </c>
      <c r="C247" s="8">
        <f t="shared" si="81"/>
        <v>1.5149284160669296E-2</v>
      </c>
      <c r="D247" s="9">
        <f t="shared" si="82"/>
        <v>3.3787321040167323E-2</v>
      </c>
      <c r="E247" s="8">
        <v>60.9</v>
      </c>
      <c r="F247" s="10">
        <f t="shared" si="83"/>
        <v>10.64525046230734</v>
      </c>
      <c r="G247" s="8">
        <v>0.71389999999999998</v>
      </c>
      <c r="H247" s="10">
        <f t="shared" si="84"/>
        <v>0.58365672148035053</v>
      </c>
      <c r="I247" s="10">
        <f t="shared" si="85"/>
        <v>0.78365672148035048</v>
      </c>
      <c r="J247" s="1">
        <v>0.2</v>
      </c>
      <c r="K247" s="10">
        <f t="shared" si="87"/>
        <v>0.33473755079767925</v>
      </c>
      <c r="L247" s="8">
        <v>0.95</v>
      </c>
      <c r="M247" s="11">
        <f t="shared" si="88"/>
        <v>0.70425693322941552</v>
      </c>
      <c r="N247" s="9">
        <f t="shared" si="86"/>
        <v>0.70425693322941552</v>
      </c>
      <c r="P247" s="29">
        <f t="shared" si="89"/>
        <v>0.47426763830193486</v>
      </c>
      <c r="Q247" s="1" t="str">
        <f t="shared" si="97"/>
        <v>E</v>
      </c>
      <c r="R247" t="str">
        <f t="shared" si="91"/>
        <v>E</v>
      </c>
      <c r="S247" s="18">
        <f t="shared" si="90"/>
        <v>0.26773976596577442</v>
      </c>
      <c r="T247" t="str">
        <f t="shared" si="100"/>
        <v>E</v>
      </c>
      <c r="V247" s="1">
        <v>105.2</v>
      </c>
      <c r="W247" s="1">
        <f t="shared" si="77"/>
        <v>0.47426763830193486</v>
      </c>
      <c r="X247" s="1" t="e">
        <f t="shared" si="78"/>
        <v>#N/A</v>
      </c>
      <c r="Y247" s="1" t="e">
        <f t="shared" si="79"/>
        <v>#N/A</v>
      </c>
      <c r="Z247" s="1" t="e">
        <f t="shared" si="80"/>
        <v>#N/A</v>
      </c>
      <c r="AA247" s="1">
        <v>0</v>
      </c>
      <c r="AC247" s="31">
        <f t="shared" si="92"/>
        <v>0.47426763830193486</v>
      </c>
      <c r="AD247" s="31" t="e">
        <f t="shared" si="93"/>
        <v>#N/A</v>
      </c>
      <c r="AE247" s="31" t="e">
        <f t="shared" si="94"/>
        <v>#N/A</v>
      </c>
      <c r="AF247" s="31" t="e">
        <f t="shared" si="95"/>
        <v>#N/A</v>
      </c>
      <c r="AL247" s="17">
        <f t="shared" si="96"/>
        <v>44377</v>
      </c>
      <c r="AM247">
        <f t="shared" si="101"/>
        <v>4</v>
      </c>
      <c r="AN247">
        <f t="shared" si="99"/>
        <v>4</v>
      </c>
    </row>
    <row r="248" spans="1:40">
      <c r="A248" s="7">
        <v>44407</v>
      </c>
      <c r="B248" s="8">
        <v>101.15639999999999</v>
      </c>
      <c r="C248" s="8">
        <f t="shared" si="81"/>
        <v>0.34040573817487596</v>
      </c>
      <c r="D248" s="9">
        <f t="shared" si="82"/>
        <v>0.11510143454371899</v>
      </c>
      <c r="E248" s="8">
        <v>59.9</v>
      </c>
      <c r="F248" s="10">
        <f t="shared" si="83"/>
        <v>10.432854080549747</v>
      </c>
      <c r="G248" s="8">
        <v>0.61060000000000003</v>
      </c>
      <c r="H248" s="10">
        <f t="shared" si="84"/>
        <v>0.59133555585845066</v>
      </c>
      <c r="I248" s="10">
        <f t="shared" si="85"/>
        <v>0.79133555585845072</v>
      </c>
      <c r="J248" s="1">
        <v>0.72</v>
      </c>
      <c r="K248" s="10">
        <f t="shared" si="87"/>
        <v>0.44453734882034068</v>
      </c>
      <c r="L248" s="8">
        <v>0.68799999999999994</v>
      </c>
      <c r="M248" s="11">
        <f t="shared" si="88"/>
        <v>0.69962370725903211</v>
      </c>
      <c r="N248" s="9">
        <f t="shared" si="86"/>
        <v>0.69962370725903211</v>
      </c>
      <c r="P248" s="29">
        <f t="shared" si="89"/>
        <v>0.50824886138588343</v>
      </c>
      <c r="Q248" s="1" t="str">
        <f t="shared" si="97"/>
        <v>E</v>
      </c>
      <c r="R248" t="str">
        <f t="shared" si="91"/>
        <v>E</v>
      </c>
      <c r="S248" s="18">
        <f t="shared" si="90"/>
        <v>0.26773976596577442</v>
      </c>
      <c r="T248" t="str">
        <f t="shared" si="100"/>
        <v>E</v>
      </c>
      <c r="V248" s="1">
        <v>40.4</v>
      </c>
      <c r="W248" s="1">
        <f t="shared" si="77"/>
        <v>0.50824886138588343</v>
      </c>
      <c r="X248" s="1">
        <f t="shared" si="78"/>
        <v>0.50824886138588343</v>
      </c>
      <c r="Y248" s="1" t="e">
        <f t="shared" si="79"/>
        <v>#N/A</v>
      </c>
      <c r="Z248" s="1" t="e">
        <f t="shared" si="80"/>
        <v>#N/A</v>
      </c>
      <c r="AA248" s="1">
        <v>0</v>
      </c>
      <c r="AC248" s="31">
        <f t="shared" si="92"/>
        <v>0.50824886138588343</v>
      </c>
      <c r="AD248" s="31" t="e">
        <f t="shared" si="93"/>
        <v>#N/A</v>
      </c>
      <c r="AE248" s="31" t="e">
        <f t="shared" si="94"/>
        <v>#N/A</v>
      </c>
      <c r="AF248" s="31" t="e">
        <f t="shared" si="95"/>
        <v>#N/A</v>
      </c>
      <c r="AL248" s="17">
        <f t="shared" si="96"/>
        <v>44407</v>
      </c>
      <c r="AM248">
        <f t="shared" si="101"/>
        <v>4</v>
      </c>
      <c r="AN248">
        <f t="shared" si="99"/>
        <v>4</v>
      </c>
    </row>
    <row r="249" spans="1:40">
      <c r="A249" s="7">
        <v>44439</v>
      </c>
      <c r="B249" s="8">
        <v>101.1957</v>
      </c>
      <c r="C249" s="8">
        <f t="shared" si="81"/>
        <v>0.5841646027950369</v>
      </c>
      <c r="D249" s="9">
        <f t="shared" si="82"/>
        <v>0.17604115069875922</v>
      </c>
      <c r="E249" s="8">
        <v>59.7</v>
      </c>
      <c r="F249" s="10">
        <f t="shared" si="83"/>
        <v>10.223990667593069</v>
      </c>
      <c r="G249" s="8">
        <v>-0.22239999999999999</v>
      </c>
      <c r="H249" s="10">
        <f t="shared" si="84"/>
        <v>0.3594209224387922</v>
      </c>
      <c r="I249" s="10">
        <f t="shared" si="85"/>
        <v>0.55942092243879227</v>
      </c>
      <c r="J249" s="1">
        <v>0.03</v>
      </c>
      <c r="K249" s="10">
        <f t="shared" si="87"/>
        <v>0.3263942044065436</v>
      </c>
      <c r="L249" s="8">
        <v>0.87</v>
      </c>
      <c r="M249" s="11">
        <f t="shared" si="88"/>
        <v>0.74818095069020796</v>
      </c>
      <c r="N249" s="9">
        <f t="shared" si="86"/>
        <v>0.74818095069020796</v>
      </c>
      <c r="P249" s="29">
        <f t="shared" si="89"/>
        <v>0.47423443589090636</v>
      </c>
      <c r="Q249" s="1" t="str">
        <f t="shared" si="97"/>
        <v>SD</v>
      </c>
      <c r="R249" t="str">
        <f t="shared" si="91"/>
        <v>E</v>
      </c>
      <c r="S249" s="18">
        <f t="shared" si="90"/>
        <v>0.26773976596577442</v>
      </c>
      <c r="T249" t="str">
        <f t="shared" si="100"/>
        <v>E</v>
      </c>
      <c r="V249" s="1">
        <v>-10.8</v>
      </c>
      <c r="W249" s="1" t="e">
        <f t="shared" si="77"/>
        <v>#N/A</v>
      </c>
      <c r="X249" s="1">
        <f t="shared" si="78"/>
        <v>0.47423443589090636</v>
      </c>
      <c r="Y249" s="1" t="e">
        <f t="shared" si="79"/>
        <v>#N/A</v>
      </c>
      <c r="Z249" s="1" t="e">
        <f t="shared" si="80"/>
        <v>#N/A</v>
      </c>
      <c r="AA249" s="1">
        <v>0</v>
      </c>
      <c r="AC249" s="31">
        <f t="shared" si="92"/>
        <v>0.47423443589090636</v>
      </c>
      <c r="AD249" s="31">
        <f t="shared" si="93"/>
        <v>0.47423443589090636</v>
      </c>
      <c r="AE249" s="31" t="e">
        <f t="shared" si="94"/>
        <v>#N/A</v>
      </c>
      <c r="AF249" s="31" t="e">
        <f t="shared" si="95"/>
        <v>#N/A</v>
      </c>
      <c r="AL249" s="17">
        <f t="shared" si="96"/>
        <v>44439</v>
      </c>
      <c r="AM249">
        <f t="shared" si="101"/>
        <v>3</v>
      </c>
      <c r="AN249">
        <f t="shared" si="99"/>
        <v>4</v>
      </c>
    </row>
    <row r="250" spans="1:40">
      <c r="A250" s="7">
        <v>44469</v>
      </c>
      <c r="B250" s="8">
        <v>101.16409999999999</v>
      </c>
      <c r="C250" s="8">
        <f t="shared" si="81"/>
        <v>0.74944619099844867</v>
      </c>
      <c r="D250" s="9">
        <f t="shared" si="82"/>
        <v>0.21736154774961217</v>
      </c>
      <c r="E250" s="8">
        <v>60.5</v>
      </c>
      <c r="F250" s="10">
        <f t="shared" si="83"/>
        <v>10.302653327329045</v>
      </c>
      <c r="G250" s="8">
        <v>-1.21E-2</v>
      </c>
      <c r="H250" s="10">
        <f t="shared" si="84"/>
        <v>0.25353745954373641</v>
      </c>
      <c r="I250" s="10">
        <f t="shared" si="85"/>
        <v>0.45353745954373642</v>
      </c>
      <c r="J250" s="1">
        <v>-0.06</v>
      </c>
      <c r="K250" s="10">
        <f t="shared" si="87"/>
        <v>0.21627185615067865</v>
      </c>
      <c r="L250" s="8">
        <v>0.63300000000000001</v>
      </c>
      <c r="M250" s="11">
        <f t="shared" si="88"/>
        <v>0.71535437974349869</v>
      </c>
      <c r="N250" s="9">
        <f t="shared" si="86"/>
        <v>0.71535437974349869</v>
      </c>
      <c r="P250" s="29">
        <f t="shared" si="89"/>
        <v>0.44831099666199808</v>
      </c>
      <c r="Q250" s="1" t="str">
        <f t="shared" si="97"/>
        <v>SD</v>
      </c>
      <c r="R250" t="str">
        <f t="shared" si="91"/>
        <v>E</v>
      </c>
      <c r="S250" s="18">
        <f t="shared" si="90"/>
        <v>0.44831099666199808</v>
      </c>
      <c r="T250" t="str">
        <f t="shared" si="100"/>
        <v>SD</v>
      </c>
      <c r="V250" s="1">
        <v>-58.6</v>
      </c>
      <c r="W250" s="1">
        <f t="shared" ref="W250:W280" si="102">IF(OR($Q250=W$5,$Q251=W$5),$P250,NA())</f>
        <v>0.44831099666199808</v>
      </c>
      <c r="X250" s="1">
        <f t="shared" ref="X250:X280" si="103">IF(OR($Q250=X$5,$Q251=X$5),$P250,NA())</f>
        <v>0.44831099666199808</v>
      </c>
      <c r="Y250" s="1" t="e">
        <f t="shared" ref="Y250:Y280" si="104">IF(OR($Q250=Y$5,$Q251=Y$5),$P250,NA())</f>
        <v>#N/A</v>
      </c>
      <c r="Z250" s="1" t="e">
        <f t="shared" ref="Z250:Z280" si="105">IF(OR($Q250=Z$5,$Q251=Z$5),$P250,NA())</f>
        <v>#N/A</v>
      </c>
      <c r="AA250" s="1">
        <v>0</v>
      </c>
      <c r="AC250" s="31">
        <f t="shared" si="92"/>
        <v>0.44831099666199808</v>
      </c>
      <c r="AD250" s="31">
        <f t="shared" si="93"/>
        <v>0.44831099666199808</v>
      </c>
      <c r="AE250" s="31" t="e">
        <f t="shared" si="94"/>
        <v>#N/A</v>
      </c>
      <c r="AF250" s="31" t="e">
        <f t="shared" si="95"/>
        <v>#N/A</v>
      </c>
      <c r="AL250" s="17">
        <f t="shared" si="96"/>
        <v>44469</v>
      </c>
      <c r="AM250">
        <f t="shared" si="101"/>
        <v>3</v>
      </c>
      <c r="AN250">
        <f t="shared" si="99"/>
        <v>4</v>
      </c>
    </row>
    <row r="251" spans="1:40">
      <c r="A251" s="7">
        <v>44498</v>
      </c>
      <c r="B251" s="8">
        <v>101.0886</v>
      </c>
      <c r="C251" s="8">
        <f t="shared" si="81"/>
        <v>0.84610502656389075</v>
      </c>
      <c r="D251" s="9">
        <f t="shared" si="82"/>
        <v>0.24152625664097269</v>
      </c>
      <c r="E251" s="8">
        <v>60.8</v>
      </c>
      <c r="F251" s="10">
        <f t="shared" si="83"/>
        <v>10.444397129040265</v>
      </c>
      <c r="G251" s="8">
        <v>1.1204000000000001</v>
      </c>
      <c r="H251" s="10">
        <f t="shared" si="84"/>
        <v>0.50059328357377153</v>
      </c>
      <c r="I251" s="10">
        <f t="shared" si="85"/>
        <v>0.7005932835737716</v>
      </c>
      <c r="J251" s="1">
        <v>0.81</v>
      </c>
      <c r="K251" s="10">
        <f t="shared" si="87"/>
        <v>0.38548437714773526</v>
      </c>
      <c r="L251" s="8">
        <v>0.66</v>
      </c>
      <c r="M251" s="11">
        <f t="shared" si="88"/>
        <v>0.69957838151660157</v>
      </c>
      <c r="N251" s="9">
        <f t="shared" si="86"/>
        <v>0.69957838151660157</v>
      </c>
      <c r="P251" s="29">
        <f t="shared" si="89"/>
        <v>0.53917773761332843</v>
      </c>
      <c r="Q251" s="1" t="str">
        <f t="shared" si="97"/>
        <v>E</v>
      </c>
      <c r="R251" t="str">
        <f t="shared" si="91"/>
        <v>E</v>
      </c>
      <c r="S251" s="18">
        <f t="shared" si="90"/>
        <v>0.53917773761332843</v>
      </c>
      <c r="T251" t="str">
        <f t="shared" si="100"/>
        <v>E</v>
      </c>
      <c r="V251" s="1">
        <v>-52.8</v>
      </c>
      <c r="W251" s="1">
        <f t="shared" si="102"/>
        <v>0.53917773761332843</v>
      </c>
      <c r="X251" s="1">
        <f t="shared" si="103"/>
        <v>0.53917773761332843</v>
      </c>
      <c r="Y251" s="1" t="e">
        <f t="shared" si="104"/>
        <v>#N/A</v>
      </c>
      <c r="Z251" s="1" t="e">
        <f t="shared" si="105"/>
        <v>#N/A</v>
      </c>
      <c r="AA251" s="1">
        <v>0</v>
      </c>
      <c r="AC251" s="31">
        <f t="shared" si="92"/>
        <v>0.53917773761332843</v>
      </c>
      <c r="AD251" s="31">
        <f t="shared" si="93"/>
        <v>0.53917773761332843</v>
      </c>
      <c r="AE251" s="31" t="e">
        <f t="shared" si="94"/>
        <v>#N/A</v>
      </c>
      <c r="AF251" s="31" t="e">
        <f t="shared" si="95"/>
        <v>#N/A</v>
      </c>
      <c r="AL251" s="17">
        <f t="shared" si="96"/>
        <v>44498</v>
      </c>
      <c r="AM251">
        <f t="shared" si="101"/>
        <v>4</v>
      </c>
      <c r="AN251">
        <f t="shared" si="99"/>
        <v>4</v>
      </c>
    </row>
    <row r="252" spans="1:40">
      <c r="A252" s="7">
        <v>44530</v>
      </c>
      <c r="B252" s="8">
        <f>_xll.BDH(B$2,"PX_LAST",$A252,$A252)</f>
        <v>102.1883</v>
      </c>
      <c r="C252" s="8">
        <f t="shared" si="81"/>
        <v>1.2286305939931814</v>
      </c>
      <c r="D252" s="9">
        <f t="shared" si="82"/>
        <v>0.33715764849829533</v>
      </c>
      <c r="E252" s="8">
        <v>60.6</v>
      </c>
      <c r="F252" s="10">
        <f t="shared" si="83"/>
        <v>10.488743947263789</v>
      </c>
      <c r="G252" s="8">
        <v>0.70199999999999996</v>
      </c>
      <c r="H252" s="10">
        <f t="shared" si="84"/>
        <v>0.55799419775524661</v>
      </c>
      <c r="I252" s="10">
        <f t="shared" si="85"/>
        <v>0.75799419775524668</v>
      </c>
      <c r="J252" s="1">
        <v>0.56000000000000005</v>
      </c>
      <c r="K252" s="10">
        <f t="shared" si="87"/>
        <v>0.43522132966063071</v>
      </c>
      <c r="L252" s="8">
        <v>-0.17899999999999999</v>
      </c>
      <c r="M252" s="11">
        <f t="shared" si="88"/>
        <v>0.44918354278437012</v>
      </c>
      <c r="N252" s="9">
        <f t="shared" si="86"/>
        <v>0.44918354278437012</v>
      </c>
      <c r="P252" s="29">
        <f t="shared" si="89"/>
        <v>0.48290133239352984</v>
      </c>
      <c r="Q252" s="1" t="str">
        <f t="shared" si="97"/>
        <v>SD</v>
      </c>
      <c r="R252" t="str">
        <f t="shared" si="91"/>
        <v>SD</v>
      </c>
      <c r="S252" s="18">
        <f t="shared" si="90"/>
        <v>0.48290133239352984</v>
      </c>
      <c r="T252" t="str">
        <f t="shared" si="100"/>
        <v>SD</v>
      </c>
      <c r="V252" s="1">
        <v>4</v>
      </c>
      <c r="W252" s="1" t="e">
        <f t="shared" si="102"/>
        <v>#N/A</v>
      </c>
      <c r="X252" s="1">
        <f t="shared" si="103"/>
        <v>0.48290133239352984</v>
      </c>
      <c r="Y252" s="1" t="e">
        <f t="shared" si="104"/>
        <v>#N/A</v>
      </c>
      <c r="Z252" s="1" t="e">
        <f t="shared" si="105"/>
        <v>#N/A</v>
      </c>
      <c r="AA252" s="1">
        <v>0</v>
      </c>
      <c r="AC252" s="31" t="e">
        <f t="shared" si="92"/>
        <v>#N/A</v>
      </c>
      <c r="AD252" s="31">
        <f t="shared" si="93"/>
        <v>0.48290133239352984</v>
      </c>
      <c r="AE252" s="31" t="e">
        <f t="shared" si="94"/>
        <v>#N/A</v>
      </c>
      <c r="AF252" s="31" t="e">
        <f t="shared" si="95"/>
        <v>#N/A</v>
      </c>
      <c r="AL252" s="17">
        <f t="shared" si="96"/>
        <v>44530</v>
      </c>
      <c r="AM252">
        <f t="shared" si="101"/>
        <v>3</v>
      </c>
      <c r="AN252">
        <f t="shared" si="99"/>
        <v>3</v>
      </c>
    </row>
    <row r="253" spans="1:40">
      <c r="A253" s="7">
        <v>44561</v>
      </c>
      <c r="B253" s="8">
        <v>101.8275</v>
      </c>
      <c r="C253" s="8">
        <f t="shared" si="81"/>
        <v>1.3993083747051247</v>
      </c>
      <c r="D253" s="9">
        <f t="shared" si="82"/>
        <v>0.3798270936762812</v>
      </c>
      <c r="E253" s="8">
        <v>58.8</v>
      </c>
      <c r="F253" s="10">
        <f t="shared" si="83"/>
        <v>10.007451922293608</v>
      </c>
      <c r="G253" s="8">
        <v>-0.2195</v>
      </c>
      <c r="H253" s="10">
        <f t="shared" si="84"/>
        <v>0.3364083513950013</v>
      </c>
      <c r="I253" s="10">
        <f t="shared" si="85"/>
        <v>0.53640835139500131</v>
      </c>
      <c r="J253" s="1">
        <v>0.01</v>
      </c>
      <c r="K253" s="10">
        <f t="shared" si="87"/>
        <v>0.31403325070735094</v>
      </c>
      <c r="L253" s="8">
        <v>0.59</v>
      </c>
      <c r="M253" s="11">
        <f t="shared" si="88"/>
        <v>0.48931623309082461</v>
      </c>
      <c r="N253" s="9">
        <f t="shared" si="86"/>
        <v>0.48931623309082461</v>
      </c>
      <c r="P253" s="29">
        <f t="shared" si="89"/>
        <v>0.45429407766137375</v>
      </c>
      <c r="Q253" s="1" t="str">
        <f t="shared" si="97"/>
        <v>SD</v>
      </c>
      <c r="R253" t="str">
        <f t="shared" si="91"/>
        <v>SD</v>
      </c>
      <c r="S253" s="18">
        <f t="shared" si="90"/>
        <v>0.48290133239352984</v>
      </c>
      <c r="T253" t="str">
        <f t="shared" si="100"/>
        <v>SD</v>
      </c>
      <c r="V253" s="1">
        <v>29.8</v>
      </c>
      <c r="W253" s="1" t="e">
        <f t="shared" si="102"/>
        <v>#N/A</v>
      </c>
      <c r="X253" s="1">
        <f t="shared" si="103"/>
        <v>0.45429407766137375</v>
      </c>
      <c r="Y253" s="1" t="e">
        <f t="shared" si="104"/>
        <v>#N/A</v>
      </c>
      <c r="Z253" s="1" t="e">
        <f t="shared" si="105"/>
        <v>#N/A</v>
      </c>
      <c r="AA253" s="1">
        <v>0</v>
      </c>
      <c r="AC253" s="31" t="e">
        <f t="shared" si="92"/>
        <v>#N/A</v>
      </c>
      <c r="AD253" s="31">
        <f t="shared" si="93"/>
        <v>0.45429407766137375</v>
      </c>
      <c r="AE253" s="31" t="e">
        <f t="shared" si="94"/>
        <v>#N/A</v>
      </c>
      <c r="AF253" s="31" t="e">
        <f t="shared" si="95"/>
        <v>#N/A</v>
      </c>
      <c r="AL253" s="17">
        <f t="shared" si="96"/>
        <v>44561</v>
      </c>
      <c r="AM253">
        <f t="shared" si="101"/>
        <v>3</v>
      </c>
      <c r="AN253">
        <f t="shared" si="99"/>
        <v>3</v>
      </c>
    </row>
    <row r="254" spans="1:40">
      <c r="A254" s="7">
        <v>44592</v>
      </c>
      <c r="B254" s="8">
        <v>101.41889999999999</v>
      </c>
      <c r="C254" s="8">
        <f t="shared" si="81"/>
        <v>1.4048919879141624</v>
      </c>
      <c r="D254" s="9">
        <f t="shared" si="82"/>
        <v>0.38122299697854056</v>
      </c>
      <c r="E254" s="8">
        <v>57.6</v>
      </c>
      <c r="F254" s="10">
        <f t="shared" si="83"/>
        <v>9.3213281244399298</v>
      </c>
      <c r="G254" s="8">
        <v>-0.3347</v>
      </c>
      <c r="H254" s="10">
        <f t="shared" si="84"/>
        <v>0.14514247124742591</v>
      </c>
      <c r="I254" s="10">
        <f t="shared" si="85"/>
        <v>0.34514247124742592</v>
      </c>
      <c r="J254" s="1">
        <v>0.75</v>
      </c>
      <c r="K254" s="10">
        <f t="shared" si="87"/>
        <v>0.43828377425575593</v>
      </c>
      <c r="L254" s="8">
        <v>0.21299999999999999</v>
      </c>
      <c r="M254" s="11">
        <f t="shared" si="88"/>
        <v>0.41056610665993959</v>
      </c>
      <c r="N254" s="9">
        <f t="shared" si="86"/>
        <v>0.41056610665993959</v>
      </c>
      <c r="P254" s="29">
        <f t="shared" si="89"/>
        <v>0.3785118905278822</v>
      </c>
      <c r="Q254" s="1" t="str">
        <f t="shared" si="97"/>
        <v>SD</v>
      </c>
      <c r="R254" t="str">
        <f t="shared" si="91"/>
        <v>SD</v>
      </c>
      <c r="S254" s="18">
        <f t="shared" ref="S254:S263" si="106">IF(R254&lt;&gt;Q253,P254,S253)</f>
        <v>0.48290133239352984</v>
      </c>
      <c r="T254" t="str">
        <f t="shared" si="100"/>
        <v>SD</v>
      </c>
      <c r="V254" s="1">
        <v>51.4</v>
      </c>
      <c r="W254" s="1" t="e">
        <f t="shared" si="102"/>
        <v>#N/A</v>
      </c>
      <c r="X254" s="1">
        <f t="shared" si="103"/>
        <v>0.3785118905278822</v>
      </c>
      <c r="Y254" s="1" t="e">
        <f t="shared" si="104"/>
        <v>#N/A</v>
      </c>
      <c r="Z254" s="1" t="e">
        <f t="shared" si="105"/>
        <v>#N/A</v>
      </c>
      <c r="AA254" s="1">
        <v>0</v>
      </c>
      <c r="AC254" s="31" t="e">
        <f t="shared" si="92"/>
        <v>#N/A</v>
      </c>
      <c r="AD254" s="31">
        <f t="shared" si="93"/>
        <v>0.3785118905278822</v>
      </c>
      <c r="AE254" s="31" t="e">
        <f t="shared" si="94"/>
        <v>#N/A</v>
      </c>
      <c r="AF254" s="31" t="e">
        <f t="shared" si="95"/>
        <v>#N/A</v>
      </c>
      <c r="AL254" s="17">
        <f t="shared" si="96"/>
        <v>44592</v>
      </c>
      <c r="AM254">
        <f t="shared" si="101"/>
        <v>3</v>
      </c>
      <c r="AN254">
        <f t="shared" si="99"/>
        <v>3</v>
      </c>
    </row>
    <row r="255" spans="1:40">
      <c r="A255" s="7">
        <v>44620</v>
      </c>
      <c r="B255" s="8">
        <v>100.89360000000001</v>
      </c>
      <c r="C255" s="8">
        <f t="shared" si="81"/>
        <v>1.259173771358628</v>
      </c>
      <c r="D255" s="9">
        <f t="shared" si="82"/>
        <v>0.34479344283965696</v>
      </c>
      <c r="E255" s="8">
        <v>58.6</v>
      </c>
      <c r="F255" s="10">
        <f t="shared" si="83"/>
        <v>9.11574960897455</v>
      </c>
      <c r="G255" s="8">
        <v>0.16980000000000001</v>
      </c>
      <c r="H255" s="10">
        <f t="shared" si="84"/>
        <v>0.15216986694190954</v>
      </c>
      <c r="I255" s="10">
        <f t="shared" si="85"/>
        <v>0.35216986694190955</v>
      </c>
      <c r="J255" s="1">
        <v>0.54</v>
      </c>
      <c r="K255" s="10">
        <f t="shared" si="87"/>
        <v>0.46727289859286553</v>
      </c>
      <c r="L255" s="8">
        <v>-0.94399999999999995</v>
      </c>
      <c r="M255" s="11">
        <f t="shared" si="88"/>
        <v>2.451476626185678E-2</v>
      </c>
      <c r="N255" s="9">
        <f t="shared" si="86"/>
        <v>2.451476626185678E-2</v>
      </c>
      <c r="P255" s="29">
        <f t="shared" si="89"/>
        <v>0.25263587672743565</v>
      </c>
      <c r="Q255" s="1" t="str">
        <f t="shared" si="97"/>
        <v>SD</v>
      </c>
      <c r="R255" t="str">
        <f t="shared" si="91"/>
        <v>SD</v>
      </c>
      <c r="S255" s="18">
        <f t="shared" si="106"/>
        <v>0.48290133239352984</v>
      </c>
      <c r="T255" t="str">
        <f t="shared" si="100"/>
        <v>SD</v>
      </c>
      <c r="V255" s="1">
        <v>67.8</v>
      </c>
      <c r="W255" s="1" t="e">
        <f t="shared" si="102"/>
        <v>#N/A</v>
      </c>
      <c r="X255" s="1">
        <f t="shared" si="103"/>
        <v>0.25263587672743565</v>
      </c>
      <c r="Y255" s="1" t="e">
        <f t="shared" si="104"/>
        <v>#N/A</v>
      </c>
      <c r="Z255" s="1" t="e">
        <f t="shared" si="105"/>
        <v>#N/A</v>
      </c>
      <c r="AA255" s="1">
        <v>0</v>
      </c>
      <c r="AC255" s="31" t="e">
        <f t="shared" si="92"/>
        <v>#N/A</v>
      </c>
      <c r="AD255" s="31">
        <f t="shared" si="93"/>
        <v>0.25263587672743565</v>
      </c>
      <c r="AE255" s="31" t="e">
        <f t="shared" si="94"/>
        <v>#N/A</v>
      </c>
      <c r="AF255" s="31" t="e">
        <f t="shared" si="95"/>
        <v>#N/A</v>
      </c>
      <c r="AL255" s="17">
        <f t="shared" si="96"/>
        <v>44620</v>
      </c>
      <c r="AM255">
        <f t="shared" si="101"/>
        <v>3</v>
      </c>
      <c r="AN255">
        <f t="shared" si="99"/>
        <v>3</v>
      </c>
    </row>
    <row r="256" spans="1:40">
      <c r="A256" s="7">
        <v>44651</v>
      </c>
      <c r="B256" s="8">
        <v>100.2912</v>
      </c>
      <c r="C256" s="8">
        <f t="shared" si="81"/>
        <v>0.98330124652141992</v>
      </c>
      <c r="D256" s="9">
        <f t="shared" si="82"/>
        <v>0.27582531163035495</v>
      </c>
      <c r="E256" s="1">
        <v>57.1</v>
      </c>
      <c r="F256" s="10">
        <f t="shared" si="83"/>
        <v>8.5412609704168041</v>
      </c>
      <c r="G256" s="8">
        <v>-6.2100000000000002E-2</v>
      </c>
      <c r="H256" s="10">
        <f t="shared" si="84"/>
        <v>9.1102954863465313E-2</v>
      </c>
      <c r="I256" s="10">
        <f t="shared" si="85"/>
        <v>0.29110295486346532</v>
      </c>
      <c r="J256" s="1">
        <v>0.44</v>
      </c>
      <c r="K256" s="10">
        <f t="shared" si="87"/>
        <v>0.45950012249389882</v>
      </c>
      <c r="L256" s="8">
        <v>-0.82799999999999996</v>
      </c>
      <c r="M256" s="11">
        <f t="shared" si="88"/>
        <v>-0.21845194212277241</v>
      </c>
      <c r="N256" s="9">
        <f t="shared" si="86"/>
        <v>-0.10922597106138621</v>
      </c>
      <c r="P256" s="29">
        <f t="shared" si="89"/>
        <v>0.17555680888057867</v>
      </c>
      <c r="Q256" s="1" t="str">
        <f t="shared" si="97"/>
        <v>SD</v>
      </c>
      <c r="R256" t="str">
        <f t="shared" si="91"/>
        <v>SD</v>
      </c>
      <c r="S256" s="18">
        <f t="shared" si="106"/>
        <v>0.48290133239352984</v>
      </c>
      <c r="T256" t="str">
        <f t="shared" si="100"/>
        <v>SD</v>
      </c>
      <c r="V256" s="1">
        <v>44.8</v>
      </c>
      <c r="W256" s="1" t="e">
        <f t="shared" si="102"/>
        <v>#N/A</v>
      </c>
      <c r="X256" s="1">
        <f t="shared" si="103"/>
        <v>0.17555680888057867</v>
      </c>
      <c r="Y256" s="1" t="e">
        <f t="shared" si="104"/>
        <v>#N/A</v>
      </c>
      <c r="Z256" s="1" t="e">
        <f t="shared" si="105"/>
        <v>#N/A</v>
      </c>
      <c r="AA256" s="1">
        <v>0</v>
      </c>
      <c r="AC256" s="31" t="e">
        <f t="shared" si="92"/>
        <v>#N/A</v>
      </c>
      <c r="AD256" s="31">
        <f t="shared" si="93"/>
        <v>0.17555680888057867</v>
      </c>
      <c r="AE256" s="31" t="e">
        <f t="shared" si="94"/>
        <v>#N/A</v>
      </c>
      <c r="AF256" s="31" t="e">
        <f t="shared" si="95"/>
        <v>#N/A</v>
      </c>
      <c r="AL256" s="17">
        <f t="shared" si="96"/>
        <v>44651</v>
      </c>
      <c r="AM256">
        <f t="shared" si="101"/>
        <v>3</v>
      </c>
      <c r="AN256">
        <f t="shared" si="99"/>
        <v>3</v>
      </c>
    </row>
    <row r="257" spans="1:40">
      <c r="A257" s="7">
        <v>44681</v>
      </c>
      <c r="B257" s="8">
        <v>99.684399999999997</v>
      </c>
      <c r="C257" s="8">
        <f t="shared" si="81"/>
        <v>0.6131143912628142</v>
      </c>
      <c r="D257" s="9">
        <f t="shared" si="82"/>
        <v>0.18327859781570355</v>
      </c>
      <c r="E257" s="1">
        <v>55.4</v>
      </c>
      <c r="F257" s="10">
        <f t="shared" si="83"/>
        <v>7.6460015938480144</v>
      </c>
      <c r="G257" s="8">
        <v>-0.35099999999999998</v>
      </c>
      <c r="H257" s="10">
        <f t="shared" si="84"/>
        <v>-3.4896387272622301E-2</v>
      </c>
      <c r="I257" s="10">
        <f t="shared" si="85"/>
        <v>0.16510361272737772</v>
      </c>
      <c r="J257" s="8">
        <v>0.47</v>
      </c>
      <c r="K257" s="10">
        <f t="shared" si="87"/>
        <v>0.46249258758313766</v>
      </c>
      <c r="L257" s="8">
        <v>-1.1990000000000001</v>
      </c>
      <c r="M257" s="11">
        <f t="shared" si="88"/>
        <v>-0.49790813861778233</v>
      </c>
      <c r="N257" s="9">
        <f t="shared" si="86"/>
        <v>-0.24895406930889116</v>
      </c>
      <c r="P257" s="29">
        <f t="shared" si="89"/>
        <v>6.3991618349613838E-2</v>
      </c>
      <c r="Q257" s="1" t="str">
        <f t="shared" si="97"/>
        <v>SD</v>
      </c>
      <c r="R257" t="str">
        <f t="shared" si="91"/>
        <v>SD</v>
      </c>
      <c r="S257" s="18">
        <f t="shared" si="106"/>
        <v>0.48290133239352984</v>
      </c>
      <c r="T257" t="str">
        <f t="shared" si="100"/>
        <v>SD</v>
      </c>
      <c r="V257" s="1">
        <v>25</v>
      </c>
      <c r="W257" s="1">
        <f t="shared" si="102"/>
        <v>6.3991618349613838E-2</v>
      </c>
      <c r="X257" s="1">
        <f t="shared" si="103"/>
        <v>6.3991618349613838E-2</v>
      </c>
      <c r="Y257" s="1" t="e">
        <f t="shared" si="104"/>
        <v>#N/A</v>
      </c>
      <c r="Z257" s="1" t="e">
        <f t="shared" si="105"/>
        <v>#N/A</v>
      </c>
      <c r="AA257" s="1">
        <v>0</v>
      </c>
      <c r="AC257" s="31">
        <f t="shared" si="92"/>
        <v>6.3991618349613838E-2</v>
      </c>
      <c r="AD257" s="31">
        <f t="shared" si="93"/>
        <v>6.3991618349613838E-2</v>
      </c>
      <c r="AE257" s="31" t="e">
        <f t="shared" si="94"/>
        <v>#N/A</v>
      </c>
      <c r="AF257" s="31" t="e">
        <f t="shared" si="95"/>
        <v>#N/A</v>
      </c>
      <c r="AL257" s="17">
        <f t="shared" si="96"/>
        <v>44681</v>
      </c>
      <c r="AM257">
        <f t="shared" si="101"/>
        <v>3</v>
      </c>
      <c r="AN257">
        <f t="shared" si="99"/>
        <v>3</v>
      </c>
    </row>
    <row r="258" spans="1:40">
      <c r="A258" s="7">
        <v>44712</v>
      </c>
      <c r="B258" s="8">
        <v>99.105900000000005</v>
      </c>
      <c r="C258" s="11">
        <v>0.26674209123913495</v>
      </c>
      <c r="D258" s="9">
        <f t="shared" si="82"/>
        <v>9.6685522809783736E-2</v>
      </c>
      <c r="E258" s="11">
        <v>56.1</v>
      </c>
      <c r="F258" s="9">
        <v>7.2053911396013302</v>
      </c>
      <c r="G258" s="8">
        <v>-0.6411</v>
      </c>
      <c r="H258" s="9">
        <v>0.43434977620041115</v>
      </c>
      <c r="I258" s="10">
        <f t="shared" si="85"/>
        <v>0.63434977620041111</v>
      </c>
      <c r="J258" s="11">
        <v>0.01</v>
      </c>
      <c r="K258" s="9">
        <v>0.33353220012194346</v>
      </c>
      <c r="L258" s="8">
        <v>-0.85399999999999998</v>
      </c>
      <c r="M258" s="11">
        <v>-0.13958337985871883</v>
      </c>
      <c r="N258" s="9">
        <f t="shared" si="86"/>
        <v>-6.9791689929359413E-2</v>
      </c>
      <c r="P258" s="29">
        <f t="shared" si="89"/>
        <v>0.24927889469558506</v>
      </c>
      <c r="Q258" s="1" t="str">
        <f t="shared" si="97"/>
        <v>E</v>
      </c>
      <c r="R258" t="str">
        <f t="shared" si="91"/>
        <v>E</v>
      </c>
      <c r="S258" s="18">
        <f t="shared" si="106"/>
        <v>0.24927889469558506</v>
      </c>
      <c r="T258" t="str">
        <f t="shared" si="100"/>
        <v>E</v>
      </c>
      <c r="V258" s="1">
        <v>19.600000000000001</v>
      </c>
      <c r="W258" s="1">
        <f t="shared" si="102"/>
        <v>0.24927889469558506</v>
      </c>
      <c r="X258" s="1">
        <f t="shared" si="103"/>
        <v>0.24927889469558506</v>
      </c>
      <c r="Y258" s="1" t="e">
        <f t="shared" si="104"/>
        <v>#N/A</v>
      </c>
      <c r="Z258" s="1" t="e">
        <f t="shared" si="105"/>
        <v>#N/A</v>
      </c>
      <c r="AA258" s="1">
        <v>0</v>
      </c>
      <c r="AC258" s="31">
        <f t="shared" si="92"/>
        <v>0.24927889469558506</v>
      </c>
      <c r="AD258" s="31">
        <f t="shared" si="93"/>
        <v>0.24927889469558506</v>
      </c>
      <c r="AE258" s="31" t="e">
        <f t="shared" si="94"/>
        <v>#N/A</v>
      </c>
      <c r="AF258" s="31" t="e">
        <f t="shared" si="95"/>
        <v>#N/A</v>
      </c>
      <c r="AL258" s="17">
        <f t="shared" si="96"/>
        <v>44712</v>
      </c>
      <c r="AM258">
        <f>IF($Q258="E",4,IF($Q258="R",2,IF($Q258="SD",3,1)))</f>
        <v>4</v>
      </c>
      <c r="AN258">
        <f t="shared" si="99"/>
        <v>4</v>
      </c>
    </row>
    <row r="259" spans="1:40">
      <c r="A259" s="7">
        <v>44742</v>
      </c>
      <c r="B259" s="8">
        <v>98.568600000000004</v>
      </c>
      <c r="C259" s="8">
        <v>2.9340952359806771E-3</v>
      </c>
      <c r="D259" s="9">
        <f t="shared" si="82"/>
        <v>3.0733523808995168E-2</v>
      </c>
      <c r="E259" s="11">
        <f>_xll.BDH(E$2,"PX_LAST",$A259,$A259)</f>
        <v>53.5</v>
      </c>
      <c r="F259" s="10">
        <f>$BG$1*F258+(1-$BG$1)*(E259-50)</f>
        <v>6.1493546648149504</v>
      </c>
      <c r="G259" s="8">
        <v>-0.28749999999999998</v>
      </c>
      <c r="H259" s="9">
        <f t="shared" ref="H259:H282" si="107">$BG$1*H258 + (1-$BG$1)*G259</f>
        <v>0.22862258998329399</v>
      </c>
      <c r="I259" s="10">
        <f t="shared" si="85"/>
        <v>0.428622589983294</v>
      </c>
      <c r="J259" s="11">
        <f>_xll.BDH(J$2,"PX_LAST",$A259,$A259)</f>
        <v>-0.25</v>
      </c>
      <c r="K259" s="10">
        <f t="shared" si="87"/>
        <v>0.16722552308718955</v>
      </c>
      <c r="L259" s="8">
        <v>-1.498</v>
      </c>
      <c r="M259" s="11">
        <v>-0.43952211659898399</v>
      </c>
      <c r="N259" s="9">
        <f t="shared" si="86"/>
        <v>-0.219761058299492</v>
      </c>
      <c r="P259" s="29">
        <f t="shared" si="89"/>
        <v>0.10184901816452858</v>
      </c>
      <c r="Q259" s="1" t="str">
        <f t="shared" si="97"/>
        <v>SD</v>
      </c>
      <c r="R259" t="str">
        <f t="shared" si="91"/>
        <v>SD</v>
      </c>
      <c r="S259" s="18">
        <f t="shared" si="106"/>
        <v>0.10184901816452858</v>
      </c>
      <c r="T259" t="str">
        <f t="shared" si="100"/>
        <v>SD</v>
      </c>
      <c r="V259" s="1">
        <v>-25.3</v>
      </c>
      <c r="W259" s="1" t="e">
        <f t="shared" si="102"/>
        <v>#N/A</v>
      </c>
      <c r="X259" s="1">
        <f t="shared" si="103"/>
        <v>0.10184901816452858</v>
      </c>
      <c r="Y259" s="1" t="e">
        <f t="shared" si="104"/>
        <v>#N/A</v>
      </c>
      <c r="Z259" s="1" t="e">
        <f t="shared" si="105"/>
        <v>#N/A</v>
      </c>
      <c r="AA259" s="1">
        <v>0</v>
      </c>
      <c r="AC259" s="31" t="e">
        <f t="shared" si="92"/>
        <v>#N/A</v>
      </c>
      <c r="AD259" s="31">
        <f t="shared" si="93"/>
        <v>0.10184901816452858</v>
      </c>
      <c r="AE259" s="31" t="e">
        <f t="shared" si="94"/>
        <v>#N/A</v>
      </c>
      <c r="AF259" s="31" t="e">
        <f t="shared" si="95"/>
        <v>#N/A</v>
      </c>
      <c r="AL259" s="17">
        <f t="shared" si="96"/>
        <v>44742</v>
      </c>
      <c r="AM259">
        <f t="shared" si="101"/>
        <v>3</v>
      </c>
      <c r="AN259">
        <f t="shared" si="99"/>
        <v>3</v>
      </c>
    </row>
    <row r="260" spans="1:40">
      <c r="A260" s="7">
        <v>44773</v>
      </c>
      <c r="B260" s="8">
        <v>98.093000000000004</v>
      </c>
      <c r="C260" s="8">
        <v>-0.29256362190627461</v>
      </c>
      <c r="D260" s="9">
        <f t="shared" si="82"/>
        <v>-4.3140905476568653E-2</v>
      </c>
      <c r="E260" s="11">
        <f>_xll.BDH(E$2,"PX_LAST",$A260,$A260)</f>
        <v>52.9</v>
      </c>
      <c r="F260" s="10">
        <f t="shared" ref="F260:F278" si="108">$BG$1*F259+(1-$BG$1)*(E260-50)</f>
        <v>5.2232885853426891</v>
      </c>
      <c r="G260" s="8">
        <v>0.41120000000000001</v>
      </c>
      <c r="H260" s="9">
        <f t="shared" si="107"/>
        <v>0.28065715183805517</v>
      </c>
      <c r="I260" s="10">
        <f t="shared" si="85"/>
        <v>0.48065715183805519</v>
      </c>
      <c r="J260" s="11">
        <f>_xll.BDH(J$2,"PX_LAST",$A260,$A260)</f>
        <v>0.2</v>
      </c>
      <c r="K260" s="10">
        <f t="shared" ref="K260:K306" si="109">$BG$1*K259+(1-$BG$1) * MAX(AVERAGE($J$4:$J$256)-3*STDEVA($J$4:$J$256),MIN(J260,AVERAGE($J$4:$J$256)+3*STDEVA($J$4:$J$256)))</f>
        <v>0.17656624900734053</v>
      </c>
      <c r="L260" s="8">
        <v>-1.2130000000000001</v>
      </c>
      <c r="M260" s="11">
        <v>-0.71781831336827362</v>
      </c>
      <c r="N260" s="9">
        <f t="shared" si="86"/>
        <v>-0.35890915668413681</v>
      </c>
      <c r="P260" s="29">
        <f t="shared" si="89"/>
        <v>5.0827172987637836E-2</v>
      </c>
      <c r="Q260" s="1" t="s">
        <v>23</v>
      </c>
      <c r="R260" t="str">
        <f t="shared" si="91"/>
        <v>SD</v>
      </c>
      <c r="S260" s="18">
        <f t="shared" si="106"/>
        <v>0.10184901816452858</v>
      </c>
      <c r="T260" t="str">
        <f t="shared" si="100"/>
        <v>SD</v>
      </c>
      <c r="V260" s="1">
        <v>-25</v>
      </c>
      <c r="W260" s="1" t="e">
        <f t="shared" si="102"/>
        <v>#N/A</v>
      </c>
      <c r="X260" s="1">
        <f t="shared" si="103"/>
        <v>5.0827172987637836E-2</v>
      </c>
      <c r="Y260" s="1">
        <f t="shared" si="104"/>
        <v>5.0827172987637836E-2</v>
      </c>
      <c r="Z260" s="1" t="e">
        <f t="shared" si="105"/>
        <v>#N/A</v>
      </c>
      <c r="AA260" s="1">
        <v>0</v>
      </c>
      <c r="AC260" s="31" t="e">
        <f t="shared" si="92"/>
        <v>#N/A</v>
      </c>
      <c r="AD260" s="31">
        <f t="shared" si="93"/>
        <v>5.0827172987637836E-2</v>
      </c>
      <c r="AE260" s="31">
        <f t="shared" si="94"/>
        <v>5.0827172987637836E-2</v>
      </c>
      <c r="AF260" s="31" t="e">
        <f t="shared" si="95"/>
        <v>#N/A</v>
      </c>
      <c r="AL260" s="17">
        <f t="shared" si="96"/>
        <v>44773</v>
      </c>
      <c r="AM260">
        <f t="shared" si="101"/>
        <v>3</v>
      </c>
      <c r="AN260">
        <f t="shared" si="99"/>
        <v>3</v>
      </c>
    </row>
    <row r="261" spans="1:40">
      <c r="A261" s="7">
        <v>44804</v>
      </c>
      <c r="B261" s="8">
        <v>97.696799999999996</v>
      </c>
      <c r="C261" s="8">
        <f t="shared" ref="C261:C282" si="110">$BG$1*C260+(1-$BG$1)*(B261-100)</f>
        <v>-0.86559498966298754</v>
      </c>
      <c r="D261" s="9">
        <f t="shared" ref="D261:D267" si="111">C261/4+0.03</f>
        <v>-0.18639874741574688</v>
      </c>
      <c r="E261" s="11">
        <f>_xll.BDH(E$2,"PX_LAST",$A261,$A261)</f>
        <v>53</v>
      </c>
      <c r="F261" s="10">
        <f t="shared" si="108"/>
        <v>4.5896513385200226</v>
      </c>
      <c r="G261" s="8">
        <v>0.25259999999999999</v>
      </c>
      <c r="H261" s="9">
        <f t="shared" si="107"/>
        <v>0.27266086356420943</v>
      </c>
      <c r="I261" s="10">
        <f t="shared" ref="I261:I267" si="112">MAX(IF(H261&lt;-1,-1*SQRT(-H261),IF(H261&gt;1,H261,H261)),-2)+0.2</f>
        <v>0.47266086356420944</v>
      </c>
      <c r="J261" s="11">
        <f>_xll.BDH(J$2,"PX_LAST",$A261,$A261)</f>
        <v>0.04</v>
      </c>
      <c r="K261" s="10">
        <f t="shared" si="109"/>
        <v>0.13764486804024847</v>
      </c>
      <c r="L261" s="8">
        <v>-1.843</v>
      </c>
      <c r="M261" s="11">
        <f t="shared" ref="M261:M267" si="113">$BG$1*M260+(1-$BG$1)*L261</f>
        <v>-1.0384950940583155</v>
      </c>
      <c r="N261" s="9">
        <f t="shared" ref="N261:N273" si="114">IF(M261&lt;-1,-(-M261^(0.5)/2),IF(M261&lt;0,0.5*M261,M261))*1+0*IF(M261&gt;0,M261*6,M261)/6</f>
        <v>-0.50953289738208163</v>
      </c>
      <c r="P261" s="29">
        <f t="shared" si="89"/>
        <v>-2.6670979764813623E-2</v>
      </c>
      <c r="Q261" s="1" t="str">
        <f t="shared" ref="Q261:Q267" si="115">IF(P261-P260&gt;0,IF(P261&gt;=0,"E","R"),IF(P261&gt;=0,"SD","C"))</f>
        <v>C</v>
      </c>
      <c r="R261" t="str">
        <f t="shared" si="91"/>
        <v>C</v>
      </c>
      <c r="S261" s="18">
        <f t="shared" si="106"/>
        <v>-2.6670979764813623E-2</v>
      </c>
      <c r="T261" t="str">
        <f t="shared" si="100"/>
        <v>C</v>
      </c>
      <c r="V261" s="1">
        <v>-25.4</v>
      </c>
      <c r="W261" s="1" t="e">
        <f t="shared" si="102"/>
        <v>#N/A</v>
      </c>
      <c r="X261" s="1" t="e">
        <f t="shared" si="103"/>
        <v>#N/A</v>
      </c>
      <c r="Y261" s="1">
        <f t="shared" si="104"/>
        <v>-2.6670979764813623E-2</v>
      </c>
      <c r="Z261" s="1" t="e">
        <f t="shared" si="105"/>
        <v>#N/A</v>
      </c>
      <c r="AA261" s="1">
        <v>0</v>
      </c>
      <c r="AC261" s="31" t="e">
        <f t="shared" si="92"/>
        <v>#N/A</v>
      </c>
      <c r="AD261" s="31" t="e">
        <f t="shared" si="93"/>
        <v>#N/A</v>
      </c>
      <c r="AE261" s="31">
        <f t="shared" si="94"/>
        <v>-2.6670979764813623E-2</v>
      </c>
      <c r="AF261" s="31" t="e">
        <f t="shared" si="95"/>
        <v>#N/A</v>
      </c>
      <c r="AL261" s="17">
        <f t="shared" si="96"/>
        <v>44804</v>
      </c>
      <c r="AM261">
        <f t="shared" si="101"/>
        <v>1</v>
      </c>
      <c r="AN261">
        <f t="shared" si="99"/>
        <v>1</v>
      </c>
    </row>
    <row r="262" spans="1:40">
      <c r="A262" s="7">
        <v>44834</v>
      </c>
      <c r="B262" s="8">
        <v>97.3917</v>
      </c>
      <c r="C262" s="8">
        <f t="shared" si="110"/>
        <v>-1.3622659176090361</v>
      </c>
      <c r="D262" s="9">
        <f t="shared" si="111"/>
        <v>-0.31056647940225901</v>
      </c>
      <c r="E262" s="11">
        <f>_xll.BDH(E$2,"PX_LAST",$A262,$A262)</f>
        <v>51.1</v>
      </c>
      <c r="F262" s="10">
        <f t="shared" si="108"/>
        <v>3.5951007070418162</v>
      </c>
      <c r="G262" s="8">
        <v>3.6499999999999998E-2</v>
      </c>
      <c r="H262" s="10">
        <f t="shared" si="107"/>
        <v>0.20535501744840975</v>
      </c>
      <c r="I262" s="10">
        <f t="shared" si="112"/>
        <v>0.40535501744840974</v>
      </c>
      <c r="J262" s="11">
        <f>_xll.BDH(J$2,"PX_LAST",$A262,$A262)</f>
        <v>0</v>
      </c>
      <c r="K262" s="10">
        <f t="shared" si="109"/>
        <v>9.841608064877766E-2</v>
      </c>
      <c r="L262" s="8">
        <v>-1.897</v>
      </c>
      <c r="M262" s="11">
        <f t="shared" si="113"/>
        <v>-1.2831689922516956</v>
      </c>
      <c r="N262" s="9">
        <f t="shared" si="114"/>
        <v>-0.56638524703855408</v>
      </c>
      <c r="P262" s="29">
        <f t="shared" ref="P262:P281" si="116">AVERAGE(D261,I262,N262)</f>
        <v>-0.11580965900196376</v>
      </c>
      <c r="Q262" s="1" t="str">
        <f t="shared" si="115"/>
        <v>C</v>
      </c>
      <c r="R262" t="str">
        <f t="shared" si="91"/>
        <v>C</v>
      </c>
      <c r="S262" s="18">
        <f t="shared" si="106"/>
        <v>-2.6670979764813623E-2</v>
      </c>
      <c r="T262" t="str">
        <f t="shared" si="100"/>
        <v>C</v>
      </c>
      <c r="V262" s="1">
        <v>0.2</v>
      </c>
      <c r="W262" s="1" t="e">
        <f t="shared" si="102"/>
        <v>#N/A</v>
      </c>
      <c r="X262" s="1" t="e">
        <f t="shared" si="103"/>
        <v>#N/A</v>
      </c>
      <c r="Y262" s="1">
        <f t="shared" si="104"/>
        <v>-0.11580965900196376</v>
      </c>
      <c r="Z262" s="1" t="e">
        <f t="shared" si="105"/>
        <v>#N/A</v>
      </c>
      <c r="AA262" s="1">
        <v>0</v>
      </c>
      <c r="AC262" s="31" t="e">
        <f t="shared" si="92"/>
        <v>#N/A</v>
      </c>
      <c r="AD262" s="31" t="e">
        <f t="shared" si="93"/>
        <v>#N/A</v>
      </c>
      <c r="AE262" s="31">
        <f t="shared" si="94"/>
        <v>-0.11580965900196376</v>
      </c>
      <c r="AF262" s="31" t="e">
        <f t="shared" si="95"/>
        <v>#N/A</v>
      </c>
      <c r="AL262" s="17">
        <f t="shared" si="96"/>
        <v>44834</v>
      </c>
      <c r="AM262">
        <f t="shared" si="101"/>
        <v>1</v>
      </c>
      <c r="AN262">
        <f t="shared" si="99"/>
        <v>1</v>
      </c>
    </row>
    <row r="263" spans="1:40">
      <c r="A263" s="7">
        <v>44865</v>
      </c>
      <c r="B263" s="8">
        <v>97.195999999999998</v>
      </c>
      <c r="C263" s="8">
        <f t="shared" si="110"/>
        <v>-1.7731601310904614</v>
      </c>
      <c r="D263" s="9">
        <f t="shared" si="111"/>
        <v>-0.41329003277261533</v>
      </c>
      <c r="E263" s="11">
        <f>_xll.BDH(E$2,"PX_LAST",$A263,$A263)</f>
        <v>50.3</v>
      </c>
      <c r="F263" s="10">
        <f t="shared" si="108"/>
        <v>2.6559970055348976</v>
      </c>
      <c r="G263" s="8">
        <v>-0.34499999999999997</v>
      </c>
      <c r="H263" s="10">
        <f t="shared" si="107"/>
        <v>4.8503837475612946E-2</v>
      </c>
      <c r="I263" s="10">
        <f t="shared" si="112"/>
        <v>0.24850383747561294</v>
      </c>
      <c r="J263" s="11">
        <f>_xll.BDH(J$2,"PX_LAST",$A263,$A263)</f>
        <v>0.04</v>
      </c>
      <c r="K263" s="10">
        <f t="shared" si="109"/>
        <v>8.1767497663876032E-2</v>
      </c>
      <c r="L263" s="8">
        <v>-1.9419999999999999</v>
      </c>
      <c r="M263" s="11">
        <f t="shared" si="113"/>
        <v>-1.4709358294599624</v>
      </c>
      <c r="N263" s="9">
        <f t="shared" si="114"/>
        <v>-0.60641071672999858</v>
      </c>
      <c r="P263" s="29">
        <f t="shared" si="116"/>
        <v>-0.22282445288554822</v>
      </c>
      <c r="Q263" s="1" t="str">
        <f t="shared" si="115"/>
        <v>C</v>
      </c>
      <c r="R263" t="str">
        <f t="shared" ref="R263:R284" si="117">IF(OR(ABS($P263-$P262)&gt;$R$1,P263*P262&lt;0),Q263,R262)</f>
        <v>C</v>
      </c>
      <c r="S263" s="18">
        <f t="shared" si="106"/>
        <v>-2.6670979764813623E-2</v>
      </c>
      <c r="T263" t="str">
        <f t="shared" si="100"/>
        <v>C</v>
      </c>
      <c r="V263" s="1">
        <v>18.2</v>
      </c>
      <c r="W263" s="1" t="e">
        <f t="shared" si="102"/>
        <v>#N/A</v>
      </c>
      <c r="X263" s="1" t="e">
        <f t="shared" si="103"/>
        <v>#N/A</v>
      </c>
      <c r="Y263" s="1">
        <f t="shared" si="104"/>
        <v>-0.22282445288554822</v>
      </c>
      <c r="Z263" s="1" t="e">
        <f t="shared" si="105"/>
        <v>#N/A</v>
      </c>
      <c r="AA263" s="1">
        <v>0</v>
      </c>
      <c r="AC263" s="31" t="e">
        <f t="shared" ref="AC263:AC291" si="118">IF(OR($T263=AC$5,$T264=AC$5),$P263,NA())</f>
        <v>#N/A</v>
      </c>
      <c r="AD263" s="31" t="e">
        <f t="shared" ref="AD263:AD291" si="119">IF(OR($T263=AD$5,$T264=AD$5),$P263,NA())</f>
        <v>#N/A</v>
      </c>
      <c r="AE263" s="31">
        <f t="shared" ref="AE263:AE291" si="120">IF(OR($T263=AE$5,$T264=AE$5),$P263,NA())</f>
        <v>-0.22282445288554822</v>
      </c>
      <c r="AF263" s="31" t="e">
        <f t="shared" ref="AF263:AF291" si="121">IF(OR($T263=AF$5,$T264=AF$5),$P263,NA())</f>
        <v>#N/A</v>
      </c>
      <c r="AL263" s="17">
        <f t="shared" ref="AL263:AL286" si="122">A263</f>
        <v>44865</v>
      </c>
      <c r="AM263">
        <f t="shared" si="101"/>
        <v>1</v>
      </c>
      <c r="AN263">
        <f t="shared" si="99"/>
        <v>1</v>
      </c>
    </row>
    <row r="264" spans="1:40">
      <c r="A264" s="7">
        <v>44895</v>
      </c>
      <c r="B264" s="8">
        <v>97.092600000000004</v>
      </c>
      <c r="C264" s="8">
        <f t="shared" si="110"/>
        <v>-2.0964184937296784</v>
      </c>
      <c r="D264" s="9">
        <f t="shared" si="111"/>
        <v>-0.49410462343241957</v>
      </c>
      <c r="E264" s="11">
        <f>_xll.BDH(E$2,"PX_LAST",$A264,$A264)</f>
        <v>49</v>
      </c>
      <c r="F264" s="10">
        <f t="shared" si="108"/>
        <v>1.6140378589574516</v>
      </c>
      <c r="G264" s="8">
        <v>-0.76439999999999997</v>
      </c>
      <c r="H264" s="9">
        <f t="shared" si="107"/>
        <v>-0.18317375620493676</v>
      </c>
      <c r="I264" s="10">
        <f t="shared" si="112"/>
        <v>1.6826243795063256E-2</v>
      </c>
      <c r="J264" s="11">
        <f>_xll.BDH(J$2,"PX_LAST",$A264,$A264)</f>
        <v>-0.6</v>
      </c>
      <c r="K264" s="10">
        <f t="shared" si="109"/>
        <v>-0.11253623917032865</v>
      </c>
      <c r="L264" s="8">
        <v>-1.343</v>
      </c>
      <c r="M264" s="11">
        <f t="shared" si="113"/>
        <v>-1.4344741180638729</v>
      </c>
      <c r="N264" s="9">
        <f t="shared" si="114"/>
        <v>-0.59884766803918354</v>
      </c>
      <c r="P264" s="29">
        <f t="shared" si="116"/>
        <v>-0.33177048567224521</v>
      </c>
      <c r="Q264" s="1" t="str">
        <f t="shared" si="115"/>
        <v>C</v>
      </c>
      <c r="R264" t="str">
        <f t="shared" si="117"/>
        <v>C</v>
      </c>
      <c r="S264" s="18">
        <f t="shared" ref="S264:S284" si="123">IF(R264&lt;&gt;Q263,P264,S263)</f>
        <v>-2.6670979764813623E-2</v>
      </c>
      <c r="T264" t="str">
        <f t="shared" si="100"/>
        <v>C</v>
      </c>
      <c r="V264" s="1">
        <v>32.5</v>
      </c>
      <c r="W264" s="1" t="e">
        <f t="shared" si="102"/>
        <v>#N/A</v>
      </c>
      <c r="X264" s="1" t="e">
        <f t="shared" si="103"/>
        <v>#N/A</v>
      </c>
      <c r="Y264" s="1">
        <f t="shared" si="104"/>
        <v>-0.33177048567224521</v>
      </c>
      <c r="Z264" s="1" t="e">
        <f t="shared" si="105"/>
        <v>#N/A</v>
      </c>
      <c r="AA264" s="1">
        <v>0</v>
      </c>
      <c r="AC264" s="31" t="e">
        <f t="shared" si="118"/>
        <v>#N/A</v>
      </c>
      <c r="AD264" s="31" t="e">
        <f t="shared" si="119"/>
        <v>#N/A</v>
      </c>
      <c r="AE264" s="31">
        <f t="shared" si="120"/>
        <v>-0.33177048567224521</v>
      </c>
      <c r="AF264" s="31" t="e">
        <f t="shared" si="121"/>
        <v>#N/A</v>
      </c>
      <c r="AL264" s="17">
        <f t="shared" si="122"/>
        <v>44895</v>
      </c>
      <c r="AM264">
        <f t="shared" ref="AM264:AM287" si="124">IF($Q264="E",4,IF($Q264="R",2,IF($Q264="SD",3,1)))</f>
        <v>1</v>
      </c>
      <c r="AN264">
        <f t="shared" ref="AN264:AN287" si="125">IF($R264="E",4,IF($R264="R",2,IF($R264="SD",3,1)))</f>
        <v>1</v>
      </c>
    </row>
    <row r="265" spans="1:40">
      <c r="A265" s="7">
        <v>44926</v>
      </c>
      <c r="B265" s="8">
        <v>97.034099999999995</v>
      </c>
      <c r="C265" s="8">
        <f t="shared" si="110"/>
        <v>-2.3442207230167216</v>
      </c>
      <c r="D265" s="9">
        <f t="shared" si="111"/>
        <v>-0.55605518075418037</v>
      </c>
      <c r="E265" s="11">
        <f>_xll.BDH(E$2,"PX_LAST",$A265,$A265)</f>
        <v>48</v>
      </c>
      <c r="F265" s="10">
        <f t="shared" si="108"/>
        <v>0.58403706915457776</v>
      </c>
      <c r="G265" s="8">
        <v>-0.4733</v>
      </c>
      <c r="H265" s="9">
        <f t="shared" si="107"/>
        <v>-0.26585973568652976</v>
      </c>
      <c r="I265" s="10">
        <f t="shared" si="112"/>
        <v>-6.5859735686529752E-2</v>
      </c>
      <c r="J265" s="11">
        <f>_xll.BDH(J$2,"PX_LAST",$A265,$A265)</f>
        <v>-0.46</v>
      </c>
      <c r="K265" s="10">
        <f t="shared" si="109"/>
        <v>-0.211563411006785</v>
      </c>
      <c r="L265" s="8">
        <v>-0.47499999999999998</v>
      </c>
      <c r="M265" s="11">
        <f t="shared" si="113"/>
        <v>-1.1610239944156691</v>
      </c>
      <c r="N265" s="9">
        <f t="shared" si="114"/>
        <v>-0.53875411701806719</v>
      </c>
      <c r="P265" s="29">
        <f t="shared" si="116"/>
        <v>-0.36623949204567219</v>
      </c>
      <c r="Q265" s="1" t="str">
        <f t="shared" si="115"/>
        <v>C</v>
      </c>
      <c r="R265" t="str">
        <f t="shared" si="117"/>
        <v>C</v>
      </c>
      <c r="S265" s="18">
        <f t="shared" si="123"/>
        <v>-2.6670979764813623E-2</v>
      </c>
      <c r="T265" t="str">
        <f t="shared" si="100"/>
        <v>C</v>
      </c>
      <c r="V265" s="1">
        <v>60</v>
      </c>
      <c r="W265" s="1" t="e">
        <f t="shared" si="102"/>
        <v>#N/A</v>
      </c>
      <c r="X265" s="1" t="e">
        <f t="shared" si="103"/>
        <v>#N/A</v>
      </c>
      <c r="Y265" s="1">
        <f t="shared" si="104"/>
        <v>-0.36623949204567219</v>
      </c>
      <c r="Z265" s="1">
        <f t="shared" si="105"/>
        <v>-0.36623949204567219</v>
      </c>
      <c r="AA265" s="1">
        <v>0</v>
      </c>
      <c r="AC265" s="31" t="e">
        <f t="shared" si="118"/>
        <v>#N/A</v>
      </c>
      <c r="AD265" s="31" t="e">
        <f t="shared" si="119"/>
        <v>#N/A</v>
      </c>
      <c r="AE265" s="31">
        <f t="shared" si="120"/>
        <v>-0.36623949204567219</v>
      </c>
      <c r="AF265" s="31">
        <f t="shared" si="121"/>
        <v>-0.36623949204567219</v>
      </c>
      <c r="AL265" s="17">
        <f t="shared" si="122"/>
        <v>44926</v>
      </c>
      <c r="AM265">
        <f t="shared" si="124"/>
        <v>1</v>
      </c>
      <c r="AN265">
        <f t="shared" si="125"/>
        <v>1</v>
      </c>
    </row>
    <row r="266" spans="1:40">
      <c r="A266" s="7">
        <v>44957</v>
      </c>
      <c r="B266" s="8">
        <v>96.987099999999998</v>
      </c>
      <c r="C266" s="8">
        <f t="shared" si="110"/>
        <v>-2.5347943169569565</v>
      </c>
      <c r="D266" s="9">
        <f t="shared" si="111"/>
        <v>-0.60369857923923909</v>
      </c>
      <c r="E266" s="11">
        <f>_xll.BDH(E$2,"PX_LAST",$A266,$A266)</f>
        <v>47.1</v>
      </c>
      <c r="F266" s="10">
        <f t="shared" si="108"/>
        <v>-0.40891349555447659</v>
      </c>
      <c r="G266" s="8">
        <v>0.40189999999999998</v>
      </c>
      <c r="H266" s="9">
        <f t="shared" si="107"/>
        <v>-7.5548211015868769E-2</v>
      </c>
      <c r="I266" s="10">
        <f t="shared" si="112"/>
        <v>0.12445178898413124</v>
      </c>
      <c r="J266" s="11">
        <f>_xll.BDH(J$2,"PX_LAST",$A266,$A266)</f>
        <v>0.56999999999999995</v>
      </c>
      <c r="K266" s="10">
        <f t="shared" si="109"/>
        <v>1.1182161130148749E-2</v>
      </c>
      <c r="L266" s="8">
        <v>-0.182</v>
      </c>
      <c r="M266" s="11">
        <f t="shared" si="113"/>
        <v>-0.88200215600720333</v>
      </c>
      <c r="N266" s="9">
        <f t="shared" si="114"/>
        <v>-0.44100107800360167</v>
      </c>
      <c r="P266" s="29">
        <f t="shared" si="116"/>
        <v>-0.29086815659121695</v>
      </c>
      <c r="Q266" s="1" t="str">
        <f t="shared" si="115"/>
        <v>R</v>
      </c>
      <c r="R266" t="str">
        <f t="shared" si="117"/>
        <v>R</v>
      </c>
      <c r="S266" s="18">
        <f t="shared" si="123"/>
        <v>-0.29086815659121695</v>
      </c>
      <c r="T266" t="str">
        <f t="shared" si="100"/>
        <v>R</v>
      </c>
      <c r="V266" s="1">
        <v>97.2</v>
      </c>
      <c r="W266" s="1" t="e">
        <f t="shared" si="102"/>
        <v>#N/A</v>
      </c>
      <c r="X266" s="1" t="e">
        <f t="shared" si="103"/>
        <v>#N/A</v>
      </c>
      <c r="Y266" s="1" t="e">
        <f t="shared" si="104"/>
        <v>#N/A</v>
      </c>
      <c r="Z266" s="1">
        <f t="shared" si="105"/>
        <v>-0.29086815659121695</v>
      </c>
      <c r="AA266" s="1">
        <v>0</v>
      </c>
      <c r="AC266" s="31" t="e">
        <f t="shared" si="118"/>
        <v>#N/A</v>
      </c>
      <c r="AD266" s="31" t="e">
        <f t="shared" si="119"/>
        <v>#N/A</v>
      </c>
      <c r="AE266" s="31" t="e">
        <f t="shared" si="120"/>
        <v>#N/A</v>
      </c>
      <c r="AF266" s="31">
        <f t="shared" si="121"/>
        <v>-0.29086815659121695</v>
      </c>
      <c r="AL266" s="17">
        <f t="shared" si="122"/>
        <v>44957</v>
      </c>
      <c r="AM266">
        <f t="shared" si="124"/>
        <v>2</v>
      </c>
      <c r="AN266">
        <f t="shared" si="125"/>
        <v>2</v>
      </c>
    </row>
    <row r="267" spans="1:40">
      <c r="A267" s="7">
        <v>44985</v>
      </c>
      <c r="B267" s="8">
        <v>97.282399999999996</v>
      </c>
      <c r="C267" s="8">
        <f t="shared" si="110"/>
        <v>-2.5868939366242252</v>
      </c>
      <c r="D267" s="9">
        <f t="shared" si="111"/>
        <v>-0.61672348415605627</v>
      </c>
      <c r="E267" s="11">
        <f>_xll.BDH(E$2,"PX_LAST",$A267,$A267)</f>
        <v>47.3</v>
      </c>
      <c r="F267" s="10">
        <f t="shared" si="108"/>
        <v>-1.0618731493214515</v>
      </c>
      <c r="G267" s="8">
        <v>-0.2399</v>
      </c>
      <c r="H267" s="9">
        <f t="shared" si="107"/>
        <v>-0.12238847087634616</v>
      </c>
      <c r="I267" s="10">
        <f t="shared" si="112"/>
        <v>7.761152912365385E-2</v>
      </c>
      <c r="J267" s="11">
        <f>_xll.BDH(J$2,"PX_LAST",$A267,$A267)</f>
        <v>-0.43</v>
      </c>
      <c r="K267" s="10">
        <f t="shared" si="109"/>
        <v>-0.11455475479194366</v>
      </c>
      <c r="L267" s="8">
        <v>0.26</v>
      </c>
      <c r="M267" s="11">
        <f t="shared" si="113"/>
        <v>-0.55653154154515028</v>
      </c>
      <c r="N267" s="9">
        <f t="shared" si="114"/>
        <v>-0.27826577077257514</v>
      </c>
      <c r="P267" s="29">
        <f t="shared" si="116"/>
        <v>-0.26811760696272008</v>
      </c>
      <c r="Q267" s="1" t="str">
        <f t="shared" si="115"/>
        <v>R</v>
      </c>
      <c r="R267" t="str">
        <f t="shared" si="117"/>
        <v>R</v>
      </c>
      <c r="S267" s="18">
        <f t="shared" si="123"/>
        <v>-0.29086815659121695</v>
      </c>
      <c r="T267" t="str">
        <f t="shared" si="100"/>
        <v>R</v>
      </c>
      <c r="V267" s="1">
        <v>61.8</v>
      </c>
      <c r="W267" s="1" t="e">
        <f t="shared" si="102"/>
        <v>#N/A</v>
      </c>
      <c r="X267" s="1" t="e">
        <f t="shared" si="103"/>
        <v>#N/A</v>
      </c>
      <c r="Y267" s="1">
        <f t="shared" si="104"/>
        <v>-0.26811760696272008</v>
      </c>
      <c r="Z267" s="1">
        <f t="shared" si="105"/>
        <v>-0.26811760696272008</v>
      </c>
      <c r="AA267" s="1">
        <v>0</v>
      </c>
      <c r="AC267" s="31" t="e">
        <f t="shared" si="118"/>
        <v>#N/A</v>
      </c>
      <c r="AD267" s="31" t="e">
        <f t="shared" si="119"/>
        <v>#N/A</v>
      </c>
      <c r="AE267" s="31">
        <f t="shared" si="120"/>
        <v>-0.26811760696272008</v>
      </c>
      <c r="AF267" s="31">
        <f t="shared" si="121"/>
        <v>-0.26811760696272008</v>
      </c>
      <c r="AL267" s="17">
        <f t="shared" si="122"/>
        <v>44985</v>
      </c>
      <c r="AM267">
        <f t="shared" si="124"/>
        <v>2</v>
      </c>
      <c r="AN267">
        <f t="shared" si="125"/>
        <v>2</v>
      </c>
    </row>
    <row r="268" spans="1:40">
      <c r="A268" s="7">
        <v>45016</v>
      </c>
      <c r="B268" s="8">
        <v>97.647300000000001</v>
      </c>
      <c r="C268" s="8">
        <f t="shared" si="110"/>
        <v>-2.5201486646863209</v>
      </c>
      <c r="D268" s="9">
        <f t="shared" ref="D268:D274" si="126">C268/4+0.03</f>
        <v>-0.60003716617158021</v>
      </c>
      <c r="E268" s="11">
        <f>_xll.BDH(E$2,"PX_LAST",$A268,$A268)</f>
        <v>46.3</v>
      </c>
      <c r="F268" s="10">
        <f t="shared" si="108"/>
        <v>-1.8137393017648387</v>
      </c>
      <c r="G268" s="8">
        <v>-0.38629999999999998</v>
      </c>
      <c r="H268" s="9">
        <f t="shared" si="107"/>
        <v>-0.19760325667658751</v>
      </c>
      <c r="I268" s="10">
        <f t="shared" ref="I268:I274" si="127">MAX(IF(H268&lt;-1,-1*SQRT(-H268),IF(H268&gt;1,H268,H268)),-2)+0.2</f>
        <v>2.396743323412498E-3</v>
      </c>
      <c r="J268" s="11">
        <f>_xll.BDH(J$2,"PX_LAST",$A268,$A268)</f>
        <v>-0.41</v>
      </c>
      <c r="K268" s="10">
        <f t="shared" si="109"/>
        <v>-0.19875664967623974</v>
      </c>
      <c r="L268" s="8">
        <v>-0.45800000000000002</v>
      </c>
      <c r="M268" s="11">
        <f t="shared" ref="M268:M273" si="128">$BG$1*M267+(1-$BG$1)*L268</f>
        <v>-0.52845005220478247</v>
      </c>
      <c r="N268" s="9">
        <f t="shared" si="114"/>
        <v>-0.26422502610239124</v>
      </c>
      <c r="P268" s="29">
        <f t="shared" si="116"/>
        <v>-0.29285058897834504</v>
      </c>
      <c r="Q268" s="1" t="str">
        <f t="shared" ref="Q268:Q274" si="129">IF(P268-P267&gt;0,IF(P268&gt;=0,"E","R"),IF(P268&gt;=0,"SD","C"))</f>
        <v>C</v>
      </c>
      <c r="R268" t="str">
        <f t="shared" si="117"/>
        <v>R</v>
      </c>
      <c r="S268" s="18">
        <f t="shared" si="123"/>
        <v>-0.29086815659121695</v>
      </c>
      <c r="T268" t="str">
        <f t="shared" si="100"/>
        <v>C</v>
      </c>
      <c r="V268" s="1">
        <v>50</v>
      </c>
      <c r="W268" s="1" t="e">
        <f t="shared" si="102"/>
        <v>#N/A</v>
      </c>
      <c r="X268" s="1" t="e">
        <f t="shared" si="103"/>
        <v>#N/A</v>
      </c>
      <c r="Y268" s="1">
        <f t="shared" si="104"/>
        <v>-0.29285058897834504</v>
      </c>
      <c r="Z268" s="1">
        <f t="shared" si="105"/>
        <v>-0.29285058897834504</v>
      </c>
      <c r="AA268" s="1">
        <v>0</v>
      </c>
      <c r="AC268" s="31" t="e">
        <f t="shared" si="118"/>
        <v>#N/A</v>
      </c>
      <c r="AD268" s="31" t="e">
        <f t="shared" si="119"/>
        <v>#N/A</v>
      </c>
      <c r="AE268" s="31">
        <f t="shared" si="120"/>
        <v>-0.29285058897834504</v>
      </c>
      <c r="AF268" s="31">
        <f t="shared" si="121"/>
        <v>-0.29285058897834504</v>
      </c>
      <c r="AL268" s="17">
        <f t="shared" si="122"/>
        <v>45016</v>
      </c>
      <c r="AM268">
        <f t="shared" si="124"/>
        <v>1</v>
      </c>
      <c r="AN268">
        <f t="shared" si="125"/>
        <v>2</v>
      </c>
    </row>
    <row r="269" spans="1:40">
      <c r="A269" s="7">
        <v>45046</v>
      </c>
      <c r="B269" s="8">
        <v>98.0959</v>
      </c>
      <c r="C269" s="8">
        <f t="shared" si="110"/>
        <v>-2.3445747952507192</v>
      </c>
      <c r="D269" s="9">
        <f t="shared" si="126"/>
        <v>-0.55614369881267978</v>
      </c>
      <c r="E269" s="11">
        <f>_xll.BDH(E$2,"PX_LAST",$A269,$A269)</f>
        <v>46.7</v>
      </c>
      <c r="F269" s="10">
        <f t="shared" si="108"/>
        <v>-2.2373236007618589</v>
      </c>
      <c r="G269" s="8">
        <v>-9.2299999999999993E-2</v>
      </c>
      <c r="H269" s="9">
        <f t="shared" si="107"/>
        <v>-0.16759182852376006</v>
      </c>
      <c r="I269" s="10">
        <f t="shared" si="127"/>
        <v>3.240817147623995E-2</v>
      </c>
      <c r="J269" s="11">
        <f>_xll.BDH(J$2,"PX_LAST",$A269,$A269)</f>
        <v>0.04</v>
      </c>
      <c r="K269" s="10">
        <f t="shared" si="109"/>
        <v>-0.13071100451851142</v>
      </c>
      <c r="L269" s="8">
        <v>-0.65900000000000003</v>
      </c>
      <c r="M269" s="11">
        <f t="shared" si="128"/>
        <v>-0.56565678732641944</v>
      </c>
      <c r="N269" s="9">
        <f>IF(M269&lt;-1,-(-M269^(0.5)/2),IF(M269&lt;0,0.5*M269,M269))*1+0*IF(M269&gt;0,M269*6,M269)/6</f>
        <v>-0.28282839366320972</v>
      </c>
      <c r="P269" s="29">
        <f t="shared" si="116"/>
        <v>-0.28348579611951669</v>
      </c>
      <c r="Q269" s="1" t="str">
        <f t="shared" si="129"/>
        <v>R</v>
      </c>
      <c r="R269" t="str">
        <f t="shared" si="117"/>
        <v>R</v>
      </c>
      <c r="S269" s="18">
        <f t="shared" si="123"/>
        <v>-0.28348579611951669</v>
      </c>
      <c r="T269" t="str">
        <f t="shared" si="100"/>
        <v>R</v>
      </c>
      <c r="V269" s="1">
        <v>15.2</v>
      </c>
      <c r="W269" s="1" t="e">
        <f t="shared" si="102"/>
        <v>#N/A</v>
      </c>
      <c r="X269" s="1" t="e">
        <f t="shared" si="103"/>
        <v>#N/A</v>
      </c>
      <c r="Y269" s="1">
        <f t="shared" si="104"/>
        <v>-0.28348579611951669</v>
      </c>
      <c r="Z269" s="1">
        <f t="shared" si="105"/>
        <v>-0.28348579611951669</v>
      </c>
      <c r="AA269" s="1">
        <v>0</v>
      </c>
      <c r="AC269" s="31" t="e">
        <f t="shared" si="118"/>
        <v>#N/A</v>
      </c>
      <c r="AD269" s="31" t="e">
        <f t="shared" si="119"/>
        <v>#N/A</v>
      </c>
      <c r="AE269" s="31">
        <f t="shared" si="120"/>
        <v>-0.28348579611951669</v>
      </c>
      <c r="AF269" s="31">
        <f t="shared" si="121"/>
        <v>-0.28348579611951669</v>
      </c>
      <c r="AL269" s="17">
        <f t="shared" si="122"/>
        <v>45046</v>
      </c>
      <c r="AM269">
        <f t="shared" si="124"/>
        <v>2</v>
      </c>
      <c r="AN269">
        <f t="shared" si="125"/>
        <v>2</v>
      </c>
    </row>
    <row r="270" spans="1:40">
      <c r="A270" s="7">
        <v>45077</v>
      </c>
      <c r="B270" s="8">
        <v>98.524299999999997</v>
      </c>
      <c r="C270" s="8">
        <f t="shared" si="110"/>
        <v>-2.0969454786042654</v>
      </c>
      <c r="D270" s="9">
        <f t="shared" si="126"/>
        <v>-0.49423636965106632</v>
      </c>
      <c r="E270" s="11">
        <f>_xll.BDH(E$2,"PX_LAST",$A270,$A270)</f>
        <v>46.4</v>
      </c>
      <c r="F270" s="10">
        <f t="shared" si="108"/>
        <v>-2.6256863745447294</v>
      </c>
      <c r="G270" s="8">
        <v>-0.22950000000000001</v>
      </c>
      <c r="H270" s="9">
        <f t="shared" si="107"/>
        <v>-0.18523565739448844</v>
      </c>
      <c r="I270" s="10">
        <f t="shared" si="127"/>
        <v>1.4764342605511571E-2</v>
      </c>
      <c r="J270" s="11">
        <f>_xll.BDH(J$2,"PX_LAST",$A270,$A270)</f>
        <v>-0.18</v>
      </c>
      <c r="K270" s="10">
        <f t="shared" si="109"/>
        <v>-0.14475836823073568</v>
      </c>
      <c r="L270" s="8">
        <v>-0.86899999999999999</v>
      </c>
      <c r="M270" s="11">
        <f t="shared" si="128"/>
        <v>-0.65210960293838993</v>
      </c>
      <c r="N270" s="9">
        <f t="shared" si="114"/>
        <v>-0.32605480146919497</v>
      </c>
      <c r="P270" s="29">
        <f t="shared" si="116"/>
        <v>-0.28914471922545443</v>
      </c>
      <c r="Q270" s="1" t="str">
        <f t="shared" si="129"/>
        <v>C</v>
      </c>
      <c r="R270" t="str">
        <f t="shared" si="117"/>
        <v>R</v>
      </c>
      <c r="S270" s="18">
        <f t="shared" si="123"/>
        <v>-0.28348579611951669</v>
      </c>
      <c r="T270" t="str">
        <f t="shared" si="100"/>
        <v>C</v>
      </c>
      <c r="V270" s="1">
        <v>-62.9</v>
      </c>
      <c r="W270" s="1" t="e">
        <f t="shared" si="102"/>
        <v>#N/A</v>
      </c>
      <c r="X270" s="1" t="e">
        <f t="shared" si="103"/>
        <v>#N/A</v>
      </c>
      <c r="Y270" s="1">
        <f t="shared" si="104"/>
        <v>-0.28914471922545443</v>
      </c>
      <c r="Z270" s="1">
        <f t="shared" si="105"/>
        <v>-0.28914471922545443</v>
      </c>
      <c r="AA270" s="1">
        <v>0</v>
      </c>
      <c r="AC270" s="31" t="e">
        <f t="shared" si="118"/>
        <v>#N/A</v>
      </c>
      <c r="AD270" s="31" t="e">
        <f t="shared" si="119"/>
        <v>#N/A</v>
      </c>
      <c r="AE270" s="31">
        <f t="shared" si="120"/>
        <v>-0.28914471922545443</v>
      </c>
      <c r="AF270" s="31">
        <f t="shared" si="121"/>
        <v>-0.28914471922545443</v>
      </c>
      <c r="AL270" s="17">
        <f t="shared" si="122"/>
        <v>45077</v>
      </c>
      <c r="AM270">
        <f t="shared" si="124"/>
        <v>1</v>
      </c>
      <c r="AN270">
        <f t="shared" si="125"/>
        <v>2</v>
      </c>
    </row>
    <row r="271" spans="1:40">
      <c r="A271" s="7">
        <v>45107</v>
      </c>
      <c r="B271" s="8">
        <v>98.755099999999999</v>
      </c>
      <c r="C271" s="8">
        <f t="shared" si="110"/>
        <v>-1.8541125172020501</v>
      </c>
      <c r="D271" s="9">
        <f t="shared" si="126"/>
        <v>-0.43352812930051254</v>
      </c>
      <c r="E271" s="11">
        <f>_xll.BDH(E$2,"PX_LAST",$A271,$A271)</f>
        <v>46.3</v>
      </c>
      <c r="F271" s="10">
        <f t="shared" si="108"/>
        <v>-2.9318657577994824</v>
      </c>
      <c r="G271" s="8">
        <v>-0.2296</v>
      </c>
      <c r="H271" s="9">
        <f t="shared" si="107"/>
        <v>-0.19787949503705926</v>
      </c>
      <c r="I271" s="10">
        <f t="shared" si="127"/>
        <v>2.1205049629407502E-3</v>
      </c>
      <c r="J271" s="11">
        <f>_xll.BDH(J$2,"PX_LAST",$A271,$A271)</f>
        <v>-0.41</v>
      </c>
      <c r="K271" s="10">
        <f t="shared" si="109"/>
        <v>-0.220352233284976</v>
      </c>
      <c r="L271" s="8">
        <v>0.14499999999999999</v>
      </c>
      <c r="M271" s="11">
        <f t="shared" si="128"/>
        <v>-0.42493336610094878</v>
      </c>
      <c r="N271" s="9">
        <f t="shared" si="114"/>
        <v>-0.21246668305047439</v>
      </c>
      <c r="P271" s="29">
        <f t="shared" si="116"/>
        <v>-0.23486084924619999</v>
      </c>
      <c r="Q271" s="1" t="str">
        <f t="shared" si="129"/>
        <v>R</v>
      </c>
      <c r="R271" t="str">
        <f t="shared" si="117"/>
        <v>R</v>
      </c>
      <c r="S271" s="18">
        <f t="shared" si="123"/>
        <v>-0.23486084924619999</v>
      </c>
      <c r="T271" t="str">
        <f t="shared" si="100"/>
        <v>R</v>
      </c>
      <c r="V271" s="1">
        <v>-144.9</v>
      </c>
      <c r="W271" s="1" t="e">
        <f t="shared" si="102"/>
        <v>#N/A</v>
      </c>
      <c r="X271" s="1" t="e">
        <f t="shared" si="103"/>
        <v>#N/A</v>
      </c>
      <c r="Y271" s="1" t="e">
        <f t="shared" si="104"/>
        <v>#N/A</v>
      </c>
      <c r="Z271" s="1">
        <f t="shared" si="105"/>
        <v>-0.23486084924619999</v>
      </c>
      <c r="AA271" s="1">
        <v>0</v>
      </c>
      <c r="AC271" s="31" t="e">
        <f t="shared" si="118"/>
        <v>#N/A</v>
      </c>
      <c r="AD271" s="31" t="e">
        <f t="shared" si="119"/>
        <v>#N/A</v>
      </c>
      <c r="AE271" s="31" t="e">
        <f t="shared" si="120"/>
        <v>#N/A</v>
      </c>
      <c r="AF271" s="31">
        <f t="shared" si="121"/>
        <v>-0.23486084924619999</v>
      </c>
      <c r="AL271" s="17">
        <f t="shared" si="122"/>
        <v>45107</v>
      </c>
      <c r="AM271">
        <f t="shared" si="124"/>
        <v>2</v>
      </c>
      <c r="AN271">
        <f t="shared" si="125"/>
        <v>2</v>
      </c>
    </row>
    <row r="272" spans="1:40">
      <c r="A272" s="7">
        <v>45138</v>
      </c>
      <c r="B272" s="8">
        <v>99.090400000000002</v>
      </c>
      <c r="C272" s="8">
        <f t="shared" si="110"/>
        <v>-1.5849264497994651</v>
      </c>
      <c r="D272" s="9">
        <f t="shared" si="126"/>
        <v>-0.36623161244986624</v>
      </c>
      <c r="E272" s="11">
        <f>_xll.BDH(E$2,"PX_LAST",$A272,$A272)</f>
        <v>47</v>
      </c>
      <c r="F272" s="10">
        <f t="shared" si="108"/>
        <v>-2.9512840168266297</v>
      </c>
      <c r="G272" s="8">
        <v>0.2732</v>
      </c>
      <c r="H272" s="9">
        <f t="shared" si="107"/>
        <v>-6.3621838951497339E-2</v>
      </c>
      <c r="I272" s="10">
        <f t="shared" si="127"/>
        <v>0.13637816104850267</v>
      </c>
      <c r="J272" s="11">
        <f>_xll.BDH(J$2,"PX_LAST",$A272,$A272)</f>
        <v>0.13</v>
      </c>
      <c r="K272" s="10">
        <f t="shared" si="109"/>
        <v>-0.12050184679875783</v>
      </c>
      <c r="L272" s="8">
        <v>0.19700000000000001</v>
      </c>
      <c r="M272" s="11">
        <f t="shared" si="128"/>
        <v>-0.24768235676217837</v>
      </c>
      <c r="N272" s="9">
        <f t="shared" si="114"/>
        <v>-0.12384117838108918</v>
      </c>
      <c r="P272" s="29">
        <f t="shared" si="116"/>
        <v>-0.14033038221103303</v>
      </c>
      <c r="Q272" s="1" t="str">
        <f t="shared" si="129"/>
        <v>R</v>
      </c>
      <c r="R272" t="str">
        <f t="shared" si="117"/>
        <v>R</v>
      </c>
      <c r="S272" s="18">
        <f t="shared" si="123"/>
        <v>-0.23486084924619999</v>
      </c>
      <c r="T272" t="str">
        <f t="shared" si="100"/>
        <v>R</v>
      </c>
      <c r="V272" s="1">
        <v>-116</v>
      </c>
      <c r="W272" s="1" t="e">
        <f t="shared" si="102"/>
        <v>#N/A</v>
      </c>
      <c r="X272" s="1" t="e">
        <f t="shared" si="103"/>
        <v>#N/A</v>
      </c>
      <c r="Y272" s="1" t="e">
        <f t="shared" si="104"/>
        <v>#N/A</v>
      </c>
      <c r="Z272" s="1">
        <f t="shared" si="105"/>
        <v>-0.14033038221103303</v>
      </c>
      <c r="AA272" s="1">
        <v>0</v>
      </c>
      <c r="AC272" s="31" t="e">
        <f t="shared" si="118"/>
        <v>#N/A</v>
      </c>
      <c r="AD272" s="31" t="e">
        <f t="shared" si="119"/>
        <v>#N/A</v>
      </c>
      <c r="AE272" s="31" t="e">
        <f t="shared" si="120"/>
        <v>#N/A</v>
      </c>
      <c r="AF272" s="31">
        <f t="shared" si="121"/>
        <v>-0.14033038221103303</v>
      </c>
      <c r="AL272" s="17">
        <f t="shared" si="122"/>
        <v>45138</v>
      </c>
      <c r="AM272">
        <f t="shared" si="124"/>
        <v>2</v>
      </c>
      <c r="AN272">
        <f t="shared" si="125"/>
        <v>2</v>
      </c>
    </row>
    <row r="273" spans="1:40">
      <c r="A273" s="7">
        <v>45169</v>
      </c>
      <c r="B273" s="8">
        <v>99.068299999999994</v>
      </c>
      <c r="C273" s="8">
        <f t="shared" si="110"/>
        <v>-1.3987569116066192</v>
      </c>
      <c r="D273" s="9">
        <f t="shared" si="126"/>
        <v>-0.31968922790165477</v>
      </c>
      <c r="E273" s="11">
        <f>_xll.BDH(E$2,"PX_LAST",$A273,$A273)</f>
        <v>48</v>
      </c>
      <c r="F273" s="10">
        <f t="shared" si="108"/>
        <v>-2.6801680720310399</v>
      </c>
      <c r="G273" s="8">
        <v>5.4999999999999997E-3</v>
      </c>
      <c r="H273" s="9">
        <f t="shared" si="107"/>
        <v>-4.3922114850320597E-2</v>
      </c>
      <c r="I273" s="10">
        <f t="shared" si="127"/>
        <v>0.15607788514967941</v>
      </c>
      <c r="J273" s="11">
        <f>_xll.BDH(J$2,"PX_LAST",$A273,$A273)</f>
        <v>-0.17</v>
      </c>
      <c r="K273" s="10">
        <f t="shared" si="109"/>
        <v>-0.13460882046111183</v>
      </c>
      <c r="L273" s="8">
        <v>9.8000000000000004E-2</v>
      </c>
      <c r="M273" s="11">
        <f t="shared" si="128"/>
        <v>-0.14916288508495751</v>
      </c>
      <c r="N273" s="9">
        <f t="shared" si="114"/>
        <v>-7.4581442542478754E-2</v>
      </c>
      <c r="P273" s="29">
        <f t="shared" si="116"/>
        <v>-9.4911723280888524E-2</v>
      </c>
      <c r="Q273" s="1" t="str">
        <f t="shared" si="129"/>
        <v>R</v>
      </c>
      <c r="R273" t="str">
        <f t="shared" si="117"/>
        <v>R</v>
      </c>
      <c r="S273" s="18">
        <f t="shared" si="123"/>
        <v>-0.23486084924619999</v>
      </c>
      <c r="T273" t="str">
        <f t="shared" si="100"/>
        <v>R</v>
      </c>
      <c r="V273" s="1">
        <v>-58.1</v>
      </c>
      <c r="W273" s="1" t="e">
        <f t="shared" si="102"/>
        <v>#N/A</v>
      </c>
      <c r="X273" s="1" t="e">
        <f t="shared" si="103"/>
        <v>#N/A</v>
      </c>
      <c r="Y273" s="1" t="e">
        <f t="shared" si="104"/>
        <v>#N/A</v>
      </c>
      <c r="Z273" s="1">
        <f t="shared" si="105"/>
        <v>-9.4911723280888524E-2</v>
      </c>
      <c r="AA273" s="1">
        <v>0</v>
      </c>
      <c r="AC273" s="31" t="e">
        <f t="shared" si="118"/>
        <v>#N/A</v>
      </c>
      <c r="AD273" s="31" t="e">
        <f t="shared" si="119"/>
        <v>#N/A</v>
      </c>
      <c r="AE273" s="31" t="e">
        <f t="shared" si="120"/>
        <v>#N/A</v>
      </c>
      <c r="AF273" s="31">
        <f t="shared" si="121"/>
        <v>-9.4911723280888524E-2</v>
      </c>
      <c r="AL273" s="17">
        <f t="shared" si="122"/>
        <v>45169</v>
      </c>
      <c r="AM273">
        <f t="shared" si="124"/>
        <v>2</v>
      </c>
      <c r="AN273">
        <f t="shared" si="125"/>
        <v>2</v>
      </c>
    </row>
    <row r="274" spans="1:40">
      <c r="A274" s="7">
        <v>45199</v>
      </c>
      <c r="B274" s="8">
        <v>99.219399999999993</v>
      </c>
      <c r="C274" s="8">
        <f t="shared" si="110"/>
        <v>-1.2225821917987347</v>
      </c>
      <c r="D274" s="9">
        <f t="shared" si="126"/>
        <v>-0.27564554794968366</v>
      </c>
      <c r="E274" s="11">
        <f>_xll.BDH(E$2,"PX_LAST",$A274,$A274)</f>
        <v>48.7</v>
      </c>
      <c r="F274" s="10">
        <f t="shared" si="108"/>
        <v>-2.2868201715021925</v>
      </c>
      <c r="G274" s="8">
        <v>-0.10630000000000001</v>
      </c>
      <c r="H274" s="9">
        <f t="shared" si="107"/>
        <v>-6.169981211797923E-2</v>
      </c>
      <c r="I274" s="10">
        <f t="shared" si="127"/>
        <v>0.13830018788202078</v>
      </c>
      <c r="J274" s="11">
        <f>_xll.BDH(J$2,"PX_LAST",$A274,$A274)</f>
        <v>-0.03</v>
      </c>
      <c r="K274" s="10">
        <f t="shared" si="109"/>
        <v>-0.10479530662969495</v>
      </c>
      <c r="L274" s="8">
        <v>-5.8000000000000003E-2</v>
      </c>
      <c r="M274" s="11">
        <f t="shared" ref="M274" si="130">$BG$1*M273+(1-$BG$1)*L274</f>
        <v>-0.12318146283574462</v>
      </c>
      <c r="N274" s="9">
        <f t="shared" ref="N274" si="131">IF(M274&lt;-1,-(-M274^(0.5)/2),IF(M274&lt;0,0.5*M274,M274))*1+0*IF(M274&gt;0,M274*6,M274)/6</f>
        <v>-6.1590731417872309E-2</v>
      </c>
      <c r="P274" s="29">
        <f t="shared" si="116"/>
        <v>-8.0993257145835426E-2</v>
      </c>
      <c r="Q274" s="1" t="str">
        <f t="shared" si="129"/>
        <v>R</v>
      </c>
      <c r="R274" t="str">
        <f t="shared" si="117"/>
        <v>R</v>
      </c>
      <c r="S274" s="18">
        <f t="shared" si="123"/>
        <v>-0.23486084924619999</v>
      </c>
      <c r="T274" t="str">
        <f t="shared" si="100"/>
        <v>R</v>
      </c>
      <c r="V274" s="1">
        <v>-54</v>
      </c>
      <c r="W274" s="1" t="e">
        <f t="shared" si="102"/>
        <v>#N/A</v>
      </c>
      <c r="X274" s="1" t="e">
        <f t="shared" si="103"/>
        <v>#N/A</v>
      </c>
      <c r="Y274" s="1" t="e">
        <f t="shared" si="104"/>
        <v>#N/A</v>
      </c>
      <c r="Z274" s="1">
        <f t="shared" si="105"/>
        <v>-8.0993257145835426E-2</v>
      </c>
      <c r="AA274" s="1">
        <v>0</v>
      </c>
      <c r="AC274" s="31" t="e">
        <f t="shared" si="118"/>
        <v>#N/A</v>
      </c>
      <c r="AD274" s="31" t="e">
        <f t="shared" si="119"/>
        <v>#N/A</v>
      </c>
      <c r="AE274" s="31" t="e">
        <f t="shared" si="120"/>
        <v>#N/A</v>
      </c>
      <c r="AF274" s="31">
        <f t="shared" si="121"/>
        <v>-8.0993257145835426E-2</v>
      </c>
      <c r="AL274" s="17">
        <f t="shared" si="122"/>
        <v>45199</v>
      </c>
      <c r="AM274">
        <f t="shared" si="124"/>
        <v>2</v>
      </c>
      <c r="AN274">
        <f t="shared" si="125"/>
        <v>2</v>
      </c>
    </row>
    <row r="275" spans="1:40">
      <c r="A275" s="7">
        <v>45230</v>
      </c>
      <c r="B275" s="8">
        <v>99.343299999999999</v>
      </c>
      <c r="C275" s="8">
        <f t="shared" si="110"/>
        <v>-1.0613057671360955</v>
      </c>
      <c r="D275" s="9">
        <f t="shared" ref="D275" si="132">C275/4+0.03</f>
        <v>-0.23532644178402387</v>
      </c>
      <c r="E275" s="11">
        <f>_xll.BDH(E$2,"PX_LAST",$A275,$A275)</f>
        <v>47.4</v>
      </c>
      <c r="F275" s="10">
        <f t="shared" si="108"/>
        <v>-2.376076422624068</v>
      </c>
      <c r="G275" s="8">
        <v>-0.45619999999999999</v>
      </c>
      <c r="H275" s="9">
        <f t="shared" si="107"/>
        <v>-0.17413236566435517</v>
      </c>
      <c r="I275" s="10">
        <f t="shared" ref="I275" si="133">MAX(IF(H275&lt;-1,-1*SQRT(-H275),IF(H275&gt;1,H275,H275)),-2)+0.2</f>
        <v>2.5867634335644846E-2</v>
      </c>
      <c r="J275" s="11">
        <f>_xll.BDH(J$2,"PX_LAST",$A275,$A275)</f>
        <v>-0.51</v>
      </c>
      <c r="K275" s="10">
        <f t="shared" si="109"/>
        <v>-0.22027864424023191</v>
      </c>
      <c r="L275" s="8">
        <v>0.55500000000000005</v>
      </c>
      <c r="M275" s="11">
        <f t="shared" ref="M275" si="134">$BG$1*M274+(1-$BG$1)*L275</f>
        <v>7.0100254072442636E-2</v>
      </c>
      <c r="N275" s="9">
        <f t="shared" ref="N275" si="135">IF(M275&lt;-1,-(-M275^(0.5)/2),IF(M275&lt;0,0.5*M275,M275))*1+0*IF(M275&gt;0,M275*6,M275)/6</f>
        <v>7.0100254072442636E-2</v>
      </c>
      <c r="P275" s="29">
        <f t="shared" si="116"/>
        <v>-5.9892553180532056E-2</v>
      </c>
      <c r="Q275" s="1" t="str">
        <f t="shared" ref="Q275" si="136">IF(P275-P274&gt;0,IF(P275&gt;=0,"E","R"),IF(P275&gt;=0,"SD","C"))</f>
        <v>R</v>
      </c>
      <c r="R275" t="str">
        <f t="shared" si="117"/>
        <v>R</v>
      </c>
      <c r="S275" s="18">
        <f t="shared" si="123"/>
        <v>-0.23486084924619999</v>
      </c>
      <c r="T275" t="str">
        <f t="shared" si="100"/>
        <v>R</v>
      </c>
      <c r="V275" s="1">
        <v>-40.6</v>
      </c>
      <c r="W275" s="1" t="e">
        <f t="shared" si="102"/>
        <v>#N/A</v>
      </c>
      <c r="X275" s="1" t="e">
        <f t="shared" si="103"/>
        <v>#N/A</v>
      </c>
      <c r="Y275" s="1" t="e">
        <f t="shared" si="104"/>
        <v>#N/A</v>
      </c>
      <c r="Z275" s="1">
        <f t="shared" si="105"/>
        <v>-5.9892553180532056E-2</v>
      </c>
      <c r="AA275" s="1">
        <v>0</v>
      </c>
      <c r="AC275" s="31" t="e">
        <f t="shared" si="118"/>
        <v>#N/A</v>
      </c>
      <c r="AD275" s="31" t="e">
        <f t="shared" si="119"/>
        <v>#N/A</v>
      </c>
      <c r="AE275" s="31" t="e">
        <f t="shared" si="120"/>
        <v>#N/A</v>
      </c>
      <c r="AF275" s="31">
        <f t="shared" si="121"/>
        <v>-5.9892553180532056E-2</v>
      </c>
      <c r="AL275" s="17">
        <f t="shared" si="122"/>
        <v>45230</v>
      </c>
      <c r="AM275">
        <f t="shared" si="124"/>
        <v>2</v>
      </c>
      <c r="AN275">
        <f t="shared" si="125"/>
        <v>2</v>
      </c>
    </row>
    <row r="276" spans="1:40">
      <c r="A276" s="7">
        <v>45260</v>
      </c>
      <c r="B276" s="8">
        <v>99.448899999999995</v>
      </c>
      <c r="C276" s="8">
        <f t="shared" si="110"/>
        <v>-0.91589712350230967</v>
      </c>
      <c r="D276" s="9">
        <f t="shared" ref="D276" si="137">C276/4+0.03</f>
        <v>-0.19897428087557742</v>
      </c>
      <c r="E276" s="11">
        <f>_xll.BDH(E$2,"PX_LAST",$A276,$A276)</f>
        <v>46.8</v>
      </c>
      <c r="F276" s="10">
        <f t="shared" si="108"/>
        <v>-2.6108946421762096</v>
      </c>
      <c r="G276" s="8">
        <v>4.02E-2</v>
      </c>
      <c r="H276" s="9">
        <f t="shared" si="107"/>
        <v>-0.11304764145001395</v>
      </c>
      <c r="I276" s="10">
        <f t="shared" ref="I276" si="138">MAX(IF(H276&lt;-1,-1*SQRT(-H276),IF(H276&gt;1,H276,H276)),-2)+0.2</f>
        <v>8.6952358549986064E-2</v>
      </c>
      <c r="J276" s="11">
        <f>_xll.BDH(J$2,"PX_LAST",$A276,$A276)</f>
        <v>0.14000000000000001</v>
      </c>
      <c r="K276" s="10">
        <f t="shared" si="109"/>
        <v>-0.11759923063176582</v>
      </c>
      <c r="L276" s="8">
        <v>0.22600000000000001</v>
      </c>
      <c r="M276" s="11">
        <f t="shared" ref="M276" si="139">$BG$1*M275+(1-$BG$1)*L276</f>
        <v>0.11453168166179649</v>
      </c>
      <c r="N276" s="9">
        <f t="shared" ref="N276" si="140">IF(M276&lt;-1,-(-M276^(0.5)/2),IF(M276&lt;0,0.5*M276,M276))*1+0*IF(M276&gt;0,M276*6,M276)/6</f>
        <v>0.11453168166179649</v>
      </c>
      <c r="O276" s="20"/>
      <c r="P276" s="29">
        <f t="shared" si="116"/>
        <v>-1.1280800524080439E-2</v>
      </c>
      <c r="Q276" s="1" t="str">
        <f t="shared" ref="Q276" si="141">IF(P276-P275&gt;0,IF(P276&gt;=0,"E","R"),IF(P276&gt;=0,"SD","C"))</f>
        <v>R</v>
      </c>
      <c r="R276" t="str">
        <f t="shared" si="117"/>
        <v>R</v>
      </c>
      <c r="S276" s="18">
        <f t="shared" si="123"/>
        <v>-0.23486084924619999</v>
      </c>
      <c r="T276" t="str">
        <f t="shared" si="100"/>
        <v>R</v>
      </c>
      <c r="V276" s="1">
        <v>-13.7</v>
      </c>
      <c r="W276" s="1">
        <f t="shared" si="102"/>
        <v>-1.1280800524080439E-2</v>
      </c>
      <c r="X276" s="1" t="e">
        <f t="shared" si="103"/>
        <v>#N/A</v>
      </c>
      <c r="Y276" s="1" t="e">
        <f t="shared" si="104"/>
        <v>#N/A</v>
      </c>
      <c r="Z276" s="1">
        <f t="shared" si="105"/>
        <v>-1.1280800524080439E-2</v>
      </c>
      <c r="AA276" s="1">
        <v>0</v>
      </c>
      <c r="AC276" s="31">
        <f t="shared" si="118"/>
        <v>-1.1280800524080439E-2</v>
      </c>
      <c r="AD276" s="31" t="e">
        <f t="shared" si="119"/>
        <v>#N/A</v>
      </c>
      <c r="AE276" s="31" t="e">
        <f t="shared" si="120"/>
        <v>#N/A</v>
      </c>
      <c r="AF276" s="31">
        <f t="shared" si="121"/>
        <v>-1.1280800524080439E-2</v>
      </c>
      <c r="AL276" s="17">
        <f t="shared" si="122"/>
        <v>45260</v>
      </c>
      <c r="AM276">
        <f t="shared" si="124"/>
        <v>2</v>
      </c>
      <c r="AN276">
        <f t="shared" si="125"/>
        <v>2</v>
      </c>
    </row>
    <row r="277" spans="1:40">
      <c r="A277" s="7">
        <v>45291</v>
      </c>
      <c r="B277" s="8">
        <v>99.645399999999995</v>
      </c>
      <c r="C277" s="8">
        <f t="shared" si="110"/>
        <v>-0.75592744330415274</v>
      </c>
      <c r="D277" s="9">
        <f t="shared" ref="D277" si="142">C277/4+0.03</f>
        <v>-0.15898186082603818</v>
      </c>
      <c r="E277" s="11">
        <f>_xll.BDH(E$2,"PX_LAST",$A277,$A277)</f>
        <v>46.9</v>
      </c>
      <c r="F277" s="10">
        <f t="shared" si="108"/>
        <v>-2.7502896691559902</v>
      </c>
      <c r="G277" s="8">
        <v>-0.2893</v>
      </c>
      <c r="H277" s="9">
        <f t="shared" si="107"/>
        <v>-0.16327956363675999</v>
      </c>
      <c r="I277" s="10">
        <f t="shared" ref="I277" si="143">MAX(IF(H277&lt;-1,-1*SQRT(-H277),IF(H277&gt;1,H277,H277)),-2)+0.2</f>
        <v>3.6720436363240017E-2</v>
      </c>
      <c r="J277" s="11">
        <f>_xll.BDH(J$2,"PX_LAST",$A277,$A277)</f>
        <v>-0.12</v>
      </c>
      <c r="K277" s="10">
        <f t="shared" si="109"/>
        <v>-0.11828344990171255</v>
      </c>
      <c r="L277" s="8">
        <v>0.38</v>
      </c>
      <c r="M277" s="11">
        <f t="shared" ref="M277" si="144">$BG$1*M276+(1-$BG$1)*L277</f>
        <v>0.19019015238818449</v>
      </c>
      <c r="N277" s="9">
        <f t="shared" ref="N277" si="145">IF(M277&lt;-1,-(-M277^(0.5)/2),IF(M277&lt;0,0.5*M277,M277))*1+0*IF(M277&gt;0,M277*6,M277)/6</f>
        <v>0.19019015238818449</v>
      </c>
      <c r="P277" s="29">
        <f t="shared" si="116"/>
        <v>9.3121026252823615E-3</v>
      </c>
      <c r="Q277" s="1" t="str">
        <f t="shared" ref="Q277" si="146">IF(P277-P276&gt;0,IF(P277&gt;=0,"E","R"),IF(P277&gt;=0,"SD","C"))</f>
        <v>E</v>
      </c>
      <c r="R277" t="str">
        <f t="shared" si="117"/>
        <v>E</v>
      </c>
      <c r="S277" s="18">
        <f t="shared" si="123"/>
        <v>9.3121026252823615E-3</v>
      </c>
      <c r="T277" t="str">
        <f t="shared" si="100"/>
        <v>E</v>
      </c>
      <c r="V277" s="1">
        <v>-41</v>
      </c>
      <c r="W277" s="1">
        <f t="shared" si="102"/>
        <v>9.3121026252823615E-3</v>
      </c>
      <c r="X277" s="1" t="e">
        <f t="shared" si="103"/>
        <v>#N/A</v>
      </c>
      <c r="Y277" s="1" t="e">
        <f t="shared" si="104"/>
        <v>#N/A</v>
      </c>
      <c r="Z277" s="1" t="e">
        <f t="shared" si="105"/>
        <v>#N/A</v>
      </c>
      <c r="AA277" s="1">
        <v>0</v>
      </c>
      <c r="AC277" s="31">
        <f t="shared" si="118"/>
        <v>9.3121026252823615E-3</v>
      </c>
      <c r="AD277" s="31" t="e">
        <f t="shared" si="119"/>
        <v>#N/A</v>
      </c>
      <c r="AE277" s="31" t="e">
        <f t="shared" si="120"/>
        <v>#N/A</v>
      </c>
      <c r="AF277" s="31" t="e">
        <f t="shared" si="121"/>
        <v>#N/A</v>
      </c>
      <c r="AL277" s="17">
        <f t="shared" si="122"/>
        <v>45291</v>
      </c>
      <c r="AM277">
        <f t="shared" si="124"/>
        <v>4</v>
      </c>
      <c r="AN277">
        <f t="shared" si="125"/>
        <v>4</v>
      </c>
    </row>
    <row r="278" spans="1:40">
      <c r="A278" s="7">
        <v>45322</v>
      </c>
      <c r="B278" s="8">
        <v>99.827799999999996</v>
      </c>
      <c r="C278" s="8">
        <f t="shared" si="110"/>
        <v>-0.58956512196247024</v>
      </c>
      <c r="D278" s="9">
        <f t="shared" ref="D278" si="147">C278/4+0.03</f>
        <v>-0.11739128049061756</v>
      </c>
      <c r="E278" s="11">
        <f>_xll.BDH(E$2,"PX_LAST",$A278,$A278)</f>
        <v>48.6</v>
      </c>
      <c r="F278" s="10">
        <f t="shared" si="108"/>
        <v>-2.3654571134465328</v>
      </c>
      <c r="G278" s="8">
        <v>-0.71240000000000003</v>
      </c>
      <c r="H278" s="9">
        <f t="shared" si="107"/>
        <v>-0.31977888800028342</v>
      </c>
      <c r="I278" s="10">
        <f t="shared" ref="I278" si="148">MAX(IF(H278&lt;-1,-1*SQRT(-H278),IF(H278&gt;1,H278,H278)),-2)+0.2</f>
        <v>-0.11977888800028341</v>
      </c>
      <c r="J278" s="11">
        <f>_xll.BDH(J$2,"PX_LAST",$A278,$A278)</f>
        <v>-0.99</v>
      </c>
      <c r="K278" s="10">
        <f t="shared" si="109"/>
        <v>-0.36672266667972447</v>
      </c>
      <c r="L278" s="8">
        <v>0.60199999999999998</v>
      </c>
      <c r="M278" s="11">
        <f t="shared" ref="M278" si="149">$BG$1*M277+(1-$BG$1)*L278</f>
        <v>0.30755595895755189</v>
      </c>
      <c r="N278" s="9">
        <f t="shared" ref="N278" si="150">IF(M278&lt;-1,-(-M278^(0.5)/2),IF(M278&lt;0,0.5*M278,M278))*1+0*IF(M278&gt;0,M278*6,M278)/6</f>
        <v>0.30755595895755189</v>
      </c>
      <c r="P278" s="29">
        <f t="shared" si="116"/>
        <v>9.5984033770767554E-3</v>
      </c>
      <c r="Q278" s="1" t="str">
        <f t="shared" ref="Q278" si="151">IF(P278-P277&gt;0,IF(P278&gt;=0,"E","R"),IF(P278&gt;=0,"SD","C"))</f>
        <v>E</v>
      </c>
      <c r="R278" t="str">
        <f t="shared" si="117"/>
        <v>E</v>
      </c>
      <c r="S278" s="18">
        <f t="shared" si="123"/>
        <v>9.3121026252823615E-3</v>
      </c>
      <c r="T278" t="str">
        <f t="shared" si="100"/>
        <v>E</v>
      </c>
      <c r="V278" s="1">
        <v>-9.1999999999999993</v>
      </c>
      <c r="W278" s="1">
        <f t="shared" si="102"/>
        <v>9.5984033770767554E-3</v>
      </c>
      <c r="X278" s="1" t="e">
        <f t="shared" si="103"/>
        <v>#N/A</v>
      </c>
      <c r="Y278" s="1" t="e">
        <f t="shared" si="104"/>
        <v>#N/A</v>
      </c>
      <c r="Z278" s="1" t="e">
        <f t="shared" si="105"/>
        <v>#N/A</v>
      </c>
      <c r="AA278" s="1">
        <v>0</v>
      </c>
      <c r="AC278" s="31">
        <f t="shared" si="118"/>
        <v>9.5984033770767554E-3</v>
      </c>
      <c r="AD278" s="31" t="e">
        <f t="shared" si="119"/>
        <v>#N/A</v>
      </c>
      <c r="AE278" s="31" t="e">
        <f t="shared" si="120"/>
        <v>#N/A</v>
      </c>
      <c r="AF278" s="31" t="e">
        <f t="shared" si="121"/>
        <v>#N/A</v>
      </c>
      <c r="AL278" s="17">
        <f t="shared" si="122"/>
        <v>45322</v>
      </c>
      <c r="AM278">
        <f t="shared" si="124"/>
        <v>4</v>
      </c>
      <c r="AN278">
        <f t="shared" si="125"/>
        <v>4</v>
      </c>
    </row>
    <row r="279" spans="1:40">
      <c r="A279" s="7">
        <v>45351</v>
      </c>
      <c r="B279" s="8">
        <v>99.923699999999997</v>
      </c>
      <c r="C279" s="8">
        <f t="shared" si="110"/>
        <v>-0.4432845622031672</v>
      </c>
      <c r="D279" s="9">
        <f t="shared" ref="D279" si="152">C279/4+0.03</f>
        <v>-8.0821140550791801E-2</v>
      </c>
      <c r="E279" s="11">
        <f>_xll.BDH(E$2,"PX_LAST",$A279,$A279)</f>
        <v>47.4</v>
      </c>
      <c r="F279" s="10">
        <f t="shared" ref="F279:F306" si="153">$BG$1*F278+(1-$BG$1)*(E279-50)</f>
        <v>-2.4323018361142714</v>
      </c>
      <c r="G279" s="8">
        <v>-4.4400000000000002E-2</v>
      </c>
      <c r="H279" s="9">
        <f t="shared" si="107"/>
        <v>-0.24129590492020264</v>
      </c>
      <c r="I279" s="10">
        <f t="shared" ref="I279" si="154">MAX(IF(H279&lt;-1,-1*SQRT(-H279),IF(H279&gt;1,H279,H279)),-2)+0.2</f>
        <v>-4.1295904920202631E-2</v>
      </c>
      <c r="J279" s="11">
        <f>_xll.BDH(J$2,"PX_LAST",$A279,$A279)</f>
        <v>0.26</v>
      </c>
      <c r="K279" s="10">
        <f t="shared" si="109"/>
        <v>-0.18810670667600299</v>
      </c>
      <c r="L279" s="8">
        <v>0.97399999999999998</v>
      </c>
      <c r="M279" s="11">
        <f t="shared" ref="M279" si="155">$BG$1*M278+(1-$BG$1)*L279</f>
        <v>0.49749251065464961</v>
      </c>
      <c r="N279" s="9">
        <f t="shared" ref="N279" si="156">IF(M279&lt;-1,-(-M279^(0.5)/2),IF(M279&lt;0,0.5*M279,M279))*1+0*IF(M279&gt;0,M279*6,M279)/6</f>
        <v>0.49749251065464961</v>
      </c>
      <c r="P279" s="29">
        <f t="shared" si="116"/>
        <v>0.11293510841460981</v>
      </c>
      <c r="Q279" s="1" t="str">
        <f t="shared" ref="Q279" si="157">IF(P279-P278&gt;0,IF(P279&gt;=0,"E","R"),IF(P279&gt;=0,"SD","C"))</f>
        <v>E</v>
      </c>
      <c r="R279" t="str">
        <f t="shared" si="117"/>
        <v>E</v>
      </c>
      <c r="S279" s="18">
        <f t="shared" si="123"/>
        <v>9.3121026252823615E-3</v>
      </c>
      <c r="T279" t="str">
        <f t="shared" ref="T279:T287" si="158">IF(OR(ABS($S279-$S278)&gt;$R$1,S279*S278&lt;0,ABS(P279-MAX(P267:P278))&gt;$U$1),Q279,T278)</f>
        <v>E</v>
      </c>
      <c r="V279" s="1">
        <v>47.1</v>
      </c>
      <c r="W279" s="1">
        <f t="shared" si="102"/>
        <v>0.11293510841460981</v>
      </c>
      <c r="X279" s="1" t="e">
        <f t="shared" si="103"/>
        <v>#N/A</v>
      </c>
      <c r="Y279" s="1" t="e">
        <f t="shared" si="104"/>
        <v>#N/A</v>
      </c>
      <c r="Z279" s="1" t="e">
        <f t="shared" si="105"/>
        <v>#N/A</v>
      </c>
      <c r="AA279" s="1">
        <v>0</v>
      </c>
      <c r="AC279" s="31">
        <f t="shared" si="118"/>
        <v>0.11293510841460981</v>
      </c>
      <c r="AD279" s="31" t="e">
        <f t="shared" si="119"/>
        <v>#N/A</v>
      </c>
      <c r="AE279" s="31" t="e">
        <f t="shared" si="120"/>
        <v>#N/A</v>
      </c>
      <c r="AF279" s="31" t="e">
        <f t="shared" si="121"/>
        <v>#N/A</v>
      </c>
      <c r="AL279" s="17">
        <f t="shared" si="122"/>
        <v>45351</v>
      </c>
      <c r="AM279">
        <f t="shared" si="124"/>
        <v>4</v>
      </c>
      <c r="AN279">
        <f t="shared" si="125"/>
        <v>4</v>
      </c>
    </row>
    <row r="280" spans="1:40">
      <c r="A280" s="7">
        <v>45382</v>
      </c>
      <c r="B280" s="8">
        <v>100.1294</v>
      </c>
      <c r="C280" s="8">
        <f t="shared" si="110"/>
        <v>-0.28006946197526339</v>
      </c>
      <c r="D280" s="9">
        <f t="shared" ref="D280" si="159">C280/4+0.03</f>
        <v>-4.0017365493815849E-2</v>
      </c>
      <c r="E280" s="11">
        <f>_xll.BDH(E$2,"PX_LAST",$A280,$A280)</f>
        <v>49.8</v>
      </c>
      <c r="F280" s="10">
        <f t="shared" si="153"/>
        <v>-1.7960958128217048</v>
      </c>
      <c r="G280" s="8">
        <v>-0.1118</v>
      </c>
      <c r="H280" s="9">
        <f t="shared" si="107"/>
        <v>-0.20438957201794489</v>
      </c>
      <c r="I280" s="10">
        <f t="shared" ref="I280" si="160">MAX(IF(H280&lt;-1,-1*SQRT(-H280),IF(H280&gt;1,H280,H280)),-2)+0.2</f>
        <v>-4.3895720179448761E-3</v>
      </c>
      <c r="J280" s="11">
        <f>_xll.BDH(J$2,"PX_LAST",$A280,$A280)</f>
        <v>-0.13</v>
      </c>
      <c r="K280" s="10">
        <f t="shared" si="109"/>
        <v>-0.17154629527334214</v>
      </c>
      <c r="L280" s="8">
        <v>1.0029999999999999</v>
      </c>
      <c r="M280" s="11">
        <f t="shared" ref="M280" si="161">$BG$1*M279+(1-$BG$1)*L280</f>
        <v>0.64156214511807441</v>
      </c>
      <c r="N280" s="9">
        <f t="shared" ref="N280" si="162">IF(M280&lt;-1,-(-M280^(0.5)/2),IF(M280&lt;0,0.5*M280,M280))*1+0*IF(M280&gt;0,M280*6,M280)/6</f>
        <v>0.64156214511807441</v>
      </c>
      <c r="P280" s="29">
        <f t="shared" si="116"/>
        <v>0.18545047751644592</v>
      </c>
      <c r="Q280" s="1" t="str">
        <f t="shared" ref="Q280" si="163">IF(P280-P279&gt;0,IF(P280&gt;=0,"E","R"),IF(P280&gt;=0,"SD","C"))</f>
        <v>E</v>
      </c>
      <c r="R280" t="str">
        <f t="shared" si="117"/>
        <v>E</v>
      </c>
      <c r="S280" s="18">
        <f t="shared" si="123"/>
        <v>9.3121026252823615E-3</v>
      </c>
      <c r="T280" t="str">
        <f t="shared" si="158"/>
        <v>E</v>
      </c>
      <c r="V280" s="1">
        <v>42.8</v>
      </c>
      <c r="W280" s="1">
        <f t="shared" si="102"/>
        <v>0.18545047751644592</v>
      </c>
      <c r="X280" s="1" t="e">
        <f t="shared" si="103"/>
        <v>#N/A</v>
      </c>
      <c r="Y280" s="1" t="e">
        <f t="shared" si="104"/>
        <v>#N/A</v>
      </c>
      <c r="Z280" s="1" t="e">
        <f t="shared" si="105"/>
        <v>#N/A</v>
      </c>
      <c r="AA280" s="1">
        <v>0</v>
      </c>
      <c r="AC280" s="31">
        <f t="shared" si="118"/>
        <v>0.18545047751644592</v>
      </c>
      <c r="AD280" s="31" t="e">
        <f t="shared" si="119"/>
        <v>#N/A</v>
      </c>
      <c r="AE280" s="31" t="e">
        <f t="shared" si="120"/>
        <v>#N/A</v>
      </c>
      <c r="AF280" s="31" t="e">
        <f t="shared" si="121"/>
        <v>#N/A</v>
      </c>
      <c r="AL280" s="17">
        <f t="shared" si="122"/>
        <v>45382</v>
      </c>
      <c r="AM280">
        <f t="shared" si="124"/>
        <v>4</v>
      </c>
      <c r="AN280">
        <f t="shared" si="125"/>
        <v>4</v>
      </c>
    </row>
    <row r="281" spans="1:40">
      <c r="A281" s="7">
        <v>45412</v>
      </c>
      <c r="B281" s="8">
        <v>100.18899999999999</v>
      </c>
      <c r="C281" s="8">
        <f t="shared" si="110"/>
        <v>-0.14638466531231531</v>
      </c>
      <c r="D281" s="9">
        <f t="shared" ref="D281" si="164">C281/4+0.03</f>
        <v>-6.5961663280788285E-3</v>
      </c>
      <c r="E281" s="11">
        <f>_xll.BDH(E$2,"PX_LAST",$A281,$A281)</f>
        <v>48.9</v>
      </c>
      <c r="F281" s="10">
        <f t="shared" si="153"/>
        <v>-1.5977085061675194</v>
      </c>
      <c r="G281" s="8">
        <v>-0.23100000000000001</v>
      </c>
      <c r="H281" s="9">
        <f t="shared" si="107"/>
        <v>-0.21197354399283058</v>
      </c>
      <c r="I281" s="10">
        <f t="shared" ref="I281" si="165">MAX(IF(H281&lt;-1,-1*SQRT(-H281),IF(H281&gt;1,H281,H281)),-2)+0.2</f>
        <v>-1.1973543992830571E-2</v>
      </c>
      <c r="J281" s="11">
        <f>_xll.BDH(J$2,"PX_LAST",$A281,$A281)</f>
        <v>-0.38</v>
      </c>
      <c r="K281" s="10">
        <f t="shared" si="109"/>
        <v>-0.23095560112043961</v>
      </c>
      <c r="L281" s="8">
        <v>0.94099999999999995</v>
      </c>
      <c r="M281" s="11">
        <f t="shared" ref="M281" si="166">$BG$1*M280+(1-$BG$1)*L281</f>
        <v>0.72690193375942314</v>
      </c>
      <c r="N281" s="9">
        <f t="shared" ref="N281" si="167">IF(M281&lt;-1,-(-M281^(0.5)/2),IF(M281&lt;0,0.5*M281,M281))*1+0*IF(M281&gt;0,M281*6,M281)/6</f>
        <v>0.72690193375942314</v>
      </c>
      <c r="P281" s="29">
        <f t="shared" si="116"/>
        <v>0.2249703414242589</v>
      </c>
      <c r="Q281" s="1" t="str">
        <f t="shared" ref="Q281" si="168">IF(P281-P280&gt;0,IF(P281&gt;=0,"E","R"),IF(P281&gt;=0,"SD","C"))</f>
        <v>E</v>
      </c>
      <c r="R281" t="str">
        <f t="shared" si="117"/>
        <v>E</v>
      </c>
      <c r="S281" s="18">
        <f t="shared" si="123"/>
        <v>9.3121026252823615E-3</v>
      </c>
      <c r="T281" t="str">
        <f t="shared" si="158"/>
        <v>E</v>
      </c>
      <c r="V281" s="1">
        <v>29.9</v>
      </c>
      <c r="W281" s="1">
        <f>IF(OR($Q281=W$5,$Q282=W$5),$P281,NA())</f>
        <v>0.2249703414242589</v>
      </c>
      <c r="X281" s="1" t="e">
        <f t="shared" ref="W281:Z291" si="169">IF(OR($Q281=X$5,$Q282=X$5),$P281,NA())</f>
        <v>#N/A</v>
      </c>
      <c r="Y281" s="1" t="e">
        <f t="shared" si="169"/>
        <v>#N/A</v>
      </c>
      <c r="Z281" s="1" t="e">
        <f t="shared" si="169"/>
        <v>#N/A</v>
      </c>
      <c r="AA281" s="1">
        <v>0</v>
      </c>
      <c r="AC281" s="31">
        <f t="shared" si="118"/>
        <v>0.2249703414242589</v>
      </c>
      <c r="AD281" s="31" t="e">
        <f t="shared" si="119"/>
        <v>#N/A</v>
      </c>
      <c r="AE281" s="31" t="e">
        <f t="shared" si="120"/>
        <v>#N/A</v>
      </c>
      <c r="AF281" s="31" t="e">
        <f t="shared" si="121"/>
        <v>#N/A</v>
      </c>
      <c r="AL281" s="17">
        <f t="shared" si="122"/>
        <v>45412</v>
      </c>
      <c r="AM281">
        <f t="shared" si="124"/>
        <v>4</v>
      </c>
      <c r="AN281">
        <f t="shared" si="125"/>
        <v>4</v>
      </c>
    </row>
    <row r="282" spans="1:40">
      <c r="A282" s="7">
        <v>45443</v>
      </c>
      <c r="B282" s="8">
        <v>100.2534</v>
      </c>
      <c r="C282" s="8">
        <f t="shared" si="110"/>
        <v>-3.2446035698305675E-2</v>
      </c>
      <c r="D282" s="9">
        <f t="shared" ref="D282" si="170">C282/4+0.03</f>
        <v>2.188849107542358E-2</v>
      </c>
      <c r="E282" s="11">
        <f>_xll.BDH(E$2,"PX_LAST",$A282,$A282)</f>
        <v>48.6</v>
      </c>
      <c r="F282" s="10">
        <f t="shared" si="153"/>
        <v>-1.5413615819097759</v>
      </c>
      <c r="G282" s="8">
        <v>-8.8700000000000001E-2</v>
      </c>
      <c r="H282" s="9">
        <f t="shared" si="107"/>
        <v>-0.17684058395487387</v>
      </c>
      <c r="I282" s="10">
        <f t="shared" ref="I282" si="171">MAX(IF(H282&lt;-1,-1*SQRT(-H282),IF(H282&gt;1,H282,H282)),-2)+0.2</f>
        <v>2.3159416045126141E-2</v>
      </c>
      <c r="J282" s="11">
        <f>_xll.BDH(J$2,"PX_LAST",$A282,$A282)</f>
        <v>0.16</v>
      </c>
      <c r="K282" s="10">
        <f t="shared" si="109"/>
        <v>-0.11953325480111432</v>
      </c>
      <c r="L282" s="8">
        <v>1.01</v>
      </c>
      <c r="M282" s="11">
        <f t="shared" ref="M282" si="172">$BG$1*M281+(1-$BG$1)*L282</f>
        <v>0.80758488263798756</v>
      </c>
      <c r="N282" s="9">
        <f t="shared" ref="N282" si="173">IF(M282&lt;-1,-(-M282^(0.5)/2),IF(M282&lt;0,0.5*M282,M282))*1+0*IF(M282&gt;0,M282*6,M282)/6</f>
        <v>0.80758488263798756</v>
      </c>
      <c r="P282" s="29">
        <f t="shared" ref="P282:P283" si="174">AVERAGE(D281,I282,N282)</f>
        <v>0.27471604411834494</v>
      </c>
      <c r="Q282" s="1" t="str">
        <f t="shared" ref="Q282:Q287" si="175">IF(P282-P281&gt;0,IF(P282&gt;=0,"E","R"),IF(P282&gt;=0,"SD","C"))</f>
        <v>E</v>
      </c>
      <c r="R282" t="str">
        <f t="shared" si="117"/>
        <v>E</v>
      </c>
      <c r="S282" s="18">
        <f t="shared" si="123"/>
        <v>9.3121026252823615E-3</v>
      </c>
      <c r="T282" t="str">
        <f t="shared" si="158"/>
        <v>E</v>
      </c>
      <c r="V282" s="1">
        <v>27.5</v>
      </c>
      <c r="W282" s="1">
        <f t="shared" si="169"/>
        <v>0.27471604411834494</v>
      </c>
      <c r="X282" s="1" t="e">
        <f t="shared" si="169"/>
        <v>#N/A</v>
      </c>
      <c r="Y282" s="1" t="e">
        <f t="shared" si="169"/>
        <v>#N/A</v>
      </c>
      <c r="Z282" s="1" t="e">
        <f t="shared" si="169"/>
        <v>#N/A</v>
      </c>
      <c r="AA282" s="1">
        <v>0</v>
      </c>
      <c r="AC282" s="31">
        <f t="shared" si="118"/>
        <v>0.27471604411834494</v>
      </c>
      <c r="AD282" s="31" t="e">
        <f t="shared" si="119"/>
        <v>#N/A</v>
      </c>
      <c r="AE282" s="31" t="e">
        <f t="shared" si="120"/>
        <v>#N/A</v>
      </c>
      <c r="AF282" s="31" t="e">
        <f t="shared" si="121"/>
        <v>#N/A</v>
      </c>
      <c r="AL282" s="17">
        <f t="shared" si="122"/>
        <v>45443</v>
      </c>
      <c r="AM282">
        <f t="shared" si="124"/>
        <v>4</v>
      </c>
      <c r="AN282">
        <f t="shared" si="125"/>
        <v>4</v>
      </c>
    </row>
    <row r="283" spans="1:40">
      <c r="A283" s="7">
        <v>45473</v>
      </c>
      <c r="B283" s="8">
        <v>100.2383</v>
      </c>
      <c r="C283" s="8">
        <f t="shared" ref="C283" si="176">$BG$1*C282+(1-$BG$1)*(B283-100)</f>
        <v>4.4716584475710114E-2</v>
      </c>
      <c r="D283" s="9">
        <f t="shared" ref="D283" si="177">C283/4+0.03</f>
        <v>4.1179146118927527E-2</v>
      </c>
      <c r="E283" s="11">
        <f>_xll.BDH(E$2,"PX_LAST",$A283,$A283)</f>
        <v>48.3</v>
      </c>
      <c r="F283" s="10">
        <f t="shared" si="153"/>
        <v>-1.5865735310654905</v>
      </c>
      <c r="G283" s="8">
        <v>0.2954</v>
      </c>
      <c r="H283" s="9">
        <f t="shared" ref="H283" si="178">$BG$1*H282 + (1-$BG$1)*G283</f>
        <v>-4.2252017527734803E-2</v>
      </c>
      <c r="I283" s="10">
        <f t="shared" ref="I283" si="179">MAX(IF(H283&lt;-1,-1*SQRT(-H283),IF(H283&gt;1,H283,H283)),-2)+0.2</f>
        <v>0.15774798247226521</v>
      </c>
      <c r="J283" s="11">
        <f>_xll.BDH(J$2,"PX_LAST",$A283,$A283)</f>
        <v>-0.22</v>
      </c>
      <c r="K283" s="10">
        <f t="shared" si="109"/>
        <v>-0.14816627718279674</v>
      </c>
      <c r="L283" s="8">
        <v>0.46100000000000002</v>
      </c>
      <c r="M283" s="11">
        <f t="shared" ref="M283" si="180">$BG$1*M282+(1-$BG$1)*L283</f>
        <v>0.708808191086161</v>
      </c>
      <c r="N283" s="9">
        <f t="shared" ref="N283" si="181">IF(M283&lt;-1,-(-M283^(0.5)/2),IF(M283&lt;0,0.5*M283,M283))*1+0*IF(M283&gt;0,M283*6,M283)/6</f>
        <v>0.708808191086161</v>
      </c>
      <c r="P283" s="29">
        <f t="shared" si="174"/>
        <v>0.29614822154461656</v>
      </c>
      <c r="Q283" s="1" t="str">
        <f t="shared" si="175"/>
        <v>E</v>
      </c>
      <c r="R283" t="str">
        <f t="shared" si="117"/>
        <v>E</v>
      </c>
      <c r="S283" s="18">
        <f t="shared" si="123"/>
        <v>9.3121026252823615E-3</v>
      </c>
      <c r="T283" t="str">
        <f t="shared" si="158"/>
        <v>E</v>
      </c>
      <c r="V283" s="1">
        <v>-14.2</v>
      </c>
      <c r="W283" s="1">
        <f t="shared" si="169"/>
        <v>0.29614822154461656</v>
      </c>
      <c r="X283" s="1">
        <f t="shared" si="169"/>
        <v>0.29614822154461656</v>
      </c>
      <c r="Y283" s="1" t="e">
        <f t="shared" si="169"/>
        <v>#N/A</v>
      </c>
      <c r="Z283" s="1" t="e">
        <f t="shared" si="169"/>
        <v>#N/A</v>
      </c>
      <c r="AA283" s="1">
        <f>AA282</f>
        <v>0</v>
      </c>
      <c r="AC283" s="31">
        <f t="shared" si="118"/>
        <v>0.29614822154461656</v>
      </c>
      <c r="AD283" s="31">
        <f t="shared" si="119"/>
        <v>0.29614822154461656</v>
      </c>
      <c r="AE283" s="31" t="e">
        <f t="shared" si="120"/>
        <v>#N/A</v>
      </c>
      <c r="AF283" s="31" t="e">
        <f t="shared" si="121"/>
        <v>#N/A</v>
      </c>
      <c r="AL283" s="17">
        <f t="shared" si="122"/>
        <v>45473</v>
      </c>
      <c r="AM283">
        <f t="shared" si="124"/>
        <v>4</v>
      </c>
      <c r="AN283">
        <f t="shared" si="125"/>
        <v>4</v>
      </c>
    </row>
    <row r="284" spans="1:40">
      <c r="A284" s="7">
        <v>45504</v>
      </c>
      <c r="B284" s="22">
        <v>100.2383</v>
      </c>
      <c r="C284" s="22">
        <v>4.4716584475710114E-2</v>
      </c>
      <c r="D284" s="9">
        <v>4.1179146118927527E-2</v>
      </c>
      <c r="E284" s="11">
        <f>_xll.BDH(E$2,"PX_LAST",$A284,$A284)</f>
        <v>47.4</v>
      </c>
      <c r="F284" s="10">
        <f t="shared" si="153"/>
        <v>-1.875400074711826</v>
      </c>
      <c r="G284" s="8">
        <v>-0.58260000000000001</v>
      </c>
      <c r="H284" s="9">
        <v>-0.19625119253233039</v>
      </c>
      <c r="I284" s="10">
        <v>3.7488074676696181E-3</v>
      </c>
      <c r="J284" s="11">
        <f>_xll.BDH(J$2,"PX_LAST",$A284,$A284)</f>
        <v>-0.39</v>
      </c>
      <c r="K284" s="10">
        <f t="shared" si="109"/>
        <v>-0.21708888818569966</v>
      </c>
      <c r="L284" s="8">
        <v>0.65100000000000002</v>
      </c>
      <c r="M284" s="11">
        <f>$BG$1*M283+(1-$BG$1)*L284</f>
        <v>0.69233285662660515</v>
      </c>
      <c r="N284" s="9">
        <f t="shared" ref="N284" si="182">IF(M284&lt;-1,-(-M284^(0.5)/2),IF(M284&lt;0,0.5*M284,M284))*1+0*IF(M284&gt;0,M284*6,M284)/6</f>
        <v>0.69233285662660515</v>
      </c>
      <c r="P284" s="29">
        <f t="shared" ref="P284" si="183">AVERAGE(D283,I284,N284)</f>
        <v>0.24575360340440078</v>
      </c>
      <c r="Q284" s="1" t="str">
        <f t="shared" si="175"/>
        <v>SD</v>
      </c>
      <c r="R284" t="str">
        <f t="shared" si="117"/>
        <v>SD</v>
      </c>
      <c r="S284" s="18">
        <f t="shared" si="123"/>
        <v>0.24575360340440078</v>
      </c>
      <c r="T284" t="str">
        <f t="shared" si="158"/>
        <v>SD</v>
      </c>
      <c r="V284" s="1" cm="1">
        <f t="array" ref="V284">_xll.BDH(V$5,"px_last",$A284)</f>
        <v>-49</v>
      </c>
      <c r="W284" s="1">
        <f t="shared" si="169"/>
        <v>0.24575360340440078</v>
      </c>
      <c r="X284" s="1">
        <f t="shared" si="169"/>
        <v>0.24575360340440078</v>
      </c>
      <c r="Y284" s="1" t="e">
        <f t="shared" si="169"/>
        <v>#N/A</v>
      </c>
      <c r="Z284" s="1" t="e">
        <f t="shared" si="169"/>
        <v>#N/A</v>
      </c>
      <c r="AA284" s="1">
        <f>AA283</f>
        <v>0</v>
      </c>
      <c r="AC284" s="31">
        <f t="shared" si="118"/>
        <v>0.24575360340440078</v>
      </c>
      <c r="AD284" s="31">
        <f t="shared" si="119"/>
        <v>0.24575360340440078</v>
      </c>
      <c r="AE284" s="31" t="e">
        <f t="shared" si="120"/>
        <v>#N/A</v>
      </c>
      <c r="AF284" s="31" t="e">
        <f t="shared" si="121"/>
        <v>#N/A</v>
      </c>
      <c r="AL284" s="17">
        <f t="shared" si="122"/>
        <v>45504</v>
      </c>
      <c r="AM284">
        <f t="shared" si="124"/>
        <v>3</v>
      </c>
      <c r="AN284">
        <f t="shared" si="125"/>
        <v>3</v>
      </c>
    </row>
    <row r="285" spans="1:40">
      <c r="A285" s="7">
        <v>45535</v>
      </c>
      <c r="B285" s="8">
        <v>100.39360000000001</v>
      </c>
      <c r="C285" s="8">
        <v>0.14414835790013455</v>
      </c>
      <c r="D285" s="9">
        <v>6.6037089475033645E-2</v>
      </c>
      <c r="E285" s="11">
        <f>_xll.BDH(E$2,"PX_LAST",$A285,$A285)</f>
        <v>47.7</v>
      </c>
      <c r="F285" s="10">
        <f t="shared" si="153"/>
        <v>-1.9964110534189548</v>
      </c>
      <c r="G285" s="8">
        <v>0.1381</v>
      </c>
      <c r="H285" s="9">
        <v>-0.10096110266061621</v>
      </c>
      <c r="I285" s="10">
        <v>9.90388973393838E-2</v>
      </c>
      <c r="J285" s="11">
        <f>_xll.BDH(J$2,"PX_LAST",$A285,$A285)</f>
        <v>-0.08</v>
      </c>
      <c r="K285" s="10">
        <f t="shared" si="109"/>
        <v>-0.17801855505277525</v>
      </c>
      <c r="L285" s="8">
        <v>0.89700000000000002</v>
      </c>
      <c r="M285" s="11">
        <v>0.7506629924880226</v>
      </c>
      <c r="N285" s="9">
        <v>0.7506629924880226</v>
      </c>
      <c r="P285" s="29">
        <f>AVERAGE(D284,I285,N285)</f>
        <v>0.29696034531544463</v>
      </c>
      <c r="Q285" s="1" t="str">
        <f t="shared" si="175"/>
        <v>E</v>
      </c>
      <c r="R285" t="str">
        <f>IF(OR(ABS($P285-$P284)&gt;$R$1,P285*P284&lt;0),Q285,R284)</f>
        <v>E</v>
      </c>
      <c r="S285" s="18">
        <f>IF(R285&lt;&gt;Q284,P285,S284)</f>
        <v>0.29696034531544463</v>
      </c>
      <c r="T285" t="str">
        <f t="shared" si="158"/>
        <v>E</v>
      </c>
      <c r="V285" s="1" cm="1">
        <f t="array" ref="V285">_xll.BDH(V$5,"px_last",$A285-1)</f>
        <v>-50.9</v>
      </c>
      <c r="W285" s="1">
        <f t="shared" ref="W285:X291" si="184">IF(OR($Q285=W$5,$Q286=W$5),$P285,NA())</f>
        <v>0.29696034531544463</v>
      </c>
      <c r="X285" s="1" t="e">
        <f t="shared" si="184"/>
        <v>#N/A</v>
      </c>
      <c r="Y285" s="1" t="e">
        <f t="shared" si="169"/>
        <v>#N/A</v>
      </c>
      <c r="Z285" s="1" t="e">
        <f t="shared" si="169"/>
        <v>#N/A</v>
      </c>
      <c r="AA285" s="1">
        <f>AA284</f>
        <v>0</v>
      </c>
      <c r="AC285" s="31">
        <f t="shared" si="118"/>
        <v>0.29696034531544463</v>
      </c>
      <c r="AD285" s="31" t="e">
        <f t="shared" si="119"/>
        <v>#N/A</v>
      </c>
      <c r="AE285" s="31" t="e">
        <f t="shared" si="120"/>
        <v>#N/A</v>
      </c>
      <c r="AF285" s="31" t="e">
        <f t="shared" si="121"/>
        <v>#N/A</v>
      </c>
      <c r="AL285" s="17">
        <f t="shared" si="122"/>
        <v>45535</v>
      </c>
      <c r="AM285">
        <f t="shared" si="124"/>
        <v>4</v>
      </c>
      <c r="AN285">
        <f t="shared" si="125"/>
        <v>4</v>
      </c>
    </row>
    <row r="286" spans="1:40">
      <c r="A286" s="7">
        <v>45565</v>
      </c>
      <c r="B286" s="32">
        <v>100.39360000000001</v>
      </c>
      <c r="C286" s="32">
        <v>0.21524207589859803</v>
      </c>
      <c r="D286" s="9">
        <v>8.3810518974649501E-2</v>
      </c>
      <c r="E286" s="11">
        <f>_xll.BDH(E$2,"PX_LAST",$A286,$A286)</f>
        <v>47.3</v>
      </c>
      <c r="F286" s="10">
        <f t="shared" si="153"/>
        <v>-2.1969339031945534</v>
      </c>
      <c r="G286" s="8">
        <v>0.19159999999999999</v>
      </c>
      <c r="H286" s="9">
        <v>-1.7581188402340589E-2</v>
      </c>
      <c r="I286" s="10">
        <v>0.18241881159765944</v>
      </c>
      <c r="J286" s="11">
        <f>_xll.BDH(J$2,"PX_LAST",$A286,$A286)</f>
        <v>-0.28999999999999998</v>
      </c>
      <c r="K286" s="10">
        <f t="shared" si="109"/>
        <v>-0.20993326686273431</v>
      </c>
      <c r="L286" s="8">
        <v>0.82899999999999996</v>
      </c>
      <c r="M286" s="11">
        <v>0.77298903962893606</v>
      </c>
      <c r="N286" s="9">
        <v>0.77298903962893606</v>
      </c>
      <c r="P286" s="29">
        <f>AVERAGE(D285,I286,N286)</f>
        <v>0.340481646900543</v>
      </c>
      <c r="Q286" s="1" t="str">
        <f t="shared" si="175"/>
        <v>E</v>
      </c>
      <c r="R286" t="str">
        <f>IF(OR(ABS($P286-$P285)&gt;$R$1,P286*P285&lt;0),Q286,R285)</f>
        <v>E</v>
      </c>
      <c r="S286" s="18">
        <f>IF(R286&lt;&gt;Q285,P286,S285)</f>
        <v>0.29696034531544463</v>
      </c>
      <c r="T286" t="str">
        <f t="shared" si="158"/>
        <v>E</v>
      </c>
      <c r="V286" s="1" cm="1">
        <f t="array" ref="V286">_xll.BDH(V$5,"px_last",$A286)</f>
        <v>-56.8</v>
      </c>
      <c r="W286" s="1">
        <f t="shared" si="184"/>
        <v>0.340481646900543</v>
      </c>
      <c r="X286" s="1">
        <f t="shared" si="184"/>
        <v>0.340481646900543</v>
      </c>
      <c r="Y286" s="1" t="e">
        <f t="shared" si="169"/>
        <v>#N/A</v>
      </c>
      <c r="Z286" s="1" t="e">
        <f t="shared" si="169"/>
        <v>#N/A</v>
      </c>
      <c r="AA286" s="1">
        <f>AA285</f>
        <v>0</v>
      </c>
      <c r="AC286" s="31">
        <f t="shared" si="118"/>
        <v>0.340481646900543</v>
      </c>
      <c r="AD286" s="31" t="e">
        <f t="shared" si="119"/>
        <v>#N/A</v>
      </c>
      <c r="AE286" s="31" t="e">
        <f t="shared" si="120"/>
        <v>#N/A</v>
      </c>
      <c r="AF286" s="31" t="e">
        <f t="shared" si="121"/>
        <v>#N/A</v>
      </c>
      <c r="AL286" s="17">
        <f t="shared" si="122"/>
        <v>45565</v>
      </c>
      <c r="AM286">
        <f t="shared" si="124"/>
        <v>4</v>
      </c>
      <c r="AN286">
        <f t="shared" si="125"/>
        <v>4</v>
      </c>
    </row>
    <row r="287" spans="1:40">
      <c r="A287" s="7">
        <v>45596</v>
      </c>
      <c r="B287" s="8">
        <v>100.3741</v>
      </c>
      <c r="C287" s="8">
        <v>0.26051658426749719</v>
      </c>
      <c r="D287" s="9">
        <v>9.5129146066874296E-2</v>
      </c>
      <c r="E287" s="11">
        <f>_xll.BDH(E$2,"PX_LAST",$A287,$A287)</f>
        <v>47</v>
      </c>
      <c r="F287" s="10">
        <f t="shared" si="153"/>
        <v>-2.4258077407841059</v>
      </c>
      <c r="G287" s="8">
        <v>-0.48049999999999998</v>
      </c>
      <c r="H287" s="9">
        <v>-0.14951304970767354</v>
      </c>
      <c r="I287" s="10">
        <v>5.0486950292326471E-2</v>
      </c>
      <c r="J287" s="11">
        <f>_xll.BDH(J$2,"PX_LAST",$A287,$A287)</f>
        <v>-0.56000000000000005</v>
      </c>
      <c r="K287" s="10">
        <f t="shared" si="109"/>
        <v>-0.30970228580685505</v>
      </c>
      <c r="L287" s="8">
        <v>1.095</v>
      </c>
      <c r="M287" s="11">
        <v>0.86476216333468936</v>
      </c>
      <c r="N287" s="9">
        <v>0.86476216333468936</v>
      </c>
      <c r="P287" s="29">
        <f>AVERAGE(D286,I287,N287)</f>
        <v>0.33301987753388845</v>
      </c>
      <c r="Q287" s="1" t="str">
        <f t="shared" si="175"/>
        <v>SD</v>
      </c>
      <c r="R287" t="str">
        <f>IF(OR(ABS($P287-$P286)&gt;$R$1,P287*P286&lt;0),Q287,R286)</f>
        <v>E</v>
      </c>
      <c r="S287" s="18">
        <f>IF(R287&lt;&gt;Q286,P287,S286)</f>
        <v>0.29696034531544463</v>
      </c>
      <c r="T287" t="str">
        <f t="shared" si="158"/>
        <v>E</v>
      </c>
      <c r="V287" s="1">
        <v>4.3</v>
      </c>
      <c r="W287" s="1">
        <v>0.33301987753388845</v>
      </c>
      <c r="X287" s="1">
        <v>0.33301987753388845</v>
      </c>
      <c r="Y287" s="1" t="e">
        <v>#N/A</v>
      </c>
      <c r="Z287" s="1" t="e">
        <v>#N/A</v>
      </c>
      <c r="AA287" s="1">
        <v>0</v>
      </c>
      <c r="AC287" s="31">
        <v>0.33301987753388845</v>
      </c>
      <c r="AD287" s="31" t="e">
        <v>#N/A</v>
      </c>
      <c r="AE287" s="31" t="e">
        <v>#N/A</v>
      </c>
      <c r="AF287" s="31" t="e">
        <v>#N/A</v>
      </c>
      <c r="AL287" s="17">
        <f t="shared" ref="AL287:AL291" si="185">A287</f>
        <v>45596</v>
      </c>
      <c r="AM287">
        <f t="shared" si="124"/>
        <v>3</v>
      </c>
      <c r="AN287">
        <f t="shared" si="125"/>
        <v>4</v>
      </c>
    </row>
    <row r="288" spans="1:40">
      <c r="A288" s="7">
        <v>45626</v>
      </c>
      <c r="B288" s="8">
        <v>100.5401</v>
      </c>
      <c r="C288" s="8">
        <v>0.34019785775125916</v>
      </c>
      <c r="D288" s="9">
        <v>0.11504946443781479</v>
      </c>
      <c r="E288" s="11">
        <f>_xll.BDH(E$2,"PX_LAST",$A288,$A288)</f>
        <v>48.4</v>
      </c>
      <c r="F288" s="10">
        <f t="shared" si="153"/>
        <v>-2.1904525346606363</v>
      </c>
      <c r="G288" s="8">
        <v>-0.22220000000000001</v>
      </c>
      <c r="H288" s="9">
        <v>-0.17022883054098659</v>
      </c>
      <c r="I288" s="10">
        <v>2.9771169459013425E-2</v>
      </c>
      <c r="J288" s="11">
        <f>_xll.BDH(J$2,"PX_LAST",$A288,$A288)</f>
        <v>-0.06</v>
      </c>
      <c r="K288" s="10">
        <f t="shared" si="109"/>
        <v>-0.23853713435190135</v>
      </c>
      <c r="L288" s="8">
        <v>1.0409999999999999</v>
      </c>
      <c r="M288" s="11">
        <v>0.91498994678430279</v>
      </c>
      <c r="N288" s="9">
        <v>0.91498994678430279</v>
      </c>
      <c r="P288" s="29">
        <v>0.34663008743673013</v>
      </c>
      <c r="Q288" s="1" t="s">
        <v>26</v>
      </c>
      <c r="R288" t="s">
        <v>26</v>
      </c>
      <c r="S288" s="18">
        <v>0.34663008743673013</v>
      </c>
      <c r="T288" t="s">
        <v>26</v>
      </c>
      <c r="V288" s="1">
        <v>-23.9</v>
      </c>
      <c r="W288" s="1">
        <v>0.34663008743673013</v>
      </c>
      <c r="X288" s="1" t="e">
        <v>#N/A</v>
      </c>
      <c r="Y288" s="1" t="e">
        <v>#N/A</v>
      </c>
      <c r="Z288" s="1" t="e">
        <v>#N/A</v>
      </c>
      <c r="AA288" s="1">
        <v>0</v>
      </c>
      <c r="AC288" s="31">
        <v>0.34663008743673013</v>
      </c>
      <c r="AD288" s="31" t="e">
        <v>#N/A</v>
      </c>
      <c r="AE288" s="31" t="e">
        <v>#N/A</v>
      </c>
      <c r="AF288" s="31" t="e">
        <v>#N/A</v>
      </c>
      <c r="AL288" s="17">
        <v>45626</v>
      </c>
      <c r="AM288">
        <v>4</v>
      </c>
      <c r="AN288">
        <v>4</v>
      </c>
    </row>
    <row r="289" spans="1:40">
      <c r="A289" s="7">
        <v>45657</v>
      </c>
      <c r="B289" s="8">
        <v>100.4645</v>
      </c>
      <c r="C289" s="8">
        <v>0.37562396829215061</v>
      </c>
      <c r="D289" s="9">
        <v>0.12390599207303765</v>
      </c>
      <c r="E289" s="11">
        <f>_xll.BDH(E$2,"PX_LAST",$A289,$A289)</f>
        <v>49.2</v>
      </c>
      <c r="F289" s="10">
        <f t="shared" si="153"/>
        <v>-1.7941735622823543</v>
      </c>
      <c r="G289" s="8">
        <v>-8.6199999999999999E-2</v>
      </c>
      <c r="H289" s="9">
        <v>-0.14628061383680541</v>
      </c>
      <c r="I289" s="10">
        <v>5.3719386163194605E-2</v>
      </c>
      <c r="J289" s="11">
        <f>_xll.BDH(J$2,"PX_LAST",$A289,$A289)</f>
        <v>0.33</v>
      </c>
      <c r="K289" s="10">
        <f t="shared" si="109"/>
        <v>-7.6504051061609443E-2</v>
      </c>
      <c r="L289" s="8">
        <v>1.194</v>
      </c>
      <c r="M289" s="11">
        <v>0.99450781195077642</v>
      </c>
      <c r="N289" s="9">
        <v>0.99450781195077642</v>
      </c>
      <c r="P289" s="29">
        <f>AVERAGE(D288,I289,N289)</f>
        <v>0.38775888751726195</v>
      </c>
      <c r="Q289" s="1" t="str">
        <f t="shared" ref="Q289" si="186">IF(P289-P288&gt;0,IF(P289&gt;=0,"E","R"),IF(P289&gt;=0,"SD","C"))</f>
        <v>E</v>
      </c>
      <c r="R289" t="str">
        <f>IF(OR(ABS($P289-$P288)&gt;$R$1,P289*P288&lt;0),Q289,R288)</f>
        <v>E</v>
      </c>
      <c r="S289" s="18">
        <f>IF(R289&lt;&gt;Q288,P289,S288)</f>
        <v>0.34663008743673013</v>
      </c>
      <c r="T289" t="str">
        <f>IF(OR(ABS($S289-$S288)&gt;$R$1,S289*S288&lt;0,ABS(P289-MAX(P277:P288))&gt;$U$1),Q289,T288)</f>
        <v>E</v>
      </c>
      <c r="V289" s="1" cm="1">
        <f t="array" ref="V289">_xll.BDH(V$5,"px_last",$A289)</f>
        <v>-12.1</v>
      </c>
      <c r="W289" s="1">
        <f t="shared" si="184"/>
        <v>0.38775888751726195</v>
      </c>
      <c r="X289" s="1" t="e">
        <f t="shared" si="184"/>
        <v>#N/A</v>
      </c>
      <c r="Y289" s="1" t="e">
        <f t="shared" si="169"/>
        <v>#N/A</v>
      </c>
      <c r="Z289" s="1" t="e">
        <f t="shared" si="169"/>
        <v>#N/A</v>
      </c>
      <c r="AA289" s="1">
        <f>AA288</f>
        <v>0</v>
      </c>
      <c r="AC289" s="31">
        <f t="shared" si="118"/>
        <v>0.38775888751726195</v>
      </c>
      <c r="AD289" s="31" t="e">
        <f t="shared" si="119"/>
        <v>#N/A</v>
      </c>
      <c r="AE289" s="31" t="e">
        <f t="shared" si="120"/>
        <v>#N/A</v>
      </c>
      <c r="AF289" s="31" t="e">
        <f t="shared" si="121"/>
        <v>#N/A</v>
      </c>
      <c r="AL289" s="17">
        <f t="shared" si="185"/>
        <v>45657</v>
      </c>
      <c r="AM289">
        <v>4</v>
      </c>
      <c r="AN289">
        <v>4</v>
      </c>
    </row>
    <row r="290" spans="1:40">
      <c r="A290" s="7">
        <v>45688</v>
      </c>
      <c r="B290" s="8">
        <v>100.4511</v>
      </c>
      <c r="C290" s="8">
        <v>0.39713463732888676</v>
      </c>
      <c r="D290" s="9">
        <v>0.12928365933222169</v>
      </c>
      <c r="E290" s="11">
        <f>_xll.BDH(E$2,"PX_LAST",$A290,$A290)</f>
        <v>50.5</v>
      </c>
      <c r="F290" s="10">
        <f t="shared" si="153"/>
        <v>-1.1403340970318832</v>
      </c>
      <c r="G290" s="8">
        <v>-5.1999999999999998E-3</v>
      </c>
      <c r="H290" s="9">
        <v>-0.10607263889331586</v>
      </c>
      <c r="I290" s="10">
        <v>9.3927361106684149E-2</v>
      </c>
      <c r="J290" s="11">
        <f>_xll.BDH(J$2,"PX_LAST",$A290,$A290)</f>
        <v>-0.5</v>
      </c>
      <c r="K290" s="10">
        <f t="shared" si="109"/>
        <v>-0.19720039650905077</v>
      </c>
      <c r="L290" s="8">
        <v>1.796</v>
      </c>
      <c r="M290" s="11">
        <v>1.2229330855448053</v>
      </c>
      <c r="N290" s="9">
        <v>1.2229330855448053</v>
      </c>
      <c r="P290" s="29">
        <f>AVERAGE(D289,I290,N290)</f>
        <v>0.48025547957484238</v>
      </c>
      <c r="Q290" s="1" t="str">
        <f t="shared" ref="Q290" si="187">IF(P290-P289&gt;0,IF(P290&gt;=0,"E","R"),IF(P290&gt;=0,"SD","C"))</f>
        <v>E</v>
      </c>
      <c r="R290" t="str">
        <f>IF(OR(ABS($P290-$P289)&gt;$R$1,P290*P289&lt;0),Q290,R289)</f>
        <v>E</v>
      </c>
      <c r="S290" s="18">
        <f>IF(R290&lt;&gt;Q289,P290,S289)</f>
        <v>0.34663008743673013</v>
      </c>
      <c r="T290" t="str">
        <f>IF(OR(ABS($S290-$S289)&gt;$R$1,S290*S289&lt;0,ABS(P290-MAX(P278:P289))&gt;$U$1),Q290,T289)</f>
        <v>E</v>
      </c>
      <c r="V290" s="1" cm="1">
        <f t="array" ref="V290">_xll.BDH(V$5,"px_last",$A290)</f>
        <v>-0.6</v>
      </c>
      <c r="W290" s="1">
        <f t="shared" si="184"/>
        <v>0.48025547957484238</v>
      </c>
      <c r="X290" s="1" t="e">
        <f t="shared" si="184"/>
        <v>#N/A</v>
      </c>
      <c r="Y290" s="1" t="e">
        <f t="shared" si="169"/>
        <v>#N/A</v>
      </c>
      <c r="Z290" s="1" t="e">
        <f t="shared" si="169"/>
        <v>#N/A</v>
      </c>
      <c r="AA290" s="1">
        <f>AA289</f>
        <v>0</v>
      </c>
      <c r="AC290" s="31">
        <f t="shared" si="118"/>
        <v>0.48025547957484238</v>
      </c>
      <c r="AD290" s="31" t="e">
        <f t="shared" si="119"/>
        <v>#N/A</v>
      </c>
      <c r="AE290" s="31" t="e">
        <f t="shared" si="120"/>
        <v>#N/A</v>
      </c>
      <c r="AF290" s="31" t="e">
        <f t="shared" si="121"/>
        <v>#N/A</v>
      </c>
      <c r="AL290" s="17">
        <f t="shared" si="185"/>
        <v>45688</v>
      </c>
      <c r="AM290">
        <v>4</v>
      </c>
      <c r="AN290">
        <v>4</v>
      </c>
    </row>
    <row r="291" spans="1:40">
      <c r="A291" s="7">
        <v>45716</v>
      </c>
      <c r="B291" s="8">
        <f>_xll.BDH(B$2,"PX_LAST",$A291,$A291)</f>
        <v>99.746300000000005</v>
      </c>
      <c r="C291" s="8">
        <f>$BG$1*C290+(1-$BG$1)*(B291-100)</f>
        <v>0.21164676569015545</v>
      </c>
      <c r="D291" s="9">
        <f>C291/4+0.03</f>
        <v>8.2911691422538861E-2</v>
      </c>
      <c r="E291" s="11">
        <f>_xll.BDH(E$2,"PX_LAST",$A291,$A291)</f>
        <v>50</v>
      </c>
      <c r="F291" s="10">
        <f t="shared" si="153"/>
        <v>-0.81533887937779637</v>
      </c>
      <c r="G291" s="8">
        <f>_xll.BDH(G$2,"PX_LAST",$A291-11,$A291-11)</f>
        <v>2.6200000000000001E-2</v>
      </c>
      <c r="H291" s="9">
        <f>$BG$1*H290 + (1-$BG$1)*G291</f>
        <v>-6.8374936808720838E-2</v>
      </c>
      <c r="I291" s="10">
        <f>MAX(IF(H291&lt;-1,-1*SQRT(-H291),IF(H291&gt;1,H291,H291)),-2)+0.2</f>
        <v>0.13162506319127917</v>
      </c>
      <c r="J291" s="11">
        <f>_xll.BDH(J$2,"PX_LAST",$A291,$A291)</f>
        <v>0.39</v>
      </c>
      <c r="K291" s="10">
        <f t="shared" si="109"/>
        <v>-2.9848283503971271E-2</v>
      </c>
      <c r="L291" s="8">
        <f>IF(WEEKDAY($A291)=1,_xll.BDH(L$2,"PX_LAST",$A291-2,$A291-2),IF(WEEKDAY($A291)=7,_xll.BDH(L$2,"PX_LAST",$A291-1,$A291-1),_xll.BDH(L$2,"PX_LAST",$A291,$A291)))</f>
        <v>1.579</v>
      </c>
      <c r="M291" s="11">
        <f>$BG$1*M290+(1-$BG$1)*L291</f>
        <v>1.3244121561645357</v>
      </c>
      <c r="N291" s="9">
        <f>IF(M291&lt;-1,-(-M291^(0.5)/2),IF(M291&lt;0,0.5*M291,M291))*1+0*IF(M291&gt;0,M291*6,M291)/6</f>
        <v>1.3244121561645357</v>
      </c>
      <c r="P291" s="29">
        <f>AVERAGE(D290,I291,N291)</f>
        <v>0.52844029289601213</v>
      </c>
      <c r="Q291" s="1" t="str">
        <f t="shared" ref="Q291" si="188">IF(P291-P290&gt;0,IF(P291&gt;=0,"E","R"),IF(P291&gt;=0,"SD","C"))</f>
        <v>E</v>
      </c>
      <c r="R291" t="str">
        <f>IF(OR(ABS($P291-$P290)&gt;$R$1,P291*P290&lt;0),Q291,R290)</f>
        <v>E</v>
      </c>
      <c r="S291" s="18">
        <f>IF(R291&lt;&gt;Q290,P291,S290)</f>
        <v>0.34663008743673013</v>
      </c>
      <c r="T291" t="str">
        <f>IF(OR(ABS($S291-$S290)&gt;$R$1,S291*S290&lt;0,ABS(P291-MAX(P279:P290))&gt;$U$1),Q291,T290)</f>
        <v>E</v>
      </c>
      <c r="V291" s="1" cm="1">
        <f t="array" ref="V291">_xll.BDH(V$5,"px_last",$A291)</f>
        <v>22.9</v>
      </c>
      <c r="W291" s="1">
        <f t="shared" si="184"/>
        <v>0.52844029289601213</v>
      </c>
      <c r="X291" s="1" t="e">
        <f t="shared" si="184"/>
        <v>#N/A</v>
      </c>
      <c r="Y291" s="1" t="e">
        <f t="shared" si="169"/>
        <v>#N/A</v>
      </c>
      <c r="Z291" s="1" t="e">
        <f t="shared" si="169"/>
        <v>#N/A</v>
      </c>
      <c r="AA291" s="1">
        <f>AA290</f>
        <v>0</v>
      </c>
      <c r="AC291" s="31">
        <f t="shared" si="118"/>
        <v>0.52844029289601213</v>
      </c>
      <c r="AD291" s="31" t="e">
        <f t="shared" si="119"/>
        <v>#N/A</v>
      </c>
      <c r="AE291" s="31" t="e">
        <f t="shared" si="120"/>
        <v>#N/A</v>
      </c>
      <c r="AF291" s="31" t="e">
        <f t="shared" si="121"/>
        <v>#N/A</v>
      </c>
      <c r="AL291" s="17">
        <f t="shared" si="185"/>
        <v>45716</v>
      </c>
      <c r="AM291">
        <v>4</v>
      </c>
      <c r="AN291">
        <v>4</v>
      </c>
    </row>
    <row r="292" spans="1:40">
      <c r="A292" s="7">
        <v>45747</v>
      </c>
      <c r="B292" s="8">
        <f>_xll.BDH(B$2,"PX_LAST",$A292,$A292)</f>
        <v>99.847200000000001</v>
      </c>
      <c r="C292" s="8">
        <f t="shared" ref="C292:C308" si="189">$BG$1*C291+(1-$BG$1)*(B292-100)</f>
        <v>0.10777943746846137</v>
      </c>
      <c r="D292" s="9">
        <f t="shared" ref="D292:D308" si="190">C292/4+0.03</f>
        <v>5.6944859367115339E-2</v>
      </c>
      <c r="E292" s="11">
        <f>_xll.BDH(E$2,"PX_LAST",$A292,$A292)</f>
        <v>48.9</v>
      </c>
      <c r="F292" s="10">
        <f t="shared" si="153"/>
        <v>-0.89646729875512488</v>
      </c>
      <c r="G292" s="8">
        <f>_xll.BDH(G$2,"PX_LAST",$A292-11,$A292-11)</f>
        <v>7.0099999999999996E-2</v>
      </c>
      <c r="H292" s="9">
        <f t="shared" ref="H292:H308" si="191">$BG$1*H291 + (1-$BG$1)*G292</f>
        <v>-2.8909579818235397E-2</v>
      </c>
      <c r="I292" s="10">
        <f t="shared" ref="I292:I308" si="192">MAX(IF(H292&lt;-1,-1*SQRT(-H292),IF(H292&gt;1,H292,H292)),-2)+0.2</f>
        <v>0.17109042018176462</v>
      </c>
      <c r="J292" s="11">
        <f>_xll.BDH(J$2,"PX_LAST",$A292,$A292)</f>
        <v>0.16</v>
      </c>
      <c r="K292" s="10">
        <f t="shared" si="109"/>
        <v>2.425847729466055E-2</v>
      </c>
      <c r="L292" s="8">
        <f>IF(WEEKDAY($A292)=1,_xll.BDH(L$2,"PX_LAST",$A292-2,$A292-2),IF(WEEKDAY($A292)=7,_xll.BDH(L$2,"PX_LAST",$A292-1,$A292-1),_xll.BDH(L$2,"PX_LAST",$A292,$A292)))</f>
        <v>1.345</v>
      </c>
      <c r="M292" s="11">
        <f t="shared" ref="M292:M308" si="193">$BG$1*M291+(1-$BG$1)*L292</f>
        <v>1.3302796916576431</v>
      </c>
      <c r="N292" s="9">
        <f t="shared" ref="N292:N308" si="194">IF(M292&lt;-1,-(-M292^(0.5)/2),IF(M292&lt;0,0.5*M292,M292))*1+0*IF(M292&gt;0,M292*6,M292)/6</f>
        <v>1.3302796916576431</v>
      </c>
    </row>
    <row r="293" spans="1:40">
      <c r="A293" s="7">
        <v>45777</v>
      </c>
      <c r="B293" s="8">
        <f>_xll.BDH(B$2,"PX_LAST",$A293,$A293)</f>
        <v>99.971199999999996</v>
      </c>
      <c r="C293" s="8">
        <f t="shared" si="189"/>
        <v>6.8854297789948754E-2</v>
      </c>
      <c r="D293" s="9">
        <f t="shared" si="190"/>
        <v>4.7213574447487187E-2</v>
      </c>
      <c r="E293" s="11">
        <f>_xll.BDH(E$2,"PX_LAST",$A293,$A293)</f>
        <v>48.8</v>
      </c>
      <c r="F293" s="10">
        <f t="shared" si="153"/>
        <v>-0.98297411860991513</v>
      </c>
      <c r="G293" s="8">
        <f>_xll.BDH(G$2,"PX_LAST",$A293-11,$A293-11)</f>
        <v>-0.29220000000000002</v>
      </c>
      <c r="H293" s="9">
        <f t="shared" si="191"/>
        <v>-0.10394734957003833</v>
      </c>
      <c r="I293" s="10">
        <f t="shared" si="192"/>
        <v>9.6052650429961681E-2</v>
      </c>
      <c r="J293" s="11">
        <f>_xll.BDH(J$2,"PX_LAST",$A293,$A293)</f>
        <v>-0.36</v>
      </c>
      <c r="K293" s="10">
        <f t="shared" si="109"/>
        <v>-8.5255188734317713E-2</v>
      </c>
      <c r="L293" s="8">
        <f>IF(WEEKDAY($A293)=1,_xll.BDH(L$2,"PX_LAST",$A293-2,$A293-2),IF(WEEKDAY($A293)=7,_xll.BDH(L$2,"PX_LAST",$A293-1,$A293-1),_xll.BDH(L$2,"PX_LAST",$A293,$A293)))</f>
        <v>0.95899999999999996</v>
      </c>
      <c r="M293" s="11">
        <f t="shared" si="193"/>
        <v>1.2244649795352149</v>
      </c>
      <c r="N293" s="9">
        <f t="shared" si="194"/>
        <v>1.2244649795352149</v>
      </c>
    </row>
    <row r="294" spans="1:40">
      <c r="A294" s="7">
        <v>45808</v>
      </c>
      <c r="B294" s="8">
        <f>_xll.BDH(B$2,"PX_LAST",$A294,$A294)</f>
        <v>100.11960000000001</v>
      </c>
      <c r="C294" s="8">
        <f t="shared" si="189"/>
        <v>8.3316822919814931E-2</v>
      </c>
      <c r="D294" s="9">
        <f t="shared" si="190"/>
        <v>5.0829205729953732E-2</v>
      </c>
      <c r="E294" s="11">
        <f>_xll.BDH(E$2,"PX_LAST",$A294,$A294)</f>
        <v>48.6</v>
      </c>
      <c r="F294" s="10">
        <f t="shared" si="153"/>
        <v>-1.101826494806089</v>
      </c>
      <c r="G294" s="8">
        <f>_xll.BDH(G$2,"PX_LAST",$A294-11,$A294-11)</f>
        <v>-0.5585</v>
      </c>
      <c r="H294" s="9">
        <f t="shared" si="191"/>
        <v>-0.23349485494257743</v>
      </c>
      <c r="I294" s="10">
        <f t="shared" si="192"/>
        <v>-3.3494854942577423E-2</v>
      </c>
      <c r="J294" s="11">
        <f>_xll.BDH(J$2,"PX_LAST",$A294,$A294)</f>
        <v>-0.3</v>
      </c>
      <c r="K294" s="10">
        <f t="shared" si="109"/>
        <v>-0.14645745994503717</v>
      </c>
      <c r="L294" s="8">
        <f>IF(WEEKDAY($A294)=1,_xll.BDH(L$2,"PX_LAST",$A294-2,$A294-2),IF(WEEKDAY($A294)=7,_xll.BDH(L$2,"PX_LAST",$A294-1,$A294-1),_xll.BDH(L$2,"PX_LAST",$A294,$A294)))</f>
        <v>1.4</v>
      </c>
      <c r="M294" s="11">
        <f t="shared" si="193"/>
        <v>1.2744924603676786</v>
      </c>
      <c r="N294" s="9">
        <f t="shared" si="194"/>
        <v>1.2744924603676786</v>
      </c>
    </row>
    <row r="295" spans="1:40">
      <c r="A295" s="7">
        <v>45838</v>
      </c>
      <c r="B295" s="8">
        <f>_xll.BDH(B$2,"PX_LAST",$A295,$A295)</f>
        <v>100.27679999999999</v>
      </c>
      <c r="C295" s="8">
        <f t="shared" si="189"/>
        <v>0.13845952838766606</v>
      </c>
      <c r="D295" s="9">
        <f t="shared" si="190"/>
        <v>6.4614882096916515E-2</v>
      </c>
      <c r="E295" s="11">
        <f>_xll.BDH(E$2,"PX_LAST",$A295,$A295)</f>
        <v>49</v>
      </c>
      <c r="F295" s="10">
        <f t="shared" si="153"/>
        <v>-1.0728059437863537</v>
      </c>
      <c r="G295" s="8">
        <f>_xll.BDH(G$2,"PX_LAST",$A295-11,$A295-11)</f>
        <v>-2.2599999999999999E-2</v>
      </c>
      <c r="H295" s="9">
        <f t="shared" si="191"/>
        <v>-0.17338982128394287</v>
      </c>
      <c r="I295" s="10">
        <f t="shared" si="192"/>
        <v>2.6610178716057142E-2</v>
      </c>
      <c r="J295" s="11">
        <f>_xll.BDH(J$2,"PX_LAST",$A295,$A295)</f>
        <v>-7.0000000000000007E-2</v>
      </c>
      <c r="K295" s="10">
        <f t="shared" si="109"/>
        <v>-0.12466708386070158</v>
      </c>
      <c r="L295" s="8">
        <f>IF(WEEKDAY($A295)=1,_xll.BDH(L$2,"PX_LAST",$A295-2,$A295-2),IF(WEEKDAY($A295)=7,_xll.BDH(L$2,"PX_LAST",$A295-1,$A295-1),_xll.BDH(L$2,"PX_LAST",$A295,$A295)))</f>
        <v>1.524</v>
      </c>
      <c r="M295" s="11">
        <f t="shared" si="193"/>
        <v>1.3456021091628902</v>
      </c>
      <c r="N295" s="9">
        <f t="shared" si="194"/>
        <v>1.3456021091628902</v>
      </c>
    </row>
    <row r="296" spans="1:40">
      <c r="A296" s="7">
        <v>45869</v>
      </c>
      <c r="B296" s="8">
        <f>_xll.BDH(B$2,"PX_LAST",$A296,$A296)</f>
        <v>100.435</v>
      </c>
      <c r="C296" s="8">
        <f t="shared" si="189"/>
        <v>0.22297356279718189</v>
      </c>
      <c r="D296" s="9">
        <f t="shared" si="190"/>
        <v>8.5743390699295471E-2</v>
      </c>
      <c r="E296" s="11">
        <f>_xll.BDH(E$2,"PX_LAST",$A296,$A296)</f>
        <v>48.4</v>
      </c>
      <c r="F296" s="10">
        <f t="shared" si="153"/>
        <v>-1.2230562498072433</v>
      </c>
      <c r="G296" s="8">
        <f>_xll.BDH(G$2,"PX_LAST",$A296-11,$A296-11)</f>
        <v>0.15989999999999999</v>
      </c>
      <c r="H296" s="9">
        <f t="shared" si="191"/>
        <v>-7.8402222218019138E-2</v>
      </c>
      <c r="I296" s="10">
        <f t="shared" si="192"/>
        <v>0.12159777778198087</v>
      </c>
      <c r="J296" s="11">
        <f>_xll.BDH(J$2,"PX_LAST",$A296,$A296)</f>
        <v>0.01</v>
      </c>
      <c r="K296" s="10">
        <f t="shared" si="109"/>
        <v>-8.6286964960401613E-2</v>
      </c>
      <c r="L296" s="8">
        <f>IF(WEEKDAY($A296)=1,_xll.BDH(L$2,"PX_LAST",$A296-2,$A296-2),IF(WEEKDAY($A296)=7,_xll.BDH(L$2,"PX_LAST",$A296-1,$A296-1),_xll.BDH(L$2,"PX_LAST",$A296,$A296)))</f>
        <v>1.5149999999999999</v>
      </c>
      <c r="M296" s="11">
        <f t="shared" si="193"/>
        <v>1.3938805080514665</v>
      </c>
      <c r="N296" s="9">
        <f t="shared" si="194"/>
        <v>1.3938805080514665</v>
      </c>
    </row>
    <row r="297" spans="1:40">
      <c r="A297" s="7">
        <v>45900</v>
      </c>
      <c r="B297" s="8">
        <f>_xll.BDH(B$2,"PX_LAST",$A297,$A297)</f>
        <v>100.5912</v>
      </c>
      <c r="C297" s="8">
        <f t="shared" si="189"/>
        <v>0.32791809739998523</v>
      </c>
      <c r="D297" s="9">
        <f t="shared" si="190"/>
        <v>0.11197952434999631</v>
      </c>
      <c r="E297" s="11">
        <f>_xll.BDH(E$2,"PX_LAST",$A297,$A297)</f>
        <v>48.9</v>
      </c>
      <c r="F297" s="10">
        <f t="shared" si="153"/>
        <v>-1.1879852186121793</v>
      </c>
      <c r="G297" s="8">
        <f>_xll.BDH(G$2,"PX_LAST",$A297-11,$A297-11)</f>
        <v>-0.44529999999999997</v>
      </c>
      <c r="H297" s="9">
        <f t="shared" si="191"/>
        <v>-0.1829680888858837</v>
      </c>
      <c r="I297" s="10">
        <f t="shared" si="192"/>
        <v>1.703191111411631E-2</v>
      </c>
      <c r="J297" s="11">
        <f>_xll.BDH(J$2,"PX_LAST",$A297,$A297)</f>
        <v>-0.36</v>
      </c>
      <c r="K297" s="10">
        <f t="shared" si="109"/>
        <v>-0.16429517994668716</v>
      </c>
      <c r="L297" s="8">
        <f>IF(WEEKDAY($A297)=1,_xll.BDH(L$2,"PX_LAST",$A297-2,$A297-2),IF(WEEKDAY($A297)=7,_xll.BDH(L$2,"PX_LAST",$A297-1,$A297-1),_xll.BDH(L$2,"PX_LAST",$A297,$A297)))</f>
        <v>1.4590000000000001</v>
      </c>
      <c r="M297" s="11">
        <f t="shared" si="193"/>
        <v>1.4124395632567985</v>
      </c>
      <c r="N297" s="9">
        <f t="shared" si="194"/>
        <v>1.4124395632567985</v>
      </c>
    </row>
    <row r="298" spans="1:40">
      <c r="A298" s="7">
        <v>45930</v>
      </c>
      <c r="B298" s="8">
        <f>_xll.BDH(B$2,"PX_LAST",$A298,$A298)</f>
        <v>100.7401</v>
      </c>
      <c r="C298" s="8">
        <f t="shared" si="189"/>
        <v>0.44538993964098894</v>
      </c>
      <c r="D298" s="9">
        <f t="shared" si="190"/>
        <v>0.14134748491024723</v>
      </c>
      <c r="E298" s="11">
        <f>_xll.BDH(E$2,"PX_LAST",$A298,$A298)</f>
        <v>48.9</v>
      </c>
      <c r="F298" s="10">
        <f t="shared" si="153"/>
        <v>-1.1629094313077086</v>
      </c>
      <c r="G298" s="8">
        <f>_xll.BDH(G$2,"PX_LAST",$A298-11,$A298-11)</f>
        <v>-0.52359999999999995</v>
      </c>
      <c r="H298" s="9">
        <f t="shared" si="191"/>
        <v>-0.28004818355340683</v>
      </c>
      <c r="I298" s="10">
        <f t="shared" si="192"/>
        <v>-8.0048183553406815E-2</v>
      </c>
      <c r="J298" s="11">
        <f>_xll.BDH(J$2,"PX_LAST",$A298,$A298)</f>
        <v>-0.31</v>
      </c>
      <c r="K298" s="10">
        <f t="shared" si="109"/>
        <v>-0.20582105366188133</v>
      </c>
      <c r="L298" s="8">
        <f>IF(WEEKDAY($A298)=1,_xll.BDH(L$2,"PX_LAST",$A298-2,$A298-2),IF(WEEKDAY($A298)=7,_xll.BDH(L$2,"PX_LAST",$A298-1,$A298-1),_xll.BDH(L$2,"PX_LAST",$A298,$A298)))</f>
        <v>1.431</v>
      </c>
      <c r="M298" s="11">
        <f t="shared" si="193"/>
        <v>1.4177292877286112</v>
      </c>
      <c r="N298" s="9">
        <f t="shared" si="194"/>
        <v>1.4177292877286112</v>
      </c>
    </row>
    <row r="299" spans="1:40">
      <c r="A299" s="7">
        <v>45961</v>
      </c>
      <c r="B299" s="8">
        <f>_xll.BDH(B$2,"PX_LAST",$A299,$A299)</f>
        <v>100.87</v>
      </c>
      <c r="C299" s="8">
        <f t="shared" si="189"/>
        <v>0.56640380684330838</v>
      </c>
      <c r="D299" s="9">
        <f t="shared" si="190"/>
        <v>0.17160095171082709</v>
      </c>
      <c r="E299" s="11">
        <f>_xll.BDH(E$2,"PX_LAST",$A299,$A299)</f>
        <v>48.8</v>
      </c>
      <c r="F299" s="10">
        <f t="shared" si="153"/>
        <v>-1.1734802433850124</v>
      </c>
      <c r="G299" s="8">
        <f>_xll.BDH(G$2,"PX_LAST",$A299-11,$A299-11)</f>
        <v>-0.81740000000000002</v>
      </c>
      <c r="H299" s="9">
        <f t="shared" si="191"/>
        <v>-0.43319345124068587</v>
      </c>
      <c r="I299" s="10">
        <f t="shared" si="192"/>
        <v>-0.23319345124068586</v>
      </c>
      <c r="J299" s="11">
        <f>_xll.BDH(J$2,"PX_LAST",$A299,$A299)</f>
        <v>-0.5</v>
      </c>
      <c r="K299" s="10">
        <f t="shared" si="109"/>
        <v>-0.28966205336824513</v>
      </c>
      <c r="L299" s="8">
        <f>IF(WEEKDAY($A299)=1,_xll.BDH(L$2,"PX_LAST",$A299-2,$A299-2),IF(WEEKDAY($A299)=7,_xll.BDH(L$2,"PX_LAST",$A299-1,$A299-1),_xll.BDH(L$2,"PX_LAST",$A299,$A299)))</f>
        <v>1.2290000000000001</v>
      </c>
      <c r="M299" s="11">
        <f t="shared" si="193"/>
        <v>1.3639414407259569</v>
      </c>
      <c r="N299" s="9">
        <f t="shared" si="194"/>
        <v>1.3639414407259569</v>
      </c>
    </row>
    <row r="300" spans="1:40">
      <c r="A300" s="7">
        <v>45991</v>
      </c>
      <c r="B300" s="8">
        <f>_xll.BDH(B$2,"PX_LAST",$A300,$A300)</f>
        <v>100.9601</v>
      </c>
      <c r="C300" s="8">
        <f t="shared" si="189"/>
        <v>0.67860722189296463</v>
      </c>
      <c r="D300" s="9">
        <f t="shared" si="190"/>
        <v>0.19965180547324116</v>
      </c>
      <c r="E300" s="11">
        <f>_xll.BDH(E$2,"PX_LAST",$A300,$A300)</f>
        <v>48</v>
      </c>
      <c r="F300" s="10">
        <f t="shared" si="153"/>
        <v>-1.4090383740202839</v>
      </c>
      <c r="G300" s="8">
        <f>_xll.BDH(G$2,"PX_LAST",$A300-11,$A300-11)</f>
        <v>-0.4632</v>
      </c>
      <c r="H300" s="9">
        <f t="shared" si="191"/>
        <v>-0.44174531763709041</v>
      </c>
      <c r="I300" s="10">
        <f t="shared" si="192"/>
        <v>-0.2417453176370904</v>
      </c>
      <c r="J300" s="11">
        <f>_xll.BDH(J$2,"PX_LAST",$A300,$A300)</f>
        <v>-0.3</v>
      </c>
      <c r="K300" s="10">
        <f t="shared" si="109"/>
        <v>-0.29260836815829527</v>
      </c>
      <c r="L300" s="8">
        <f>IF(WEEKDAY($A300)=1,_xll.BDH(L$2,"PX_LAST",$A300-2,$A300-2),IF(WEEKDAY($A300)=7,_xll.BDH(L$2,"PX_LAST",$A300-1,$A300-1),_xll.BDH(L$2,"PX_LAST",$A300,$A300)))</f>
        <v>1.232</v>
      </c>
      <c r="M300" s="11">
        <f t="shared" si="193"/>
        <v>1.3263381301190591</v>
      </c>
      <c r="N300" s="9">
        <f t="shared" si="194"/>
        <v>1.3263381301190591</v>
      </c>
    </row>
    <row r="301" spans="1:40">
      <c r="A301" s="7">
        <v>46022</v>
      </c>
      <c r="B301" s="8">
        <f>_xll.BDH(B$2,"PX_LAST",$A301,$A301)</f>
        <v>101.00749999999999</v>
      </c>
      <c r="C301" s="8">
        <f t="shared" si="189"/>
        <v>0.77234166365346779</v>
      </c>
      <c r="D301" s="9">
        <f t="shared" si="190"/>
        <v>0.22308541591336695</v>
      </c>
      <c r="E301" s="11">
        <f>_xll.BDH(E$2,"PX_LAST",$A301,$A301)</f>
        <v>47.9</v>
      </c>
      <c r="F301" s="10">
        <f t="shared" si="153"/>
        <v>-1.6059624374245034</v>
      </c>
      <c r="G301" s="8">
        <f>_xll.BDH(G$2,"PX_LAST",$A301-11,$A301-11)</f>
        <v>-2.9600000000000001E-2</v>
      </c>
      <c r="H301" s="9">
        <f t="shared" si="191"/>
        <v>-0.32428390211051961</v>
      </c>
      <c r="I301" s="10">
        <f t="shared" si="192"/>
        <v>-0.1242839021105196</v>
      </c>
      <c r="J301" s="11">
        <f>_xll.BDH(J$2,"PX_LAST",$A301,$A301)</f>
        <v>-0.06</v>
      </c>
      <c r="K301" s="10">
        <f t="shared" si="109"/>
        <v>-0.22631498323318111</v>
      </c>
      <c r="L301" s="8">
        <f>IF(WEEKDAY($A301)=1,_xll.BDH(L$2,"PX_LAST",$A301-2,$A301-2),IF(WEEKDAY($A301)=7,_xll.BDH(L$2,"PX_LAST",$A301-1,$A301-1),_xll.BDH(L$2,"PX_LAST",$A301,$A301)))</f>
        <v>1.635</v>
      </c>
      <c r="M301" s="11">
        <f t="shared" si="193"/>
        <v>1.4143067630351274</v>
      </c>
      <c r="N301" s="9">
        <f t="shared" si="194"/>
        <v>1.4143067630351274</v>
      </c>
    </row>
    <row r="302" spans="1:40">
      <c r="A302" s="7">
        <v>46053</v>
      </c>
      <c r="B302" s="8">
        <f>_xll.BDH(B$2,"PX_LAST",$A302,$A302)</f>
        <v>101.0072</v>
      </c>
      <c r="C302" s="8">
        <f t="shared" si="189"/>
        <v>0.83927628951222877</v>
      </c>
      <c r="D302" s="9">
        <f t="shared" si="190"/>
        <v>0.23981907237805719</v>
      </c>
      <c r="E302" s="11">
        <f>_xll.BDH(E$2,"PX_LAST",$A302,$A302)</f>
        <v>52.6</v>
      </c>
      <c r="F302" s="10">
        <f t="shared" si="153"/>
        <v>-0.40726314275851949</v>
      </c>
      <c r="G302" s="8">
        <f>_xll.BDH(G$2,"PX_LAST",$A302-11,$A302-11)</f>
        <v>-0.12759999999999999</v>
      </c>
      <c r="H302" s="9">
        <f t="shared" si="191"/>
        <v>-0.26822899000902151</v>
      </c>
      <c r="I302" s="10">
        <f t="shared" si="192"/>
        <v>-6.8228990009021495E-2</v>
      </c>
      <c r="J302" s="11">
        <f>_xll.BDH(J$2,"PX_LAST",$A302,$A302)</f>
        <v>-0.04</v>
      </c>
      <c r="K302" s="10">
        <f t="shared" si="109"/>
        <v>-0.17321521301172449</v>
      </c>
      <c r="L302" s="8">
        <f>IF(WEEKDAY($A302)=1,_xll.BDH(L$2,"PX_LAST",$A302-2,$A302-2),IF(WEEKDAY($A302)=7,_xll.BDH(L$2,"PX_LAST",$A302-1,$A302-1),_xll.BDH(L$2,"PX_LAST",$A302,$A302)))</f>
        <v>1.526</v>
      </c>
      <c r="M302" s="11">
        <f t="shared" si="193"/>
        <v>1.4461393355701162</v>
      </c>
      <c r="N302" s="9">
        <f t="shared" si="194"/>
        <v>1.4461393355701162</v>
      </c>
    </row>
    <row r="303" spans="1:40">
      <c r="A303" s="7">
        <v>46081</v>
      </c>
      <c r="B303" s="8">
        <f>_xll.BDH(B$2,"PX_LAST",$A303,$A303)</f>
        <v>100.9567</v>
      </c>
      <c r="C303" s="8">
        <f t="shared" si="189"/>
        <v>0.87274204700124303</v>
      </c>
      <c r="D303" s="9">
        <f t="shared" si="190"/>
        <v>0.24818551175031076</v>
      </c>
      <c r="E303" s="11">
        <f>_xll.BDH(E$2,"PX_LAST",$A303,$A303)</f>
        <v>52.4</v>
      </c>
      <c r="F303" s="10">
        <f t="shared" si="153"/>
        <v>0.39280685292765827</v>
      </c>
      <c r="G303" s="8">
        <f>_xll.BDH(G$2,"PX_LAST",$A303-11,$A303-11)</f>
        <v>-2.1700000000000001E-2</v>
      </c>
      <c r="H303" s="9">
        <f t="shared" si="191"/>
        <v>-0.19796822785645038</v>
      </c>
      <c r="I303" s="10">
        <f t="shared" si="192"/>
        <v>2.0317721435496316E-3</v>
      </c>
      <c r="J303" s="11">
        <f>_xll.BDH(J$2,"PX_LAST",$A303,$A303)</f>
        <v>0.2</v>
      </c>
      <c r="K303" s="10">
        <f t="shared" si="109"/>
        <v>-6.6848877303383E-2</v>
      </c>
      <c r="L303" s="8">
        <f>IF(WEEKDAY($A303)=1,_xll.BDH(L$2,"PX_LAST",$A303-2,$A303-2),IF(WEEKDAY($A303)=7,_xll.BDH(L$2,"PX_LAST",$A303-1,$A303-1),_xll.BDH(L$2,"PX_LAST",$A303,$A303)))</f>
        <v>1.5189999999999999</v>
      </c>
      <c r="M303" s="11">
        <f t="shared" si="193"/>
        <v>1.466904624932633</v>
      </c>
      <c r="N303" s="9">
        <f t="shared" si="194"/>
        <v>1.466904624932633</v>
      </c>
    </row>
    <row r="304" spans="1:40">
      <c r="A304" s="7">
        <v>46112</v>
      </c>
      <c r="B304" s="8">
        <f>_xll.BDH(B$2,"PX_LAST",$A304,$A304)</f>
        <v>100.864</v>
      </c>
      <c r="C304" s="8">
        <f t="shared" si="189"/>
        <v>0.87025056360588993</v>
      </c>
      <c r="D304" s="9">
        <f t="shared" si="190"/>
        <v>0.24756264090147248</v>
      </c>
      <c r="E304" s="11">
        <f>_xll.BDH(E$2,"PX_LAST",$A304,$A304)</f>
        <v>52.7</v>
      </c>
      <c r="F304" s="10">
        <f t="shared" si="153"/>
        <v>1.0503568998432766</v>
      </c>
      <c r="G304" s="8">
        <f>_xll.BDH(G$2,"PX_LAST",$A304-11,$A304-11)</f>
        <v>-0.27100000000000002</v>
      </c>
      <c r="H304" s="9">
        <f t="shared" si="191"/>
        <v>-0.21878228291736201</v>
      </c>
      <c r="I304" s="10">
        <f t="shared" si="192"/>
        <v>-1.8782282917362003E-2</v>
      </c>
      <c r="J304" s="11">
        <f>_xll.BDH(J$2,"PX_LAST",$A304,$A304)</f>
        <v>-0.19</v>
      </c>
      <c r="K304" s="10">
        <f t="shared" si="109"/>
        <v>-0.10194694727191884</v>
      </c>
      <c r="L304" s="8">
        <f>IF(WEEKDAY($A304)=1,_xll.BDH(L$2,"PX_LAST",$A304-2,$A304-2),IF(WEEKDAY($A304)=7,_xll.BDH(L$2,"PX_LAST",$A304-1,$A304-1),_xll.BDH(L$2,"PX_LAST",$A304,$A304)))</f>
        <v>1.1399999999999999</v>
      </c>
      <c r="M304" s="11">
        <f t="shared" si="193"/>
        <v>1.3737368068268325</v>
      </c>
      <c r="N304" s="9">
        <f t="shared" si="194"/>
        <v>1.3737368068268325</v>
      </c>
    </row>
    <row r="305" spans="1:14">
      <c r="A305" s="7">
        <v>46142</v>
      </c>
      <c r="B305" s="8">
        <f>_xll.BDH(B$2,"PX_LAST",$A305,$A305)</f>
        <v>100.75190000000001</v>
      </c>
      <c r="C305" s="8">
        <f t="shared" si="189"/>
        <v>0.83652065297821299</v>
      </c>
      <c r="D305" s="9">
        <f t="shared" si="190"/>
        <v>0.23913016324455325</v>
      </c>
      <c r="E305" s="11">
        <f>_xll.BDH(E$2,"PX_LAST",$A305,$A305)</f>
        <v>52.7</v>
      </c>
      <c r="F305" s="10">
        <f t="shared" si="153"/>
        <v>1.5205051833879435</v>
      </c>
      <c r="G305" s="8">
        <f>_xll.BDH(G$2,"PX_LAST",$A305-11,$A305-11)</f>
        <v>-0.14410000000000001</v>
      </c>
      <c r="H305" s="9">
        <f t="shared" si="191"/>
        <v>-0.19749783228591383</v>
      </c>
      <c r="I305" s="10">
        <f t="shared" si="192"/>
        <v>2.5021677140861787E-3</v>
      </c>
      <c r="J305" s="11">
        <f>_xll.BDH(J$2,"PX_LAST",$A305,$A305)</f>
        <v>0.19</v>
      </c>
      <c r="K305" s="10">
        <f t="shared" si="109"/>
        <v>-1.8742067299421961E-2</v>
      </c>
      <c r="L305" s="8">
        <f>IF(WEEKDAY($A305)=1,_xll.BDH(L$2,"PX_LAST",$A305-2,$A305-2),IF(WEEKDAY($A305)=7,_xll.BDH(L$2,"PX_LAST",$A305-1,$A305-1),_xll.BDH(L$2,"PX_LAST",$A305,$A305)))</f>
        <v>1.048</v>
      </c>
      <c r="M305" s="11">
        <f t="shared" si="193"/>
        <v>1.2809018168811854</v>
      </c>
      <c r="N305" s="9">
        <f t="shared" si="194"/>
        <v>1.2809018168811854</v>
      </c>
    </row>
    <row r="306" spans="1:14">
      <c r="A306" s="7">
        <v>46173</v>
      </c>
      <c r="B306" s="8">
        <f>_xll.BDH(B$2,"PX_LAST",$A306,$A306)</f>
        <v>100.6476</v>
      </c>
      <c r="C306" s="8">
        <f t="shared" si="189"/>
        <v>0.78267826687942144</v>
      </c>
      <c r="D306" s="9">
        <f t="shared" si="190"/>
        <v>0.22566956671985536</v>
      </c>
      <c r="E306" s="11">
        <f>_xll.BDH(E$2,"PX_LAST",$A306,$A306)</f>
        <v>54</v>
      </c>
      <c r="F306" s="10">
        <f t="shared" si="153"/>
        <v>2.2271612061223798</v>
      </c>
      <c r="G306" s="8">
        <f>_xll.BDH(G$2,"PX_LAST",$A306-11,$A306-11)</f>
        <v>-3.5799999999999998E-2</v>
      </c>
      <c r="H306" s="9">
        <f t="shared" si="191"/>
        <v>-0.15141395008442837</v>
      </c>
      <c r="I306" s="10">
        <f t="shared" si="192"/>
        <v>4.8586049915571639E-2</v>
      </c>
      <c r="J306" s="11">
        <f>_xll.BDH(J$2,"PX_LAST",$A306,$A306)</f>
        <v>-0.1</v>
      </c>
      <c r="K306" s="10">
        <f t="shared" si="109"/>
        <v>-4.1900578119086707E-2</v>
      </c>
      <c r="L306" s="8">
        <f>IF(WEEKDAY($A306)=1,_xll.BDH(L$2,"PX_LAST",$A306-2,$A306-2),IF(WEEKDAY($A306)=7,_xll.BDH(L$2,"PX_LAST",$A306-1,$A306-1),_xll.BDH(L$2,"PX_LAST",$A306,$A306)))</f>
        <v>1.3380000000000001</v>
      </c>
      <c r="M306" s="11">
        <f t="shared" si="193"/>
        <v>1.2971747990700475</v>
      </c>
      <c r="N306" s="9">
        <f t="shared" si="194"/>
        <v>1.2971747990700475</v>
      </c>
    </row>
    <row r="307" spans="1:14">
      <c r="A307" s="7"/>
      <c r="B307" s="8"/>
      <c r="C307" s="8"/>
      <c r="D307" s="9"/>
      <c r="G307" s="8"/>
      <c r="H307" s="9"/>
      <c r="I307" s="10"/>
      <c r="L307" s="8"/>
      <c r="M307" s="11"/>
      <c r="N307" s="9"/>
    </row>
    <row r="308" spans="1:14">
      <c r="A308" s="7"/>
      <c r="B308" s="8"/>
      <c r="C308" s="8"/>
      <c r="D308" s="9"/>
      <c r="G308" s="8"/>
      <c r="H308" s="9"/>
      <c r="I308" s="10"/>
      <c r="L308" s="8"/>
      <c r="M308" s="11"/>
      <c r="N308" s="9"/>
    </row>
  </sheetData>
  <mergeCells count="12">
    <mergeCell ref="AC4:AF4"/>
    <mergeCell ref="AL4:AN4"/>
    <mergeCell ref="B1:D1"/>
    <mergeCell ref="E1:F1"/>
    <mergeCell ref="G1:I1"/>
    <mergeCell ref="J1:K1"/>
    <mergeCell ref="L1:N1"/>
    <mergeCell ref="B2:D2"/>
    <mergeCell ref="G2:I2"/>
    <mergeCell ref="L2:N2"/>
    <mergeCell ref="P3:R3"/>
    <mergeCell ref="P1:Q1"/>
  </mergeCells>
  <conditionalFormatting sqref="Z2:AF2">
    <cfRule type="containsText" dxfId="7" priority="1" operator="containsText" text="SD">
      <formula>NOT(ISERROR(SEARCH("SD",Z2)))</formula>
    </cfRule>
    <cfRule type="containsText" dxfId="6" priority="2" operator="containsText" text="E">
      <formula>NOT(ISERROR(SEARCH("E",Z2)))</formula>
    </cfRule>
    <cfRule type="containsText" dxfId="5" priority="3" operator="containsText" text="R">
      <formula>NOT(ISERROR(SEARCH("R",Z2)))</formula>
    </cfRule>
    <cfRule type="containsText" dxfId="4" priority="4" operator="containsText" text="C">
      <formula>NOT(ISERROR(SEARCH("C",Z2)))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A60FB-07FE-44BE-9CBE-19807E0D9E97}">
  <sheetPr codeName="Feuil2"/>
  <dimension ref="A1:BN443"/>
  <sheetViews>
    <sheetView zoomScale="85" zoomScaleNormal="85" workbookViewId="0">
      <pane xSplit="2" ySplit="4" topLeftCell="C434" activePane="bottomRight" state="frozen"/>
      <selection pane="topRight" activeCell="C1" sqref="C1"/>
      <selection pane="bottomLeft" activeCell="A5" sqref="A5"/>
      <selection pane="bottomRight" activeCell="K440" sqref="K440"/>
    </sheetView>
  </sheetViews>
  <sheetFormatPr defaultColWidth="10.90625" defaultRowHeight="14.5"/>
  <cols>
    <col min="1" max="1" width="12.81640625" style="1" customWidth="1"/>
    <col min="2" max="4" width="14.453125" customWidth="1"/>
    <col min="5" max="13" width="12.81640625" customWidth="1"/>
    <col min="14" max="14" width="4.26953125" customWidth="1"/>
    <col min="15" max="15" width="10.54296875" bestFit="1" customWidth="1"/>
    <col min="17" max="17" width="14.81640625" bestFit="1" customWidth="1"/>
    <col min="18" max="18" width="10.6328125" customWidth="1"/>
    <col min="19" max="19" width="10" customWidth="1"/>
    <col min="20" max="20" width="24.1796875" customWidth="1"/>
    <col min="21" max="21" width="10.54296875" bestFit="1" customWidth="1"/>
    <col min="22" max="22" width="10.6328125" bestFit="1" customWidth="1"/>
    <col min="25" max="25" width="17.26953125" bestFit="1" customWidth="1"/>
    <col min="27" max="27" width="18.6328125" customWidth="1"/>
    <col min="28" max="28" width="16.81640625" customWidth="1"/>
    <col min="30" max="30" width="10.6328125" customWidth="1"/>
    <col min="35" max="35" width="17.6328125" bestFit="1" customWidth="1"/>
    <col min="36" max="36" width="12.81640625" bestFit="1" customWidth="1"/>
    <col min="41" max="41" width="10.6328125" bestFit="1" customWidth="1"/>
  </cols>
  <sheetData>
    <row r="1" spans="1:66" ht="29">
      <c r="A1" s="21"/>
      <c r="B1" s="46" t="s">
        <v>29</v>
      </c>
      <c r="C1" s="47"/>
      <c r="D1" s="48"/>
      <c r="E1" s="49" t="s">
        <v>30</v>
      </c>
      <c r="F1" s="49"/>
      <c r="G1" s="49"/>
      <c r="H1" s="50" t="s">
        <v>2</v>
      </c>
      <c r="I1" s="51"/>
      <c r="J1" s="52"/>
      <c r="K1" s="49" t="s">
        <v>31</v>
      </c>
      <c r="L1" s="49"/>
      <c r="M1" s="49"/>
      <c r="N1" s="16"/>
      <c r="O1" s="44" t="s">
        <v>32</v>
      </c>
      <c r="P1" s="45"/>
      <c r="Q1" s="16"/>
      <c r="R1" s="16"/>
      <c r="S1" s="16"/>
      <c r="T1" s="16"/>
      <c r="U1" s="14" t="s">
        <v>24</v>
      </c>
      <c r="V1" s="15">
        <v>0.71499999999999997</v>
      </c>
      <c r="Y1" s="26">
        <f ca="1">TODAY()</f>
        <v>46199</v>
      </c>
      <c r="Z1" s="23" t="str">
        <f ca="1">TEXT(Z3,"mmm-aaaa")</f>
        <v>12月-星期五</v>
      </c>
      <c r="AA1" s="23" t="str">
        <f t="shared" ref="AA1:AF1" ca="1" si="0">TEXT(AA3,"mmm-aaaa")</f>
        <v>1月-星期一</v>
      </c>
      <c r="AB1" s="23" t="str">
        <f t="shared" ca="1" si="0"/>
        <v>2月-星期四</v>
      </c>
      <c r="AC1" s="23" t="str">
        <f t="shared" ca="1" si="0"/>
        <v>3月-星期四</v>
      </c>
      <c r="AD1" s="23" t="str">
        <f t="shared" ca="1" si="0"/>
        <v>4月-星期日</v>
      </c>
      <c r="AE1" s="23" t="str">
        <f t="shared" ca="1" si="0"/>
        <v>5月-星期二</v>
      </c>
      <c r="AF1" s="23" t="str">
        <f t="shared" ca="1" si="0"/>
        <v>6月-星期五</v>
      </c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35" t="s">
        <v>49</v>
      </c>
      <c r="BM1" s="35"/>
      <c r="BN1" s="35"/>
    </row>
    <row r="2" spans="1:66" ht="18.5">
      <c r="A2" s="7"/>
      <c r="B2" s="40" t="s">
        <v>33</v>
      </c>
      <c r="C2" s="40"/>
      <c r="D2" s="40"/>
      <c r="E2" s="40" t="s">
        <v>34</v>
      </c>
      <c r="F2" s="40"/>
      <c r="G2" s="40"/>
      <c r="H2" s="40" t="s">
        <v>7</v>
      </c>
      <c r="I2" s="40"/>
      <c r="J2" s="40"/>
      <c r="K2" s="40" t="s">
        <v>31</v>
      </c>
      <c r="L2" s="40"/>
      <c r="M2" s="40"/>
      <c r="O2" s="15" t="s">
        <v>21</v>
      </c>
      <c r="P2" s="15" t="s">
        <v>22</v>
      </c>
      <c r="Q2" t="s">
        <v>51</v>
      </c>
      <c r="S2" t="s">
        <v>53</v>
      </c>
      <c r="U2" t="s">
        <v>52</v>
      </c>
      <c r="V2">
        <v>0.05</v>
      </c>
      <c r="Y2" s="25" t="s">
        <v>46</v>
      </c>
      <c r="Z2" s="19">
        <f t="shared" ref="Z2:AE2" ca="1" si="1">VLOOKUP(Z$3,$A:$S,19,1)</f>
        <v>0</v>
      </c>
      <c r="AA2" s="19">
        <f t="shared" ca="1" si="1"/>
        <v>0</v>
      </c>
      <c r="AB2" s="19">
        <f t="shared" ca="1" si="1"/>
        <v>0</v>
      </c>
      <c r="AC2" s="19">
        <f t="shared" ca="1" si="1"/>
        <v>0</v>
      </c>
      <c r="AD2" s="19">
        <f t="shared" ca="1" si="1"/>
        <v>0</v>
      </c>
      <c r="AE2" s="19">
        <f t="shared" ca="1" si="1"/>
        <v>0</v>
      </c>
      <c r="AF2" s="19">
        <f ca="1">VLOOKUP(AF$3,$A:$S,19,1)</f>
        <v>0</v>
      </c>
      <c r="AI2" t="s">
        <v>55</v>
      </c>
      <c r="AJ2" s="34">
        <v>0.1</v>
      </c>
    </row>
    <row r="3" spans="1:66" ht="29">
      <c r="A3" s="3" t="s">
        <v>9</v>
      </c>
      <c r="B3" s="3" t="s">
        <v>35</v>
      </c>
      <c r="C3" s="3" t="s">
        <v>36</v>
      </c>
      <c r="D3" s="4" t="s">
        <v>37</v>
      </c>
      <c r="E3" s="3" t="s">
        <v>38</v>
      </c>
      <c r="F3" s="3" t="s">
        <v>39</v>
      </c>
      <c r="G3" s="4" t="s">
        <v>40</v>
      </c>
      <c r="H3" s="3" t="s">
        <v>41</v>
      </c>
      <c r="I3" s="3" t="s">
        <v>14</v>
      </c>
      <c r="J3" s="4" t="s">
        <v>15</v>
      </c>
      <c r="K3" s="5" t="s">
        <v>31</v>
      </c>
      <c r="L3" s="5" t="s">
        <v>42</v>
      </c>
      <c r="M3" s="6" t="s">
        <v>42</v>
      </c>
      <c r="Z3" s="17">
        <f ca="1">EDATE($Y$1,-6)</f>
        <v>46017</v>
      </c>
      <c r="AA3" s="17">
        <f ca="1">EDATE($Y$1,-5)</f>
        <v>46048</v>
      </c>
      <c r="AB3" s="17">
        <f ca="1">EDATE($Y$1,-4)</f>
        <v>46079</v>
      </c>
      <c r="AC3" s="17">
        <f ca="1">EDATE($Y$1,-3)</f>
        <v>46107</v>
      </c>
      <c r="AD3" s="17">
        <f ca="1">EDATE($Y$1,-2)</f>
        <v>46138</v>
      </c>
      <c r="AE3" s="17">
        <f ca="1">EDATE($Y$1,-1)</f>
        <v>46168</v>
      </c>
      <c r="AF3" s="17">
        <f ca="1">EDATE($Y$1,0)</f>
        <v>46199</v>
      </c>
      <c r="BM3" t="s">
        <v>50</v>
      </c>
      <c r="BN3" t="s">
        <v>48</v>
      </c>
    </row>
    <row r="4" spans="1:66">
      <c r="A4" s="7">
        <v>32932</v>
      </c>
      <c r="B4" s="8">
        <v>1.6142E-2</v>
      </c>
      <c r="C4" s="8">
        <f>B4</f>
        <v>1.6142E-2</v>
      </c>
      <c r="D4" s="9">
        <f t="shared" ref="D4:D67" si="2">C4/0.2</f>
        <v>8.070999999999999E-2</v>
      </c>
      <c r="E4" s="8">
        <v>-1.5</v>
      </c>
      <c r="F4" s="8">
        <f>E4</f>
        <v>-1.5</v>
      </c>
      <c r="G4" s="9">
        <f t="shared" ref="G4:G67" si="3">F4/11</f>
        <v>-0.13636363636363635</v>
      </c>
      <c r="H4" s="8">
        <v>0.62260000000000004</v>
      </c>
      <c r="I4" s="8">
        <f>H4</f>
        <v>0.62260000000000004</v>
      </c>
      <c r="J4" s="9">
        <f>MAX(IF(I4&lt;-1,-1*SQRT(-I4),IF(I4&gt;1,SQRT(I4),I4)),-2)+0.2</f>
        <v>0.8226</v>
      </c>
      <c r="K4" s="8">
        <v>0.60299999999999998</v>
      </c>
      <c r="L4" s="8">
        <f>K4</f>
        <v>0.60299999999999998</v>
      </c>
      <c r="M4" s="9">
        <f t="shared" ref="M4:M67" si="4">IF(L4&lt;-1,-(-L4^(0.5)),IF(L4&lt;0,0.5*L4,L4))*1+0*IF(L4&gt;0,L4*6,L4)/6</f>
        <v>0.60299999999999998</v>
      </c>
      <c r="W4" s="1" t="s">
        <v>26</v>
      </c>
      <c r="X4" s="1" t="s">
        <v>23</v>
      </c>
      <c r="Y4" s="1" t="s">
        <v>27</v>
      </c>
      <c r="Z4" s="1" t="s">
        <v>28</v>
      </c>
      <c r="AA4" s="1" t="s">
        <v>43</v>
      </c>
      <c r="AB4" s="1" t="s">
        <v>44</v>
      </c>
      <c r="AE4" s="1" t="s">
        <v>26</v>
      </c>
      <c r="AF4" s="1" t="s">
        <v>23</v>
      </c>
      <c r="AG4" s="1" t="s">
        <v>27</v>
      </c>
      <c r="AH4" s="1" t="s">
        <v>28</v>
      </c>
      <c r="AK4" s="1"/>
      <c r="AL4" s="1"/>
      <c r="AM4" s="1"/>
      <c r="AN4" s="1"/>
      <c r="AO4" s="35" t="s">
        <v>49</v>
      </c>
      <c r="AP4" s="35"/>
      <c r="AQ4" s="35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7" t="e">
        <f t="shared" ref="BL4" si="5">#REF!</f>
        <v>#REF!</v>
      </c>
      <c r="BM4">
        <f>IF($Q4="E",4,IF($Q4="R",2,IF($Q4="SD",3,1)))</f>
        <v>1</v>
      </c>
      <c r="BN4">
        <f>IF($U4="E",4,IF($U4="R",2,IF($U4="SD",3,1)))</f>
        <v>1</v>
      </c>
    </row>
    <row r="5" spans="1:66">
      <c r="A5" s="7">
        <v>32963</v>
      </c>
      <c r="B5" s="8">
        <v>-1.0549999999999999E-3</v>
      </c>
      <c r="C5" s="8">
        <f t="shared" ref="C5:C68" si="6">C4*$V$1+(1-$V$1)*B5</f>
        <v>1.1240854999999999E-2</v>
      </c>
      <c r="D5" s="9">
        <f t="shared" si="2"/>
        <v>5.6204274999999991E-2</v>
      </c>
      <c r="E5" s="8">
        <v>-0.9</v>
      </c>
      <c r="F5" s="8">
        <f t="shared" ref="F5:F68" si="7">F4*$V$1+(1-$V$1)*E5</f>
        <v>-1.3290000000000002</v>
      </c>
      <c r="G5" s="9">
        <f t="shared" si="3"/>
        <v>-0.12081818181818184</v>
      </c>
      <c r="H5" s="8">
        <v>0.14399999999999999</v>
      </c>
      <c r="I5" s="8">
        <f t="shared" ref="I5:I68" si="8">I4*$V$1+(1-$V$1)*H5</f>
        <v>0.48619900000000005</v>
      </c>
      <c r="J5" s="9">
        <f t="shared" ref="J5:J68" si="9">MAX(IF(I5&lt;-1,-1*SQRT(-I5),IF(I5&gt;1,SQRT(I5),I5)),-2)+0.2</f>
        <v>0.686199</v>
      </c>
      <c r="K5" s="8">
        <v>0.71899999999999997</v>
      </c>
      <c r="L5" s="8">
        <f t="shared" ref="L5:L68" si="10">L4*$V$1+(1-$V$1)*K5</f>
        <v>0.63605999999999996</v>
      </c>
      <c r="M5" s="9">
        <f t="shared" si="4"/>
        <v>0.63605999999999996</v>
      </c>
      <c r="O5" s="11">
        <f t="shared" ref="O5:O68" si="11">0.3*M5+0.3*J5+0.3*G4+0.1*D5</f>
        <v>0.36138903659090915</v>
      </c>
      <c r="T5">
        <v>0</v>
      </c>
      <c r="V5" s="17">
        <f t="shared" ref="V5:V68" si="12">A5</f>
        <v>32963</v>
      </c>
      <c r="W5" s="1" t="e">
        <f t="shared" ref="W5:W68" si="13">IF(OR($P5=W$4,$P6=W$4),$O5,NA())</f>
        <v>#N/A</v>
      </c>
      <c r="X5" s="1">
        <f t="shared" ref="X5:X68" si="14">IF(OR($P5=X$4,$P6=X$4),$O5,NA())</f>
        <v>0.36138903659090915</v>
      </c>
      <c r="Y5" s="1" t="e">
        <f t="shared" ref="Y5:Y68" si="15">IF(OR($P5=Y$4,$P6=Y$4),$O5,NA())</f>
        <v>#N/A</v>
      </c>
      <c r="Z5" s="1" t="e">
        <f t="shared" ref="Z5:Z68" si="16">IF(OR($P5=Z$4,$P6=Z$4),$O5,NA())</f>
        <v>#N/A</v>
      </c>
      <c r="AA5">
        <v>0</v>
      </c>
      <c r="AB5" s="1" t="s">
        <v>19</v>
      </c>
      <c r="AD5" s="17">
        <f>A5</f>
        <v>32963</v>
      </c>
      <c r="AE5" s="1" t="e">
        <f>IF(OR($S5=AE$4,$S6=AE$4),$O5,NA())</f>
        <v>#N/A</v>
      </c>
      <c r="AF5" s="1">
        <f>IF(OR($S5=AF$4,$S6=AF$4),$O5,NA())</f>
        <v>0.36138903659090915</v>
      </c>
      <c r="AG5" s="1" t="e">
        <f>IF(OR($S5=AG$4,$S6=AG$4),$O5,NA())</f>
        <v>#N/A</v>
      </c>
      <c r="AH5" s="1" t="e">
        <f>IF(OR($S5=AH$4,$S6=AH$4),$O5,NA())</f>
        <v>#N/A</v>
      </c>
      <c r="AK5" s="1"/>
      <c r="AL5" s="1"/>
      <c r="AM5" s="1"/>
      <c r="AN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7" t="e">
        <f t="shared" ref="BL5" si="17">#REF!</f>
        <v>#REF!</v>
      </c>
      <c r="BM5">
        <f t="shared" ref="BM5:BM68" si="18">IF($Q5="E",4,IF($Q5="R",2,IF($Q5="SD",3,1)))</f>
        <v>1</v>
      </c>
      <c r="BN5">
        <f t="shared" ref="BN5:BN68" si="19">IF($U5="E",4,IF($U5="R",2,IF($U5="SD",3,1)))</f>
        <v>1</v>
      </c>
    </row>
    <row r="6" spans="1:66">
      <c r="A6" s="7">
        <v>32993</v>
      </c>
      <c r="B6" s="8">
        <v>4.7889000000000001E-2</v>
      </c>
      <c r="C6" s="8">
        <f t="shared" si="6"/>
        <v>2.1685576325000004E-2</v>
      </c>
      <c r="D6" s="9">
        <f t="shared" si="2"/>
        <v>0.10842788162500001</v>
      </c>
      <c r="E6" s="8">
        <v>-1.5</v>
      </c>
      <c r="F6" s="8">
        <f t="shared" si="7"/>
        <v>-1.3777350000000002</v>
      </c>
      <c r="G6" s="9">
        <f t="shared" si="3"/>
        <v>-0.12524863636363637</v>
      </c>
      <c r="H6" s="8">
        <v>-0.50329999999999997</v>
      </c>
      <c r="I6" s="8">
        <f t="shared" si="8"/>
        <v>0.20419178500000004</v>
      </c>
      <c r="J6" s="9">
        <f t="shared" si="9"/>
        <v>0.40419178500000008</v>
      </c>
      <c r="K6" s="8">
        <v>0.53700000000000003</v>
      </c>
      <c r="L6" s="8">
        <f t="shared" si="10"/>
        <v>0.60782789999999998</v>
      </c>
      <c r="M6" s="9">
        <f t="shared" si="4"/>
        <v>0.60782789999999998</v>
      </c>
      <c r="O6" s="11">
        <f t="shared" si="11"/>
        <v>0.27820323911704542</v>
      </c>
      <c r="P6" s="15" t="str">
        <f t="shared" ref="P6:P69" si="20">IF(O6-O5&gt;0,IF(O6&gt;=0,"E","R"),IF(O6&gt;=0,"SD","C"))</f>
        <v>SD</v>
      </c>
      <c r="Q6" t="s">
        <v>23</v>
      </c>
      <c r="R6" s="18">
        <f t="shared" ref="R6:R69" si="21">IF(Q6&lt;&gt;P5,O6,R5)</f>
        <v>0.27820323911704542</v>
      </c>
      <c r="S6" t="str">
        <f>IF(OR(ABS($R6-$R5)&gt;$V$2,R6*R5&lt;0),P6,S5)</f>
        <v>SD</v>
      </c>
      <c r="T6">
        <v>0</v>
      </c>
      <c r="V6" s="17">
        <f t="shared" si="12"/>
        <v>32993</v>
      </c>
      <c r="W6" s="1" t="e">
        <f t="shared" si="13"/>
        <v>#N/A</v>
      </c>
      <c r="X6" s="1">
        <f t="shared" si="14"/>
        <v>0.27820323911704542</v>
      </c>
      <c r="Y6" s="1" t="e">
        <f t="shared" si="15"/>
        <v>#N/A</v>
      </c>
      <c r="Z6" s="1" t="e">
        <f t="shared" si="16"/>
        <v>#N/A</v>
      </c>
      <c r="AA6">
        <v>0</v>
      </c>
      <c r="AB6" s="1" t="s">
        <v>19</v>
      </c>
      <c r="AD6" s="17">
        <f t="shared" ref="AD6:AD69" si="22">A6</f>
        <v>32993</v>
      </c>
      <c r="AE6" s="1" t="e">
        <f t="shared" ref="AE6:AE69" si="23">IF(OR($S6=AE$4,$S7=AE$4),$O6,NA())</f>
        <v>#N/A</v>
      </c>
      <c r="AF6" s="1">
        <f t="shared" ref="AF6:AF69" si="24">IF(OR($S6=AF$4,$S7=AF$4),$O6,NA())</f>
        <v>0.27820323911704542</v>
      </c>
      <c r="AG6" s="1" t="e">
        <f t="shared" ref="AG6:AG69" si="25">IF(OR($S6=AG$4,$S7=AG$4),$O6,NA())</f>
        <v>#N/A</v>
      </c>
      <c r="AH6" s="1" t="e">
        <f t="shared" ref="AH6:AH69" si="26">IF(OR($S6=AH$4,$S7=AH$4),$O6,NA())</f>
        <v>#N/A</v>
      </c>
      <c r="AK6" s="1"/>
      <c r="AL6" s="1"/>
      <c r="AM6" s="1"/>
      <c r="AN6" s="1"/>
      <c r="AP6" t="s">
        <v>50</v>
      </c>
      <c r="AQ6" t="s">
        <v>48</v>
      </c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7" t="e">
        <f t="shared" ref="BL6" si="27">#REF!</f>
        <v>#REF!</v>
      </c>
      <c r="BM6">
        <f t="shared" si="18"/>
        <v>3</v>
      </c>
      <c r="BN6">
        <f t="shared" si="19"/>
        <v>1</v>
      </c>
    </row>
    <row r="7" spans="1:66">
      <c r="A7" s="7">
        <v>33024</v>
      </c>
      <c r="B7" s="8">
        <v>-6.5614000000000006E-2</v>
      </c>
      <c r="C7" s="8">
        <f t="shared" si="6"/>
        <v>-3.1948029276250012E-3</v>
      </c>
      <c r="D7" s="9">
        <f t="shared" si="2"/>
        <v>-1.5974014638125006E-2</v>
      </c>
      <c r="E7" s="8">
        <v>-1.2</v>
      </c>
      <c r="F7" s="8">
        <f t="shared" si="7"/>
        <v>-1.3270805250000002</v>
      </c>
      <c r="G7" s="9">
        <f t="shared" si="3"/>
        <v>-0.1206436840909091</v>
      </c>
      <c r="H7" s="8">
        <v>-7.5700000000000003E-2</v>
      </c>
      <c r="I7" s="8">
        <f t="shared" si="8"/>
        <v>0.12442262627500003</v>
      </c>
      <c r="J7" s="9">
        <f t="shared" si="9"/>
        <v>0.32442262627500007</v>
      </c>
      <c r="K7" s="8">
        <v>1.048</v>
      </c>
      <c r="L7" s="8">
        <f t="shared" si="10"/>
        <v>0.73327694850000003</v>
      </c>
      <c r="M7" s="9">
        <f t="shared" si="4"/>
        <v>0.73327694850000003</v>
      </c>
      <c r="O7" s="11">
        <f t="shared" si="11"/>
        <v>0.27813788005959661</v>
      </c>
      <c r="P7" s="15" t="str">
        <f t="shared" si="20"/>
        <v>SD</v>
      </c>
      <c r="Q7" t="str">
        <f>IF(OR(ABS($O7-$O6)&gt;$V$2,O7*O6&lt;0),P7,Q6)</f>
        <v>SD</v>
      </c>
      <c r="R7" s="18">
        <f t="shared" si="21"/>
        <v>0.27820323911704542</v>
      </c>
      <c r="S7" t="str">
        <f t="shared" ref="S7:S18" si="28">IF(OR(ABS($R7-$R6)&gt;$V$2,R7*R6&lt;0),P7,S6)</f>
        <v>SD</v>
      </c>
      <c r="T7">
        <v>0</v>
      </c>
      <c r="V7" s="17">
        <f t="shared" si="12"/>
        <v>33024</v>
      </c>
      <c r="W7" s="1">
        <f t="shared" si="13"/>
        <v>0.27813788005959661</v>
      </c>
      <c r="X7" s="1">
        <f t="shared" si="14"/>
        <v>0.27813788005959661</v>
      </c>
      <c r="Y7" s="1" t="e">
        <f t="shared" si="15"/>
        <v>#N/A</v>
      </c>
      <c r="Z7" s="1" t="e">
        <f t="shared" si="16"/>
        <v>#N/A</v>
      </c>
      <c r="AA7">
        <v>0</v>
      </c>
      <c r="AB7" s="1" t="s">
        <v>19</v>
      </c>
      <c r="AD7" s="17">
        <f t="shared" si="22"/>
        <v>33024</v>
      </c>
      <c r="AE7" s="1" t="e">
        <f t="shared" si="23"/>
        <v>#N/A</v>
      </c>
      <c r="AF7" s="1">
        <f t="shared" si="24"/>
        <v>0.27813788005959661</v>
      </c>
      <c r="AG7" s="1" t="e">
        <f t="shared" si="25"/>
        <v>#N/A</v>
      </c>
      <c r="AH7" s="1" t="e">
        <f t="shared" si="26"/>
        <v>#N/A</v>
      </c>
      <c r="AK7" s="1"/>
      <c r="AL7" s="1"/>
      <c r="AM7" s="1"/>
      <c r="AN7" s="1"/>
      <c r="AO7" s="17">
        <f>A7</f>
        <v>33024</v>
      </c>
      <c r="AP7">
        <f>IF($P7="E",4,IF($P7="R",2,IF($P7="SD",3,1)))</f>
        <v>3</v>
      </c>
      <c r="AQ7">
        <f>IF($Q7="E",4,IF($Q7="R",2,IF($Q7="SD",3,1)))</f>
        <v>3</v>
      </c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7" t="e">
        <f t="shared" ref="BL7" si="29">#REF!</f>
        <v>#REF!</v>
      </c>
      <c r="BM7">
        <f t="shared" si="18"/>
        <v>3</v>
      </c>
      <c r="BN7">
        <f t="shared" si="19"/>
        <v>1</v>
      </c>
    </row>
    <row r="8" spans="1:66">
      <c r="A8" s="7">
        <v>33054</v>
      </c>
      <c r="B8" s="8">
        <v>6.0292999999999999E-2</v>
      </c>
      <c r="C8" s="8">
        <f t="shared" si="6"/>
        <v>1.4899220906748126E-2</v>
      </c>
      <c r="D8" s="9">
        <f t="shared" si="2"/>
        <v>7.4496104533740629E-2</v>
      </c>
      <c r="E8" s="8">
        <v>-1</v>
      </c>
      <c r="F8" s="8">
        <f t="shared" si="7"/>
        <v>-1.2338625753750001</v>
      </c>
      <c r="G8" s="9">
        <f t="shared" si="3"/>
        <v>-0.11216932503409092</v>
      </c>
      <c r="H8" s="8">
        <v>-0.24049999999999999</v>
      </c>
      <c r="I8" s="8">
        <f t="shared" si="8"/>
        <v>2.0419677786625012E-2</v>
      </c>
      <c r="J8" s="9">
        <f t="shared" si="9"/>
        <v>0.22041967778662502</v>
      </c>
      <c r="K8" s="8">
        <v>1.0109999999999999</v>
      </c>
      <c r="L8" s="8">
        <f t="shared" si="10"/>
        <v>0.81242801817749999</v>
      </c>
      <c r="M8" s="9">
        <f t="shared" si="4"/>
        <v>0.81242801817749999</v>
      </c>
      <c r="O8" s="11">
        <f t="shared" si="11"/>
        <v>0.28111081401533883</v>
      </c>
      <c r="P8" s="15" t="str">
        <f t="shared" si="20"/>
        <v>E</v>
      </c>
      <c r="Q8" t="str">
        <f t="shared" ref="Q8:Q71" si="30">IF(OR(ABS($O8-$O7)&gt;$V$2,O8*O7&lt;0),P8,Q7)</f>
        <v>SD</v>
      </c>
      <c r="R8" s="18">
        <f t="shared" si="21"/>
        <v>0.27820323911704542</v>
      </c>
      <c r="S8" t="str">
        <f t="shared" si="28"/>
        <v>SD</v>
      </c>
      <c r="T8">
        <v>0</v>
      </c>
      <c r="V8" s="17">
        <f t="shared" si="12"/>
        <v>33054</v>
      </c>
      <c r="W8" s="1">
        <f t="shared" si="13"/>
        <v>0.28111081401533883</v>
      </c>
      <c r="X8" s="1">
        <f t="shared" si="14"/>
        <v>0.28111081401533883</v>
      </c>
      <c r="Y8" s="1" t="e">
        <f t="shared" si="15"/>
        <v>#N/A</v>
      </c>
      <c r="Z8" s="1" t="e">
        <f t="shared" si="16"/>
        <v>#N/A</v>
      </c>
      <c r="AA8">
        <v>0</v>
      </c>
      <c r="AB8" s="1" t="s">
        <v>19</v>
      </c>
      <c r="AD8" s="17">
        <f t="shared" si="22"/>
        <v>33054</v>
      </c>
      <c r="AE8" s="1" t="e">
        <f t="shared" si="23"/>
        <v>#N/A</v>
      </c>
      <c r="AF8" s="1">
        <f t="shared" si="24"/>
        <v>0.28111081401533883</v>
      </c>
      <c r="AG8" s="1" t="e">
        <f t="shared" si="25"/>
        <v>#N/A</v>
      </c>
      <c r="AH8" s="1" t="e">
        <f t="shared" si="26"/>
        <v>#N/A</v>
      </c>
      <c r="AK8" s="1"/>
      <c r="AL8" s="1"/>
      <c r="AM8" s="1"/>
      <c r="AN8" s="1"/>
      <c r="AO8" s="17">
        <f t="shared" ref="AO8:AO71" si="31">A8</f>
        <v>33054</v>
      </c>
      <c r="AP8">
        <f t="shared" ref="AP8:AP71" si="32">IF($P8="E",4,IF($P8="R",2,IF($P8="SD",3,1)))</f>
        <v>4</v>
      </c>
      <c r="AQ8">
        <f t="shared" ref="AQ8:AQ71" si="33">IF($Q8="E",4,IF($Q8="R",2,IF($Q8="SD",3,1)))</f>
        <v>3</v>
      </c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7" t="e">
        <f t="shared" ref="BL8" si="34">#REF!</f>
        <v>#REF!</v>
      </c>
      <c r="BM8">
        <f t="shared" si="18"/>
        <v>3</v>
      </c>
      <c r="BN8">
        <f t="shared" si="19"/>
        <v>1</v>
      </c>
    </row>
    <row r="9" spans="1:66">
      <c r="A9" s="7">
        <v>33085</v>
      </c>
      <c r="B9" s="8">
        <v>-4.4109000000000002E-2</v>
      </c>
      <c r="C9" s="8">
        <f t="shared" si="6"/>
        <v>-1.9181220516750926E-3</v>
      </c>
      <c r="D9" s="9">
        <f t="shared" si="2"/>
        <v>-9.5906102583754628E-3</v>
      </c>
      <c r="E9" s="8">
        <v>-1.1000000000000001</v>
      </c>
      <c r="F9" s="8">
        <f t="shared" si="7"/>
        <v>-1.1957117413931251</v>
      </c>
      <c r="G9" s="9">
        <f t="shared" si="3"/>
        <v>-0.108701067399375</v>
      </c>
      <c r="H9" s="8">
        <v>-0.56679999999999997</v>
      </c>
      <c r="I9" s="8">
        <f t="shared" si="8"/>
        <v>-0.14693793038256314</v>
      </c>
      <c r="J9" s="9">
        <f t="shared" si="9"/>
        <v>5.3062069617436869E-2</v>
      </c>
      <c r="K9" s="8">
        <v>0.89300000000000002</v>
      </c>
      <c r="L9" s="8">
        <f t="shared" si="10"/>
        <v>0.83539103299691253</v>
      </c>
      <c r="M9" s="9">
        <f t="shared" si="4"/>
        <v>0.83539103299691253</v>
      </c>
      <c r="O9" s="11">
        <f t="shared" si="11"/>
        <v>0.23192607224824002</v>
      </c>
      <c r="P9" s="15" t="str">
        <f t="shared" si="20"/>
        <v>SD</v>
      </c>
      <c r="Q9" t="str">
        <f t="shared" si="30"/>
        <v>SD</v>
      </c>
      <c r="R9" s="18">
        <f t="shared" si="21"/>
        <v>0.23192607224824002</v>
      </c>
      <c r="S9" t="str">
        <f t="shared" si="28"/>
        <v>SD</v>
      </c>
      <c r="T9">
        <v>0</v>
      </c>
      <c r="V9" s="17">
        <f t="shared" si="12"/>
        <v>33085</v>
      </c>
      <c r="W9" s="1" t="e">
        <f t="shared" si="13"/>
        <v>#N/A</v>
      </c>
      <c r="X9" s="1">
        <f t="shared" si="14"/>
        <v>0.23192607224824002</v>
      </c>
      <c r="Y9" s="1" t="e">
        <f t="shared" si="15"/>
        <v>#N/A</v>
      </c>
      <c r="Z9" s="1" t="e">
        <f t="shared" si="16"/>
        <v>#N/A</v>
      </c>
      <c r="AA9">
        <v>0</v>
      </c>
      <c r="AB9" s="1" t="s">
        <v>19</v>
      </c>
      <c r="AD9" s="17">
        <f t="shared" si="22"/>
        <v>33085</v>
      </c>
      <c r="AE9" s="1" t="e">
        <f t="shared" si="23"/>
        <v>#N/A</v>
      </c>
      <c r="AF9" s="1">
        <f t="shared" si="24"/>
        <v>0.23192607224824002</v>
      </c>
      <c r="AG9" s="1" t="e">
        <f t="shared" si="25"/>
        <v>#N/A</v>
      </c>
      <c r="AH9" s="1" t="e">
        <f t="shared" si="26"/>
        <v>#N/A</v>
      </c>
      <c r="AK9" s="1"/>
      <c r="AL9" s="1"/>
      <c r="AM9" s="1"/>
      <c r="AN9" s="1"/>
      <c r="AO9" s="17">
        <f t="shared" si="31"/>
        <v>33085</v>
      </c>
      <c r="AP9">
        <f t="shared" si="32"/>
        <v>3</v>
      </c>
      <c r="AQ9">
        <f t="shared" si="33"/>
        <v>3</v>
      </c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7" t="e">
        <f t="shared" ref="BL9" si="35">#REF!</f>
        <v>#REF!</v>
      </c>
      <c r="BM9">
        <f t="shared" si="18"/>
        <v>3</v>
      </c>
      <c r="BN9">
        <f t="shared" si="19"/>
        <v>1</v>
      </c>
    </row>
    <row r="10" spans="1:66">
      <c r="A10" s="7">
        <v>33116</v>
      </c>
      <c r="B10" s="8">
        <v>-0.25739899999999999</v>
      </c>
      <c r="C10" s="8">
        <f t="shared" si="6"/>
        <v>-7.4730172266947698E-2</v>
      </c>
      <c r="D10" s="9">
        <f t="shared" si="2"/>
        <v>-0.37365086133473846</v>
      </c>
      <c r="E10" s="8">
        <v>-2.8</v>
      </c>
      <c r="F10" s="8">
        <f t="shared" si="7"/>
        <v>-1.6529338950960843</v>
      </c>
      <c r="G10" s="9">
        <f t="shared" si="3"/>
        <v>-0.15026671773600767</v>
      </c>
      <c r="H10" s="8">
        <v>-0.57350000000000001</v>
      </c>
      <c r="I10" s="8">
        <f t="shared" si="8"/>
        <v>-0.26850812022353265</v>
      </c>
      <c r="J10" s="9">
        <f t="shared" si="9"/>
        <v>-6.8508120223532643E-2</v>
      </c>
      <c r="K10" s="8">
        <v>-0.11799999999999999</v>
      </c>
      <c r="L10" s="8">
        <f t="shared" si="10"/>
        <v>0.5636745885927924</v>
      </c>
      <c r="M10" s="9">
        <f t="shared" si="4"/>
        <v>0.5636745885927924</v>
      </c>
      <c r="O10" s="11">
        <f t="shared" si="11"/>
        <v>7.8574534157491591E-2</v>
      </c>
      <c r="P10" s="15" t="str">
        <f>IF(O10-O9&gt;0,IF(O10&gt;=0,"E","R"),IF(O10&gt;=0,"SD","C"))</f>
        <v>SD</v>
      </c>
      <c r="Q10" t="str">
        <f t="shared" si="30"/>
        <v>SD</v>
      </c>
      <c r="R10" s="18">
        <f t="shared" si="21"/>
        <v>0.23192607224824002</v>
      </c>
      <c r="S10" t="str">
        <f t="shared" si="28"/>
        <v>SD</v>
      </c>
      <c r="T10">
        <v>0</v>
      </c>
      <c r="V10" s="17">
        <f t="shared" si="12"/>
        <v>33116</v>
      </c>
      <c r="W10" s="1" t="e">
        <f t="shared" si="13"/>
        <v>#N/A</v>
      </c>
      <c r="X10" s="1">
        <f t="shared" si="14"/>
        <v>7.8574534157491591E-2</v>
      </c>
      <c r="Y10" s="1">
        <f t="shared" si="15"/>
        <v>7.8574534157491591E-2</v>
      </c>
      <c r="Z10" s="1" t="e">
        <f t="shared" si="16"/>
        <v>#N/A</v>
      </c>
      <c r="AA10">
        <v>0</v>
      </c>
      <c r="AB10" s="1" t="s">
        <v>19</v>
      </c>
      <c r="AD10" s="17">
        <f t="shared" si="22"/>
        <v>33116</v>
      </c>
      <c r="AE10" s="1" t="e">
        <f t="shared" si="23"/>
        <v>#N/A</v>
      </c>
      <c r="AF10" s="1">
        <f t="shared" si="24"/>
        <v>7.8574534157491591E-2</v>
      </c>
      <c r="AG10" s="1">
        <f t="shared" si="25"/>
        <v>7.8574534157491591E-2</v>
      </c>
      <c r="AH10" s="1" t="e">
        <f t="shared" si="26"/>
        <v>#N/A</v>
      </c>
      <c r="AK10" s="1"/>
      <c r="AL10" s="1"/>
      <c r="AM10" s="1"/>
      <c r="AN10" s="1"/>
      <c r="AO10" s="17">
        <f t="shared" si="31"/>
        <v>33116</v>
      </c>
      <c r="AP10">
        <f t="shared" si="32"/>
        <v>3</v>
      </c>
      <c r="AQ10">
        <f t="shared" si="33"/>
        <v>3</v>
      </c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7" t="e">
        <f t="shared" ref="BL10" si="36">#REF!</f>
        <v>#REF!</v>
      </c>
      <c r="BM10">
        <f t="shared" si="18"/>
        <v>3</v>
      </c>
      <c r="BN10">
        <f t="shared" si="19"/>
        <v>1</v>
      </c>
    </row>
    <row r="11" spans="1:66">
      <c r="A11" s="7">
        <v>33146</v>
      </c>
      <c r="B11" s="8">
        <v>-0.259349</v>
      </c>
      <c r="C11" s="8">
        <f t="shared" si="6"/>
        <v>-0.12734653817086761</v>
      </c>
      <c r="D11" s="9">
        <f t="shared" si="2"/>
        <v>-0.63673269085433803</v>
      </c>
      <c r="E11" s="8">
        <v>-4.2</v>
      </c>
      <c r="F11" s="8">
        <f t="shared" si="7"/>
        <v>-2.3788477349937005</v>
      </c>
      <c r="G11" s="9">
        <f t="shared" si="3"/>
        <v>-0.21625888499942733</v>
      </c>
      <c r="H11" s="8">
        <v>-1.1214999999999999</v>
      </c>
      <c r="I11" s="8">
        <f t="shared" si="8"/>
        <v>-0.51161080595982589</v>
      </c>
      <c r="J11" s="9">
        <f t="shared" si="9"/>
        <v>-0.31161080595982588</v>
      </c>
      <c r="K11" s="8">
        <v>-1.044</v>
      </c>
      <c r="L11" s="8">
        <f t="shared" si="10"/>
        <v>0.10548733084384654</v>
      </c>
      <c r="M11" s="9">
        <f t="shared" si="4"/>
        <v>0.10548733084384654</v>
      </c>
      <c r="O11" s="11">
        <f t="shared" si="11"/>
        <v>-0.17059032694102988</v>
      </c>
      <c r="P11" s="15" t="str">
        <f t="shared" si="20"/>
        <v>C</v>
      </c>
      <c r="Q11" t="str">
        <f t="shared" si="30"/>
        <v>C</v>
      </c>
      <c r="R11" s="18">
        <f t="shared" si="21"/>
        <v>-0.17059032694102988</v>
      </c>
      <c r="S11" t="str">
        <f t="shared" si="28"/>
        <v>C</v>
      </c>
      <c r="T11">
        <v>0</v>
      </c>
      <c r="V11" s="17">
        <f t="shared" si="12"/>
        <v>33146</v>
      </c>
      <c r="W11" s="1" t="e">
        <f t="shared" si="13"/>
        <v>#N/A</v>
      </c>
      <c r="X11" s="1" t="e">
        <f t="shared" si="14"/>
        <v>#N/A</v>
      </c>
      <c r="Y11" s="1">
        <f t="shared" si="15"/>
        <v>-0.17059032694102988</v>
      </c>
      <c r="Z11" s="1" t="e">
        <f t="shared" si="16"/>
        <v>#N/A</v>
      </c>
      <c r="AA11">
        <v>0</v>
      </c>
      <c r="AB11" s="1" t="s">
        <v>19</v>
      </c>
      <c r="AD11" s="17">
        <f t="shared" si="22"/>
        <v>33146</v>
      </c>
      <c r="AE11" s="1" t="e">
        <f t="shared" si="23"/>
        <v>#N/A</v>
      </c>
      <c r="AF11" s="1" t="e">
        <f t="shared" si="24"/>
        <v>#N/A</v>
      </c>
      <c r="AG11" s="1">
        <f t="shared" si="25"/>
        <v>-0.17059032694102988</v>
      </c>
      <c r="AH11" s="1" t="e">
        <f t="shared" si="26"/>
        <v>#N/A</v>
      </c>
      <c r="AK11" s="1"/>
      <c r="AL11" s="1"/>
      <c r="AM11" s="1"/>
      <c r="AN11" s="1"/>
      <c r="AO11" s="17">
        <f t="shared" si="31"/>
        <v>33146</v>
      </c>
      <c r="AP11">
        <f t="shared" si="32"/>
        <v>1</v>
      </c>
      <c r="AQ11">
        <f t="shared" si="33"/>
        <v>1</v>
      </c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7" t="e">
        <f t="shared" ref="BL11" si="37">#REF!</f>
        <v>#REF!</v>
      </c>
      <c r="BM11">
        <f t="shared" si="18"/>
        <v>1</v>
      </c>
      <c r="BN11">
        <f t="shared" si="19"/>
        <v>1</v>
      </c>
    </row>
    <row r="12" spans="1:66">
      <c r="A12" s="7">
        <v>33177</v>
      </c>
      <c r="B12" s="8">
        <v>-0.206762</v>
      </c>
      <c r="C12" s="8">
        <f t="shared" si="6"/>
        <v>-0.14997994479217033</v>
      </c>
      <c r="D12" s="9">
        <f t="shared" si="2"/>
        <v>-0.74989972396085158</v>
      </c>
      <c r="E12" s="8">
        <v>-5.3</v>
      </c>
      <c r="F12" s="8">
        <f t="shared" si="7"/>
        <v>-3.2113761305204962</v>
      </c>
      <c r="G12" s="9">
        <f t="shared" si="3"/>
        <v>-0.29194328459277236</v>
      </c>
      <c r="H12" s="8">
        <v>-1.6587000000000001</v>
      </c>
      <c r="I12" s="8">
        <f t="shared" si="8"/>
        <v>-0.83853122626127563</v>
      </c>
      <c r="J12" s="9">
        <f t="shared" si="9"/>
        <v>-0.63853122626127568</v>
      </c>
      <c r="K12" s="8">
        <v>-0.89700000000000002</v>
      </c>
      <c r="L12" s="8">
        <f t="shared" si="10"/>
        <v>-0.18022155844664972</v>
      </c>
      <c r="M12" s="9">
        <f t="shared" si="4"/>
        <v>-9.0110779223324861E-2</v>
      </c>
      <c r="O12" s="11">
        <f t="shared" si="11"/>
        <v>-0.35846023954129352</v>
      </c>
      <c r="P12" s="15" t="str">
        <f t="shared" si="20"/>
        <v>C</v>
      </c>
      <c r="Q12" t="str">
        <f t="shared" si="30"/>
        <v>C</v>
      </c>
      <c r="R12" s="18">
        <f t="shared" si="21"/>
        <v>-0.17059032694102988</v>
      </c>
      <c r="S12" t="str">
        <f t="shared" si="28"/>
        <v>C</v>
      </c>
      <c r="T12">
        <v>0</v>
      </c>
      <c r="V12" s="17">
        <f t="shared" si="12"/>
        <v>33177</v>
      </c>
      <c r="W12" s="1" t="e">
        <f t="shared" si="13"/>
        <v>#N/A</v>
      </c>
      <c r="X12" s="1" t="e">
        <f t="shared" si="14"/>
        <v>#N/A</v>
      </c>
      <c r="Y12" s="1">
        <f t="shared" si="15"/>
        <v>-0.35846023954129352</v>
      </c>
      <c r="Z12" s="1" t="e">
        <f t="shared" si="16"/>
        <v>#N/A</v>
      </c>
      <c r="AA12">
        <v>0</v>
      </c>
      <c r="AB12" s="1" t="s">
        <v>19</v>
      </c>
      <c r="AD12" s="17">
        <f t="shared" si="22"/>
        <v>33177</v>
      </c>
      <c r="AE12" s="1" t="e">
        <f t="shared" si="23"/>
        <v>#N/A</v>
      </c>
      <c r="AF12" s="1" t="e">
        <f t="shared" si="24"/>
        <v>#N/A</v>
      </c>
      <c r="AG12" s="1">
        <f t="shared" si="25"/>
        <v>-0.35846023954129352</v>
      </c>
      <c r="AH12" s="1" t="e">
        <f t="shared" si="26"/>
        <v>#N/A</v>
      </c>
      <c r="AK12" s="1"/>
      <c r="AL12" s="1"/>
      <c r="AM12" s="1"/>
      <c r="AN12" s="1"/>
      <c r="AO12" s="17">
        <f t="shared" si="31"/>
        <v>33177</v>
      </c>
      <c r="AP12">
        <f t="shared" si="32"/>
        <v>1</v>
      </c>
      <c r="AQ12">
        <f t="shared" si="33"/>
        <v>1</v>
      </c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7" t="e">
        <f t="shared" ref="BL12" si="38">#REF!</f>
        <v>#REF!</v>
      </c>
      <c r="BM12">
        <f t="shared" si="18"/>
        <v>1</v>
      </c>
      <c r="BN12">
        <f t="shared" si="19"/>
        <v>1</v>
      </c>
    </row>
    <row r="13" spans="1:66">
      <c r="A13" s="7">
        <v>33207</v>
      </c>
      <c r="B13" s="8">
        <v>-0.24893100000000001</v>
      </c>
      <c r="C13" s="8">
        <f t="shared" si="6"/>
        <v>-0.17818099552640179</v>
      </c>
      <c r="D13" s="9">
        <f t="shared" si="2"/>
        <v>-0.89090497763200893</v>
      </c>
      <c r="E13" s="8">
        <v>-7.2</v>
      </c>
      <c r="F13" s="8">
        <f t="shared" si="7"/>
        <v>-4.3481339333221554</v>
      </c>
      <c r="G13" s="9">
        <f t="shared" si="3"/>
        <v>-0.39528490302928687</v>
      </c>
      <c r="H13" s="8">
        <v>-1.7883</v>
      </c>
      <c r="I13" s="8">
        <f t="shared" si="8"/>
        <v>-1.1092153267768121</v>
      </c>
      <c r="J13" s="9">
        <f t="shared" si="9"/>
        <v>-0.85319292001836589</v>
      </c>
      <c r="K13" s="8">
        <v>-0.97099999999999997</v>
      </c>
      <c r="L13" s="8">
        <f t="shared" si="10"/>
        <v>-0.40559341428935458</v>
      </c>
      <c r="M13" s="9">
        <f t="shared" si="4"/>
        <v>-0.20279670714467729</v>
      </c>
      <c r="O13" s="11">
        <f t="shared" si="11"/>
        <v>-0.49347037128994553</v>
      </c>
      <c r="P13" s="15" t="str">
        <f t="shared" si="20"/>
        <v>C</v>
      </c>
      <c r="Q13" t="str">
        <f t="shared" si="30"/>
        <v>C</v>
      </c>
      <c r="R13" s="18">
        <f t="shared" si="21"/>
        <v>-0.17059032694102988</v>
      </c>
      <c r="S13" t="str">
        <f t="shared" si="28"/>
        <v>C</v>
      </c>
      <c r="T13">
        <v>0</v>
      </c>
      <c r="V13" s="17">
        <f t="shared" si="12"/>
        <v>33207</v>
      </c>
      <c r="W13" s="1" t="e">
        <f t="shared" si="13"/>
        <v>#N/A</v>
      </c>
      <c r="X13" s="1" t="e">
        <f t="shared" si="14"/>
        <v>#N/A</v>
      </c>
      <c r="Y13" s="1">
        <f t="shared" si="15"/>
        <v>-0.49347037128994553</v>
      </c>
      <c r="Z13" s="1" t="e">
        <f t="shared" si="16"/>
        <v>#N/A</v>
      </c>
      <c r="AA13">
        <v>0</v>
      </c>
      <c r="AB13" s="1" t="s">
        <v>19</v>
      </c>
      <c r="AD13" s="17">
        <f t="shared" si="22"/>
        <v>33207</v>
      </c>
      <c r="AE13" s="1" t="e">
        <f t="shared" si="23"/>
        <v>#N/A</v>
      </c>
      <c r="AF13" s="1" t="e">
        <f t="shared" si="24"/>
        <v>#N/A</v>
      </c>
      <c r="AG13" s="1">
        <f t="shared" si="25"/>
        <v>-0.49347037128994553</v>
      </c>
      <c r="AH13" s="1" t="e">
        <f t="shared" si="26"/>
        <v>#N/A</v>
      </c>
      <c r="AK13" s="1"/>
      <c r="AL13" s="1"/>
      <c r="AM13" s="1"/>
      <c r="AN13" s="1"/>
      <c r="AO13" s="17">
        <f t="shared" si="31"/>
        <v>33207</v>
      </c>
      <c r="AP13">
        <f t="shared" si="32"/>
        <v>1</v>
      </c>
      <c r="AQ13">
        <f t="shared" si="33"/>
        <v>1</v>
      </c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7" t="e">
        <f t="shared" ref="BL13" si="39">#REF!</f>
        <v>#REF!</v>
      </c>
      <c r="BM13">
        <f t="shared" si="18"/>
        <v>1</v>
      </c>
      <c r="BN13">
        <f t="shared" si="19"/>
        <v>1</v>
      </c>
    </row>
    <row r="14" spans="1:66">
      <c r="A14" s="7">
        <v>33238</v>
      </c>
      <c r="B14" s="8">
        <v>-0.25201000000000001</v>
      </c>
      <c r="C14" s="8">
        <f t="shared" si="6"/>
        <v>-0.19922226180137731</v>
      </c>
      <c r="D14" s="9">
        <f t="shared" si="2"/>
        <v>-0.99611130900688649</v>
      </c>
      <c r="E14" s="8">
        <v>-8.3000000000000007</v>
      </c>
      <c r="F14" s="8">
        <f t="shared" si="7"/>
        <v>-5.4744157623253411</v>
      </c>
      <c r="G14" s="9">
        <f t="shared" si="3"/>
        <v>-0.49767416021139466</v>
      </c>
      <c r="H14" s="8">
        <v>-1.3737999999999999</v>
      </c>
      <c r="I14" s="8">
        <f t="shared" si="8"/>
        <v>-1.1846219586454207</v>
      </c>
      <c r="J14" s="9">
        <f t="shared" si="9"/>
        <v>-0.88840339885789632</v>
      </c>
      <c r="K14" s="8">
        <v>-1.181</v>
      </c>
      <c r="L14" s="8">
        <f t="shared" si="10"/>
        <v>-0.62658429121688863</v>
      </c>
      <c r="M14" s="9">
        <f t="shared" si="4"/>
        <v>-0.31329214560844432</v>
      </c>
      <c r="O14" s="11">
        <f t="shared" si="11"/>
        <v>-0.57870526514937692</v>
      </c>
      <c r="P14" s="15" t="str">
        <f t="shared" si="20"/>
        <v>C</v>
      </c>
      <c r="Q14" t="str">
        <f t="shared" si="30"/>
        <v>C</v>
      </c>
      <c r="R14" s="18">
        <f t="shared" si="21"/>
        <v>-0.17059032694102988</v>
      </c>
      <c r="S14" t="str">
        <f t="shared" si="28"/>
        <v>C</v>
      </c>
      <c r="T14">
        <v>0</v>
      </c>
      <c r="V14" s="17">
        <f t="shared" si="12"/>
        <v>33238</v>
      </c>
      <c r="W14" s="1" t="e">
        <f t="shared" si="13"/>
        <v>#N/A</v>
      </c>
      <c r="X14" s="1" t="e">
        <f t="shared" si="14"/>
        <v>#N/A</v>
      </c>
      <c r="Y14" s="1">
        <f t="shared" si="15"/>
        <v>-0.57870526514937692</v>
      </c>
      <c r="Z14" s="1" t="e">
        <f t="shared" si="16"/>
        <v>#N/A</v>
      </c>
      <c r="AA14">
        <v>0</v>
      </c>
      <c r="AB14" s="1" t="s">
        <v>19</v>
      </c>
      <c r="AD14" s="17">
        <f t="shared" si="22"/>
        <v>33238</v>
      </c>
      <c r="AE14" s="1" t="e">
        <f t="shared" si="23"/>
        <v>#N/A</v>
      </c>
      <c r="AF14" s="1" t="e">
        <f t="shared" si="24"/>
        <v>#N/A</v>
      </c>
      <c r="AG14" s="1">
        <f t="shared" si="25"/>
        <v>-0.57870526514937692</v>
      </c>
      <c r="AH14" s="1" t="e">
        <f t="shared" si="26"/>
        <v>#N/A</v>
      </c>
      <c r="AK14" s="1"/>
      <c r="AL14" s="1"/>
      <c r="AM14" s="1"/>
      <c r="AN14" s="1"/>
      <c r="AO14" s="17">
        <f t="shared" si="31"/>
        <v>33238</v>
      </c>
      <c r="AP14">
        <f t="shared" si="32"/>
        <v>1</v>
      </c>
      <c r="AQ14">
        <f t="shared" si="33"/>
        <v>1</v>
      </c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7" t="e">
        <f t="shared" ref="BL14" si="40">#REF!</f>
        <v>#REF!</v>
      </c>
      <c r="BM14">
        <f t="shared" si="18"/>
        <v>1</v>
      </c>
      <c r="BN14">
        <f t="shared" si="19"/>
        <v>1</v>
      </c>
    </row>
    <row r="15" spans="1:66">
      <c r="A15" s="7">
        <v>33269</v>
      </c>
      <c r="B15" s="8">
        <v>-0.33613399999999999</v>
      </c>
      <c r="C15" s="8">
        <f t="shared" si="6"/>
        <v>-0.23824210718798478</v>
      </c>
      <c r="D15" s="9">
        <f t="shared" si="2"/>
        <v>-1.1912105359399239</v>
      </c>
      <c r="E15" s="8">
        <v>-9.3000000000000007</v>
      </c>
      <c r="F15" s="8">
        <f t="shared" si="7"/>
        <v>-6.5647072700626197</v>
      </c>
      <c r="G15" s="9">
        <f t="shared" si="3"/>
        <v>-0.59679157000569272</v>
      </c>
      <c r="H15" s="8">
        <v>-1.421</v>
      </c>
      <c r="I15" s="8">
        <f t="shared" si="8"/>
        <v>-1.2519897004314759</v>
      </c>
      <c r="J15" s="9">
        <f t="shared" si="9"/>
        <v>-0.91892345601988157</v>
      </c>
      <c r="K15" s="8">
        <v>0.16200000000000001</v>
      </c>
      <c r="L15" s="8">
        <f t="shared" si="10"/>
        <v>-0.40183776822007539</v>
      </c>
      <c r="M15" s="9">
        <f t="shared" si="4"/>
        <v>-0.20091888411003769</v>
      </c>
      <c r="O15" s="11">
        <f t="shared" si="11"/>
        <v>-0.60437600369638655</v>
      </c>
      <c r="P15" s="15" t="str">
        <f t="shared" si="20"/>
        <v>C</v>
      </c>
      <c r="Q15" t="str">
        <f t="shared" si="30"/>
        <v>C</v>
      </c>
      <c r="R15" s="18">
        <f t="shared" si="21"/>
        <v>-0.17059032694102988</v>
      </c>
      <c r="S15" t="str">
        <f t="shared" si="28"/>
        <v>C</v>
      </c>
      <c r="T15">
        <v>0</v>
      </c>
      <c r="V15" s="17">
        <f t="shared" si="12"/>
        <v>33269</v>
      </c>
      <c r="W15" s="1" t="e">
        <f t="shared" si="13"/>
        <v>#N/A</v>
      </c>
      <c r="X15" s="1" t="e">
        <f t="shared" si="14"/>
        <v>#N/A</v>
      </c>
      <c r="Y15" s="1">
        <f t="shared" si="15"/>
        <v>-0.60437600369638655</v>
      </c>
      <c r="Z15" s="1" t="e">
        <f t="shared" si="16"/>
        <v>#N/A</v>
      </c>
      <c r="AA15">
        <v>0</v>
      </c>
      <c r="AB15" s="1" t="s">
        <v>19</v>
      </c>
      <c r="AD15" s="17">
        <f t="shared" si="22"/>
        <v>33269</v>
      </c>
      <c r="AE15" s="1" t="e">
        <f t="shared" si="23"/>
        <v>#N/A</v>
      </c>
      <c r="AF15" s="1" t="e">
        <f t="shared" si="24"/>
        <v>#N/A</v>
      </c>
      <c r="AG15" s="1">
        <f t="shared" si="25"/>
        <v>-0.60437600369638655</v>
      </c>
      <c r="AH15" s="1" t="e">
        <f t="shared" si="26"/>
        <v>#N/A</v>
      </c>
      <c r="AK15" s="1"/>
      <c r="AL15" s="1"/>
      <c r="AM15" s="1"/>
      <c r="AN15" s="1"/>
      <c r="AO15" s="17">
        <f t="shared" si="31"/>
        <v>33269</v>
      </c>
      <c r="AP15">
        <f t="shared" si="32"/>
        <v>1</v>
      </c>
      <c r="AQ15">
        <f t="shared" si="33"/>
        <v>1</v>
      </c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7" t="e">
        <f t="shared" ref="BL15" si="41">#REF!</f>
        <v>#REF!</v>
      </c>
      <c r="BM15">
        <f t="shared" si="18"/>
        <v>1</v>
      </c>
      <c r="BN15">
        <f t="shared" si="19"/>
        <v>1</v>
      </c>
    </row>
    <row r="16" spans="1:66">
      <c r="A16" s="7">
        <v>33297</v>
      </c>
      <c r="B16" s="8">
        <v>-0.27177299999999999</v>
      </c>
      <c r="C16" s="8">
        <f t="shared" si="6"/>
        <v>-0.24779841163940911</v>
      </c>
      <c r="D16" s="9">
        <f t="shared" si="2"/>
        <v>-1.2389920581970455</v>
      </c>
      <c r="E16" s="8">
        <v>-9.4</v>
      </c>
      <c r="F16" s="8">
        <f t="shared" si="7"/>
        <v>-7.3727656980947733</v>
      </c>
      <c r="G16" s="9">
        <f t="shared" si="3"/>
        <v>-0.6702514270995249</v>
      </c>
      <c r="H16" s="8">
        <v>-1.3435999999999999</v>
      </c>
      <c r="I16" s="8">
        <f t="shared" si="8"/>
        <v>-1.2780986358085054</v>
      </c>
      <c r="J16" s="9">
        <f t="shared" si="9"/>
        <v>-0.93053024541960205</v>
      </c>
      <c r="K16" s="8">
        <v>0.13900000000000001</v>
      </c>
      <c r="L16" s="8">
        <f t="shared" si="10"/>
        <v>-0.24769900427735386</v>
      </c>
      <c r="M16" s="9">
        <f t="shared" si="4"/>
        <v>-0.12384950213867693</v>
      </c>
      <c r="O16" s="11">
        <f t="shared" si="11"/>
        <v>-0.61925060108889607</v>
      </c>
      <c r="P16" s="15" t="str">
        <f t="shared" si="20"/>
        <v>C</v>
      </c>
      <c r="Q16" t="str">
        <f t="shared" si="30"/>
        <v>C</v>
      </c>
      <c r="R16" s="18">
        <f t="shared" si="21"/>
        <v>-0.17059032694102988</v>
      </c>
      <c r="S16" t="str">
        <f t="shared" si="28"/>
        <v>C</v>
      </c>
      <c r="T16">
        <v>0</v>
      </c>
      <c r="V16" s="17">
        <f t="shared" si="12"/>
        <v>33297</v>
      </c>
      <c r="W16" s="1" t="e">
        <f t="shared" si="13"/>
        <v>#N/A</v>
      </c>
      <c r="X16" s="1" t="e">
        <f t="shared" si="14"/>
        <v>#N/A</v>
      </c>
      <c r="Y16" s="1">
        <f t="shared" si="15"/>
        <v>-0.61925060108889607</v>
      </c>
      <c r="Z16" s="1">
        <f t="shared" si="16"/>
        <v>-0.61925060108889607</v>
      </c>
      <c r="AA16">
        <v>0</v>
      </c>
      <c r="AB16" s="1" t="s">
        <v>19</v>
      </c>
      <c r="AD16" s="17">
        <f t="shared" si="22"/>
        <v>33297</v>
      </c>
      <c r="AE16" s="1" t="e">
        <f t="shared" si="23"/>
        <v>#N/A</v>
      </c>
      <c r="AF16" s="1" t="e">
        <f t="shared" si="24"/>
        <v>#N/A</v>
      </c>
      <c r="AG16" s="1">
        <f t="shared" si="25"/>
        <v>-0.61925060108889607</v>
      </c>
      <c r="AH16" s="1" t="e">
        <f t="shared" si="26"/>
        <v>#N/A</v>
      </c>
      <c r="AK16" s="1"/>
      <c r="AL16" s="1"/>
      <c r="AM16" s="1"/>
      <c r="AN16" s="1"/>
      <c r="AO16" s="17">
        <f t="shared" si="31"/>
        <v>33297</v>
      </c>
      <c r="AP16">
        <f t="shared" si="32"/>
        <v>1</v>
      </c>
      <c r="AQ16">
        <f t="shared" si="33"/>
        <v>1</v>
      </c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7" t="e">
        <f t="shared" ref="BL16" si="42">#REF!</f>
        <v>#REF!</v>
      </c>
      <c r="BM16">
        <f t="shared" si="18"/>
        <v>1</v>
      </c>
      <c r="BN16">
        <f t="shared" si="19"/>
        <v>1</v>
      </c>
    </row>
    <row r="17" spans="1:66">
      <c r="A17" s="7">
        <v>33328</v>
      </c>
      <c r="B17" s="8">
        <v>-0.20338300000000001</v>
      </c>
      <c r="C17" s="8">
        <f t="shared" si="6"/>
        <v>-0.23514001932217751</v>
      </c>
      <c r="D17" s="9">
        <f t="shared" si="2"/>
        <v>-1.1757000966108875</v>
      </c>
      <c r="E17" s="8">
        <v>-9.8000000000000007</v>
      </c>
      <c r="F17" s="8">
        <f t="shared" si="7"/>
        <v>-8.0645274741377637</v>
      </c>
      <c r="G17" s="9">
        <f t="shared" si="3"/>
        <v>-0.7331388612852513</v>
      </c>
      <c r="H17" s="8">
        <v>-0.8024</v>
      </c>
      <c r="I17" s="8">
        <f t="shared" si="8"/>
        <v>-1.1425245246030813</v>
      </c>
      <c r="J17" s="9">
        <f t="shared" si="9"/>
        <v>-0.86888938838547802</v>
      </c>
      <c r="K17" s="8">
        <v>0.70699999999999996</v>
      </c>
      <c r="L17" s="8">
        <f t="shared" si="10"/>
        <v>2.4390211941691997E-2</v>
      </c>
      <c r="M17" s="9">
        <f t="shared" si="4"/>
        <v>2.4390211941691997E-2</v>
      </c>
      <c r="O17" s="11">
        <f t="shared" si="11"/>
        <v>-0.571995190724082</v>
      </c>
      <c r="P17" s="15" t="str">
        <f t="shared" si="20"/>
        <v>R</v>
      </c>
      <c r="Q17" t="str">
        <f t="shared" si="30"/>
        <v>C</v>
      </c>
      <c r="R17" s="18">
        <f t="shared" si="21"/>
        <v>-0.17059032694102988</v>
      </c>
      <c r="S17" t="str">
        <f t="shared" si="28"/>
        <v>C</v>
      </c>
      <c r="T17">
        <v>0</v>
      </c>
      <c r="V17" s="17">
        <f t="shared" si="12"/>
        <v>33328</v>
      </c>
      <c r="W17" s="1" t="e">
        <f t="shared" si="13"/>
        <v>#N/A</v>
      </c>
      <c r="X17" s="1" t="e">
        <f t="shared" si="14"/>
        <v>#N/A</v>
      </c>
      <c r="Y17" s="1" t="e">
        <f t="shared" si="15"/>
        <v>#N/A</v>
      </c>
      <c r="Z17" s="1">
        <f t="shared" si="16"/>
        <v>-0.571995190724082</v>
      </c>
      <c r="AA17">
        <v>0</v>
      </c>
      <c r="AB17" s="1" t="s">
        <v>19</v>
      </c>
      <c r="AD17" s="17">
        <f t="shared" si="22"/>
        <v>33328</v>
      </c>
      <c r="AE17" s="1" t="e">
        <f t="shared" si="23"/>
        <v>#N/A</v>
      </c>
      <c r="AF17" s="1" t="e">
        <f t="shared" si="24"/>
        <v>#N/A</v>
      </c>
      <c r="AG17" s="1">
        <f t="shared" si="25"/>
        <v>-0.571995190724082</v>
      </c>
      <c r="AH17" s="1" t="e">
        <f t="shared" si="26"/>
        <v>#N/A</v>
      </c>
      <c r="AK17" s="1"/>
      <c r="AL17" s="1"/>
      <c r="AM17" s="1"/>
      <c r="AN17" s="1"/>
      <c r="AO17" s="17">
        <f t="shared" si="31"/>
        <v>33328</v>
      </c>
      <c r="AP17">
        <f t="shared" si="32"/>
        <v>2</v>
      </c>
      <c r="AQ17">
        <f t="shared" si="33"/>
        <v>1</v>
      </c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7" t="e">
        <f t="shared" ref="BL17" si="43">#REF!</f>
        <v>#REF!</v>
      </c>
      <c r="BM17">
        <f t="shared" si="18"/>
        <v>1</v>
      </c>
      <c r="BN17">
        <f t="shared" si="19"/>
        <v>1</v>
      </c>
    </row>
    <row r="18" spans="1:66">
      <c r="A18" s="7">
        <v>33358</v>
      </c>
      <c r="B18" s="8">
        <v>-0.11681900000000001</v>
      </c>
      <c r="C18" s="8">
        <f t="shared" si="6"/>
        <v>-0.20141852881535693</v>
      </c>
      <c r="D18" s="9">
        <f t="shared" si="2"/>
        <v>-1.0070926440767847</v>
      </c>
      <c r="E18" s="8">
        <v>-8.6</v>
      </c>
      <c r="F18" s="8">
        <f t="shared" si="7"/>
        <v>-8.2171371440085004</v>
      </c>
      <c r="G18" s="9">
        <f t="shared" si="3"/>
        <v>-0.74701246763713636</v>
      </c>
      <c r="H18" s="8">
        <v>8.5599999999999996E-2</v>
      </c>
      <c r="I18" s="8">
        <f t="shared" si="8"/>
        <v>-0.79250903509120307</v>
      </c>
      <c r="J18" s="9">
        <f t="shared" si="9"/>
        <v>-0.59250903509120301</v>
      </c>
      <c r="K18" s="8">
        <v>0.871</v>
      </c>
      <c r="L18" s="8">
        <f t="shared" si="10"/>
        <v>0.26567400153830983</v>
      </c>
      <c r="M18" s="9">
        <f t="shared" si="4"/>
        <v>0.26567400153830983</v>
      </c>
      <c r="O18" s="11">
        <f t="shared" si="11"/>
        <v>-0.41870143285912181</v>
      </c>
      <c r="P18" s="15" t="str">
        <f t="shared" si="20"/>
        <v>R</v>
      </c>
      <c r="Q18" t="str">
        <f t="shared" si="30"/>
        <v>R</v>
      </c>
      <c r="R18" s="18">
        <f t="shared" si="21"/>
        <v>-0.17059032694102988</v>
      </c>
      <c r="S18" t="str">
        <f t="shared" si="28"/>
        <v>C</v>
      </c>
      <c r="T18">
        <v>0</v>
      </c>
      <c r="V18" s="17">
        <f t="shared" si="12"/>
        <v>33358</v>
      </c>
      <c r="W18" s="1" t="e">
        <f t="shared" si="13"/>
        <v>#N/A</v>
      </c>
      <c r="X18" s="1" t="e">
        <f t="shared" si="14"/>
        <v>#N/A</v>
      </c>
      <c r="Y18" s="1" t="e">
        <f t="shared" si="15"/>
        <v>#N/A</v>
      </c>
      <c r="Z18" s="1">
        <f t="shared" si="16"/>
        <v>-0.41870143285912181</v>
      </c>
      <c r="AA18">
        <v>0</v>
      </c>
      <c r="AB18" s="1" t="s">
        <v>19</v>
      </c>
      <c r="AD18" s="17">
        <f t="shared" si="22"/>
        <v>33358</v>
      </c>
      <c r="AE18" s="1" t="e">
        <f t="shared" si="23"/>
        <v>#N/A</v>
      </c>
      <c r="AF18" s="1" t="e">
        <f t="shared" si="24"/>
        <v>#N/A</v>
      </c>
      <c r="AG18" s="1">
        <f t="shared" si="25"/>
        <v>-0.41870143285912181</v>
      </c>
      <c r="AH18" s="1">
        <f t="shared" si="26"/>
        <v>-0.41870143285912181</v>
      </c>
      <c r="AK18" s="1"/>
      <c r="AL18" s="1"/>
      <c r="AM18" s="1"/>
      <c r="AN18" s="1"/>
      <c r="AO18" s="17">
        <f t="shared" si="31"/>
        <v>33358</v>
      </c>
      <c r="AP18">
        <f t="shared" si="32"/>
        <v>2</v>
      </c>
      <c r="AQ18">
        <f t="shared" si="33"/>
        <v>2</v>
      </c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7" t="e">
        <f t="shared" ref="BL18" si="44">#REF!</f>
        <v>#REF!</v>
      </c>
      <c r="BM18">
        <f t="shared" si="18"/>
        <v>2</v>
      </c>
      <c r="BN18">
        <f t="shared" si="19"/>
        <v>1</v>
      </c>
    </row>
    <row r="19" spans="1:66">
      <c r="A19" s="7">
        <v>33389</v>
      </c>
      <c r="B19" s="8">
        <v>-0.161999</v>
      </c>
      <c r="C19" s="8">
        <f t="shared" si="6"/>
        <v>-0.19018396310298019</v>
      </c>
      <c r="D19" s="9">
        <f t="shared" si="2"/>
        <v>-0.9509198155149009</v>
      </c>
      <c r="E19" s="8">
        <v>-8</v>
      </c>
      <c r="F19" s="8">
        <f t="shared" si="7"/>
        <v>-8.1552530579660782</v>
      </c>
      <c r="G19" s="9">
        <f t="shared" si="3"/>
        <v>-0.74138664163327983</v>
      </c>
      <c r="H19" s="8">
        <v>0.4546</v>
      </c>
      <c r="I19" s="8">
        <f t="shared" si="8"/>
        <v>-0.43708296009021008</v>
      </c>
      <c r="J19" s="9">
        <f t="shared" si="9"/>
        <v>-0.23708296009021007</v>
      </c>
      <c r="K19" s="8">
        <v>1.0569999999999999</v>
      </c>
      <c r="L19" s="8">
        <f t="shared" si="10"/>
        <v>0.49120191109989153</v>
      </c>
      <c r="M19" s="9">
        <f t="shared" si="4"/>
        <v>0.49120191109989153</v>
      </c>
      <c r="O19" s="11">
        <f t="shared" si="11"/>
        <v>-0.24296003653972656</v>
      </c>
      <c r="P19" s="15" t="str">
        <f t="shared" si="20"/>
        <v>R</v>
      </c>
      <c r="Q19" t="str">
        <f t="shared" si="30"/>
        <v>R</v>
      </c>
      <c r="R19" s="18">
        <f t="shared" si="21"/>
        <v>-0.17059032694102988</v>
      </c>
      <c r="S19" t="str">
        <f>IF(OR(ABS($R19-$R18)&gt;$V$2,R19*R18&lt;0,ABS(O19-MAX(O8:O18))&gt;$AJ$2),P19,S18)</f>
        <v>R</v>
      </c>
      <c r="T19">
        <v>0</v>
      </c>
      <c r="V19" s="17">
        <f t="shared" si="12"/>
        <v>33389</v>
      </c>
      <c r="W19" s="1" t="e">
        <f t="shared" si="13"/>
        <v>#N/A</v>
      </c>
      <c r="X19" s="1" t="e">
        <f t="shared" si="14"/>
        <v>#N/A</v>
      </c>
      <c r="Y19" s="1" t="e">
        <f t="shared" si="15"/>
        <v>#N/A</v>
      </c>
      <c r="Z19" s="1">
        <f t="shared" si="16"/>
        <v>-0.24296003653972656</v>
      </c>
      <c r="AA19">
        <v>0</v>
      </c>
      <c r="AB19" s="1" t="s">
        <v>19</v>
      </c>
      <c r="AD19" s="17">
        <f t="shared" si="22"/>
        <v>33389</v>
      </c>
      <c r="AE19" s="1" t="e">
        <f t="shared" si="23"/>
        <v>#N/A</v>
      </c>
      <c r="AF19" s="1" t="e">
        <f t="shared" si="24"/>
        <v>#N/A</v>
      </c>
      <c r="AG19" s="1" t="e">
        <f t="shared" si="25"/>
        <v>#N/A</v>
      </c>
      <c r="AH19" s="1">
        <f t="shared" si="26"/>
        <v>-0.24296003653972656</v>
      </c>
      <c r="AK19" s="1"/>
      <c r="AL19" s="1"/>
      <c r="AM19" s="1"/>
      <c r="AN19" s="1"/>
      <c r="AO19" s="17">
        <f t="shared" si="31"/>
        <v>33389</v>
      </c>
      <c r="AP19">
        <f t="shared" si="32"/>
        <v>2</v>
      </c>
      <c r="AQ19">
        <f t="shared" si="33"/>
        <v>2</v>
      </c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7" t="e">
        <f t="shared" ref="BL19" si="45">#REF!</f>
        <v>#REF!</v>
      </c>
      <c r="BM19">
        <f t="shared" si="18"/>
        <v>2</v>
      </c>
      <c r="BN19">
        <f t="shared" si="19"/>
        <v>1</v>
      </c>
    </row>
    <row r="20" spans="1:66">
      <c r="A20" s="7">
        <v>33419</v>
      </c>
      <c r="B20" s="8">
        <v>1.4559000000000001E-2</v>
      </c>
      <c r="C20" s="8">
        <f t="shared" si="6"/>
        <v>-0.13183221861863081</v>
      </c>
      <c r="D20" s="9">
        <f t="shared" si="2"/>
        <v>-0.65916109309315407</v>
      </c>
      <c r="E20" s="8">
        <v>-8.1999999999999993</v>
      </c>
      <c r="F20" s="8">
        <f t="shared" si="7"/>
        <v>-8.1680059364457467</v>
      </c>
      <c r="G20" s="9">
        <f t="shared" si="3"/>
        <v>-0.74254599422234058</v>
      </c>
      <c r="H20" s="8">
        <v>0.24179999999999999</v>
      </c>
      <c r="I20" s="8">
        <f t="shared" si="8"/>
        <v>-0.24360131646450017</v>
      </c>
      <c r="J20" s="9">
        <f t="shared" si="9"/>
        <v>-4.3601316464500162E-2</v>
      </c>
      <c r="K20" s="8">
        <v>0.64400000000000002</v>
      </c>
      <c r="L20" s="8">
        <f t="shared" si="10"/>
        <v>0.53474936643642246</v>
      </c>
      <c r="M20" s="9">
        <f t="shared" si="4"/>
        <v>0.53474936643642246</v>
      </c>
      <c r="O20" s="11">
        <f t="shared" si="11"/>
        <v>-0.14098768680772267</v>
      </c>
      <c r="P20" s="15" t="str">
        <f t="shared" si="20"/>
        <v>R</v>
      </c>
      <c r="Q20" t="str">
        <f t="shared" si="30"/>
        <v>R</v>
      </c>
      <c r="R20" s="18">
        <f t="shared" si="21"/>
        <v>-0.17059032694102988</v>
      </c>
      <c r="S20" t="str">
        <f t="shared" ref="S20:S83" si="46">IF(OR(ABS($R20-$R19)&gt;$V$2,R20*R19&lt;0,ABS(O20-MAX(O9:O19))&gt;$AJ$2),P20,S19)</f>
        <v>R</v>
      </c>
      <c r="T20">
        <v>0</v>
      </c>
      <c r="V20" s="17">
        <f t="shared" si="12"/>
        <v>33419</v>
      </c>
      <c r="W20" s="1" t="e">
        <f t="shared" si="13"/>
        <v>#N/A</v>
      </c>
      <c r="X20" s="1" t="e">
        <f t="shared" si="14"/>
        <v>#N/A</v>
      </c>
      <c r="Y20" s="1" t="e">
        <f t="shared" si="15"/>
        <v>#N/A</v>
      </c>
      <c r="Z20" s="1">
        <f t="shared" si="16"/>
        <v>-0.14098768680772267</v>
      </c>
      <c r="AA20">
        <v>0</v>
      </c>
      <c r="AB20" s="1" t="s">
        <v>19</v>
      </c>
      <c r="AD20" s="17">
        <f t="shared" si="22"/>
        <v>33419</v>
      </c>
      <c r="AE20" s="1" t="e">
        <f t="shared" si="23"/>
        <v>#N/A</v>
      </c>
      <c r="AF20" s="1" t="e">
        <f t="shared" si="24"/>
        <v>#N/A</v>
      </c>
      <c r="AG20" s="1" t="e">
        <f t="shared" si="25"/>
        <v>#N/A</v>
      </c>
      <c r="AH20" s="1">
        <f t="shared" si="26"/>
        <v>-0.14098768680772267</v>
      </c>
      <c r="AK20" s="1"/>
      <c r="AL20" s="1"/>
      <c r="AM20" s="1"/>
      <c r="AN20" s="1"/>
      <c r="AO20" s="17">
        <f t="shared" si="31"/>
        <v>33419</v>
      </c>
      <c r="AP20">
        <f t="shared" si="32"/>
        <v>2</v>
      </c>
      <c r="AQ20">
        <f t="shared" si="33"/>
        <v>2</v>
      </c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7" t="e">
        <f t="shared" ref="BL20" si="47">#REF!</f>
        <v>#REF!</v>
      </c>
      <c r="BM20">
        <f t="shared" si="18"/>
        <v>2</v>
      </c>
      <c r="BN20">
        <f t="shared" si="19"/>
        <v>1</v>
      </c>
    </row>
    <row r="21" spans="1:66">
      <c r="A21" s="7">
        <v>33450</v>
      </c>
      <c r="B21" s="8">
        <v>1.1694E-2</v>
      </c>
      <c r="C21" s="8">
        <f t="shared" si="6"/>
        <v>-9.092724631232102E-2</v>
      </c>
      <c r="D21" s="9">
        <f t="shared" si="2"/>
        <v>-0.4546362315616051</v>
      </c>
      <c r="E21" s="8">
        <v>-6.7</v>
      </c>
      <c r="F21" s="8">
        <f t="shared" si="7"/>
        <v>-7.7496242445587091</v>
      </c>
      <c r="G21" s="9">
        <f t="shared" si="3"/>
        <v>-0.70451129495988263</v>
      </c>
      <c r="H21" s="8">
        <v>-0.16</v>
      </c>
      <c r="I21" s="8">
        <f t="shared" si="8"/>
        <v>-0.21977494127211761</v>
      </c>
      <c r="J21" s="9">
        <f t="shared" si="9"/>
        <v>-1.9774941272117597E-2</v>
      </c>
      <c r="K21" s="8">
        <v>1.3340000000000001</v>
      </c>
      <c r="L21" s="8">
        <f t="shared" si="10"/>
        <v>0.7625357970020421</v>
      </c>
      <c r="M21" s="9">
        <f t="shared" si="4"/>
        <v>0.7625357970020421</v>
      </c>
      <c r="O21" s="11">
        <f t="shared" si="11"/>
        <v>-4.5399164703885331E-2</v>
      </c>
      <c r="P21" s="15" t="str">
        <f t="shared" si="20"/>
        <v>R</v>
      </c>
      <c r="Q21" t="str">
        <f t="shared" si="30"/>
        <v>R</v>
      </c>
      <c r="R21" s="18">
        <f t="shared" si="21"/>
        <v>-0.17059032694102988</v>
      </c>
      <c r="S21" t="str">
        <f t="shared" si="46"/>
        <v>R</v>
      </c>
      <c r="T21">
        <v>0</v>
      </c>
      <c r="V21" s="17">
        <f t="shared" si="12"/>
        <v>33450</v>
      </c>
      <c r="W21" s="1">
        <f t="shared" si="13"/>
        <v>-4.5399164703885331E-2</v>
      </c>
      <c r="X21" s="1" t="e">
        <f t="shared" si="14"/>
        <v>#N/A</v>
      </c>
      <c r="Y21" s="1" t="e">
        <f t="shared" si="15"/>
        <v>#N/A</v>
      </c>
      <c r="Z21" s="1">
        <f t="shared" si="16"/>
        <v>-4.5399164703885331E-2</v>
      </c>
      <c r="AA21">
        <v>0</v>
      </c>
      <c r="AB21" s="1" t="s">
        <v>19</v>
      </c>
      <c r="AD21" s="17">
        <f t="shared" si="22"/>
        <v>33450</v>
      </c>
      <c r="AE21" s="1">
        <f t="shared" si="23"/>
        <v>-4.5399164703885331E-2</v>
      </c>
      <c r="AF21" s="1" t="e">
        <f t="shared" si="24"/>
        <v>#N/A</v>
      </c>
      <c r="AG21" s="1" t="e">
        <f t="shared" si="25"/>
        <v>#N/A</v>
      </c>
      <c r="AH21" s="1">
        <f t="shared" si="26"/>
        <v>-4.5399164703885331E-2</v>
      </c>
      <c r="AK21" s="1"/>
      <c r="AL21" s="1"/>
      <c r="AM21" s="1"/>
      <c r="AN21" s="1"/>
      <c r="AO21" s="17">
        <f t="shared" si="31"/>
        <v>33450</v>
      </c>
      <c r="AP21">
        <f t="shared" si="32"/>
        <v>2</v>
      </c>
      <c r="AQ21">
        <f t="shared" si="33"/>
        <v>2</v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7" t="e">
        <f t="shared" ref="BL21" si="48">#REF!</f>
        <v>#REF!</v>
      </c>
      <c r="BM21">
        <f t="shared" si="18"/>
        <v>2</v>
      </c>
      <c r="BN21">
        <f t="shared" si="19"/>
        <v>1</v>
      </c>
    </row>
    <row r="22" spans="1:66">
      <c r="A22" s="7">
        <v>33481</v>
      </c>
      <c r="B22" s="8">
        <v>-5.0622E-2</v>
      </c>
      <c r="C22" s="8">
        <f t="shared" si="6"/>
        <v>-7.9440251113309532E-2</v>
      </c>
      <c r="D22" s="9">
        <f t="shared" si="2"/>
        <v>-0.39720125556654762</v>
      </c>
      <c r="E22" s="8">
        <v>-5.0999999999999996</v>
      </c>
      <c r="F22" s="8">
        <f t="shared" si="7"/>
        <v>-6.9944813348594765</v>
      </c>
      <c r="G22" s="9">
        <f t="shared" si="3"/>
        <v>-0.63586193953267967</v>
      </c>
      <c r="H22" s="8">
        <v>-0.20180000000000001</v>
      </c>
      <c r="I22" s="8">
        <f t="shared" si="8"/>
        <v>-0.21465208300956409</v>
      </c>
      <c r="J22" s="9">
        <f t="shared" si="9"/>
        <v>-1.4652083009564082E-2</v>
      </c>
      <c r="K22" s="8">
        <v>1.47</v>
      </c>
      <c r="L22" s="8">
        <f t="shared" si="10"/>
        <v>0.96416309485646012</v>
      </c>
      <c r="M22" s="9">
        <f t="shared" si="4"/>
        <v>0.96416309485646012</v>
      </c>
      <c r="O22" s="11">
        <f t="shared" si="11"/>
        <v>3.3779789509449244E-2</v>
      </c>
      <c r="P22" s="15" t="str">
        <f t="shared" si="20"/>
        <v>E</v>
      </c>
      <c r="Q22" t="str">
        <f t="shared" si="30"/>
        <v>E</v>
      </c>
      <c r="R22" s="18">
        <f t="shared" si="21"/>
        <v>3.3779789509449244E-2</v>
      </c>
      <c r="S22" t="str">
        <f t="shared" si="46"/>
        <v>E</v>
      </c>
      <c r="T22">
        <v>0</v>
      </c>
      <c r="V22" s="17">
        <f t="shared" si="12"/>
        <v>33481</v>
      </c>
      <c r="W22" s="1">
        <f t="shared" si="13"/>
        <v>3.3779789509449244E-2</v>
      </c>
      <c r="X22" s="1" t="e">
        <f t="shared" si="14"/>
        <v>#N/A</v>
      </c>
      <c r="Y22" s="1" t="e">
        <f t="shared" si="15"/>
        <v>#N/A</v>
      </c>
      <c r="Z22" s="1" t="e">
        <f t="shared" si="16"/>
        <v>#N/A</v>
      </c>
      <c r="AA22">
        <v>0</v>
      </c>
      <c r="AB22" s="1" t="s">
        <v>19</v>
      </c>
      <c r="AD22" s="17">
        <f t="shared" si="22"/>
        <v>33481</v>
      </c>
      <c r="AE22" s="1">
        <f t="shared" si="23"/>
        <v>3.3779789509449244E-2</v>
      </c>
      <c r="AF22" s="1" t="e">
        <f t="shared" si="24"/>
        <v>#N/A</v>
      </c>
      <c r="AG22" s="1" t="e">
        <f t="shared" si="25"/>
        <v>#N/A</v>
      </c>
      <c r="AH22" s="1" t="e">
        <f t="shared" si="26"/>
        <v>#N/A</v>
      </c>
      <c r="AK22" s="1"/>
      <c r="AL22" s="1"/>
      <c r="AM22" s="1"/>
      <c r="AN22" s="1"/>
      <c r="AO22" s="17">
        <f t="shared" si="31"/>
        <v>33481</v>
      </c>
      <c r="AP22">
        <f t="shared" si="32"/>
        <v>4</v>
      </c>
      <c r="AQ22">
        <f t="shared" si="33"/>
        <v>4</v>
      </c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7" t="e">
        <f t="shared" ref="BL22" si="49">#REF!</f>
        <v>#REF!</v>
      </c>
      <c r="BM22">
        <f t="shared" si="18"/>
        <v>4</v>
      </c>
      <c r="BN22">
        <f t="shared" si="19"/>
        <v>1</v>
      </c>
    </row>
    <row r="23" spans="1:66">
      <c r="A23" s="7">
        <v>33511</v>
      </c>
      <c r="B23" s="8">
        <v>8.2399999999999997E-4</v>
      </c>
      <c r="C23" s="8">
        <f t="shared" si="6"/>
        <v>-5.656493954601631E-2</v>
      </c>
      <c r="D23" s="9">
        <f t="shared" si="2"/>
        <v>-0.28282469773008151</v>
      </c>
      <c r="E23" s="8">
        <v>-3</v>
      </c>
      <c r="F23" s="8">
        <f t="shared" si="7"/>
        <v>-5.8560541544245259</v>
      </c>
      <c r="G23" s="9">
        <f t="shared" si="3"/>
        <v>-0.53236855949313877</v>
      </c>
      <c r="H23" s="8">
        <v>3.2000000000000002E-3</v>
      </c>
      <c r="I23" s="8">
        <f t="shared" si="8"/>
        <v>-0.15256423935183833</v>
      </c>
      <c r="J23" s="9">
        <f t="shared" si="9"/>
        <v>4.7435760648161684E-2</v>
      </c>
      <c r="K23" s="8">
        <v>0.82899999999999996</v>
      </c>
      <c r="L23" s="8">
        <f t="shared" si="10"/>
        <v>0.92564161282236901</v>
      </c>
      <c r="M23" s="9">
        <f t="shared" si="4"/>
        <v>0.92564161282236901</v>
      </c>
      <c r="O23" s="11">
        <f t="shared" si="11"/>
        <v>7.2882160408347121E-2</v>
      </c>
      <c r="P23" s="15" t="str">
        <f t="shared" si="20"/>
        <v>E</v>
      </c>
      <c r="Q23" t="str">
        <f t="shared" si="30"/>
        <v>E</v>
      </c>
      <c r="R23" s="18">
        <f t="shared" si="21"/>
        <v>3.3779789509449244E-2</v>
      </c>
      <c r="S23" t="str">
        <f t="shared" si="46"/>
        <v>E</v>
      </c>
      <c r="T23">
        <v>0</v>
      </c>
      <c r="V23" s="17">
        <f t="shared" si="12"/>
        <v>33511</v>
      </c>
      <c r="W23" s="1">
        <f t="shared" si="13"/>
        <v>7.2882160408347121E-2</v>
      </c>
      <c r="X23" s="1" t="e">
        <f t="shared" si="14"/>
        <v>#N/A</v>
      </c>
      <c r="Y23" s="1" t="e">
        <f t="shared" si="15"/>
        <v>#N/A</v>
      </c>
      <c r="Z23" s="1" t="e">
        <f t="shared" si="16"/>
        <v>#N/A</v>
      </c>
      <c r="AA23">
        <v>0</v>
      </c>
      <c r="AB23" s="1" t="s">
        <v>19</v>
      </c>
      <c r="AD23" s="17">
        <f t="shared" si="22"/>
        <v>33511</v>
      </c>
      <c r="AE23" s="1">
        <f t="shared" si="23"/>
        <v>7.2882160408347121E-2</v>
      </c>
      <c r="AF23" s="1" t="e">
        <f t="shared" si="24"/>
        <v>#N/A</v>
      </c>
      <c r="AG23" s="1" t="e">
        <f t="shared" si="25"/>
        <v>#N/A</v>
      </c>
      <c r="AH23" s="1" t="e">
        <f t="shared" si="26"/>
        <v>#N/A</v>
      </c>
      <c r="AK23" s="1"/>
      <c r="AL23" s="1"/>
      <c r="AM23" s="1"/>
      <c r="AN23" s="1"/>
      <c r="AO23" s="17">
        <f t="shared" si="31"/>
        <v>33511</v>
      </c>
      <c r="AP23">
        <f t="shared" si="32"/>
        <v>4</v>
      </c>
      <c r="AQ23">
        <f t="shared" si="33"/>
        <v>4</v>
      </c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7" t="e">
        <f t="shared" ref="BL23" si="50">#REF!</f>
        <v>#REF!</v>
      </c>
      <c r="BM23">
        <f t="shared" si="18"/>
        <v>4</v>
      </c>
      <c r="BN23">
        <f t="shared" si="19"/>
        <v>1</v>
      </c>
    </row>
    <row r="24" spans="1:66">
      <c r="A24" s="7">
        <v>33542</v>
      </c>
      <c r="B24" s="8">
        <v>-5.5404000000000002E-2</v>
      </c>
      <c r="C24" s="8">
        <f t="shared" si="6"/>
        <v>-5.6234071775401663E-2</v>
      </c>
      <c r="D24" s="9">
        <f t="shared" si="2"/>
        <v>-0.28117035887700831</v>
      </c>
      <c r="E24" s="8">
        <v>-1.7</v>
      </c>
      <c r="F24" s="8">
        <f t="shared" si="7"/>
        <v>-4.6715787204135353</v>
      </c>
      <c r="G24" s="9">
        <f t="shared" si="3"/>
        <v>-0.42468897458304866</v>
      </c>
      <c r="H24" s="8">
        <v>-0.46360000000000001</v>
      </c>
      <c r="I24" s="8">
        <f t="shared" si="8"/>
        <v>-0.2412094311365644</v>
      </c>
      <c r="J24" s="9">
        <f t="shared" si="9"/>
        <v>-4.1209431136564389E-2</v>
      </c>
      <c r="K24" s="8">
        <v>1.0049999999999999</v>
      </c>
      <c r="L24" s="8">
        <f t="shared" si="10"/>
        <v>0.9482587531679938</v>
      </c>
      <c r="M24" s="9">
        <f t="shared" si="4"/>
        <v>0.9482587531679938</v>
      </c>
      <c r="O24" s="11">
        <f t="shared" si="11"/>
        <v>8.4287192873786318E-2</v>
      </c>
      <c r="P24" s="15" t="str">
        <f t="shared" si="20"/>
        <v>E</v>
      </c>
      <c r="Q24" t="str">
        <f t="shared" si="30"/>
        <v>E</v>
      </c>
      <c r="R24" s="18">
        <f t="shared" si="21"/>
        <v>3.3779789509449244E-2</v>
      </c>
      <c r="S24" t="str">
        <f t="shared" si="46"/>
        <v>E</v>
      </c>
      <c r="T24">
        <v>0</v>
      </c>
      <c r="V24" s="17">
        <f t="shared" si="12"/>
        <v>33542</v>
      </c>
      <c r="W24" s="1">
        <f t="shared" si="13"/>
        <v>8.4287192873786318E-2</v>
      </c>
      <c r="X24" s="1">
        <f t="shared" si="14"/>
        <v>8.4287192873786318E-2</v>
      </c>
      <c r="Y24" s="1" t="e">
        <f t="shared" si="15"/>
        <v>#N/A</v>
      </c>
      <c r="Z24" s="1" t="e">
        <f t="shared" si="16"/>
        <v>#N/A</v>
      </c>
      <c r="AA24">
        <v>0</v>
      </c>
      <c r="AB24" s="1" t="s">
        <v>19</v>
      </c>
      <c r="AD24" s="17">
        <f t="shared" si="22"/>
        <v>33542</v>
      </c>
      <c r="AE24" s="1">
        <f t="shared" si="23"/>
        <v>8.4287192873786318E-2</v>
      </c>
      <c r="AF24" s="1" t="e">
        <f t="shared" si="24"/>
        <v>#N/A</v>
      </c>
      <c r="AG24" s="1" t="e">
        <f t="shared" si="25"/>
        <v>#N/A</v>
      </c>
      <c r="AH24" s="1" t="e">
        <f t="shared" si="26"/>
        <v>#N/A</v>
      </c>
      <c r="AK24" s="1"/>
      <c r="AL24" s="1"/>
      <c r="AM24" s="1"/>
      <c r="AN24" s="1"/>
      <c r="AO24" s="17">
        <f t="shared" si="31"/>
        <v>33542</v>
      </c>
      <c r="AP24">
        <f t="shared" si="32"/>
        <v>4</v>
      </c>
      <c r="AQ24">
        <f t="shared" si="33"/>
        <v>4</v>
      </c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7" t="e">
        <f t="shared" ref="BL24" si="51">#REF!</f>
        <v>#REF!</v>
      </c>
      <c r="BM24">
        <f t="shared" si="18"/>
        <v>4</v>
      </c>
      <c r="BN24">
        <f t="shared" si="19"/>
        <v>1</v>
      </c>
    </row>
    <row r="25" spans="1:66">
      <c r="A25" s="7">
        <v>33572</v>
      </c>
      <c r="B25" s="8">
        <v>-8.4919999999999995E-2</v>
      </c>
      <c r="C25" s="8">
        <f t="shared" si="6"/>
        <v>-6.4409561319412195E-2</v>
      </c>
      <c r="D25" s="9">
        <f t="shared" si="2"/>
        <v>-0.32204780659706095</v>
      </c>
      <c r="E25" s="8">
        <v>0.2</v>
      </c>
      <c r="F25" s="8">
        <f t="shared" si="7"/>
        <v>-3.2831787850956777</v>
      </c>
      <c r="G25" s="9">
        <f t="shared" si="3"/>
        <v>-0.2984707986450616</v>
      </c>
      <c r="H25" s="8">
        <v>-0.76470000000000005</v>
      </c>
      <c r="I25" s="8">
        <f t="shared" si="8"/>
        <v>-0.39040424326264356</v>
      </c>
      <c r="J25" s="9">
        <f t="shared" si="9"/>
        <v>-0.19040424326264355</v>
      </c>
      <c r="K25" s="8">
        <v>0.372</v>
      </c>
      <c r="L25" s="8">
        <f t="shared" si="10"/>
        <v>0.78402500851511558</v>
      </c>
      <c r="M25" s="9">
        <f t="shared" si="4"/>
        <v>0.78402500851511558</v>
      </c>
      <c r="O25" s="11">
        <f t="shared" si="11"/>
        <v>1.8474756541120921E-2</v>
      </c>
      <c r="P25" s="15" t="str">
        <f t="shared" si="20"/>
        <v>SD</v>
      </c>
      <c r="Q25" t="str">
        <f t="shared" si="30"/>
        <v>SD</v>
      </c>
      <c r="R25" s="18">
        <f t="shared" si="21"/>
        <v>1.8474756541120921E-2</v>
      </c>
      <c r="S25" t="str">
        <f t="shared" si="46"/>
        <v>E</v>
      </c>
      <c r="T25">
        <v>0</v>
      </c>
      <c r="V25" s="17">
        <f t="shared" si="12"/>
        <v>33572</v>
      </c>
      <c r="W25" s="1" t="e">
        <f t="shared" si="13"/>
        <v>#N/A</v>
      </c>
      <c r="X25" s="1">
        <f t="shared" si="14"/>
        <v>1.8474756541120921E-2</v>
      </c>
      <c r="Y25" s="1">
        <f t="shared" si="15"/>
        <v>1.8474756541120921E-2</v>
      </c>
      <c r="Z25" s="1" t="e">
        <f t="shared" si="16"/>
        <v>#N/A</v>
      </c>
      <c r="AA25">
        <v>0</v>
      </c>
      <c r="AB25" s="1" t="s">
        <v>19</v>
      </c>
      <c r="AD25" s="17">
        <f t="shared" si="22"/>
        <v>33572</v>
      </c>
      <c r="AE25" s="1">
        <f t="shared" si="23"/>
        <v>1.8474756541120921E-2</v>
      </c>
      <c r="AF25" s="1" t="e">
        <f t="shared" si="24"/>
        <v>#N/A</v>
      </c>
      <c r="AG25" s="1">
        <f t="shared" si="25"/>
        <v>1.8474756541120921E-2</v>
      </c>
      <c r="AH25" s="1" t="e">
        <f t="shared" si="26"/>
        <v>#N/A</v>
      </c>
      <c r="AK25" s="1"/>
      <c r="AL25" s="1"/>
      <c r="AM25" s="1"/>
      <c r="AN25" s="1"/>
      <c r="AO25" s="17">
        <f t="shared" si="31"/>
        <v>33572</v>
      </c>
      <c r="AP25">
        <f t="shared" si="32"/>
        <v>3</v>
      </c>
      <c r="AQ25">
        <f t="shared" si="33"/>
        <v>3</v>
      </c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7" t="e">
        <f t="shared" ref="BL25" si="52">#REF!</f>
        <v>#REF!</v>
      </c>
      <c r="BM25">
        <f t="shared" si="18"/>
        <v>3</v>
      </c>
      <c r="BN25">
        <f t="shared" si="19"/>
        <v>1</v>
      </c>
    </row>
    <row r="26" spans="1:66">
      <c r="A26" s="7">
        <v>33603</v>
      </c>
      <c r="B26" s="8">
        <v>-0.127523</v>
      </c>
      <c r="C26" s="8">
        <f t="shared" si="6"/>
        <v>-8.2396891343379713E-2</v>
      </c>
      <c r="D26" s="9">
        <f t="shared" si="2"/>
        <v>-0.41198445671689854</v>
      </c>
      <c r="E26" s="8">
        <v>1.1000000000000001</v>
      </c>
      <c r="F26" s="8">
        <f t="shared" si="7"/>
        <v>-2.0339728313434096</v>
      </c>
      <c r="G26" s="9">
        <f t="shared" si="3"/>
        <v>-0.18490662103121905</v>
      </c>
      <c r="H26" s="8">
        <v>-0.70730000000000004</v>
      </c>
      <c r="I26" s="8">
        <f t="shared" si="8"/>
        <v>-0.48071953393279021</v>
      </c>
      <c r="J26" s="9">
        <f t="shared" si="9"/>
        <v>-0.2807195339327902</v>
      </c>
      <c r="K26" s="8">
        <v>0.107</v>
      </c>
      <c r="L26" s="8">
        <f t="shared" si="10"/>
        <v>0.59107288108830769</v>
      </c>
      <c r="M26" s="9">
        <f t="shared" si="4"/>
        <v>0.59107288108830769</v>
      </c>
      <c r="O26" s="11">
        <f t="shared" si="11"/>
        <v>-3.7633681118553086E-2</v>
      </c>
      <c r="P26" s="15" t="str">
        <f t="shared" si="20"/>
        <v>C</v>
      </c>
      <c r="Q26" t="str">
        <f t="shared" si="30"/>
        <v>C</v>
      </c>
      <c r="R26" s="18">
        <f t="shared" si="21"/>
        <v>-3.7633681118553086E-2</v>
      </c>
      <c r="S26" t="str">
        <f t="shared" si="46"/>
        <v>C</v>
      </c>
      <c r="T26">
        <v>0</v>
      </c>
      <c r="V26" s="17">
        <f t="shared" si="12"/>
        <v>33603</v>
      </c>
      <c r="W26" s="1">
        <f t="shared" si="13"/>
        <v>-3.7633681118553086E-2</v>
      </c>
      <c r="X26" s="1" t="e">
        <f t="shared" si="14"/>
        <v>#N/A</v>
      </c>
      <c r="Y26" s="1">
        <f t="shared" si="15"/>
        <v>-3.7633681118553086E-2</v>
      </c>
      <c r="Z26" s="1" t="e">
        <f t="shared" si="16"/>
        <v>#N/A</v>
      </c>
      <c r="AA26">
        <v>0</v>
      </c>
      <c r="AB26" s="1" t="s">
        <v>19</v>
      </c>
      <c r="AD26" s="17">
        <f t="shared" si="22"/>
        <v>33603</v>
      </c>
      <c r="AE26" s="1">
        <f t="shared" si="23"/>
        <v>-3.7633681118553086E-2</v>
      </c>
      <c r="AF26" s="1" t="e">
        <f t="shared" si="24"/>
        <v>#N/A</v>
      </c>
      <c r="AG26" s="1">
        <f t="shared" si="25"/>
        <v>-3.7633681118553086E-2</v>
      </c>
      <c r="AH26" s="1" t="e">
        <f t="shared" si="26"/>
        <v>#N/A</v>
      </c>
      <c r="AK26" s="1"/>
      <c r="AL26" s="1"/>
      <c r="AM26" s="1"/>
      <c r="AN26" s="1"/>
      <c r="AO26" s="17">
        <f t="shared" si="31"/>
        <v>33603</v>
      </c>
      <c r="AP26">
        <f t="shared" si="32"/>
        <v>1</v>
      </c>
      <c r="AQ26">
        <f t="shared" si="33"/>
        <v>1</v>
      </c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7" t="e">
        <f t="shared" ref="BL26" si="53">#REF!</f>
        <v>#REF!</v>
      </c>
      <c r="BM26">
        <f t="shared" si="18"/>
        <v>1</v>
      </c>
      <c r="BN26">
        <f t="shared" si="19"/>
        <v>1</v>
      </c>
    </row>
    <row r="27" spans="1:66">
      <c r="A27" s="7">
        <v>33634</v>
      </c>
      <c r="B27" s="8">
        <v>-3.8646E-2</v>
      </c>
      <c r="C27" s="8">
        <f t="shared" si="6"/>
        <v>-6.9927887310516496E-2</v>
      </c>
      <c r="D27" s="9">
        <f t="shared" si="2"/>
        <v>-0.34963943655258245</v>
      </c>
      <c r="E27" s="8">
        <v>3.2</v>
      </c>
      <c r="F27" s="8">
        <f t="shared" si="7"/>
        <v>-0.54229057441053752</v>
      </c>
      <c r="G27" s="9">
        <f t="shared" si="3"/>
        <v>-4.9299143128230687E-2</v>
      </c>
      <c r="H27" s="8">
        <v>-0.1196</v>
      </c>
      <c r="I27" s="8">
        <f t="shared" si="8"/>
        <v>-0.37780046676194501</v>
      </c>
      <c r="J27" s="9">
        <f t="shared" si="9"/>
        <v>-0.177800466761945</v>
      </c>
      <c r="K27" s="8">
        <v>0.97499999999999998</v>
      </c>
      <c r="L27" s="8">
        <f t="shared" si="10"/>
        <v>0.70049210997814004</v>
      </c>
      <c r="M27" s="9">
        <f t="shared" si="4"/>
        <v>0.70049210997814004</v>
      </c>
      <c r="O27" s="11">
        <f t="shared" si="11"/>
        <v>6.6371563000234529E-2</v>
      </c>
      <c r="P27" s="15" t="str">
        <f t="shared" si="20"/>
        <v>E</v>
      </c>
      <c r="Q27" t="str">
        <f t="shared" si="30"/>
        <v>E</v>
      </c>
      <c r="R27" s="18">
        <f t="shared" si="21"/>
        <v>6.6371563000234529E-2</v>
      </c>
      <c r="S27" t="str">
        <f t="shared" si="46"/>
        <v>E</v>
      </c>
      <c r="T27">
        <v>0</v>
      </c>
      <c r="V27" s="17">
        <f t="shared" si="12"/>
        <v>33634</v>
      </c>
      <c r="W27" s="1">
        <f t="shared" si="13"/>
        <v>6.6371563000234529E-2</v>
      </c>
      <c r="X27" s="1" t="e">
        <f t="shared" si="14"/>
        <v>#N/A</v>
      </c>
      <c r="Y27" s="1" t="e">
        <f t="shared" si="15"/>
        <v>#N/A</v>
      </c>
      <c r="Z27" s="1" t="e">
        <f t="shared" si="16"/>
        <v>#N/A</v>
      </c>
      <c r="AA27">
        <v>0</v>
      </c>
      <c r="AB27" s="1" t="s">
        <v>19</v>
      </c>
      <c r="AD27" s="17">
        <f t="shared" si="22"/>
        <v>33634</v>
      </c>
      <c r="AE27" s="1">
        <f t="shared" si="23"/>
        <v>6.6371563000234529E-2</v>
      </c>
      <c r="AF27" s="1" t="e">
        <f t="shared" si="24"/>
        <v>#N/A</v>
      </c>
      <c r="AG27" s="1" t="e">
        <f t="shared" si="25"/>
        <v>#N/A</v>
      </c>
      <c r="AH27" s="1" t="e">
        <f t="shared" si="26"/>
        <v>#N/A</v>
      </c>
      <c r="AK27" s="1"/>
      <c r="AL27" s="1"/>
      <c r="AM27" s="1"/>
      <c r="AN27" s="1"/>
      <c r="AO27" s="17">
        <f t="shared" si="31"/>
        <v>33634</v>
      </c>
      <c r="AP27">
        <f t="shared" si="32"/>
        <v>4</v>
      </c>
      <c r="AQ27">
        <f t="shared" si="33"/>
        <v>4</v>
      </c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7" t="e">
        <f t="shared" ref="BL27" si="54">#REF!</f>
        <v>#REF!</v>
      </c>
      <c r="BM27">
        <f t="shared" si="18"/>
        <v>4</v>
      </c>
      <c r="BN27">
        <f t="shared" si="19"/>
        <v>1</v>
      </c>
    </row>
    <row r="28" spans="1:66">
      <c r="A28" s="7">
        <v>33663</v>
      </c>
      <c r="B28" s="8">
        <v>0.12857199999999999</v>
      </c>
      <c r="C28" s="8">
        <f t="shared" si="6"/>
        <v>-1.3355419427019295E-2</v>
      </c>
      <c r="D28" s="9">
        <f t="shared" si="2"/>
        <v>-6.6777097135096469E-2</v>
      </c>
      <c r="E28" s="8">
        <v>3.8</v>
      </c>
      <c r="F28" s="8">
        <f t="shared" si="7"/>
        <v>0.69526223929646558</v>
      </c>
      <c r="G28" s="9">
        <f t="shared" si="3"/>
        <v>6.3205658117860511E-2</v>
      </c>
      <c r="H28" s="8">
        <v>0.3049</v>
      </c>
      <c r="I28" s="8">
        <f t="shared" si="8"/>
        <v>-0.18323083373479063</v>
      </c>
      <c r="J28" s="9">
        <f t="shared" si="9"/>
        <v>1.6769166265209384E-2</v>
      </c>
      <c r="K28" s="8">
        <v>0.998</v>
      </c>
      <c r="L28" s="8">
        <f t="shared" si="10"/>
        <v>0.78528185863437017</v>
      </c>
      <c r="M28" s="9">
        <f t="shared" si="4"/>
        <v>0.78528185863437017</v>
      </c>
      <c r="O28" s="11">
        <f t="shared" si="11"/>
        <v>0.219147854817895</v>
      </c>
      <c r="P28" s="15" t="str">
        <f t="shared" si="20"/>
        <v>E</v>
      </c>
      <c r="Q28" t="str">
        <f t="shared" si="30"/>
        <v>E</v>
      </c>
      <c r="R28" s="18">
        <f t="shared" si="21"/>
        <v>6.6371563000234529E-2</v>
      </c>
      <c r="S28" t="str">
        <f t="shared" si="46"/>
        <v>E</v>
      </c>
      <c r="T28">
        <v>0</v>
      </c>
      <c r="V28" s="17">
        <f t="shared" si="12"/>
        <v>33663</v>
      </c>
      <c r="W28" s="1">
        <f t="shared" si="13"/>
        <v>0.219147854817895</v>
      </c>
      <c r="X28" s="1" t="e">
        <f t="shared" si="14"/>
        <v>#N/A</v>
      </c>
      <c r="Y28" s="1" t="e">
        <f t="shared" si="15"/>
        <v>#N/A</v>
      </c>
      <c r="Z28" s="1" t="e">
        <f t="shared" si="16"/>
        <v>#N/A</v>
      </c>
      <c r="AA28">
        <v>0</v>
      </c>
      <c r="AB28" s="1" t="s">
        <v>19</v>
      </c>
      <c r="AD28" s="17">
        <f t="shared" si="22"/>
        <v>33663</v>
      </c>
      <c r="AE28" s="1">
        <f t="shared" si="23"/>
        <v>0.219147854817895</v>
      </c>
      <c r="AF28" s="1" t="e">
        <f t="shared" si="24"/>
        <v>#N/A</v>
      </c>
      <c r="AG28" s="1" t="e">
        <f t="shared" si="25"/>
        <v>#N/A</v>
      </c>
      <c r="AH28" s="1" t="e">
        <f t="shared" si="26"/>
        <v>#N/A</v>
      </c>
      <c r="AK28" s="1"/>
      <c r="AL28" s="1"/>
      <c r="AM28" s="1"/>
      <c r="AN28" s="1"/>
      <c r="AO28" s="17">
        <f t="shared" si="31"/>
        <v>33663</v>
      </c>
      <c r="AP28">
        <f t="shared" si="32"/>
        <v>4</v>
      </c>
      <c r="AQ28">
        <f t="shared" si="33"/>
        <v>4</v>
      </c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7" t="e">
        <f t="shared" ref="BL28" si="55">#REF!</f>
        <v>#REF!</v>
      </c>
      <c r="BM28">
        <f t="shared" si="18"/>
        <v>4</v>
      </c>
      <c r="BN28">
        <f t="shared" si="19"/>
        <v>1</v>
      </c>
    </row>
    <row r="29" spans="1:66">
      <c r="A29" s="7">
        <v>33694</v>
      </c>
      <c r="B29" s="8">
        <v>9.8413E-2</v>
      </c>
      <c r="C29" s="8">
        <f t="shared" si="6"/>
        <v>1.8498580109681209E-2</v>
      </c>
      <c r="D29" s="9">
        <f t="shared" si="2"/>
        <v>9.2492900548406046E-2</v>
      </c>
      <c r="E29" s="8">
        <v>5.2</v>
      </c>
      <c r="F29" s="8">
        <f t="shared" si="7"/>
        <v>1.979112501096973</v>
      </c>
      <c r="G29" s="9">
        <f t="shared" si="3"/>
        <v>0.17991931828154301</v>
      </c>
      <c r="H29" s="8">
        <v>0.4783</v>
      </c>
      <c r="I29" s="8">
        <f t="shared" si="8"/>
        <v>5.3054538796247219E-3</v>
      </c>
      <c r="J29" s="9">
        <f t="shared" si="9"/>
        <v>0.20530545387962473</v>
      </c>
      <c r="K29" s="8">
        <v>1.2669999999999999</v>
      </c>
      <c r="L29" s="8">
        <f t="shared" si="10"/>
        <v>0.92257152892357475</v>
      </c>
      <c r="M29" s="9">
        <f t="shared" si="4"/>
        <v>0.92257152892357475</v>
      </c>
      <c r="O29" s="11">
        <f t="shared" si="11"/>
        <v>0.36657408233115857</v>
      </c>
      <c r="P29" s="15" t="str">
        <f t="shared" si="20"/>
        <v>E</v>
      </c>
      <c r="Q29" t="str">
        <f t="shared" si="30"/>
        <v>E</v>
      </c>
      <c r="R29" s="18">
        <f t="shared" si="21"/>
        <v>6.6371563000234529E-2</v>
      </c>
      <c r="S29" t="str">
        <f t="shared" si="46"/>
        <v>E</v>
      </c>
      <c r="T29">
        <v>0</v>
      </c>
      <c r="V29" s="17">
        <f t="shared" si="12"/>
        <v>33694</v>
      </c>
      <c r="W29" s="1">
        <f t="shared" si="13"/>
        <v>0.36657408233115857</v>
      </c>
      <c r="X29" s="1" t="e">
        <f t="shared" si="14"/>
        <v>#N/A</v>
      </c>
      <c r="Y29" s="1" t="e">
        <f t="shared" si="15"/>
        <v>#N/A</v>
      </c>
      <c r="Z29" s="1" t="e">
        <f t="shared" si="16"/>
        <v>#N/A</v>
      </c>
      <c r="AA29">
        <v>0</v>
      </c>
      <c r="AB29" s="1" t="s">
        <v>19</v>
      </c>
      <c r="AD29" s="17">
        <f t="shared" si="22"/>
        <v>33694</v>
      </c>
      <c r="AE29" s="1">
        <f t="shared" si="23"/>
        <v>0.36657408233115857</v>
      </c>
      <c r="AF29" s="1" t="e">
        <f t="shared" si="24"/>
        <v>#N/A</v>
      </c>
      <c r="AG29" s="1" t="e">
        <f t="shared" si="25"/>
        <v>#N/A</v>
      </c>
      <c r="AH29" s="1" t="e">
        <f t="shared" si="26"/>
        <v>#N/A</v>
      </c>
      <c r="AK29" s="1"/>
      <c r="AL29" s="1"/>
      <c r="AM29" s="1"/>
      <c r="AN29" s="1"/>
      <c r="AO29" s="17">
        <f t="shared" si="31"/>
        <v>33694</v>
      </c>
      <c r="AP29">
        <f t="shared" si="32"/>
        <v>4</v>
      </c>
      <c r="AQ29">
        <f t="shared" si="33"/>
        <v>4</v>
      </c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7" t="e">
        <f t="shared" ref="BL29" si="56">#REF!</f>
        <v>#REF!</v>
      </c>
      <c r="BM29">
        <f t="shared" si="18"/>
        <v>4</v>
      </c>
      <c r="BN29">
        <f t="shared" si="19"/>
        <v>1</v>
      </c>
    </row>
    <row r="30" spans="1:66">
      <c r="A30" s="7">
        <v>33724</v>
      </c>
      <c r="B30" s="8">
        <v>2.6377000000000001E-2</v>
      </c>
      <c r="C30" s="8">
        <f t="shared" si="6"/>
        <v>2.0743929778422064E-2</v>
      </c>
      <c r="D30" s="9">
        <f t="shared" si="2"/>
        <v>0.10371964889211031</v>
      </c>
      <c r="E30" s="8">
        <v>5</v>
      </c>
      <c r="F30" s="8">
        <f t="shared" si="7"/>
        <v>2.840065438284336</v>
      </c>
      <c r="G30" s="9">
        <f t="shared" si="3"/>
        <v>0.25818776711675784</v>
      </c>
      <c r="H30" s="8">
        <v>0.38200000000000001</v>
      </c>
      <c r="I30" s="8">
        <f t="shared" si="8"/>
        <v>0.11266339952393169</v>
      </c>
      <c r="J30" s="9">
        <f t="shared" si="9"/>
        <v>0.31266339952393168</v>
      </c>
      <c r="K30" s="8">
        <v>1.2270000000000001</v>
      </c>
      <c r="L30" s="8">
        <f t="shared" si="10"/>
        <v>1.0093336431803559</v>
      </c>
      <c r="M30" s="9">
        <f t="shared" si="4"/>
        <v>1.0093336431803559</v>
      </c>
      <c r="O30" s="11">
        <f t="shared" si="11"/>
        <v>0.46094687318496019</v>
      </c>
      <c r="P30" s="15" t="str">
        <f t="shared" si="20"/>
        <v>E</v>
      </c>
      <c r="Q30" t="str">
        <f t="shared" si="30"/>
        <v>E</v>
      </c>
      <c r="R30" s="18">
        <f t="shared" si="21"/>
        <v>6.6371563000234529E-2</v>
      </c>
      <c r="S30" t="str">
        <f t="shared" si="46"/>
        <v>E</v>
      </c>
      <c r="T30">
        <v>0</v>
      </c>
      <c r="V30" s="17">
        <f t="shared" si="12"/>
        <v>33724</v>
      </c>
      <c r="W30" s="1">
        <f t="shared" si="13"/>
        <v>0.46094687318496019</v>
      </c>
      <c r="X30" s="1" t="e">
        <f t="shared" si="14"/>
        <v>#N/A</v>
      </c>
      <c r="Y30" s="1" t="e">
        <f t="shared" si="15"/>
        <v>#N/A</v>
      </c>
      <c r="Z30" s="1" t="e">
        <f t="shared" si="16"/>
        <v>#N/A</v>
      </c>
      <c r="AA30">
        <v>0</v>
      </c>
      <c r="AB30" s="1" t="s">
        <v>19</v>
      </c>
      <c r="AD30" s="17">
        <f t="shared" si="22"/>
        <v>33724</v>
      </c>
      <c r="AE30" s="1">
        <f t="shared" si="23"/>
        <v>0.46094687318496019</v>
      </c>
      <c r="AF30" s="1" t="e">
        <f t="shared" si="24"/>
        <v>#N/A</v>
      </c>
      <c r="AG30" s="1" t="e">
        <f t="shared" si="25"/>
        <v>#N/A</v>
      </c>
      <c r="AH30" s="1" t="e">
        <f t="shared" si="26"/>
        <v>#N/A</v>
      </c>
      <c r="AK30" s="1"/>
      <c r="AL30" s="1"/>
      <c r="AM30" s="1"/>
      <c r="AN30" s="1"/>
      <c r="AO30" s="17">
        <f t="shared" si="31"/>
        <v>33724</v>
      </c>
      <c r="AP30">
        <f t="shared" si="32"/>
        <v>4</v>
      </c>
      <c r="AQ30">
        <f t="shared" si="33"/>
        <v>4</v>
      </c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7" t="e">
        <f t="shared" ref="BL30" si="57">#REF!</f>
        <v>#REF!</v>
      </c>
      <c r="BM30">
        <f t="shared" si="18"/>
        <v>4</v>
      </c>
      <c r="BN30">
        <f t="shared" si="19"/>
        <v>1</v>
      </c>
    </row>
    <row r="31" spans="1:66">
      <c r="A31" s="7">
        <v>33755</v>
      </c>
      <c r="B31" s="8">
        <v>-5.9547999999999997E-2</v>
      </c>
      <c r="C31" s="8">
        <f t="shared" si="6"/>
        <v>-2.1392702084282265E-3</v>
      </c>
      <c r="D31" s="9">
        <f t="shared" si="2"/>
        <v>-1.0696351042141132E-2</v>
      </c>
      <c r="E31" s="8">
        <v>5.3</v>
      </c>
      <c r="F31" s="8">
        <f t="shared" si="7"/>
        <v>3.5411467883733003</v>
      </c>
      <c r="G31" s="9">
        <f t="shared" si="3"/>
        <v>0.32192243530666365</v>
      </c>
      <c r="H31" s="8">
        <v>-5.8700000000000002E-2</v>
      </c>
      <c r="I31" s="8">
        <f t="shared" si="8"/>
        <v>6.3824830659611143E-2</v>
      </c>
      <c r="J31" s="9">
        <f t="shared" si="9"/>
        <v>0.26382483065961115</v>
      </c>
      <c r="K31" s="8">
        <v>1.2490000000000001</v>
      </c>
      <c r="L31" s="8">
        <f t="shared" si="10"/>
        <v>1.0776385548739547</v>
      </c>
      <c r="M31" s="9">
        <f t="shared" si="4"/>
        <v>1.0776385548739547</v>
      </c>
      <c r="O31" s="11">
        <f t="shared" si="11"/>
        <v>0.47882571069088298</v>
      </c>
      <c r="P31" s="15" t="str">
        <f t="shared" si="20"/>
        <v>E</v>
      </c>
      <c r="Q31" t="str">
        <f t="shared" si="30"/>
        <v>E</v>
      </c>
      <c r="R31" s="18">
        <f t="shared" si="21"/>
        <v>6.6371563000234529E-2</v>
      </c>
      <c r="S31" t="str">
        <f t="shared" si="46"/>
        <v>E</v>
      </c>
      <c r="T31">
        <v>0</v>
      </c>
      <c r="V31" s="17">
        <f t="shared" si="12"/>
        <v>33755</v>
      </c>
      <c r="W31" s="1">
        <f t="shared" si="13"/>
        <v>0.47882571069088298</v>
      </c>
      <c r="X31" s="1" t="e">
        <f t="shared" si="14"/>
        <v>#N/A</v>
      </c>
      <c r="Y31" s="1" t="e">
        <f t="shared" si="15"/>
        <v>#N/A</v>
      </c>
      <c r="Z31" s="1" t="e">
        <f t="shared" si="16"/>
        <v>#N/A</v>
      </c>
      <c r="AA31">
        <v>0</v>
      </c>
      <c r="AB31" s="1" t="s">
        <v>19</v>
      </c>
      <c r="AD31" s="17">
        <f t="shared" si="22"/>
        <v>33755</v>
      </c>
      <c r="AE31" s="1">
        <f t="shared" si="23"/>
        <v>0.47882571069088298</v>
      </c>
      <c r="AF31" s="1" t="e">
        <f t="shared" si="24"/>
        <v>#N/A</v>
      </c>
      <c r="AG31" s="1" t="e">
        <f t="shared" si="25"/>
        <v>#N/A</v>
      </c>
      <c r="AH31" s="1" t="e">
        <f t="shared" si="26"/>
        <v>#N/A</v>
      </c>
      <c r="AK31" s="1"/>
      <c r="AL31" s="1"/>
      <c r="AM31" s="1"/>
      <c r="AN31" s="1"/>
      <c r="AO31" s="17">
        <f t="shared" si="31"/>
        <v>33755</v>
      </c>
      <c r="AP31">
        <f t="shared" si="32"/>
        <v>4</v>
      </c>
      <c r="AQ31">
        <f t="shared" si="33"/>
        <v>4</v>
      </c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7" t="e">
        <f t="shared" ref="BL31" si="58">#REF!</f>
        <v>#REF!</v>
      </c>
      <c r="BM31">
        <f t="shared" si="18"/>
        <v>4</v>
      </c>
      <c r="BN31">
        <f t="shared" si="19"/>
        <v>1</v>
      </c>
    </row>
    <row r="32" spans="1:66">
      <c r="A32" s="7">
        <v>33785</v>
      </c>
      <c r="B32" s="8">
        <v>2.8479999999999998E-2</v>
      </c>
      <c r="C32" s="8">
        <f t="shared" si="6"/>
        <v>6.5872218009738184E-3</v>
      </c>
      <c r="D32" s="9">
        <f t="shared" si="2"/>
        <v>3.2936109004869089E-2</v>
      </c>
      <c r="E32" s="8">
        <v>6.1</v>
      </c>
      <c r="F32" s="8">
        <f t="shared" si="7"/>
        <v>4.2704199536869094</v>
      </c>
      <c r="G32" s="9">
        <f t="shared" si="3"/>
        <v>0.38821999578971905</v>
      </c>
      <c r="H32" s="8">
        <v>0.18029999999999999</v>
      </c>
      <c r="I32" s="8">
        <f t="shared" si="8"/>
        <v>9.7020253921621974E-2</v>
      </c>
      <c r="J32" s="9">
        <f t="shared" si="9"/>
        <v>0.29702025392162201</v>
      </c>
      <c r="K32" s="8">
        <v>1.1599999999999999</v>
      </c>
      <c r="L32" s="8">
        <f t="shared" si="10"/>
        <v>1.1011115667348776</v>
      </c>
      <c r="M32" s="9">
        <f t="shared" si="4"/>
        <v>1.1011115667348776</v>
      </c>
      <c r="O32" s="11">
        <f t="shared" si="11"/>
        <v>0.51930988768943576</v>
      </c>
      <c r="P32" s="15" t="str">
        <f t="shared" si="20"/>
        <v>E</v>
      </c>
      <c r="Q32" t="str">
        <f t="shared" si="30"/>
        <v>E</v>
      </c>
      <c r="R32" s="18">
        <f t="shared" si="21"/>
        <v>6.6371563000234529E-2</v>
      </c>
      <c r="S32" t="str">
        <f t="shared" si="46"/>
        <v>E</v>
      </c>
      <c r="T32">
        <v>0</v>
      </c>
      <c r="V32" s="17">
        <f t="shared" si="12"/>
        <v>33785</v>
      </c>
      <c r="W32" s="1">
        <f t="shared" si="13"/>
        <v>0.51930988768943576</v>
      </c>
      <c r="X32" s="1" t="e">
        <f t="shared" si="14"/>
        <v>#N/A</v>
      </c>
      <c r="Y32" s="1" t="e">
        <f t="shared" si="15"/>
        <v>#N/A</v>
      </c>
      <c r="Z32" s="1" t="e">
        <f t="shared" si="16"/>
        <v>#N/A</v>
      </c>
      <c r="AA32">
        <v>0</v>
      </c>
      <c r="AB32" s="1" t="s">
        <v>19</v>
      </c>
      <c r="AD32" s="17">
        <f t="shared" si="22"/>
        <v>33785</v>
      </c>
      <c r="AE32" s="1">
        <f t="shared" si="23"/>
        <v>0.51930988768943576</v>
      </c>
      <c r="AF32" s="1" t="e">
        <f t="shared" si="24"/>
        <v>#N/A</v>
      </c>
      <c r="AG32" s="1" t="e">
        <f t="shared" si="25"/>
        <v>#N/A</v>
      </c>
      <c r="AH32" s="1" t="e">
        <f t="shared" si="26"/>
        <v>#N/A</v>
      </c>
      <c r="AK32" s="1"/>
      <c r="AL32" s="1"/>
      <c r="AM32" s="1"/>
      <c r="AN32" s="1"/>
      <c r="AO32" s="17">
        <f t="shared" si="31"/>
        <v>33785</v>
      </c>
      <c r="AP32">
        <f t="shared" si="32"/>
        <v>4</v>
      </c>
      <c r="AQ32">
        <f t="shared" si="33"/>
        <v>4</v>
      </c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7" t="e">
        <f t="shared" ref="BL32" si="59">#REF!</f>
        <v>#REF!</v>
      </c>
      <c r="BM32">
        <f t="shared" si="18"/>
        <v>4</v>
      </c>
      <c r="BN32">
        <f t="shared" si="19"/>
        <v>1</v>
      </c>
    </row>
    <row r="33" spans="1:66">
      <c r="A33" s="7">
        <v>33816</v>
      </c>
      <c r="B33" s="8">
        <v>-3.6608000000000002E-2</v>
      </c>
      <c r="C33" s="8">
        <f t="shared" si="6"/>
        <v>-5.7234164123037218E-3</v>
      </c>
      <c r="D33" s="9">
        <f t="shared" si="2"/>
        <v>-2.8617082061518608E-2</v>
      </c>
      <c r="E33" s="8">
        <v>5.4</v>
      </c>
      <c r="F33" s="8">
        <f t="shared" si="7"/>
        <v>4.5923502668861405</v>
      </c>
      <c r="G33" s="9">
        <f t="shared" si="3"/>
        <v>0.41748638789874004</v>
      </c>
      <c r="H33" s="8">
        <v>0.2056</v>
      </c>
      <c r="I33" s="8">
        <f t="shared" si="8"/>
        <v>0.1279654815539597</v>
      </c>
      <c r="J33" s="9">
        <f t="shared" si="9"/>
        <v>0.32796548155395971</v>
      </c>
      <c r="K33" s="8">
        <v>1.421</v>
      </c>
      <c r="L33" s="8">
        <f t="shared" si="10"/>
        <v>1.1922797702154375</v>
      </c>
      <c r="M33" s="9">
        <f t="shared" si="4"/>
        <v>1.1922797702154375</v>
      </c>
      <c r="O33" s="11">
        <f t="shared" si="11"/>
        <v>0.56967786606158299</v>
      </c>
      <c r="P33" s="15" t="str">
        <f t="shared" si="20"/>
        <v>E</v>
      </c>
      <c r="Q33" t="str">
        <f t="shared" si="30"/>
        <v>E</v>
      </c>
      <c r="R33" s="18">
        <f t="shared" si="21"/>
        <v>6.6371563000234529E-2</v>
      </c>
      <c r="S33" t="str">
        <f t="shared" si="46"/>
        <v>E</v>
      </c>
      <c r="T33">
        <v>0</v>
      </c>
      <c r="V33" s="17">
        <f t="shared" si="12"/>
        <v>33816</v>
      </c>
      <c r="W33" s="1">
        <f t="shared" si="13"/>
        <v>0.56967786606158299</v>
      </c>
      <c r="X33" s="1">
        <f t="shared" si="14"/>
        <v>0.56967786606158299</v>
      </c>
      <c r="Y33" s="1" t="e">
        <f t="shared" si="15"/>
        <v>#N/A</v>
      </c>
      <c r="Z33" s="1" t="e">
        <f t="shared" si="16"/>
        <v>#N/A</v>
      </c>
      <c r="AA33">
        <v>0</v>
      </c>
      <c r="AB33" s="1" t="s">
        <v>19</v>
      </c>
      <c r="AD33" s="17">
        <f t="shared" si="22"/>
        <v>33816</v>
      </c>
      <c r="AE33" s="1">
        <f t="shared" si="23"/>
        <v>0.56967786606158299</v>
      </c>
      <c r="AF33" s="1">
        <f t="shared" si="24"/>
        <v>0.56967786606158299</v>
      </c>
      <c r="AG33" s="1" t="e">
        <f t="shared" si="25"/>
        <v>#N/A</v>
      </c>
      <c r="AH33" s="1" t="e">
        <f t="shared" si="26"/>
        <v>#N/A</v>
      </c>
      <c r="AK33" s="1"/>
      <c r="AL33" s="1"/>
      <c r="AM33" s="1"/>
      <c r="AN33" s="1"/>
      <c r="AO33" s="17">
        <f t="shared" si="31"/>
        <v>33816</v>
      </c>
      <c r="AP33">
        <f t="shared" si="32"/>
        <v>4</v>
      </c>
      <c r="AQ33">
        <f t="shared" si="33"/>
        <v>4</v>
      </c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7" t="e">
        <f t="shared" ref="BL33" si="60">#REF!</f>
        <v>#REF!</v>
      </c>
      <c r="BM33">
        <f t="shared" si="18"/>
        <v>4</v>
      </c>
      <c r="BN33">
        <f t="shared" si="19"/>
        <v>1</v>
      </c>
    </row>
    <row r="34" spans="1:66">
      <c r="A34" s="7">
        <v>33847</v>
      </c>
      <c r="B34" s="8">
        <v>6.8640999999999994E-2</v>
      </c>
      <c r="C34" s="8">
        <f t="shared" si="6"/>
        <v>1.547044226520284E-2</v>
      </c>
      <c r="D34" s="9">
        <f t="shared" si="2"/>
        <v>7.7352211326014192E-2</v>
      </c>
      <c r="E34" s="8">
        <v>5.5</v>
      </c>
      <c r="F34" s="8">
        <f t="shared" si="7"/>
        <v>4.8510304408235907</v>
      </c>
      <c r="G34" s="9">
        <f t="shared" si="3"/>
        <v>0.44100276734759913</v>
      </c>
      <c r="H34" s="8">
        <v>-0.57010000000000005</v>
      </c>
      <c r="I34" s="8">
        <f t="shared" si="8"/>
        <v>-7.0983180688918845E-2</v>
      </c>
      <c r="J34" s="9">
        <f t="shared" si="9"/>
        <v>0.12901681931108117</v>
      </c>
      <c r="K34" s="8">
        <v>0.86199999999999999</v>
      </c>
      <c r="L34" s="8">
        <f t="shared" si="10"/>
        <v>1.0981500357040377</v>
      </c>
      <c r="M34" s="9">
        <f t="shared" si="4"/>
        <v>1.0981500357040377</v>
      </c>
      <c r="O34" s="11">
        <f t="shared" si="11"/>
        <v>0.5011311940067591</v>
      </c>
      <c r="P34" s="15" t="str">
        <f t="shared" si="20"/>
        <v>SD</v>
      </c>
      <c r="Q34" t="str">
        <f t="shared" si="30"/>
        <v>SD</v>
      </c>
      <c r="R34" s="18">
        <f t="shared" si="21"/>
        <v>0.5011311940067591</v>
      </c>
      <c r="S34" t="str">
        <f t="shared" si="46"/>
        <v>SD</v>
      </c>
      <c r="T34">
        <v>0</v>
      </c>
      <c r="V34" s="17">
        <f t="shared" si="12"/>
        <v>33847</v>
      </c>
      <c r="W34" s="1" t="e">
        <f t="shared" si="13"/>
        <v>#N/A</v>
      </c>
      <c r="X34" s="1">
        <f t="shared" si="14"/>
        <v>0.5011311940067591</v>
      </c>
      <c r="Y34" s="1" t="e">
        <f t="shared" si="15"/>
        <v>#N/A</v>
      </c>
      <c r="Z34" s="1" t="e">
        <f t="shared" si="16"/>
        <v>#N/A</v>
      </c>
      <c r="AA34">
        <v>0</v>
      </c>
      <c r="AB34" s="1" t="s">
        <v>19</v>
      </c>
      <c r="AD34" s="17">
        <f t="shared" si="22"/>
        <v>33847</v>
      </c>
      <c r="AE34" s="1" t="e">
        <f t="shared" si="23"/>
        <v>#N/A</v>
      </c>
      <c r="AF34" s="1">
        <f t="shared" si="24"/>
        <v>0.5011311940067591</v>
      </c>
      <c r="AG34" s="1" t="e">
        <f t="shared" si="25"/>
        <v>#N/A</v>
      </c>
      <c r="AH34" s="1" t="e">
        <f t="shared" si="26"/>
        <v>#N/A</v>
      </c>
      <c r="AK34" s="1"/>
      <c r="AL34" s="1"/>
      <c r="AM34" s="1"/>
      <c r="AN34" s="1"/>
      <c r="AO34" s="17">
        <f t="shared" si="31"/>
        <v>33847</v>
      </c>
      <c r="AP34">
        <f t="shared" si="32"/>
        <v>3</v>
      </c>
      <c r="AQ34">
        <f t="shared" si="33"/>
        <v>3</v>
      </c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7" t="e">
        <f t="shared" ref="BL34" si="61">#REF!</f>
        <v>#REF!</v>
      </c>
      <c r="BM34">
        <f t="shared" si="18"/>
        <v>3</v>
      </c>
      <c r="BN34">
        <f t="shared" si="19"/>
        <v>1</v>
      </c>
    </row>
    <row r="35" spans="1:66">
      <c r="A35" s="7">
        <v>33877</v>
      </c>
      <c r="B35" s="8">
        <v>-9.0376999999999999E-2</v>
      </c>
      <c r="C35" s="8">
        <f t="shared" si="6"/>
        <v>-1.4696078780379974E-2</v>
      </c>
      <c r="D35" s="9">
        <f t="shared" si="2"/>
        <v>-7.3480393901899865E-2</v>
      </c>
      <c r="E35" s="8">
        <v>5.2</v>
      </c>
      <c r="F35" s="8">
        <f t="shared" si="7"/>
        <v>4.9504867651888675</v>
      </c>
      <c r="G35" s="9">
        <f t="shared" si="3"/>
        <v>0.45004425138080612</v>
      </c>
      <c r="H35" s="8">
        <v>1.43E-2</v>
      </c>
      <c r="I35" s="8">
        <f t="shared" si="8"/>
        <v>-4.6677474192576972E-2</v>
      </c>
      <c r="J35" s="9">
        <f t="shared" si="9"/>
        <v>0.15332252580742303</v>
      </c>
      <c r="K35" s="8">
        <v>0.63200000000000001</v>
      </c>
      <c r="L35" s="8">
        <f t="shared" si="10"/>
        <v>0.96529727552838696</v>
      </c>
      <c r="M35" s="9">
        <f t="shared" si="4"/>
        <v>0.96529727552838696</v>
      </c>
      <c r="O35" s="11">
        <f t="shared" si="11"/>
        <v>0.46053873121483274</v>
      </c>
      <c r="P35" s="15" t="str">
        <f t="shared" si="20"/>
        <v>SD</v>
      </c>
      <c r="Q35" t="str">
        <f t="shared" si="30"/>
        <v>SD</v>
      </c>
      <c r="R35" s="18">
        <f t="shared" si="21"/>
        <v>0.5011311940067591</v>
      </c>
      <c r="S35" t="str">
        <f t="shared" si="46"/>
        <v>SD</v>
      </c>
      <c r="T35">
        <v>0</v>
      </c>
      <c r="V35" s="17">
        <f t="shared" si="12"/>
        <v>33877</v>
      </c>
      <c r="W35" s="1" t="e">
        <f t="shared" si="13"/>
        <v>#N/A</v>
      </c>
      <c r="X35" s="1">
        <f t="shared" si="14"/>
        <v>0.46053873121483274</v>
      </c>
      <c r="Y35" s="1" t="e">
        <f t="shared" si="15"/>
        <v>#N/A</v>
      </c>
      <c r="Z35" s="1" t="e">
        <f t="shared" si="16"/>
        <v>#N/A</v>
      </c>
      <c r="AA35">
        <v>0</v>
      </c>
      <c r="AB35" s="1" t="s">
        <v>19</v>
      </c>
      <c r="AD35" s="17">
        <f t="shared" si="22"/>
        <v>33877</v>
      </c>
      <c r="AE35" s="1" t="e">
        <f t="shared" si="23"/>
        <v>#N/A</v>
      </c>
      <c r="AF35" s="1">
        <f t="shared" si="24"/>
        <v>0.46053873121483274</v>
      </c>
      <c r="AG35" s="1" t="e">
        <f t="shared" si="25"/>
        <v>#N/A</v>
      </c>
      <c r="AH35" s="1" t="e">
        <f t="shared" si="26"/>
        <v>#N/A</v>
      </c>
      <c r="AK35" s="1"/>
      <c r="AL35" s="1"/>
      <c r="AM35" s="1"/>
      <c r="AN35" s="1"/>
      <c r="AO35" s="17">
        <f t="shared" si="31"/>
        <v>33877</v>
      </c>
      <c r="AP35">
        <f t="shared" si="32"/>
        <v>3</v>
      </c>
      <c r="AQ35">
        <f t="shared" si="33"/>
        <v>3</v>
      </c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7" t="e">
        <f t="shared" ref="BL35" si="62">#REF!</f>
        <v>#REF!</v>
      </c>
      <c r="BM35">
        <f t="shared" si="18"/>
        <v>3</v>
      </c>
      <c r="BN35">
        <f t="shared" si="19"/>
        <v>1</v>
      </c>
    </row>
    <row r="36" spans="1:66">
      <c r="A36" s="7">
        <v>33908</v>
      </c>
      <c r="B36" s="8">
        <v>-6.4647999999999997E-2</v>
      </c>
      <c r="C36" s="8">
        <f t="shared" si="6"/>
        <v>-2.8932376327971684E-2</v>
      </c>
      <c r="D36" s="9">
        <f t="shared" si="2"/>
        <v>-0.14466188163985841</v>
      </c>
      <c r="E36" s="8">
        <v>5.3</v>
      </c>
      <c r="F36" s="8">
        <f t="shared" si="7"/>
        <v>5.0500980371100406</v>
      </c>
      <c r="G36" s="9">
        <f t="shared" si="3"/>
        <v>0.45909982155545825</v>
      </c>
      <c r="H36" s="8">
        <v>0.28039999999999998</v>
      </c>
      <c r="I36" s="8">
        <f t="shared" si="8"/>
        <v>4.6539605952307467E-2</v>
      </c>
      <c r="J36" s="9">
        <f t="shared" si="9"/>
        <v>0.24653960595230748</v>
      </c>
      <c r="K36" s="8">
        <v>0.29399999999999998</v>
      </c>
      <c r="L36" s="8">
        <f t="shared" si="10"/>
        <v>0.77397755200279672</v>
      </c>
      <c r="M36" s="9">
        <f t="shared" si="4"/>
        <v>0.77397755200279672</v>
      </c>
      <c r="O36" s="11">
        <f t="shared" si="11"/>
        <v>0.42670223463678725</v>
      </c>
      <c r="P36" s="15" t="str">
        <f t="shared" si="20"/>
        <v>SD</v>
      </c>
      <c r="Q36" t="str">
        <f t="shared" si="30"/>
        <v>SD</v>
      </c>
      <c r="R36" s="18">
        <f t="shared" si="21"/>
        <v>0.5011311940067591</v>
      </c>
      <c r="S36" t="str">
        <f t="shared" si="46"/>
        <v>SD</v>
      </c>
      <c r="T36">
        <v>0</v>
      </c>
      <c r="V36" s="17">
        <f t="shared" si="12"/>
        <v>33908</v>
      </c>
      <c r="W36" s="1">
        <f t="shared" si="13"/>
        <v>0.42670223463678725</v>
      </c>
      <c r="X36" s="1">
        <f t="shared" si="14"/>
        <v>0.42670223463678725</v>
      </c>
      <c r="Y36" s="1" t="e">
        <f t="shared" si="15"/>
        <v>#N/A</v>
      </c>
      <c r="Z36" s="1" t="e">
        <f t="shared" si="16"/>
        <v>#N/A</v>
      </c>
      <c r="AA36">
        <v>0</v>
      </c>
      <c r="AB36" s="1" t="s">
        <v>19</v>
      </c>
      <c r="AD36" s="17">
        <f t="shared" si="22"/>
        <v>33908</v>
      </c>
      <c r="AE36" s="1">
        <f t="shared" si="23"/>
        <v>0.42670223463678725</v>
      </c>
      <c r="AF36" s="1">
        <f t="shared" si="24"/>
        <v>0.42670223463678725</v>
      </c>
      <c r="AG36" s="1" t="e">
        <f t="shared" si="25"/>
        <v>#N/A</v>
      </c>
      <c r="AH36" s="1" t="e">
        <f t="shared" si="26"/>
        <v>#N/A</v>
      </c>
      <c r="AK36" s="1"/>
      <c r="AL36" s="1"/>
      <c r="AM36" s="1"/>
      <c r="AN36" s="1"/>
      <c r="AO36" s="17">
        <f t="shared" si="31"/>
        <v>33908</v>
      </c>
      <c r="AP36">
        <f t="shared" si="32"/>
        <v>3</v>
      </c>
      <c r="AQ36">
        <f t="shared" si="33"/>
        <v>3</v>
      </c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7" t="e">
        <f t="shared" ref="BL36" si="63">#REF!</f>
        <v>#REF!</v>
      </c>
      <c r="BM36">
        <f t="shared" si="18"/>
        <v>3</v>
      </c>
      <c r="BN36">
        <f t="shared" si="19"/>
        <v>1</v>
      </c>
    </row>
    <row r="37" spans="1:66">
      <c r="A37" s="7">
        <v>33938</v>
      </c>
      <c r="B37" s="8">
        <v>7.2317000000000006E-2</v>
      </c>
      <c r="C37" s="8">
        <f t="shared" si="6"/>
        <v>-7.6304074499745911E-5</v>
      </c>
      <c r="D37" s="9">
        <f t="shared" si="2"/>
        <v>-3.8152037249872955E-4</v>
      </c>
      <c r="E37" s="8">
        <v>6.1</v>
      </c>
      <c r="F37" s="8">
        <f t="shared" si="7"/>
        <v>5.3493200965336793</v>
      </c>
      <c r="G37" s="9">
        <f t="shared" si="3"/>
        <v>0.48630182695760721</v>
      </c>
      <c r="H37" s="8">
        <v>0.45660000000000001</v>
      </c>
      <c r="I37" s="8">
        <f t="shared" si="8"/>
        <v>0.16340681825589987</v>
      </c>
      <c r="J37" s="9">
        <f t="shared" si="9"/>
        <v>0.36340681825589988</v>
      </c>
      <c r="K37" s="8">
        <v>0.57499999999999996</v>
      </c>
      <c r="L37" s="8">
        <f t="shared" si="10"/>
        <v>0.71726894968199961</v>
      </c>
      <c r="M37" s="9">
        <f t="shared" si="4"/>
        <v>0.71726894968199961</v>
      </c>
      <c r="O37" s="11">
        <f t="shared" si="11"/>
        <v>0.46189452481075743</v>
      </c>
      <c r="P37" s="15" t="str">
        <f t="shared" si="20"/>
        <v>E</v>
      </c>
      <c r="Q37" t="str">
        <f t="shared" si="30"/>
        <v>SD</v>
      </c>
      <c r="R37" s="18">
        <f t="shared" si="21"/>
        <v>0.5011311940067591</v>
      </c>
      <c r="S37" t="str">
        <f t="shared" si="46"/>
        <v>E</v>
      </c>
      <c r="T37">
        <v>0</v>
      </c>
      <c r="V37" s="17">
        <f t="shared" si="12"/>
        <v>33938</v>
      </c>
      <c r="W37" s="1">
        <f t="shared" si="13"/>
        <v>0.46189452481075743</v>
      </c>
      <c r="X37" s="1" t="e">
        <f t="shared" si="14"/>
        <v>#N/A</v>
      </c>
      <c r="Y37" s="1" t="e">
        <f t="shared" si="15"/>
        <v>#N/A</v>
      </c>
      <c r="Z37" s="1" t="e">
        <f t="shared" si="16"/>
        <v>#N/A</v>
      </c>
      <c r="AA37">
        <v>0</v>
      </c>
      <c r="AB37" s="1" t="s">
        <v>19</v>
      </c>
      <c r="AD37" s="17">
        <f t="shared" si="22"/>
        <v>33938</v>
      </c>
      <c r="AE37" s="1">
        <f t="shared" si="23"/>
        <v>0.46189452481075743</v>
      </c>
      <c r="AF37" s="1" t="e">
        <f t="shared" si="24"/>
        <v>#N/A</v>
      </c>
      <c r="AG37" s="1" t="e">
        <f t="shared" si="25"/>
        <v>#N/A</v>
      </c>
      <c r="AH37" s="1" t="e">
        <f t="shared" si="26"/>
        <v>#N/A</v>
      </c>
      <c r="AK37" s="1"/>
      <c r="AL37" s="1"/>
      <c r="AM37" s="1"/>
      <c r="AN37" s="1"/>
      <c r="AO37" s="17">
        <f t="shared" si="31"/>
        <v>33938</v>
      </c>
      <c r="AP37">
        <f t="shared" si="32"/>
        <v>4</v>
      </c>
      <c r="AQ37">
        <f t="shared" si="33"/>
        <v>3</v>
      </c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7" t="e">
        <f t="shared" ref="BL37" si="64">#REF!</f>
        <v>#REF!</v>
      </c>
      <c r="BM37">
        <f t="shared" si="18"/>
        <v>3</v>
      </c>
      <c r="BN37">
        <f t="shared" si="19"/>
        <v>1</v>
      </c>
    </row>
    <row r="38" spans="1:66">
      <c r="A38" s="7">
        <v>33969</v>
      </c>
      <c r="B38" s="8">
        <v>0.245083</v>
      </c>
      <c r="C38" s="8">
        <f t="shared" si="6"/>
        <v>6.979409758673269E-2</v>
      </c>
      <c r="D38" s="9">
        <f t="shared" si="2"/>
        <v>0.34897048793366342</v>
      </c>
      <c r="E38" s="8">
        <v>7.8</v>
      </c>
      <c r="F38" s="8">
        <f t="shared" si="7"/>
        <v>6.0477638690215807</v>
      </c>
      <c r="G38" s="9">
        <f t="shared" si="3"/>
        <v>0.54979671536559827</v>
      </c>
      <c r="H38" s="8">
        <v>0.72770000000000001</v>
      </c>
      <c r="I38" s="8">
        <f t="shared" si="8"/>
        <v>0.32423037505296842</v>
      </c>
      <c r="J38" s="9">
        <f t="shared" si="9"/>
        <v>0.52423037505296843</v>
      </c>
      <c r="K38" s="8">
        <v>1.115</v>
      </c>
      <c r="L38" s="8">
        <f t="shared" si="10"/>
        <v>0.83062229902262974</v>
      </c>
      <c r="M38" s="9">
        <f t="shared" si="4"/>
        <v>0.83062229902262974</v>
      </c>
      <c r="O38" s="11">
        <f t="shared" si="11"/>
        <v>0.5872433991033279</v>
      </c>
      <c r="P38" s="15" t="str">
        <f t="shared" si="20"/>
        <v>E</v>
      </c>
      <c r="Q38" t="str">
        <f t="shared" si="30"/>
        <v>E</v>
      </c>
      <c r="R38" s="18">
        <f t="shared" si="21"/>
        <v>0.5011311940067591</v>
      </c>
      <c r="S38" t="str">
        <f t="shared" si="46"/>
        <v>E</v>
      </c>
      <c r="T38">
        <v>0</v>
      </c>
      <c r="V38" s="17">
        <f t="shared" si="12"/>
        <v>33969</v>
      </c>
      <c r="W38" s="1">
        <f t="shared" si="13"/>
        <v>0.5872433991033279</v>
      </c>
      <c r="X38" s="1" t="e">
        <f t="shared" si="14"/>
        <v>#N/A</v>
      </c>
      <c r="Y38" s="1" t="e">
        <f t="shared" si="15"/>
        <v>#N/A</v>
      </c>
      <c r="Z38" s="1" t="e">
        <f t="shared" si="16"/>
        <v>#N/A</v>
      </c>
      <c r="AA38">
        <v>0</v>
      </c>
      <c r="AB38" s="1" t="s">
        <v>19</v>
      </c>
      <c r="AD38" s="17">
        <f t="shared" si="22"/>
        <v>33969</v>
      </c>
      <c r="AE38" s="1">
        <f t="shared" si="23"/>
        <v>0.5872433991033279</v>
      </c>
      <c r="AF38" s="1" t="e">
        <f t="shared" si="24"/>
        <v>#N/A</v>
      </c>
      <c r="AG38" s="1" t="e">
        <f t="shared" si="25"/>
        <v>#N/A</v>
      </c>
      <c r="AH38" s="1" t="e">
        <f t="shared" si="26"/>
        <v>#N/A</v>
      </c>
      <c r="AK38" s="1"/>
      <c r="AL38" s="1"/>
      <c r="AM38" s="1"/>
      <c r="AN38" s="1"/>
      <c r="AO38" s="17">
        <f t="shared" si="31"/>
        <v>33969</v>
      </c>
      <c r="AP38">
        <f t="shared" si="32"/>
        <v>4</v>
      </c>
      <c r="AQ38">
        <f t="shared" si="33"/>
        <v>4</v>
      </c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7" t="e">
        <f t="shared" ref="BL38" si="65">#REF!</f>
        <v>#REF!</v>
      </c>
      <c r="BM38">
        <f t="shared" si="18"/>
        <v>4</v>
      </c>
      <c r="BN38">
        <f t="shared" si="19"/>
        <v>1</v>
      </c>
    </row>
    <row r="39" spans="1:66">
      <c r="A39" s="7">
        <v>34000</v>
      </c>
      <c r="B39" s="8">
        <v>0.211894</v>
      </c>
      <c r="C39" s="8">
        <f t="shared" si="6"/>
        <v>0.11029256977451388</v>
      </c>
      <c r="D39" s="9">
        <f t="shared" si="2"/>
        <v>0.55146284887256936</v>
      </c>
      <c r="E39" s="8">
        <v>7.7</v>
      </c>
      <c r="F39" s="8">
        <f t="shared" si="7"/>
        <v>6.5186511663504305</v>
      </c>
      <c r="G39" s="9">
        <f t="shared" si="3"/>
        <v>0.59260465148640273</v>
      </c>
      <c r="H39" s="8">
        <v>-0.14410000000000001</v>
      </c>
      <c r="I39" s="8">
        <f t="shared" si="8"/>
        <v>0.19075621816287242</v>
      </c>
      <c r="J39" s="9">
        <f t="shared" si="9"/>
        <v>0.39075621816287243</v>
      </c>
      <c r="K39" s="8">
        <v>0.86899999999999999</v>
      </c>
      <c r="L39" s="8">
        <f t="shared" si="10"/>
        <v>0.84155994380118027</v>
      </c>
      <c r="M39" s="9">
        <f t="shared" si="4"/>
        <v>0.84155994380118027</v>
      </c>
      <c r="O39" s="11">
        <f t="shared" si="11"/>
        <v>0.5897801480861522</v>
      </c>
      <c r="P39" s="15" t="str">
        <f t="shared" si="20"/>
        <v>E</v>
      </c>
      <c r="Q39" t="str">
        <f t="shared" si="30"/>
        <v>E</v>
      </c>
      <c r="R39" s="18">
        <f t="shared" si="21"/>
        <v>0.5011311940067591</v>
      </c>
      <c r="S39" t="str">
        <f t="shared" si="46"/>
        <v>E</v>
      </c>
      <c r="T39">
        <v>0</v>
      </c>
      <c r="V39" s="17">
        <f t="shared" si="12"/>
        <v>34000</v>
      </c>
      <c r="W39" s="1">
        <f t="shared" si="13"/>
        <v>0.5897801480861522</v>
      </c>
      <c r="X39" s="1" t="e">
        <f t="shared" si="14"/>
        <v>#N/A</v>
      </c>
      <c r="Y39" s="1" t="e">
        <f t="shared" si="15"/>
        <v>#N/A</v>
      </c>
      <c r="Z39" s="1" t="e">
        <f t="shared" si="16"/>
        <v>#N/A</v>
      </c>
      <c r="AA39">
        <v>0</v>
      </c>
      <c r="AB39" s="1" t="s">
        <v>19</v>
      </c>
      <c r="AD39" s="17">
        <f t="shared" si="22"/>
        <v>34000</v>
      </c>
      <c r="AE39" s="1">
        <f t="shared" si="23"/>
        <v>0.5897801480861522</v>
      </c>
      <c r="AF39" s="1" t="e">
        <f t="shared" si="24"/>
        <v>#N/A</v>
      </c>
      <c r="AG39" s="1" t="e">
        <f t="shared" si="25"/>
        <v>#N/A</v>
      </c>
      <c r="AH39" s="1" t="e">
        <f t="shared" si="26"/>
        <v>#N/A</v>
      </c>
      <c r="AK39" s="1"/>
      <c r="AL39" s="1"/>
      <c r="AM39" s="1"/>
      <c r="AN39" s="1"/>
      <c r="AO39" s="17">
        <f t="shared" si="31"/>
        <v>34000</v>
      </c>
      <c r="AP39">
        <f t="shared" si="32"/>
        <v>4</v>
      </c>
      <c r="AQ39">
        <f t="shared" si="33"/>
        <v>4</v>
      </c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7" t="e">
        <f t="shared" ref="BL39" si="66">#REF!</f>
        <v>#REF!</v>
      </c>
      <c r="BM39">
        <f t="shared" si="18"/>
        <v>4</v>
      </c>
      <c r="BN39">
        <f t="shared" si="19"/>
        <v>1</v>
      </c>
    </row>
    <row r="40" spans="1:66">
      <c r="A40" s="7">
        <v>34028</v>
      </c>
      <c r="B40" s="8">
        <v>0.23599899999999999</v>
      </c>
      <c r="C40" s="8">
        <f t="shared" si="6"/>
        <v>0.14611890238877742</v>
      </c>
      <c r="D40" s="9">
        <f t="shared" si="2"/>
        <v>0.73059451194388703</v>
      </c>
      <c r="E40" s="8">
        <v>8.1999999999999993</v>
      </c>
      <c r="F40" s="8">
        <f t="shared" si="7"/>
        <v>6.9978355839405584</v>
      </c>
      <c r="G40" s="9">
        <f t="shared" si="3"/>
        <v>0.63616687126732352</v>
      </c>
      <c r="H40" s="8">
        <v>-0.2762</v>
      </c>
      <c r="I40" s="8">
        <f t="shared" si="8"/>
        <v>5.7673695986453749E-2</v>
      </c>
      <c r="J40" s="9">
        <f t="shared" si="9"/>
        <v>0.25767369598645373</v>
      </c>
      <c r="K40" s="8">
        <v>1.1160000000000001</v>
      </c>
      <c r="L40" s="8">
        <f t="shared" si="10"/>
        <v>0.91977535981784397</v>
      </c>
      <c r="M40" s="9">
        <f t="shared" si="4"/>
        <v>0.91977535981784397</v>
      </c>
      <c r="O40" s="11">
        <f t="shared" si="11"/>
        <v>0.60407556338159885</v>
      </c>
      <c r="P40" s="15" t="str">
        <f t="shared" si="20"/>
        <v>E</v>
      </c>
      <c r="Q40" t="str">
        <f t="shared" si="30"/>
        <v>E</v>
      </c>
      <c r="R40" s="18">
        <f t="shared" si="21"/>
        <v>0.5011311940067591</v>
      </c>
      <c r="S40" t="str">
        <f t="shared" si="46"/>
        <v>E</v>
      </c>
      <c r="T40">
        <v>0</v>
      </c>
      <c r="V40" s="17">
        <f t="shared" si="12"/>
        <v>34028</v>
      </c>
      <c r="W40" s="1">
        <f t="shared" si="13"/>
        <v>0.60407556338159885</v>
      </c>
      <c r="X40" s="1">
        <f t="shared" si="14"/>
        <v>0.60407556338159885</v>
      </c>
      <c r="Y40" s="1" t="e">
        <f t="shared" si="15"/>
        <v>#N/A</v>
      </c>
      <c r="Z40" s="1" t="e">
        <f t="shared" si="16"/>
        <v>#N/A</v>
      </c>
      <c r="AA40">
        <v>0</v>
      </c>
      <c r="AB40" s="1" t="s">
        <v>19</v>
      </c>
      <c r="AD40" s="17">
        <f t="shared" si="22"/>
        <v>34028</v>
      </c>
      <c r="AE40" s="1">
        <f t="shared" si="23"/>
        <v>0.60407556338159885</v>
      </c>
      <c r="AF40" s="1" t="e">
        <f t="shared" si="24"/>
        <v>#N/A</v>
      </c>
      <c r="AG40" s="1" t="e">
        <f t="shared" si="25"/>
        <v>#N/A</v>
      </c>
      <c r="AH40" s="1" t="e">
        <f t="shared" si="26"/>
        <v>#N/A</v>
      </c>
      <c r="AK40" s="1"/>
      <c r="AL40" s="1"/>
      <c r="AM40" s="1"/>
      <c r="AN40" s="1"/>
      <c r="AO40" s="17">
        <f t="shared" si="31"/>
        <v>34028</v>
      </c>
      <c r="AP40">
        <f t="shared" si="32"/>
        <v>4</v>
      </c>
      <c r="AQ40">
        <f t="shared" si="33"/>
        <v>4</v>
      </c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7" t="e">
        <f t="shared" ref="BL40" si="67">#REF!</f>
        <v>#REF!</v>
      </c>
      <c r="BM40">
        <f t="shared" si="18"/>
        <v>4</v>
      </c>
      <c r="BN40">
        <f t="shared" si="19"/>
        <v>1</v>
      </c>
    </row>
    <row r="41" spans="1:66">
      <c r="A41" s="7">
        <v>34059</v>
      </c>
      <c r="B41" s="8">
        <v>0.23744000000000001</v>
      </c>
      <c r="C41" s="8">
        <f t="shared" si="6"/>
        <v>0.17214541520797585</v>
      </c>
      <c r="D41" s="9">
        <f t="shared" si="2"/>
        <v>0.86072707603987919</v>
      </c>
      <c r="E41" s="8">
        <v>7.1</v>
      </c>
      <c r="F41" s="8">
        <f t="shared" si="7"/>
        <v>7.0269524425174996</v>
      </c>
      <c r="G41" s="9">
        <f t="shared" si="3"/>
        <v>0.63881385841068183</v>
      </c>
      <c r="H41" s="8">
        <v>-0.55530000000000002</v>
      </c>
      <c r="I41" s="8">
        <f t="shared" si="8"/>
        <v>-0.1170238073696856</v>
      </c>
      <c r="J41" s="9">
        <f t="shared" si="9"/>
        <v>8.2976192630314416E-2</v>
      </c>
      <c r="K41" s="8">
        <v>0.90300000000000002</v>
      </c>
      <c r="L41" s="8">
        <f t="shared" si="10"/>
        <v>0.91499438226975838</v>
      </c>
      <c r="M41" s="9">
        <f t="shared" si="4"/>
        <v>0.91499438226975838</v>
      </c>
      <c r="O41" s="11">
        <f t="shared" si="11"/>
        <v>0.57631394145420678</v>
      </c>
      <c r="P41" s="15" t="str">
        <f t="shared" si="20"/>
        <v>SD</v>
      </c>
      <c r="Q41" t="str">
        <f t="shared" si="30"/>
        <v>E</v>
      </c>
      <c r="R41" s="18">
        <f t="shared" si="21"/>
        <v>0.5011311940067591</v>
      </c>
      <c r="S41" t="str">
        <f t="shared" si="46"/>
        <v>E</v>
      </c>
      <c r="T41">
        <v>0</v>
      </c>
      <c r="V41" s="17">
        <f t="shared" si="12"/>
        <v>34059</v>
      </c>
      <c r="W41" s="1">
        <f t="shared" si="13"/>
        <v>0.57631394145420678</v>
      </c>
      <c r="X41" s="1">
        <f t="shared" si="14"/>
        <v>0.57631394145420678</v>
      </c>
      <c r="Y41" s="1" t="e">
        <f t="shared" si="15"/>
        <v>#N/A</v>
      </c>
      <c r="Z41" s="1" t="e">
        <f t="shared" si="16"/>
        <v>#N/A</v>
      </c>
      <c r="AA41">
        <v>0</v>
      </c>
      <c r="AB41" s="1" t="s">
        <v>19</v>
      </c>
      <c r="AD41" s="17">
        <f t="shared" si="22"/>
        <v>34059</v>
      </c>
      <c r="AE41" s="1">
        <f t="shared" si="23"/>
        <v>0.57631394145420678</v>
      </c>
      <c r="AF41" s="1" t="e">
        <f t="shared" si="24"/>
        <v>#N/A</v>
      </c>
      <c r="AG41" s="1" t="e">
        <f t="shared" si="25"/>
        <v>#N/A</v>
      </c>
      <c r="AH41" s="1" t="e">
        <f t="shared" si="26"/>
        <v>#N/A</v>
      </c>
      <c r="AK41" s="1"/>
      <c r="AL41" s="1"/>
      <c r="AM41" s="1"/>
      <c r="AN41" s="1"/>
      <c r="AO41" s="17">
        <f t="shared" si="31"/>
        <v>34059</v>
      </c>
      <c r="AP41">
        <f t="shared" si="32"/>
        <v>3</v>
      </c>
      <c r="AQ41">
        <f t="shared" si="33"/>
        <v>4</v>
      </c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7" t="e">
        <f t="shared" ref="BL41" si="68">#REF!</f>
        <v>#REF!</v>
      </c>
      <c r="BM41">
        <f t="shared" si="18"/>
        <v>4</v>
      </c>
      <c r="BN41">
        <f t="shared" si="19"/>
        <v>1</v>
      </c>
    </row>
    <row r="42" spans="1:66">
      <c r="A42" s="7">
        <v>34089</v>
      </c>
      <c r="B42" s="8">
        <v>0.14691399999999999</v>
      </c>
      <c r="C42" s="8">
        <f t="shared" si="6"/>
        <v>0.16495446187370275</v>
      </c>
      <c r="D42" s="9">
        <f t="shared" si="2"/>
        <v>0.82477230936851365</v>
      </c>
      <c r="E42" s="8">
        <v>7.1</v>
      </c>
      <c r="F42" s="8">
        <f t="shared" si="7"/>
        <v>7.0477709964000121</v>
      </c>
      <c r="G42" s="9">
        <f t="shared" si="3"/>
        <v>0.64070645421818295</v>
      </c>
      <c r="H42" s="8">
        <v>0.14169999999999999</v>
      </c>
      <c r="I42" s="8">
        <f t="shared" si="8"/>
        <v>-4.3287522269325196E-2</v>
      </c>
      <c r="J42" s="9">
        <f t="shared" si="9"/>
        <v>0.15671247773067482</v>
      </c>
      <c r="K42" s="8">
        <v>1.1919999999999999</v>
      </c>
      <c r="L42" s="8">
        <f t="shared" si="10"/>
        <v>0.99394098332287728</v>
      </c>
      <c r="M42" s="9">
        <f t="shared" si="4"/>
        <v>0.99394098332287728</v>
      </c>
      <c r="O42" s="11">
        <f t="shared" si="11"/>
        <v>0.61931742677612145</v>
      </c>
      <c r="P42" s="15" t="str">
        <f t="shared" si="20"/>
        <v>E</v>
      </c>
      <c r="Q42" t="str">
        <f t="shared" si="30"/>
        <v>E</v>
      </c>
      <c r="R42" s="18">
        <f t="shared" si="21"/>
        <v>0.61931742677612145</v>
      </c>
      <c r="S42" t="str">
        <f t="shared" si="46"/>
        <v>E</v>
      </c>
      <c r="T42">
        <v>0</v>
      </c>
      <c r="V42" s="17">
        <f t="shared" si="12"/>
        <v>34089</v>
      </c>
      <c r="W42" s="1">
        <f t="shared" si="13"/>
        <v>0.61931742677612145</v>
      </c>
      <c r="X42" s="1">
        <f t="shared" si="14"/>
        <v>0.61931742677612145</v>
      </c>
      <c r="Y42" s="1" t="e">
        <f t="shared" si="15"/>
        <v>#N/A</v>
      </c>
      <c r="Z42" s="1" t="e">
        <f t="shared" si="16"/>
        <v>#N/A</v>
      </c>
      <c r="AA42">
        <v>0</v>
      </c>
      <c r="AB42" s="1" t="s">
        <v>19</v>
      </c>
      <c r="AD42" s="17">
        <f t="shared" si="22"/>
        <v>34089</v>
      </c>
      <c r="AE42" s="1">
        <f t="shared" si="23"/>
        <v>0.61931742677612145</v>
      </c>
      <c r="AF42" s="1" t="e">
        <f t="shared" si="24"/>
        <v>#N/A</v>
      </c>
      <c r="AG42" s="1" t="e">
        <f t="shared" si="25"/>
        <v>#N/A</v>
      </c>
      <c r="AH42" s="1" t="e">
        <f t="shared" si="26"/>
        <v>#N/A</v>
      </c>
      <c r="AK42" s="1"/>
      <c r="AL42" s="1"/>
      <c r="AM42" s="1"/>
      <c r="AN42" s="1"/>
      <c r="AO42" s="17">
        <f t="shared" si="31"/>
        <v>34089</v>
      </c>
      <c r="AP42">
        <f t="shared" si="32"/>
        <v>4</v>
      </c>
      <c r="AQ42">
        <f t="shared" si="33"/>
        <v>4</v>
      </c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7" t="e">
        <f t="shared" ref="BL42" si="69">#REF!</f>
        <v>#REF!</v>
      </c>
      <c r="BM42">
        <f t="shared" si="18"/>
        <v>4</v>
      </c>
      <c r="BN42">
        <f t="shared" si="19"/>
        <v>1</v>
      </c>
    </row>
    <row r="43" spans="1:66">
      <c r="A43" s="7">
        <v>34120</v>
      </c>
      <c r="B43" s="8">
        <v>4.2769000000000001E-2</v>
      </c>
      <c r="C43" s="8">
        <f t="shared" si="6"/>
        <v>0.13013160523969747</v>
      </c>
      <c r="D43" s="9">
        <f t="shared" si="2"/>
        <v>0.65065802619848734</v>
      </c>
      <c r="E43" s="8">
        <v>6.6</v>
      </c>
      <c r="F43" s="8">
        <f t="shared" si="7"/>
        <v>6.9201562624260085</v>
      </c>
      <c r="G43" s="9">
        <f t="shared" si="3"/>
        <v>0.62910511476600073</v>
      </c>
      <c r="H43" s="8">
        <v>-0.19450000000000001</v>
      </c>
      <c r="I43" s="8">
        <f t="shared" si="8"/>
        <v>-8.6383078422567525E-2</v>
      </c>
      <c r="J43" s="9">
        <f t="shared" si="9"/>
        <v>0.11361692157743249</v>
      </c>
      <c r="K43" s="8">
        <v>0.85099999999999998</v>
      </c>
      <c r="L43" s="8">
        <f t="shared" si="10"/>
        <v>0.95320280307585725</v>
      </c>
      <c r="M43" s="9">
        <f t="shared" si="4"/>
        <v>0.95320280307585725</v>
      </c>
      <c r="O43" s="11">
        <f t="shared" si="11"/>
        <v>0.57732365628129045</v>
      </c>
      <c r="P43" s="15" t="str">
        <f t="shared" si="20"/>
        <v>SD</v>
      </c>
      <c r="Q43" t="str">
        <f t="shared" si="30"/>
        <v>E</v>
      </c>
      <c r="R43" s="18">
        <f t="shared" si="21"/>
        <v>0.61931742677612145</v>
      </c>
      <c r="S43" t="str">
        <f t="shared" si="46"/>
        <v>E</v>
      </c>
      <c r="T43">
        <v>0</v>
      </c>
      <c r="V43" s="17">
        <f t="shared" si="12"/>
        <v>34120</v>
      </c>
      <c r="W43" s="1">
        <f t="shared" si="13"/>
        <v>0.57732365628129045</v>
      </c>
      <c r="X43" s="1">
        <f t="shared" si="14"/>
        <v>0.57732365628129045</v>
      </c>
      <c r="Y43" s="1" t="e">
        <f t="shared" si="15"/>
        <v>#N/A</v>
      </c>
      <c r="Z43" s="1" t="e">
        <f t="shared" si="16"/>
        <v>#N/A</v>
      </c>
      <c r="AA43">
        <v>0</v>
      </c>
      <c r="AB43" s="1" t="s">
        <v>19</v>
      </c>
      <c r="AD43" s="17">
        <f t="shared" si="22"/>
        <v>34120</v>
      </c>
      <c r="AE43" s="1">
        <f t="shared" si="23"/>
        <v>0.57732365628129045</v>
      </c>
      <c r="AF43" s="1" t="e">
        <f t="shared" si="24"/>
        <v>#N/A</v>
      </c>
      <c r="AG43" s="1" t="e">
        <f t="shared" si="25"/>
        <v>#N/A</v>
      </c>
      <c r="AH43" s="1" t="e">
        <f t="shared" si="26"/>
        <v>#N/A</v>
      </c>
      <c r="AK43" s="1"/>
      <c r="AL43" s="1"/>
      <c r="AM43" s="1"/>
      <c r="AN43" s="1"/>
      <c r="AO43" s="17">
        <f t="shared" si="31"/>
        <v>34120</v>
      </c>
      <c r="AP43">
        <f t="shared" si="32"/>
        <v>3</v>
      </c>
      <c r="AQ43">
        <f t="shared" si="33"/>
        <v>4</v>
      </c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7" t="e">
        <f t="shared" ref="BL43" si="70">#REF!</f>
        <v>#REF!</v>
      </c>
      <c r="BM43">
        <f t="shared" si="18"/>
        <v>4</v>
      </c>
      <c r="BN43">
        <f t="shared" si="19"/>
        <v>1</v>
      </c>
    </row>
    <row r="44" spans="1:66">
      <c r="A44" s="7">
        <v>34150</v>
      </c>
      <c r="B44" s="8">
        <v>8.7793999999999997E-2</v>
      </c>
      <c r="C44" s="8">
        <f t="shared" si="6"/>
        <v>0.11806538774638368</v>
      </c>
      <c r="D44" s="9">
        <f t="shared" si="2"/>
        <v>0.59032693873191844</v>
      </c>
      <c r="E44" s="8">
        <v>6.2</v>
      </c>
      <c r="F44" s="8">
        <f t="shared" si="7"/>
        <v>6.714911727634596</v>
      </c>
      <c r="G44" s="9">
        <f t="shared" si="3"/>
        <v>0.61044652069405414</v>
      </c>
      <c r="H44" s="8">
        <v>1.03E-2</v>
      </c>
      <c r="I44" s="8">
        <f t="shared" si="8"/>
        <v>-5.8828401072135779E-2</v>
      </c>
      <c r="J44" s="9">
        <f t="shared" si="9"/>
        <v>0.14117159892786424</v>
      </c>
      <c r="K44" s="8">
        <v>1.0009999999999999</v>
      </c>
      <c r="L44" s="8">
        <f t="shared" si="10"/>
        <v>0.96682500419923789</v>
      </c>
      <c r="M44" s="9">
        <f t="shared" si="4"/>
        <v>0.96682500419923789</v>
      </c>
      <c r="O44" s="11">
        <f t="shared" si="11"/>
        <v>0.58016320924112275</v>
      </c>
      <c r="P44" s="15" t="str">
        <f t="shared" si="20"/>
        <v>E</v>
      </c>
      <c r="Q44" t="str">
        <f t="shared" si="30"/>
        <v>E</v>
      </c>
      <c r="R44" s="18">
        <f t="shared" si="21"/>
        <v>0.58016320924112275</v>
      </c>
      <c r="S44" t="str">
        <f t="shared" si="46"/>
        <v>E</v>
      </c>
      <c r="T44">
        <v>0</v>
      </c>
      <c r="V44" s="17">
        <f t="shared" si="12"/>
        <v>34150</v>
      </c>
      <c r="W44" s="1">
        <f t="shared" si="13"/>
        <v>0.58016320924112275</v>
      </c>
      <c r="X44" s="1">
        <f t="shared" si="14"/>
        <v>0.58016320924112275</v>
      </c>
      <c r="Y44" s="1" t="e">
        <f t="shared" si="15"/>
        <v>#N/A</v>
      </c>
      <c r="Z44" s="1" t="e">
        <f t="shared" si="16"/>
        <v>#N/A</v>
      </c>
      <c r="AA44">
        <v>0</v>
      </c>
      <c r="AB44" s="1" t="s">
        <v>19</v>
      </c>
      <c r="AD44" s="17">
        <f t="shared" si="22"/>
        <v>34150</v>
      </c>
      <c r="AE44" s="1">
        <f t="shared" si="23"/>
        <v>0.58016320924112275</v>
      </c>
      <c r="AF44" s="1" t="e">
        <f t="shared" si="24"/>
        <v>#N/A</v>
      </c>
      <c r="AG44" s="1" t="e">
        <f t="shared" si="25"/>
        <v>#N/A</v>
      </c>
      <c r="AH44" s="1" t="e">
        <f t="shared" si="26"/>
        <v>#N/A</v>
      </c>
      <c r="AK44" s="1"/>
      <c r="AL44" s="1"/>
      <c r="AM44" s="1"/>
      <c r="AN44" s="1"/>
      <c r="AO44" s="17">
        <f t="shared" si="31"/>
        <v>34150</v>
      </c>
      <c r="AP44">
        <f t="shared" si="32"/>
        <v>4</v>
      </c>
      <c r="AQ44">
        <f t="shared" si="33"/>
        <v>4</v>
      </c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7" t="e">
        <f t="shared" ref="BL44" si="71">#REF!</f>
        <v>#REF!</v>
      </c>
      <c r="BM44">
        <f t="shared" si="18"/>
        <v>4</v>
      </c>
      <c r="BN44">
        <f t="shared" si="19"/>
        <v>1</v>
      </c>
    </row>
    <row r="45" spans="1:66">
      <c r="A45" s="7">
        <v>34181</v>
      </c>
      <c r="B45" s="8">
        <v>9.8198999999999995E-2</v>
      </c>
      <c r="C45" s="8">
        <f t="shared" si="6"/>
        <v>0.11240346723866435</v>
      </c>
      <c r="D45" s="9">
        <f t="shared" si="2"/>
        <v>0.56201733619332173</v>
      </c>
      <c r="E45" s="8">
        <v>5.9</v>
      </c>
      <c r="F45" s="8">
        <f t="shared" si="7"/>
        <v>6.4826618852587359</v>
      </c>
      <c r="G45" s="9">
        <f t="shared" si="3"/>
        <v>0.58933289865988503</v>
      </c>
      <c r="H45" s="8">
        <v>-0.1084</v>
      </c>
      <c r="I45" s="8">
        <f t="shared" si="8"/>
        <v>-7.2956306766577078E-2</v>
      </c>
      <c r="J45" s="9">
        <f t="shared" si="9"/>
        <v>0.12704369323342293</v>
      </c>
      <c r="K45" s="8">
        <v>1.1000000000000001</v>
      </c>
      <c r="L45" s="8">
        <f t="shared" si="10"/>
        <v>1.0047798780024551</v>
      </c>
      <c r="M45" s="9">
        <f t="shared" si="4"/>
        <v>1.0047798780024551</v>
      </c>
      <c r="O45" s="11">
        <f t="shared" si="11"/>
        <v>0.57888276119831183</v>
      </c>
      <c r="P45" s="15" t="str">
        <f t="shared" si="20"/>
        <v>SD</v>
      </c>
      <c r="Q45" t="str">
        <f t="shared" si="30"/>
        <v>E</v>
      </c>
      <c r="R45" s="18">
        <f t="shared" si="21"/>
        <v>0.58016320924112275</v>
      </c>
      <c r="S45" t="str">
        <f t="shared" si="46"/>
        <v>E</v>
      </c>
      <c r="T45">
        <v>0</v>
      </c>
      <c r="V45" s="17">
        <f t="shared" si="12"/>
        <v>34181</v>
      </c>
      <c r="W45" s="1" t="e">
        <f t="shared" si="13"/>
        <v>#N/A</v>
      </c>
      <c r="X45" s="1">
        <f t="shared" si="14"/>
        <v>0.57888276119831183</v>
      </c>
      <c r="Y45" s="1" t="e">
        <f t="shared" si="15"/>
        <v>#N/A</v>
      </c>
      <c r="Z45" s="1" t="e">
        <f t="shared" si="16"/>
        <v>#N/A</v>
      </c>
      <c r="AA45">
        <v>0</v>
      </c>
      <c r="AB45" s="1" t="s">
        <v>19</v>
      </c>
      <c r="AD45" s="17">
        <f t="shared" si="22"/>
        <v>34181</v>
      </c>
      <c r="AE45" s="1">
        <f t="shared" si="23"/>
        <v>0.57888276119831183</v>
      </c>
      <c r="AF45" s="1" t="e">
        <f t="shared" si="24"/>
        <v>#N/A</v>
      </c>
      <c r="AG45" s="1" t="e">
        <f t="shared" si="25"/>
        <v>#N/A</v>
      </c>
      <c r="AH45" s="1" t="e">
        <f t="shared" si="26"/>
        <v>#N/A</v>
      </c>
      <c r="AK45" s="1"/>
      <c r="AL45" s="1"/>
      <c r="AM45" s="1"/>
      <c r="AN45" s="1"/>
      <c r="AO45" s="17">
        <f t="shared" si="31"/>
        <v>34181</v>
      </c>
      <c r="AP45">
        <f t="shared" si="32"/>
        <v>3</v>
      </c>
      <c r="AQ45">
        <f t="shared" si="33"/>
        <v>4</v>
      </c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7" t="e">
        <f t="shared" ref="BL45" si="72">#REF!</f>
        <v>#REF!</v>
      </c>
      <c r="BM45">
        <f t="shared" si="18"/>
        <v>4</v>
      </c>
      <c r="BN45">
        <f t="shared" si="19"/>
        <v>1</v>
      </c>
    </row>
    <row r="46" spans="1:66">
      <c r="A46" s="7">
        <v>34212</v>
      </c>
      <c r="B46" s="8">
        <v>0.14010700000000001</v>
      </c>
      <c r="C46" s="8">
        <f t="shared" si="6"/>
        <v>0.12029897407564501</v>
      </c>
      <c r="D46" s="9">
        <f t="shared" si="2"/>
        <v>0.60149487037822502</v>
      </c>
      <c r="E46" s="8">
        <v>6.3</v>
      </c>
      <c r="F46" s="8">
        <f t="shared" si="7"/>
        <v>6.4306032479599953</v>
      </c>
      <c r="G46" s="9">
        <f t="shared" si="3"/>
        <v>0.58460029526909052</v>
      </c>
      <c r="H46" s="8">
        <v>-0.10639999999999999</v>
      </c>
      <c r="I46" s="8">
        <f t="shared" si="8"/>
        <v>-8.2487759338102609E-2</v>
      </c>
      <c r="J46" s="9">
        <f t="shared" si="9"/>
        <v>0.1175122406618974</v>
      </c>
      <c r="K46" s="8">
        <v>1.038</v>
      </c>
      <c r="L46" s="8">
        <f t="shared" si="10"/>
        <v>1.0142476127717552</v>
      </c>
      <c r="M46" s="9">
        <f t="shared" si="4"/>
        <v>1.0142476127717552</v>
      </c>
      <c r="O46" s="11">
        <f t="shared" si="11"/>
        <v>0.57647731266588376</v>
      </c>
      <c r="P46" s="15" t="str">
        <f t="shared" si="20"/>
        <v>SD</v>
      </c>
      <c r="Q46" t="str">
        <f t="shared" si="30"/>
        <v>E</v>
      </c>
      <c r="R46" s="18">
        <f t="shared" si="21"/>
        <v>0.57647731266588376</v>
      </c>
      <c r="S46" t="str">
        <f t="shared" si="46"/>
        <v>E</v>
      </c>
      <c r="T46">
        <v>0</v>
      </c>
      <c r="V46" s="17">
        <f t="shared" si="12"/>
        <v>34212</v>
      </c>
      <c r="W46" s="1">
        <f t="shared" si="13"/>
        <v>0.57647731266588376</v>
      </c>
      <c r="X46" s="1">
        <f t="shared" si="14"/>
        <v>0.57647731266588376</v>
      </c>
      <c r="Y46" s="1" t="e">
        <f t="shared" si="15"/>
        <v>#N/A</v>
      </c>
      <c r="Z46" s="1" t="e">
        <f t="shared" si="16"/>
        <v>#N/A</v>
      </c>
      <c r="AA46">
        <v>0</v>
      </c>
      <c r="AB46" s="1" t="s">
        <v>19</v>
      </c>
      <c r="AD46" s="17">
        <f t="shared" si="22"/>
        <v>34212</v>
      </c>
      <c r="AE46" s="1">
        <f t="shared" si="23"/>
        <v>0.57647731266588376</v>
      </c>
      <c r="AF46" s="1" t="e">
        <f t="shared" si="24"/>
        <v>#N/A</v>
      </c>
      <c r="AG46" s="1" t="e">
        <f t="shared" si="25"/>
        <v>#N/A</v>
      </c>
      <c r="AH46" s="1" t="e">
        <f t="shared" si="26"/>
        <v>#N/A</v>
      </c>
      <c r="AK46" s="1"/>
      <c r="AL46" s="1"/>
      <c r="AM46" s="1"/>
      <c r="AN46" s="1"/>
      <c r="AO46" s="17">
        <f t="shared" si="31"/>
        <v>34212</v>
      </c>
      <c r="AP46">
        <f t="shared" si="32"/>
        <v>3</v>
      </c>
      <c r="AQ46">
        <f t="shared" si="33"/>
        <v>4</v>
      </c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7" t="e">
        <f t="shared" ref="BL46" si="73">#REF!</f>
        <v>#REF!</v>
      </c>
      <c r="BM46">
        <f t="shared" si="18"/>
        <v>4</v>
      </c>
      <c r="BN46">
        <f t="shared" si="19"/>
        <v>1</v>
      </c>
    </row>
    <row r="47" spans="1:66">
      <c r="A47" s="7">
        <v>34242</v>
      </c>
      <c r="B47" s="8">
        <v>0.24001700000000001</v>
      </c>
      <c r="C47" s="8">
        <f t="shared" si="6"/>
        <v>0.1544186114640862</v>
      </c>
      <c r="D47" s="9">
        <f t="shared" si="2"/>
        <v>0.77209305732043099</v>
      </c>
      <c r="E47" s="8">
        <v>6.4</v>
      </c>
      <c r="F47" s="8">
        <f t="shared" si="7"/>
        <v>6.4218813222913962</v>
      </c>
      <c r="G47" s="9">
        <f t="shared" si="3"/>
        <v>0.58380739293558148</v>
      </c>
      <c r="H47" s="8">
        <v>0.32919999999999999</v>
      </c>
      <c r="I47" s="8">
        <f t="shared" si="8"/>
        <v>3.4843252073256642E-2</v>
      </c>
      <c r="J47" s="9">
        <f t="shared" si="9"/>
        <v>0.23484325207325665</v>
      </c>
      <c r="K47" s="8">
        <v>0.56100000000000005</v>
      </c>
      <c r="L47" s="8">
        <f t="shared" si="10"/>
        <v>0.88507204313180499</v>
      </c>
      <c r="M47" s="9">
        <f t="shared" si="4"/>
        <v>0.88507204313180499</v>
      </c>
      <c r="O47" s="11">
        <f t="shared" si="11"/>
        <v>0.58856398287428868</v>
      </c>
      <c r="P47" s="15" t="str">
        <f t="shared" si="20"/>
        <v>E</v>
      </c>
      <c r="Q47" t="str">
        <f t="shared" si="30"/>
        <v>E</v>
      </c>
      <c r="R47" s="18">
        <f t="shared" si="21"/>
        <v>0.58856398287428868</v>
      </c>
      <c r="S47" t="str">
        <f t="shared" si="46"/>
        <v>E</v>
      </c>
      <c r="T47">
        <v>0</v>
      </c>
      <c r="V47" s="17">
        <f t="shared" si="12"/>
        <v>34242</v>
      </c>
      <c r="W47" s="1">
        <f t="shared" si="13"/>
        <v>0.58856398287428868</v>
      </c>
      <c r="X47" s="1" t="e">
        <f t="shared" si="14"/>
        <v>#N/A</v>
      </c>
      <c r="Y47" s="1" t="e">
        <f t="shared" si="15"/>
        <v>#N/A</v>
      </c>
      <c r="Z47" s="1" t="e">
        <f t="shared" si="16"/>
        <v>#N/A</v>
      </c>
      <c r="AA47">
        <v>0</v>
      </c>
      <c r="AB47" s="1" t="s">
        <v>19</v>
      </c>
      <c r="AD47" s="17">
        <f t="shared" si="22"/>
        <v>34242</v>
      </c>
      <c r="AE47" s="1">
        <f t="shared" si="23"/>
        <v>0.58856398287428868</v>
      </c>
      <c r="AF47" s="1" t="e">
        <f t="shared" si="24"/>
        <v>#N/A</v>
      </c>
      <c r="AG47" s="1" t="e">
        <f t="shared" si="25"/>
        <v>#N/A</v>
      </c>
      <c r="AH47" s="1" t="e">
        <f t="shared" si="26"/>
        <v>#N/A</v>
      </c>
      <c r="AK47" s="1"/>
      <c r="AL47" s="1"/>
      <c r="AM47" s="1"/>
      <c r="AN47" s="1"/>
      <c r="AO47" s="17">
        <f t="shared" si="31"/>
        <v>34242</v>
      </c>
      <c r="AP47">
        <f t="shared" si="32"/>
        <v>4</v>
      </c>
      <c r="AQ47">
        <f t="shared" si="33"/>
        <v>4</v>
      </c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7" t="e">
        <f t="shared" ref="BL47" si="74">#REF!</f>
        <v>#REF!</v>
      </c>
      <c r="BM47">
        <f t="shared" si="18"/>
        <v>4</v>
      </c>
      <c r="BN47">
        <f t="shared" si="19"/>
        <v>1</v>
      </c>
    </row>
    <row r="48" spans="1:66">
      <c r="A48" s="7">
        <v>34273</v>
      </c>
      <c r="B48" s="8">
        <v>0.27443099999999998</v>
      </c>
      <c r="C48" s="8">
        <f t="shared" si="6"/>
        <v>0.18862214219682163</v>
      </c>
      <c r="D48" s="9">
        <f t="shared" si="2"/>
        <v>0.94311071098410815</v>
      </c>
      <c r="E48" s="8">
        <v>7.1</v>
      </c>
      <c r="F48" s="8">
        <f t="shared" si="7"/>
        <v>6.6151451454383485</v>
      </c>
      <c r="G48" s="9">
        <f t="shared" si="3"/>
        <v>0.60137683140348619</v>
      </c>
      <c r="H48" s="8">
        <v>0.4521</v>
      </c>
      <c r="I48" s="8">
        <f t="shared" si="8"/>
        <v>0.15376142523237851</v>
      </c>
      <c r="J48" s="9">
        <f t="shared" si="9"/>
        <v>0.35376142523237852</v>
      </c>
      <c r="K48" s="8">
        <v>0.92400000000000004</v>
      </c>
      <c r="L48" s="8">
        <f t="shared" si="10"/>
        <v>0.89616651083924059</v>
      </c>
      <c r="M48" s="9">
        <f t="shared" si="4"/>
        <v>0.89616651083924059</v>
      </c>
      <c r="O48" s="11">
        <f t="shared" si="11"/>
        <v>0.64443166980057098</v>
      </c>
      <c r="P48" s="15" t="str">
        <f t="shared" si="20"/>
        <v>E</v>
      </c>
      <c r="Q48" t="str">
        <f t="shared" si="30"/>
        <v>E</v>
      </c>
      <c r="R48" s="18">
        <f t="shared" si="21"/>
        <v>0.58856398287428868</v>
      </c>
      <c r="S48" t="str">
        <f t="shared" si="46"/>
        <v>E</v>
      </c>
      <c r="T48">
        <v>0</v>
      </c>
      <c r="V48" s="17">
        <f t="shared" si="12"/>
        <v>34273</v>
      </c>
      <c r="W48" s="1">
        <f t="shared" si="13"/>
        <v>0.64443166980057098</v>
      </c>
      <c r="X48" s="1" t="e">
        <f t="shared" si="14"/>
        <v>#N/A</v>
      </c>
      <c r="Y48" s="1" t="e">
        <f t="shared" si="15"/>
        <v>#N/A</v>
      </c>
      <c r="Z48" s="1" t="e">
        <f t="shared" si="16"/>
        <v>#N/A</v>
      </c>
      <c r="AA48">
        <v>0</v>
      </c>
      <c r="AB48" s="1" t="s">
        <v>19</v>
      </c>
      <c r="AD48" s="17">
        <f t="shared" si="22"/>
        <v>34273</v>
      </c>
      <c r="AE48" s="1">
        <f t="shared" si="23"/>
        <v>0.64443166980057098</v>
      </c>
      <c r="AF48" s="1" t="e">
        <f t="shared" si="24"/>
        <v>#N/A</v>
      </c>
      <c r="AG48" s="1" t="e">
        <f t="shared" si="25"/>
        <v>#N/A</v>
      </c>
      <c r="AH48" s="1" t="e">
        <f t="shared" si="26"/>
        <v>#N/A</v>
      </c>
      <c r="AK48" s="1"/>
      <c r="AL48" s="1"/>
      <c r="AM48" s="1"/>
      <c r="AN48" s="1"/>
      <c r="AO48" s="17">
        <f t="shared" si="31"/>
        <v>34273</v>
      </c>
      <c r="AP48">
        <f t="shared" si="32"/>
        <v>4</v>
      </c>
      <c r="AQ48">
        <f t="shared" si="33"/>
        <v>4</v>
      </c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7" t="e">
        <f t="shared" ref="BL48" si="75">#REF!</f>
        <v>#REF!</v>
      </c>
      <c r="BM48">
        <f t="shared" si="18"/>
        <v>4</v>
      </c>
      <c r="BN48">
        <f t="shared" si="19"/>
        <v>1</v>
      </c>
    </row>
    <row r="49" spans="1:66">
      <c r="A49" s="7">
        <v>34303</v>
      </c>
      <c r="B49" s="8">
        <v>0.34643400000000002</v>
      </c>
      <c r="C49" s="8">
        <f t="shared" si="6"/>
        <v>0.23359852167072748</v>
      </c>
      <c r="D49" s="9">
        <f t="shared" si="2"/>
        <v>1.1679926083536374</v>
      </c>
      <c r="E49" s="8">
        <v>6.8</v>
      </c>
      <c r="F49" s="8">
        <f t="shared" si="7"/>
        <v>6.6678287789884187</v>
      </c>
      <c r="G49" s="9">
        <f t="shared" si="3"/>
        <v>0.60616625263531076</v>
      </c>
      <c r="H49" s="8">
        <v>0.63519999999999999</v>
      </c>
      <c r="I49" s="8">
        <f t="shared" si="8"/>
        <v>0.29097141904115065</v>
      </c>
      <c r="J49" s="9">
        <f t="shared" si="9"/>
        <v>0.49097141904115066</v>
      </c>
      <c r="K49" s="8">
        <v>1.002</v>
      </c>
      <c r="L49" s="8">
        <f t="shared" si="10"/>
        <v>0.92632905525005693</v>
      </c>
      <c r="M49" s="9">
        <f t="shared" si="4"/>
        <v>0.92632905525005693</v>
      </c>
      <c r="O49" s="11">
        <f t="shared" si="11"/>
        <v>0.72240245254377189</v>
      </c>
      <c r="P49" s="15" t="str">
        <f t="shared" si="20"/>
        <v>E</v>
      </c>
      <c r="Q49" t="str">
        <f t="shared" si="30"/>
        <v>E</v>
      </c>
      <c r="R49" s="18">
        <f t="shared" si="21"/>
        <v>0.58856398287428868</v>
      </c>
      <c r="S49" t="str">
        <f t="shared" si="46"/>
        <v>E</v>
      </c>
      <c r="T49">
        <v>0</v>
      </c>
      <c r="V49" s="17">
        <f t="shared" si="12"/>
        <v>34303</v>
      </c>
      <c r="W49" s="1">
        <f t="shared" si="13"/>
        <v>0.72240245254377189</v>
      </c>
      <c r="X49" s="1" t="e">
        <f t="shared" si="14"/>
        <v>#N/A</v>
      </c>
      <c r="Y49" s="1" t="e">
        <f t="shared" si="15"/>
        <v>#N/A</v>
      </c>
      <c r="Z49" s="1" t="e">
        <f t="shared" si="16"/>
        <v>#N/A</v>
      </c>
      <c r="AA49">
        <v>0</v>
      </c>
      <c r="AB49" s="1" t="s">
        <v>19</v>
      </c>
      <c r="AD49" s="17">
        <f t="shared" si="22"/>
        <v>34303</v>
      </c>
      <c r="AE49" s="1">
        <f t="shared" si="23"/>
        <v>0.72240245254377189</v>
      </c>
      <c r="AF49" s="1" t="e">
        <f t="shared" si="24"/>
        <v>#N/A</v>
      </c>
      <c r="AG49" s="1" t="e">
        <f t="shared" si="25"/>
        <v>#N/A</v>
      </c>
      <c r="AH49" s="1" t="e">
        <f t="shared" si="26"/>
        <v>#N/A</v>
      </c>
      <c r="AK49" s="1"/>
      <c r="AL49" s="1"/>
      <c r="AM49" s="1"/>
      <c r="AN49" s="1"/>
      <c r="AO49" s="17">
        <f t="shared" si="31"/>
        <v>34303</v>
      </c>
      <c r="AP49">
        <f t="shared" si="32"/>
        <v>4</v>
      </c>
      <c r="AQ49">
        <f t="shared" si="33"/>
        <v>4</v>
      </c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7" t="e">
        <f t="shared" ref="BL49" si="76">#REF!</f>
        <v>#REF!</v>
      </c>
      <c r="BM49">
        <f t="shared" si="18"/>
        <v>4</v>
      </c>
      <c r="BN49">
        <f t="shared" si="19"/>
        <v>1</v>
      </c>
    </row>
    <row r="50" spans="1:66">
      <c r="A50" s="7">
        <v>34334</v>
      </c>
      <c r="B50" s="8">
        <v>0.34997699999999998</v>
      </c>
      <c r="C50" s="8">
        <f t="shared" si="6"/>
        <v>0.26676638799457014</v>
      </c>
      <c r="D50" s="9">
        <f t="shared" si="2"/>
        <v>1.3338319399728507</v>
      </c>
      <c r="E50" s="8">
        <v>6.9</v>
      </c>
      <c r="F50" s="8">
        <f t="shared" si="7"/>
        <v>6.7339975769767193</v>
      </c>
      <c r="G50" s="9">
        <f t="shared" si="3"/>
        <v>0.61218159790697446</v>
      </c>
      <c r="H50" s="8">
        <v>0.75190000000000001</v>
      </c>
      <c r="I50" s="8">
        <f t="shared" si="8"/>
        <v>0.42233606461442275</v>
      </c>
      <c r="J50" s="9">
        <f t="shared" si="9"/>
        <v>0.6223360646144227</v>
      </c>
      <c r="K50" s="8">
        <v>0.72399999999999998</v>
      </c>
      <c r="L50" s="8">
        <f t="shared" si="10"/>
        <v>0.86866527450379061</v>
      </c>
      <c r="M50" s="9">
        <f t="shared" si="4"/>
        <v>0.86866527450379061</v>
      </c>
      <c r="O50" s="11">
        <f t="shared" si="11"/>
        <v>0.76253347152334228</v>
      </c>
      <c r="P50" s="15" t="str">
        <f t="shared" si="20"/>
        <v>E</v>
      </c>
      <c r="Q50" t="str">
        <f t="shared" si="30"/>
        <v>E</v>
      </c>
      <c r="R50" s="18">
        <f t="shared" si="21"/>
        <v>0.58856398287428868</v>
      </c>
      <c r="S50" t="str">
        <f t="shared" si="46"/>
        <v>E</v>
      </c>
      <c r="T50">
        <v>0</v>
      </c>
      <c r="V50" s="17">
        <f t="shared" si="12"/>
        <v>34334</v>
      </c>
      <c r="W50" s="1">
        <f t="shared" si="13"/>
        <v>0.76253347152334228</v>
      </c>
      <c r="X50" s="1">
        <f t="shared" si="14"/>
        <v>0.76253347152334228</v>
      </c>
      <c r="Y50" s="1" t="e">
        <f t="shared" si="15"/>
        <v>#N/A</v>
      </c>
      <c r="Z50" s="1" t="e">
        <f t="shared" si="16"/>
        <v>#N/A</v>
      </c>
      <c r="AA50">
        <v>0</v>
      </c>
      <c r="AB50" s="1" t="s">
        <v>19</v>
      </c>
      <c r="AD50" s="17">
        <f t="shared" si="22"/>
        <v>34334</v>
      </c>
      <c r="AE50" s="1">
        <f t="shared" si="23"/>
        <v>0.76253347152334228</v>
      </c>
      <c r="AF50" s="1" t="e">
        <f t="shared" si="24"/>
        <v>#N/A</v>
      </c>
      <c r="AG50" s="1" t="e">
        <f t="shared" si="25"/>
        <v>#N/A</v>
      </c>
      <c r="AH50" s="1" t="e">
        <f t="shared" si="26"/>
        <v>#N/A</v>
      </c>
      <c r="AK50" s="1"/>
      <c r="AL50" s="1"/>
      <c r="AM50" s="1"/>
      <c r="AN50" s="1"/>
      <c r="AO50" s="17">
        <f t="shared" si="31"/>
        <v>34334</v>
      </c>
      <c r="AP50">
        <f t="shared" si="32"/>
        <v>4</v>
      </c>
      <c r="AQ50">
        <f t="shared" si="33"/>
        <v>4</v>
      </c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7" t="e">
        <f t="shared" ref="BL50" si="77">#REF!</f>
        <v>#REF!</v>
      </c>
      <c r="BM50">
        <f t="shared" si="18"/>
        <v>4</v>
      </c>
      <c r="BN50">
        <f t="shared" si="19"/>
        <v>1</v>
      </c>
    </row>
    <row r="51" spans="1:66">
      <c r="A51" s="7">
        <v>34365</v>
      </c>
      <c r="B51" s="8">
        <v>0.34496300000000002</v>
      </c>
      <c r="C51" s="8">
        <f t="shared" si="6"/>
        <v>0.28905242241611767</v>
      </c>
      <c r="D51" s="9">
        <f t="shared" si="2"/>
        <v>1.4452621120805882</v>
      </c>
      <c r="E51" s="8">
        <v>6.3</v>
      </c>
      <c r="F51" s="8">
        <f t="shared" si="7"/>
        <v>6.610308267538354</v>
      </c>
      <c r="G51" s="9">
        <f t="shared" si="3"/>
        <v>0.60093711523075943</v>
      </c>
      <c r="H51" s="8">
        <v>-0.21129999999999999</v>
      </c>
      <c r="I51" s="8">
        <f t="shared" si="8"/>
        <v>0.24174978619931226</v>
      </c>
      <c r="J51" s="9">
        <f t="shared" si="9"/>
        <v>0.44174978619931227</v>
      </c>
      <c r="K51" s="8">
        <v>1.0049999999999999</v>
      </c>
      <c r="L51" s="8">
        <f t="shared" si="10"/>
        <v>0.90752067127021019</v>
      </c>
      <c r="M51" s="9">
        <f t="shared" si="4"/>
        <v>0.90752067127021019</v>
      </c>
      <c r="O51" s="11">
        <f t="shared" si="11"/>
        <v>0.73296182782100794</v>
      </c>
      <c r="P51" s="15" t="str">
        <f t="shared" si="20"/>
        <v>SD</v>
      </c>
      <c r="Q51" t="str">
        <f t="shared" si="30"/>
        <v>E</v>
      </c>
      <c r="R51" s="18">
        <f t="shared" si="21"/>
        <v>0.58856398287428868</v>
      </c>
      <c r="S51" t="str">
        <f t="shared" si="46"/>
        <v>E</v>
      </c>
      <c r="T51">
        <v>0</v>
      </c>
      <c r="V51" s="17">
        <f t="shared" si="12"/>
        <v>34365</v>
      </c>
      <c r="W51" s="1" t="e">
        <f t="shared" si="13"/>
        <v>#N/A</v>
      </c>
      <c r="X51" s="1">
        <f t="shared" si="14"/>
        <v>0.73296182782100794</v>
      </c>
      <c r="Y51" s="1" t="e">
        <f t="shared" si="15"/>
        <v>#N/A</v>
      </c>
      <c r="Z51" s="1" t="e">
        <f t="shared" si="16"/>
        <v>#N/A</v>
      </c>
      <c r="AA51">
        <v>0</v>
      </c>
      <c r="AB51" s="1" t="s">
        <v>19</v>
      </c>
      <c r="AD51" s="17">
        <f t="shared" si="22"/>
        <v>34365</v>
      </c>
      <c r="AE51" s="1">
        <f t="shared" si="23"/>
        <v>0.73296182782100794</v>
      </c>
      <c r="AF51" s="1">
        <f t="shared" si="24"/>
        <v>0.73296182782100794</v>
      </c>
      <c r="AG51" s="1" t="e">
        <f t="shared" si="25"/>
        <v>#N/A</v>
      </c>
      <c r="AH51" s="1" t="e">
        <f t="shared" si="26"/>
        <v>#N/A</v>
      </c>
      <c r="AK51" s="1"/>
      <c r="AL51" s="1"/>
      <c r="AM51" s="1"/>
      <c r="AN51" s="1"/>
      <c r="AO51" s="17">
        <f t="shared" si="31"/>
        <v>34365</v>
      </c>
      <c r="AP51">
        <f t="shared" si="32"/>
        <v>3</v>
      </c>
      <c r="AQ51">
        <f t="shared" si="33"/>
        <v>4</v>
      </c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7" t="e">
        <f t="shared" ref="BL51" si="78">#REF!</f>
        <v>#REF!</v>
      </c>
      <c r="BM51">
        <f t="shared" si="18"/>
        <v>4</v>
      </c>
      <c r="BN51">
        <f t="shared" si="19"/>
        <v>1</v>
      </c>
    </row>
    <row r="52" spans="1:66">
      <c r="A52" s="7">
        <v>34393</v>
      </c>
      <c r="B52" s="8">
        <v>0.16838800000000001</v>
      </c>
      <c r="C52" s="8">
        <f t="shared" si="6"/>
        <v>0.25466306202752409</v>
      </c>
      <c r="D52" s="9">
        <f t="shared" si="2"/>
        <v>1.2733153101376204</v>
      </c>
      <c r="E52" s="8">
        <v>5.9</v>
      </c>
      <c r="F52" s="8">
        <f t="shared" si="7"/>
        <v>6.4078704112899239</v>
      </c>
      <c r="G52" s="9">
        <f t="shared" si="3"/>
        <v>0.58253367375362941</v>
      </c>
      <c r="H52" s="8">
        <v>0.35070000000000001</v>
      </c>
      <c r="I52" s="8">
        <f t="shared" si="8"/>
        <v>0.27280059713250826</v>
      </c>
      <c r="J52" s="9">
        <f t="shared" si="9"/>
        <v>0.47280059713250827</v>
      </c>
      <c r="K52" s="8">
        <v>0.89900000000000002</v>
      </c>
      <c r="L52" s="8">
        <f t="shared" si="10"/>
        <v>0.90509227995820019</v>
      </c>
      <c r="M52" s="9">
        <f t="shared" si="4"/>
        <v>0.90509227995820019</v>
      </c>
      <c r="O52" s="11">
        <f t="shared" si="11"/>
        <v>0.72098052871020235</v>
      </c>
      <c r="P52" s="15" t="str">
        <f t="shared" si="20"/>
        <v>SD</v>
      </c>
      <c r="Q52" t="str">
        <f t="shared" si="30"/>
        <v>E</v>
      </c>
      <c r="R52" s="18">
        <f t="shared" si="21"/>
        <v>0.72098052871020235</v>
      </c>
      <c r="S52" t="str">
        <f t="shared" si="46"/>
        <v>SD</v>
      </c>
      <c r="T52">
        <v>0</v>
      </c>
      <c r="V52" s="17">
        <f t="shared" si="12"/>
        <v>34393</v>
      </c>
      <c r="W52" s="1">
        <f t="shared" si="13"/>
        <v>0.72098052871020235</v>
      </c>
      <c r="X52" s="1">
        <f t="shared" si="14"/>
        <v>0.72098052871020235</v>
      </c>
      <c r="Y52" s="1" t="e">
        <f t="shared" si="15"/>
        <v>#N/A</v>
      </c>
      <c r="Z52" s="1" t="e">
        <f t="shared" si="16"/>
        <v>#N/A</v>
      </c>
      <c r="AA52">
        <v>0</v>
      </c>
      <c r="AB52" s="1" t="s">
        <v>19</v>
      </c>
      <c r="AD52" s="17">
        <f t="shared" si="22"/>
        <v>34393</v>
      </c>
      <c r="AE52" s="1" t="e">
        <f t="shared" si="23"/>
        <v>#N/A</v>
      </c>
      <c r="AF52" s="1">
        <f t="shared" si="24"/>
        <v>0.72098052871020235</v>
      </c>
      <c r="AG52" s="1" t="e">
        <f t="shared" si="25"/>
        <v>#N/A</v>
      </c>
      <c r="AH52" s="1" t="e">
        <f t="shared" si="26"/>
        <v>#N/A</v>
      </c>
      <c r="AK52" s="1"/>
      <c r="AL52" s="1"/>
      <c r="AM52" s="1"/>
      <c r="AN52" s="1"/>
      <c r="AO52" s="17">
        <f t="shared" si="31"/>
        <v>34393</v>
      </c>
      <c r="AP52">
        <f t="shared" si="32"/>
        <v>3</v>
      </c>
      <c r="AQ52">
        <f t="shared" si="33"/>
        <v>4</v>
      </c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7" t="e">
        <f t="shared" ref="BL52" si="79">#REF!</f>
        <v>#REF!</v>
      </c>
      <c r="BM52">
        <f t="shared" si="18"/>
        <v>4</v>
      </c>
      <c r="BN52">
        <f t="shared" si="19"/>
        <v>1</v>
      </c>
    </row>
    <row r="53" spans="1:66">
      <c r="A53" s="7">
        <v>34424</v>
      </c>
      <c r="B53" s="8">
        <v>0.17095199999999999</v>
      </c>
      <c r="C53" s="8">
        <f t="shared" si="6"/>
        <v>0.23080540934967972</v>
      </c>
      <c r="D53" s="9">
        <f t="shared" si="2"/>
        <v>1.1540270467483986</v>
      </c>
      <c r="E53" s="8">
        <v>7.4</v>
      </c>
      <c r="F53" s="8">
        <f t="shared" si="7"/>
        <v>6.6906273440722952</v>
      </c>
      <c r="G53" s="9">
        <f t="shared" si="3"/>
        <v>0.60823884946111773</v>
      </c>
      <c r="H53" s="8">
        <v>1.0362</v>
      </c>
      <c r="I53" s="8">
        <f t="shared" si="8"/>
        <v>0.49036942694974345</v>
      </c>
      <c r="J53" s="9">
        <f t="shared" si="9"/>
        <v>0.69036942694974346</v>
      </c>
      <c r="K53" s="8">
        <v>0.75600000000000001</v>
      </c>
      <c r="L53" s="8">
        <f t="shared" si="10"/>
        <v>0.86260098017011311</v>
      </c>
      <c r="M53" s="9">
        <f t="shared" si="4"/>
        <v>0.86260098017011311</v>
      </c>
      <c r="O53" s="11">
        <f t="shared" si="11"/>
        <v>0.75605392893688572</v>
      </c>
      <c r="P53" s="15" t="str">
        <f t="shared" si="20"/>
        <v>E</v>
      </c>
      <c r="Q53" t="str">
        <f t="shared" si="30"/>
        <v>E</v>
      </c>
      <c r="R53" s="18">
        <f t="shared" si="21"/>
        <v>0.75605392893688572</v>
      </c>
      <c r="S53" t="str">
        <f t="shared" si="46"/>
        <v>SD</v>
      </c>
      <c r="T53">
        <v>0</v>
      </c>
      <c r="V53" s="17">
        <f t="shared" si="12"/>
        <v>34424</v>
      </c>
      <c r="W53" s="1">
        <f t="shared" si="13"/>
        <v>0.75605392893688572</v>
      </c>
      <c r="X53" s="1" t="e">
        <f t="shared" si="14"/>
        <v>#N/A</v>
      </c>
      <c r="Y53" s="1" t="e">
        <f t="shared" si="15"/>
        <v>#N/A</v>
      </c>
      <c r="Z53" s="1" t="e">
        <f t="shared" si="16"/>
        <v>#N/A</v>
      </c>
      <c r="AA53">
        <v>0</v>
      </c>
      <c r="AB53" s="1" t="s">
        <v>19</v>
      </c>
      <c r="AD53" s="17">
        <f t="shared" si="22"/>
        <v>34424</v>
      </c>
      <c r="AE53" s="1" t="e">
        <f t="shared" si="23"/>
        <v>#N/A</v>
      </c>
      <c r="AF53" s="1">
        <f t="shared" si="24"/>
        <v>0.75605392893688572</v>
      </c>
      <c r="AG53" s="1" t="e">
        <f t="shared" si="25"/>
        <v>#N/A</v>
      </c>
      <c r="AH53" s="1" t="e">
        <f t="shared" si="26"/>
        <v>#N/A</v>
      </c>
      <c r="AK53" s="1"/>
      <c r="AL53" s="1"/>
      <c r="AM53" s="1"/>
      <c r="AN53" s="1"/>
      <c r="AO53" s="17">
        <f t="shared" si="31"/>
        <v>34424</v>
      </c>
      <c r="AP53">
        <f t="shared" si="32"/>
        <v>4</v>
      </c>
      <c r="AQ53">
        <f t="shared" si="33"/>
        <v>4</v>
      </c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7" t="e">
        <f t="shared" ref="BL53" si="80">#REF!</f>
        <v>#REF!</v>
      </c>
      <c r="BM53">
        <f t="shared" si="18"/>
        <v>4</v>
      </c>
      <c r="BN53">
        <f t="shared" si="19"/>
        <v>1</v>
      </c>
    </row>
    <row r="54" spans="1:66">
      <c r="A54" s="7">
        <v>34454</v>
      </c>
      <c r="B54" s="8">
        <v>0.19622700000000001</v>
      </c>
      <c r="C54" s="8">
        <f t="shared" si="6"/>
        <v>0.220950562685021</v>
      </c>
      <c r="D54" s="9">
        <f t="shared" si="2"/>
        <v>1.104752813425105</v>
      </c>
      <c r="E54" s="8">
        <v>7.5</v>
      </c>
      <c r="F54" s="8">
        <f t="shared" si="7"/>
        <v>6.9212985510116907</v>
      </c>
      <c r="G54" s="9">
        <f t="shared" si="3"/>
        <v>0.629208959182881</v>
      </c>
      <c r="H54" s="8">
        <v>0.51070000000000004</v>
      </c>
      <c r="I54" s="8">
        <f t="shared" si="8"/>
        <v>0.49616364026906656</v>
      </c>
      <c r="J54" s="9">
        <f t="shared" si="9"/>
        <v>0.69616364026906652</v>
      </c>
      <c r="K54" s="8">
        <v>1.236</v>
      </c>
      <c r="L54" s="8">
        <f t="shared" si="10"/>
        <v>0.96901970082163091</v>
      </c>
      <c r="M54" s="9">
        <f t="shared" si="4"/>
        <v>0.96901970082163091</v>
      </c>
      <c r="O54" s="11">
        <f t="shared" si="11"/>
        <v>0.79250193850805506</v>
      </c>
      <c r="P54" s="15" t="str">
        <f t="shared" si="20"/>
        <v>E</v>
      </c>
      <c r="Q54" t="str">
        <f t="shared" si="30"/>
        <v>E</v>
      </c>
      <c r="R54" s="18">
        <f t="shared" si="21"/>
        <v>0.75605392893688572</v>
      </c>
      <c r="S54" t="str">
        <f t="shared" si="46"/>
        <v>SD</v>
      </c>
      <c r="T54">
        <v>0</v>
      </c>
      <c r="V54" s="17">
        <f t="shared" si="12"/>
        <v>34454</v>
      </c>
      <c r="W54" s="1">
        <f t="shared" si="13"/>
        <v>0.79250193850805506</v>
      </c>
      <c r="X54" s="1">
        <f t="shared" si="14"/>
        <v>0.79250193850805506</v>
      </c>
      <c r="Y54" s="1" t="e">
        <f t="shared" si="15"/>
        <v>#N/A</v>
      </c>
      <c r="Z54" s="1" t="e">
        <f t="shared" si="16"/>
        <v>#N/A</v>
      </c>
      <c r="AA54">
        <v>0</v>
      </c>
      <c r="AB54" s="1" t="s">
        <v>19</v>
      </c>
      <c r="AD54" s="17">
        <f t="shared" si="22"/>
        <v>34454</v>
      </c>
      <c r="AE54" s="1" t="e">
        <f t="shared" si="23"/>
        <v>#N/A</v>
      </c>
      <c r="AF54" s="1">
        <f t="shared" si="24"/>
        <v>0.79250193850805506</v>
      </c>
      <c r="AG54" s="1" t="e">
        <f t="shared" si="25"/>
        <v>#N/A</v>
      </c>
      <c r="AH54" s="1" t="e">
        <f t="shared" si="26"/>
        <v>#N/A</v>
      </c>
      <c r="AK54" s="1"/>
      <c r="AL54" s="1"/>
      <c r="AM54" s="1"/>
      <c r="AN54" s="1"/>
      <c r="AO54" s="17">
        <f t="shared" si="31"/>
        <v>34454</v>
      </c>
      <c r="AP54">
        <f t="shared" si="32"/>
        <v>4</v>
      </c>
      <c r="AQ54">
        <f t="shared" si="33"/>
        <v>4</v>
      </c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7" t="e">
        <f t="shared" ref="BL54" si="81">#REF!</f>
        <v>#REF!</v>
      </c>
      <c r="BM54">
        <f t="shared" si="18"/>
        <v>4</v>
      </c>
      <c r="BN54">
        <f t="shared" si="19"/>
        <v>1</v>
      </c>
    </row>
    <row r="55" spans="1:66">
      <c r="A55" s="7">
        <v>34485</v>
      </c>
      <c r="B55" s="8">
        <v>0.11444699999999999</v>
      </c>
      <c r="C55" s="8">
        <f t="shared" si="6"/>
        <v>0.19059704731978999</v>
      </c>
      <c r="D55" s="9">
        <f t="shared" si="2"/>
        <v>0.95298523659894996</v>
      </c>
      <c r="E55" s="8">
        <v>7.8</v>
      </c>
      <c r="F55" s="8">
        <f t="shared" si="7"/>
        <v>7.1717284639733592</v>
      </c>
      <c r="G55" s="9">
        <f t="shared" si="3"/>
        <v>0.65197531490666905</v>
      </c>
      <c r="H55" s="8">
        <v>0.43</v>
      </c>
      <c r="I55" s="8">
        <f t="shared" si="8"/>
        <v>0.47730700279238258</v>
      </c>
      <c r="J55" s="9">
        <f t="shared" si="9"/>
        <v>0.67730700279238265</v>
      </c>
      <c r="K55" s="8">
        <v>1.101</v>
      </c>
      <c r="L55" s="8">
        <f t="shared" si="10"/>
        <v>1.0066340860874661</v>
      </c>
      <c r="M55" s="9">
        <f t="shared" si="4"/>
        <v>1.0066340860874661</v>
      </c>
      <c r="O55" s="11">
        <f t="shared" si="11"/>
        <v>0.78924353807871384</v>
      </c>
      <c r="P55" s="15" t="str">
        <f t="shared" si="20"/>
        <v>SD</v>
      </c>
      <c r="Q55" t="str">
        <f t="shared" si="30"/>
        <v>E</v>
      </c>
      <c r="R55" s="18">
        <f t="shared" si="21"/>
        <v>0.75605392893688572</v>
      </c>
      <c r="S55" t="str">
        <f t="shared" si="46"/>
        <v>SD</v>
      </c>
      <c r="T55">
        <v>0</v>
      </c>
      <c r="V55" s="17">
        <f t="shared" si="12"/>
        <v>34485</v>
      </c>
      <c r="W55" s="1" t="e">
        <f t="shared" si="13"/>
        <v>#N/A</v>
      </c>
      <c r="X55" s="1">
        <f t="shared" si="14"/>
        <v>0.78924353807871384</v>
      </c>
      <c r="Y55" s="1" t="e">
        <f t="shared" si="15"/>
        <v>#N/A</v>
      </c>
      <c r="Z55" s="1" t="e">
        <f t="shared" si="16"/>
        <v>#N/A</v>
      </c>
      <c r="AA55">
        <v>0</v>
      </c>
      <c r="AB55" s="1" t="s">
        <v>19</v>
      </c>
      <c r="AD55" s="17">
        <f t="shared" si="22"/>
        <v>34485</v>
      </c>
      <c r="AE55" s="1" t="e">
        <f t="shared" si="23"/>
        <v>#N/A</v>
      </c>
      <c r="AF55" s="1">
        <f t="shared" si="24"/>
        <v>0.78924353807871384</v>
      </c>
      <c r="AG55" s="1" t="e">
        <f t="shared" si="25"/>
        <v>#N/A</v>
      </c>
      <c r="AH55" s="1" t="e">
        <f t="shared" si="26"/>
        <v>#N/A</v>
      </c>
      <c r="AK55" s="1"/>
      <c r="AL55" s="1"/>
      <c r="AM55" s="1"/>
      <c r="AN55" s="1"/>
      <c r="AO55" s="17">
        <f t="shared" si="31"/>
        <v>34485</v>
      </c>
      <c r="AP55">
        <f t="shared" si="32"/>
        <v>3</v>
      </c>
      <c r="AQ55">
        <f t="shared" si="33"/>
        <v>4</v>
      </c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7" t="e">
        <f t="shared" ref="BL55" si="82">#REF!</f>
        <v>#REF!</v>
      </c>
      <c r="BM55">
        <f t="shared" si="18"/>
        <v>4</v>
      </c>
      <c r="BN55">
        <f t="shared" si="19"/>
        <v>1</v>
      </c>
    </row>
    <row r="56" spans="1:66">
      <c r="A56" s="7">
        <v>34515</v>
      </c>
      <c r="B56" s="8">
        <v>0.14454900000000001</v>
      </c>
      <c r="C56" s="8">
        <f t="shared" si="6"/>
        <v>0.17747335383364984</v>
      </c>
      <c r="D56" s="9">
        <f t="shared" si="2"/>
        <v>0.88736676916824919</v>
      </c>
      <c r="E56" s="8">
        <v>8.3000000000000007</v>
      </c>
      <c r="F56" s="8">
        <f t="shared" si="7"/>
        <v>7.4932858517409517</v>
      </c>
      <c r="G56" s="9">
        <f t="shared" si="3"/>
        <v>0.68120780470372289</v>
      </c>
      <c r="H56" s="8">
        <v>0.4088</v>
      </c>
      <c r="I56" s="8">
        <f t="shared" si="8"/>
        <v>0.45778250699655354</v>
      </c>
      <c r="J56" s="9">
        <f t="shared" si="9"/>
        <v>0.6577825069965535</v>
      </c>
      <c r="K56" s="8">
        <v>0.54900000000000004</v>
      </c>
      <c r="L56" s="8">
        <f t="shared" si="10"/>
        <v>0.87620837155253817</v>
      </c>
      <c r="M56" s="9">
        <f t="shared" si="4"/>
        <v>0.87620837155253817</v>
      </c>
      <c r="O56" s="11">
        <f t="shared" si="11"/>
        <v>0.74452653495355314</v>
      </c>
      <c r="P56" s="15" t="str">
        <f t="shared" si="20"/>
        <v>SD</v>
      </c>
      <c r="Q56" t="str">
        <f t="shared" si="30"/>
        <v>E</v>
      </c>
      <c r="R56" s="18">
        <f t="shared" si="21"/>
        <v>0.74452653495355314</v>
      </c>
      <c r="S56" t="str">
        <f t="shared" si="46"/>
        <v>SD</v>
      </c>
      <c r="T56">
        <v>0</v>
      </c>
      <c r="V56" s="17">
        <f t="shared" si="12"/>
        <v>34515</v>
      </c>
      <c r="W56" s="1" t="e">
        <f t="shared" si="13"/>
        <v>#N/A</v>
      </c>
      <c r="X56" s="1">
        <f t="shared" si="14"/>
        <v>0.74452653495355314</v>
      </c>
      <c r="Y56" s="1" t="e">
        <f t="shared" si="15"/>
        <v>#N/A</v>
      </c>
      <c r="Z56" s="1" t="e">
        <f t="shared" si="16"/>
        <v>#N/A</v>
      </c>
      <c r="AA56">
        <v>0</v>
      </c>
      <c r="AB56" s="1" t="s">
        <v>19</v>
      </c>
      <c r="AD56" s="17">
        <f t="shared" si="22"/>
        <v>34515</v>
      </c>
      <c r="AE56" s="1" t="e">
        <f t="shared" si="23"/>
        <v>#N/A</v>
      </c>
      <c r="AF56" s="1">
        <f t="shared" si="24"/>
        <v>0.74452653495355314</v>
      </c>
      <c r="AG56" s="1" t="e">
        <f t="shared" si="25"/>
        <v>#N/A</v>
      </c>
      <c r="AH56" s="1" t="e">
        <f t="shared" si="26"/>
        <v>#N/A</v>
      </c>
      <c r="AK56" s="1"/>
      <c r="AL56" s="1"/>
      <c r="AM56" s="1"/>
      <c r="AN56" s="1"/>
      <c r="AO56" s="17">
        <f t="shared" si="31"/>
        <v>34515</v>
      </c>
      <c r="AP56">
        <f t="shared" si="32"/>
        <v>3</v>
      </c>
      <c r="AQ56">
        <f t="shared" si="33"/>
        <v>4</v>
      </c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7" t="e">
        <f t="shared" ref="BL56" si="83">#REF!</f>
        <v>#REF!</v>
      </c>
      <c r="BM56">
        <f t="shared" si="18"/>
        <v>4</v>
      </c>
      <c r="BN56">
        <f t="shared" si="19"/>
        <v>1</v>
      </c>
    </row>
    <row r="57" spans="1:66">
      <c r="A57" s="7">
        <v>34546</v>
      </c>
      <c r="B57" s="8">
        <v>0.15223400000000001</v>
      </c>
      <c r="C57" s="8">
        <f t="shared" si="6"/>
        <v>0.17028013799105965</v>
      </c>
      <c r="D57" s="9">
        <f t="shared" si="2"/>
        <v>0.85140068995529816</v>
      </c>
      <c r="E57" s="8">
        <v>8.6</v>
      </c>
      <c r="F57" s="8">
        <f t="shared" si="7"/>
        <v>7.8086993839947798</v>
      </c>
      <c r="G57" s="9">
        <f t="shared" si="3"/>
        <v>0.70988176218134358</v>
      </c>
      <c r="H57" s="8">
        <v>0.23780000000000001</v>
      </c>
      <c r="I57" s="8">
        <f t="shared" si="8"/>
        <v>0.39508749250253578</v>
      </c>
      <c r="J57" s="9">
        <f t="shared" si="9"/>
        <v>0.59508749250253579</v>
      </c>
      <c r="K57" s="8">
        <v>0.82199999999999995</v>
      </c>
      <c r="L57" s="8">
        <f t="shared" si="10"/>
        <v>0.8607589856600647</v>
      </c>
      <c r="M57" s="9">
        <f t="shared" si="4"/>
        <v>0.8607589856600647</v>
      </c>
      <c r="O57" s="11">
        <f t="shared" si="11"/>
        <v>0.72625635385542686</v>
      </c>
      <c r="P57" s="15" t="str">
        <f t="shared" si="20"/>
        <v>SD</v>
      </c>
      <c r="Q57" t="str">
        <f t="shared" si="30"/>
        <v>E</v>
      </c>
      <c r="R57" s="18">
        <f t="shared" si="21"/>
        <v>0.72625635385542686</v>
      </c>
      <c r="S57" t="str">
        <f t="shared" si="46"/>
        <v>SD</v>
      </c>
      <c r="T57">
        <v>0</v>
      </c>
      <c r="V57" s="17">
        <f t="shared" si="12"/>
        <v>34546</v>
      </c>
      <c r="W57" s="1">
        <f t="shared" si="13"/>
        <v>0.72625635385542686</v>
      </c>
      <c r="X57" s="1">
        <f t="shared" si="14"/>
        <v>0.72625635385542686</v>
      </c>
      <c r="Y57" s="1" t="e">
        <f t="shared" si="15"/>
        <v>#N/A</v>
      </c>
      <c r="Z57" s="1" t="e">
        <f t="shared" si="16"/>
        <v>#N/A</v>
      </c>
      <c r="AA57">
        <v>0</v>
      </c>
      <c r="AB57" s="1" t="s">
        <v>19</v>
      </c>
      <c r="AD57" s="17">
        <f t="shared" si="22"/>
        <v>34546</v>
      </c>
      <c r="AE57" s="1">
        <f t="shared" si="23"/>
        <v>0.72625635385542686</v>
      </c>
      <c r="AF57" s="1">
        <f t="shared" si="24"/>
        <v>0.72625635385542686</v>
      </c>
      <c r="AG57" s="1" t="e">
        <f t="shared" si="25"/>
        <v>#N/A</v>
      </c>
      <c r="AH57" s="1" t="e">
        <f t="shared" si="26"/>
        <v>#N/A</v>
      </c>
      <c r="AK57" s="1"/>
      <c r="AL57" s="1"/>
      <c r="AM57" s="1"/>
      <c r="AN57" s="1"/>
      <c r="AO57" s="17">
        <f t="shared" si="31"/>
        <v>34546</v>
      </c>
      <c r="AP57">
        <f t="shared" si="32"/>
        <v>3</v>
      </c>
      <c r="AQ57">
        <f t="shared" si="33"/>
        <v>4</v>
      </c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7" t="e">
        <f t="shared" ref="BL57" si="84">#REF!</f>
        <v>#REF!</v>
      </c>
      <c r="BM57">
        <f t="shared" si="18"/>
        <v>4</v>
      </c>
      <c r="BN57">
        <f t="shared" si="19"/>
        <v>1</v>
      </c>
    </row>
    <row r="58" spans="1:66">
      <c r="A58" s="7">
        <v>34577</v>
      </c>
      <c r="B58" s="8">
        <v>0.27648</v>
      </c>
      <c r="C58" s="8">
        <f t="shared" si="6"/>
        <v>0.20054709866360765</v>
      </c>
      <c r="D58" s="9">
        <f t="shared" si="2"/>
        <v>1.0027354933180381</v>
      </c>
      <c r="E58" s="8">
        <v>8.8000000000000007</v>
      </c>
      <c r="F58" s="8">
        <f t="shared" si="7"/>
        <v>8.0912200595562673</v>
      </c>
      <c r="G58" s="9">
        <f t="shared" si="3"/>
        <v>0.73556545995966072</v>
      </c>
      <c r="H58" s="8">
        <v>0.61560000000000004</v>
      </c>
      <c r="I58" s="8">
        <f t="shared" si="8"/>
        <v>0.45793355713931305</v>
      </c>
      <c r="J58" s="9">
        <f t="shared" si="9"/>
        <v>0.65793355713931301</v>
      </c>
      <c r="K58" s="8">
        <v>1.1919999999999999</v>
      </c>
      <c r="L58" s="8">
        <f t="shared" si="10"/>
        <v>0.95516267474694627</v>
      </c>
      <c r="M58" s="9">
        <f t="shared" si="4"/>
        <v>0.95516267474694627</v>
      </c>
      <c r="O58" s="11">
        <f t="shared" si="11"/>
        <v>0.79716694755208461</v>
      </c>
      <c r="P58" s="15" t="str">
        <f t="shared" si="20"/>
        <v>E</v>
      </c>
      <c r="Q58" t="str">
        <f t="shared" si="30"/>
        <v>E</v>
      </c>
      <c r="R58" s="18">
        <f t="shared" si="21"/>
        <v>0.79716694755208461</v>
      </c>
      <c r="S58" t="str">
        <f t="shared" si="46"/>
        <v>E</v>
      </c>
      <c r="T58">
        <v>0</v>
      </c>
      <c r="V58" s="17">
        <f t="shared" si="12"/>
        <v>34577</v>
      </c>
      <c r="W58" s="1">
        <f t="shared" si="13"/>
        <v>0.79716694755208461</v>
      </c>
      <c r="X58" s="1">
        <f t="shared" si="14"/>
        <v>0.79716694755208461</v>
      </c>
      <c r="Y58" s="1" t="e">
        <f t="shared" si="15"/>
        <v>#N/A</v>
      </c>
      <c r="Z58" s="1" t="e">
        <f t="shared" si="16"/>
        <v>#N/A</v>
      </c>
      <c r="AA58">
        <v>0</v>
      </c>
      <c r="AB58" s="1" t="s">
        <v>19</v>
      </c>
      <c r="AD58" s="17">
        <f t="shared" si="22"/>
        <v>34577</v>
      </c>
      <c r="AE58" s="1">
        <f t="shared" si="23"/>
        <v>0.79716694755208461</v>
      </c>
      <c r="AF58" s="1" t="e">
        <f t="shared" si="24"/>
        <v>#N/A</v>
      </c>
      <c r="AG58" s="1" t="e">
        <f t="shared" si="25"/>
        <v>#N/A</v>
      </c>
      <c r="AH58" s="1" t="e">
        <f t="shared" si="26"/>
        <v>#N/A</v>
      </c>
      <c r="AK58" s="1"/>
      <c r="AL58" s="1"/>
      <c r="AM58" s="1"/>
      <c r="AN58" s="1"/>
      <c r="AO58" s="17">
        <f t="shared" si="31"/>
        <v>34577</v>
      </c>
      <c r="AP58">
        <f t="shared" si="32"/>
        <v>4</v>
      </c>
      <c r="AQ58">
        <f t="shared" si="33"/>
        <v>4</v>
      </c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7" t="e">
        <f t="shared" ref="BL58" si="85">#REF!</f>
        <v>#REF!</v>
      </c>
      <c r="BM58">
        <f t="shared" si="18"/>
        <v>4</v>
      </c>
      <c r="BN58">
        <f t="shared" si="19"/>
        <v>1</v>
      </c>
    </row>
    <row r="59" spans="1:66">
      <c r="A59" s="7">
        <v>34607</v>
      </c>
      <c r="B59" s="8">
        <v>0.20199900000000001</v>
      </c>
      <c r="C59" s="8">
        <f t="shared" si="6"/>
        <v>0.20096089054447946</v>
      </c>
      <c r="D59" s="9">
        <f t="shared" si="2"/>
        <v>1.0048044527223972</v>
      </c>
      <c r="E59" s="8">
        <v>8.8000000000000007</v>
      </c>
      <c r="F59" s="8">
        <f t="shared" si="7"/>
        <v>8.2932223425827321</v>
      </c>
      <c r="G59" s="9">
        <f t="shared" si="3"/>
        <v>0.75392930387115742</v>
      </c>
      <c r="H59" s="8">
        <v>0.35930000000000001</v>
      </c>
      <c r="I59" s="8">
        <f t="shared" si="8"/>
        <v>0.42982299335460883</v>
      </c>
      <c r="J59" s="9">
        <f t="shared" si="9"/>
        <v>0.6298229933546089</v>
      </c>
      <c r="K59" s="8">
        <v>0.57799999999999996</v>
      </c>
      <c r="L59" s="8">
        <f t="shared" si="10"/>
        <v>0.84767131244406657</v>
      </c>
      <c r="M59" s="9">
        <f t="shared" si="4"/>
        <v>0.84767131244406657</v>
      </c>
      <c r="O59" s="11">
        <f t="shared" si="11"/>
        <v>0.76439837499974062</v>
      </c>
      <c r="P59" s="15" t="str">
        <f t="shared" si="20"/>
        <v>SD</v>
      </c>
      <c r="Q59" t="str">
        <f t="shared" si="30"/>
        <v>E</v>
      </c>
      <c r="R59" s="18">
        <f t="shared" si="21"/>
        <v>0.79716694755208461</v>
      </c>
      <c r="S59" t="str">
        <f t="shared" si="46"/>
        <v>E</v>
      </c>
      <c r="T59">
        <v>0</v>
      </c>
      <c r="V59" s="17">
        <f t="shared" si="12"/>
        <v>34607</v>
      </c>
      <c r="W59" s="1">
        <f t="shared" si="13"/>
        <v>0.76439837499974062</v>
      </c>
      <c r="X59" s="1">
        <f t="shared" si="14"/>
        <v>0.76439837499974062</v>
      </c>
      <c r="Y59" s="1" t="e">
        <f t="shared" si="15"/>
        <v>#N/A</v>
      </c>
      <c r="Z59" s="1" t="e">
        <f t="shared" si="16"/>
        <v>#N/A</v>
      </c>
      <c r="AA59">
        <v>0</v>
      </c>
      <c r="AB59" s="1" t="s">
        <v>19</v>
      </c>
      <c r="AD59" s="17">
        <f t="shared" si="22"/>
        <v>34607</v>
      </c>
      <c r="AE59" s="1">
        <f t="shared" si="23"/>
        <v>0.76439837499974062</v>
      </c>
      <c r="AF59" s="1" t="e">
        <f t="shared" si="24"/>
        <v>#N/A</v>
      </c>
      <c r="AG59" s="1" t="e">
        <f t="shared" si="25"/>
        <v>#N/A</v>
      </c>
      <c r="AH59" s="1" t="e">
        <f t="shared" si="26"/>
        <v>#N/A</v>
      </c>
      <c r="AK59" s="1"/>
      <c r="AL59" s="1"/>
      <c r="AM59" s="1"/>
      <c r="AN59" s="1"/>
      <c r="AO59" s="17">
        <f t="shared" si="31"/>
        <v>34607</v>
      </c>
      <c r="AP59">
        <f t="shared" si="32"/>
        <v>3</v>
      </c>
      <c r="AQ59">
        <f t="shared" si="33"/>
        <v>4</v>
      </c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7" t="e">
        <f t="shared" ref="BL59" si="86">#REF!</f>
        <v>#REF!</v>
      </c>
      <c r="BM59">
        <f t="shared" si="18"/>
        <v>4</v>
      </c>
      <c r="BN59">
        <f t="shared" si="19"/>
        <v>1</v>
      </c>
    </row>
    <row r="60" spans="1:66">
      <c r="A60" s="7">
        <v>34638</v>
      </c>
      <c r="B60" s="8">
        <v>0.16192599999999999</v>
      </c>
      <c r="C60" s="8">
        <f t="shared" si="6"/>
        <v>0.18983594673930282</v>
      </c>
      <c r="D60" s="9">
        <f t="shared" si="2"/>
        <v>0.94917973369651409</v>
      </c>
      <c r="E60" s="8">
        <v>9</v>
      </c>
      <c r="F60" s="8">
        <f t="shared" si="7"/>
        <v>8.4946539749466545</v>
      </c>
      <c r="G60" s="9">
        <f t="shared" si="3"/>
        <v>0.77224127044969582</v>
      </c>
      <c r="H60" s="8">
        <v>0.60289999999999999</v>
      </c>
      <c r="I60" s="8">
        <f t="shared" si="8"/>
        <v>0.47914994024854529</v>
      </c>
      <c r="J60" s="9">
        <f t="shared" si="9"/>
        <v>0.67914994024854525</v>
      </c>
      <c r="K60" s="8">
        <v>1.0509999999999999</v>
      </c>
      <c r="L60" s="8">
        <f t="shared" si="10"/>
        <v>0.90561998839750757</v>
      </c>
      <c r="M60" s="9">
        <f t="shared" si="4"/>
        <v>0.90561998839750757</v>
      </c>
      <c r="O60" s="11">
        <f t="shared" si="11"/>
        <v>0.79652774312481434</v>
      </c>
      <c r="P60" s="15" t="str">
        <f t="shared" si="20"/>
        <v>E</v>
      </c>
      <c r="Q60" t="str">
        <f t="shared" si="30"/>
        <v>E</v>
      </c>
      <c r="R60" s="18">
        <f t="shared" si="21"/>
        <v>0.79652774312481434</v>
      </c>
      <c r="S60" t="str">
        <f t="shared" si="46"/>
        <v>E</v>
      </c>
      <c r="T60">
        <v>0</v>
      </c>
      <c r="V60" s="17">
        <f t="shared" si="12"/>
        <v>34638</v>
      </c>
      <c r="W60" s="1">
        <f t="shared" si="13"/>
        <v>0.79652774312481434</v>
      </c>
      <c r="X60" s="1" t="e">
        <f t="shared" si="14"/>
        <v>#N/A</v>
      </c>
      <c r="Y60" s="1" t="e">
        <f t="shared" si="15"/>
        <v>#N/A</v>
      </c>
      <c r="Z60" s="1" t="e">
        <f t="shared" si="16"/>
        <v>#N/A</v>
      </c>
      <c r="AA60">
        <v>0</v>
      </c>
      <c r="AB60" s="1" t="s">
        <v>19</v>
      </c>
      <c r="AD60" s="17">
        <f t="shared" si="22"/>
        <v>34638</v>
      </c>
      <c r="AE60" s="1">
        <f t="shared" si="23"/>
        <v>0.79652774312481434</v>
      </c>
      <c r="AF60" s="1" t="e">
        <f t="shared" si="24"/>
        <v>#N/A</v>
      </c>
      <c r="AG60" s="1" t="e">
        <f t="shared" si="25"/>
        <v>#N/A</v>
      </c>
      <c r="AH60" s="1" t="e">
        <f t="shared" si="26"/>
        <v>#N/A</v>
      </c>
      <c r="AK60" s="1"/>
      <c r="AL60" s="1"/>
      <c r="AM60" s="1"/>
      <c r="AN60" s="1"/>
      <c r="AO60" s="17">
        <f t="shared" si="31"/>
        <v>34638</v>
      </c>
      <c r="AP60">
        <f t="shared" si="32"/>
        <v>4</v>
      </c>
      <c r="AQ60">
        <f t="shared" si="33"/>
        <v>4</v>
      </c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7" t="e">
        <f t="shared" ref="BL60" si="87">#REF!</f>
        <v>#REF!</v>
      </c>
      <c r="BM60">
        <f t="shared" si="18"/>
        <v>4</v>
      </c>
      <c r="BN60">
        <f t="shared" si="19"/>
        <v>1</v>
      </c>
    </row>
    <row r="61" spans="1:66">
      <c r="A61" s="7">
        <v>34668</v>
      </c>
      <c r="B61" s="8">
        <v>0.19040399999999999</v>
      </c>
      <c r="C61" s="8">
        <f t="shared" si="6"/>
        <v>0.18999784191860153</v>
      </c>
      <c r="D61" s="9">
        <f t="shared" si="2"/>
        <v>0.94998920959300759</v>
      </c>
      <c r="E61" s="8">
        <v>8.6999999999999993</v>
      </c>
      <c r="F61" s="8">
        <f t="shared" si="7"/>
        <v>8.5531775920868576</v>
      </c>
      <c r="G61" s="9">
        <f t="shared" si="3"/>
        <v>0.77756159928062341</v>
      </c>
      <c r="H61" s="8">
        <v>0.7923</v>
      </c>
      <c r="I61" s="8">
        <f t="shared" si="8"/>
        <v>0.56839770727770988</v>
      </c>
      <c r="J61" s="9">
        <f t="shared" si="9"/>
        <v>0.76839770727770995</v>
      </c>
      <c r="K61" s="8">
        <v>0.86099999999999999</v>
      </c>
      <c r="L61" s="8">
        <f t="shared" si="10"/>
        <v>0.89290329170421789</v>
      </c>
      <c r="M61" s="9">
        <f t="shared" si="4"/>
        <v>0.89290329170421789</v>
      </c>
      <c r="O61" s="11">
        <f t="shared" si="11"/>
        <v>0.82506160178878785</v>
      </c>
      <c r="P61" s="15" t="str">
        <f t="shared" si="20"/>
        <v>E</v>
      </c>
      <c r="Q61" t="str">
        <f t="shared" si="30"/>
        <v>E</v>
      </c>
      <c r="R61" s="18">
        <f t="shared" si="21"/>
        <v>0.79652774312481434</v>
      </c>
      <c r="S61" t="str">
        <f t="shared" si="46"/>
        <v>E</v>
      </c>
      <c r="T61">
        <v>0</v>
      </c>
      <c r="V61" s="17">
        <f t="shared" si="12"/>
        <v>34668</v>
      </c>
      <c r="W61" s="1">
        <f t="shared" si="13"/>
        <v>0.82506160178878785</v>
      </c>
      <c r="X61" s="1">
        <f t="shared" si="14"/>
        <v>0.82506160178878785</v>
      </c>
      <c r="Y61" s="1" t="e">
        <f t="shared" si="15"/>
        <v>#N/A</v>
      </c>
      <c r="Z61" s="1" t="e">
        <f t="shared" si="16"/>
        <v>#N/A</v>
      </c>
      <c r="AA61">
        <v>0</v>
      </c>
      <c r="AB61" s="1" t="s">
        <v>19</v>
      </c>
      <c r="AD61" s="17">
        <f t="shared" si="22"/>
        <v>34668</v>
      </c>
      <c r="AE61" s="1">
        <f t="shared" si="23"/>
        <v>0.82506160178878785</v>
      </c>
      <c r="AF61" s="1" t="e">
        <f t="shared" si="24"/>
        <v>#N/A</v>
      </c>
      <c r="AG61" s="1" t="e">
        <f t="shared" si="25"/>
        <v>#N/A</v>
      </c>
      <c r="AH61" s="1" t="e">
        <f t="shared" si="26"/>
        <v>#N/A</v>
      </c>
      <c r="AK61" s="1"/>
      <c r="AL61" s="1"/>
      <c r="AM61" s="1"/>
      <c r="AN61" s="1"/>
      <c r="AO61" s="17">
        <f t="shared" si="31"/>
        <v>34668</v>
      </c>
      <c r="AP61">
        <f t="shared" si="32"/>
        <v>4</v>
      </c>
      <c r="AQ61">
        <f t="shared" si="33"/>
        <v>4</v>
      </c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7" t="e">
        <f t="shared" ref="BL61" si="88">#REF!</f>
        <v>#REF!</v>
      </c>
      <c r="BM61">
        <f t="shared" si="18"/>
        <v>4</v>
      </c>
      <c r="BN61">
        <f t="shared" si="19"/>
        <v>1</v>
      </c>
    </row>
    <row r="62" spans="1:66">
      <c r="A62" s="7">
        <v>34699</v>
      </c>
      <c r="B62" s="8">
        <v>0.28335700000000003</v>
      </c>
      <c r="C62" s="8">
        <f t="shared" si="6"/>
        <v>0.21660520197180011</v>
      </c>
      <c r="D62" s="9">
        <f t="shared" si="2"/>
        <v>1.0830260098590005</v>
      </c>
      <c r="E62" s="8">
        <v>7.9</v>
      </c>
      <c r="F62" s="8">
        <f t="shared" si="7"/>
        <v>8.3670219783421036</v>
      </c>
      <c r="G62" s="9">
        <f t="shared" si="3"/>
        <v>0.76063836166746401</v>
      </c>
      <c r="H62" s="8">
        <v>0.66859999999999997</v>
      </c>
      <c r="I62" s="8">
        <f t="shared" si="8"/>
        <v>0.59695536070356259</v>
      </c>
      <c r="J62" s="9">
        <f t="shared" si="9"/>
        <v>0.79695536070356265</v>
      </c>
      <c r="K62" s="8">
        <v>0.28100000000000003</v>
      </c>
      <c r="L62" s="8">
        <f t="shared" si="10"/>
        <v>0.71851085356851585</v>
      </c>
      <c r="M62" s="9">
        <f t="shared" si="4"/>
        <v>0.71851085356851585</v>
      </c>
      <c r="O62" s="11">
        <f t="shared" si="11"/>
        <v>0.79621094505171053</v>
      </c>
      <c r="P62" s="15" t="str">
        <f t="shared" si="20"/>
        <v>SD</v>
      </c>
      <c r="Q62" t="str">
        <f t="shared" si="30"/>
        <v>E</v>
      </c>
      <c r="R62" s="18">
        <f t="shared" si="21"/>
        <v>0.79652774312481434</v>
      </c>
      <c r="S62" t="str">
        <f t="shared" si="46"/>
        <v>E</v>
      </c>
      <c r="T62">
        <v>0</v>
      </c>
      <c r="V62" s="17">
        <f t="shared" si="12"/>
        <v>34699</v>
      </c>
      <c r="W62" s="1" t="e">
        <f t="shared" si="13"/>
        <v>#N/A</v>
      </c>
      <c r="X62" s="1">
        <f t="shared" si="14"/>
        <v>0.79621094505171053</v>
      </c>
      <c r="Y62" s="1" t="e">
        <f t="shared" si="15"/>
        <v>#N/A</v>
      </c>
      <c r="Z62" s="1" t="e">
        <f t="shared" si="16"/>
        <v>#N/A</v>
      </c>
      <c r="AA62">
        <v>0</v>
      </c>
      <c r="AB62" s="1" t="s">
        <v>19</v>
      </c>
      <c r="AD62" s="17">
        <f t="shared" si="22"/>
        <v>34699</v>
      </c>
      <c r="AE62" s="1">
        <f t="shared" si="23"/>
        <v>0.79621094505171053</v>
      </c>
      <c r="AF62" s="1" t="e">
        <f t="shared" si="24"/>
        <v>#N/A</v>
      </c>
      <c r="AG62" s="1" t="e">
        <f t="shared" si="25"/>
        <v>#N/A</v>
      </c>
      <c r="AH62" s="1" t="e">
        <f t="shared" si="26"/>
        <v>#N/A</v>
      </c>
      <c r="AK62" s="1"/>
      <c r="AL62" s="1"/>
      <c r="AM62" s="1"/>
      <c r="AN62" s="1"/>
      <c r="AO62" s="17">
        <f t="shared" si="31"/>
        <v>34699</v>
      </c>
      <c r="AP62">
        <f t="shared" si="32"/>
        <v>3</v>
      </c>
      <c r="AQ62">
        <f t="shared" si="33"/>
        <v>4</v>
      </c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7" t="e">
        <f t="shared" ref="BL62" si="89">#REF!</f>
        <v>#REF!</v>
      </c>
      <c r="BM62">
        <f t="shared" si="18"/>
        <v>4</v>
      </c>
      <c r="BN62">
        <f t="shared" si="19"/>
        <v>1</v>
      </c>
    </row>
    <row r="63" spans="1:66">
      <c r="A63" s="7">
        <v>34730</v>
      </c>
      <c r="B63" s="8">
        <v>0.159973</v>
      </c>
      <c r="C63" s="8">
        <f t="shared" si="6"/>
        <v>0.20046502440983707</v>
      </c>
      <c r="D63" s="9">
        <f t="shared" si="2"/>
        <v>1.0023251220491853</v>
      </c>
      <c r="E63" s="8">
        <v>8.1</v>
      </c>
      <c r="F63" s="8">
        <f t="shared" si="7"/>
        <v>8.2909207145146038</v>
      </c>
      <c r="G63" s="9">
        <f t="shared" si="3"/>
        <v>0.75372006495587307</v>
      </c>
      <c r="H63" s="8">
        <v>8.9800000000000005E-2</v>
      </c>
      <c r="I63" s="8">
        <f t="shared" si="8"/>
        <v>0.45241608290304725</v>
      </c>
      <c r="J63" s="9">
        <f t="shared" si="9"/>
        <v>0.6524160829030472</v>
      </c>
      <c r="K63" s="8">
        <v>1.0209999999999999</v>
      </c>
      <c r="L63" s="8">
        <f t="shared" si="10"/>
        <v>0.80472026030148891</v>
      </c>
      <c r="M63" s="9">
        <f t="shared" si="4"/>
        <v>0.80472026030148891</v>
      </c>
      <c r="O63" s="11">
        <f t="shared" si="11"/>
        <v>0.76556492366651863</v>
      </c>
      <c r="P63" s="15" t="str">
        <f t="shared" si="20"/>
        <v>SD</v>
      </c>
      <c r="Q63" t="str">
        <f t="shared" si="30"/>
        <v>E</v>
      </c>
      <c r="R63" s="18">
        <f t="shared" si="21"/>
        <v>0.76556492366651863</v>
      </c>
      <c r="S63" t="str">
        <f t="shared" si="46"/>
        <v>E</v>
      </c>
      <c r="T63">
        <v>0</v>
      </c>
      <c r="V63" s="17">
        <f t="shared" si="12"/>
        <v>34730</v>
      </c>
      <c r="W63" s="1" t="e">
        <f t="shared" si="13"/>
        <v>#N/A</v>
      </c>
      <c r="X63" s="1">
        <f t="shared" si="14"/>
        <v>0.76556492366651863</v>
      </c>
      <c r="Y63" s="1" t="e">
        <f t="shared" si="15"/>
        <v>#N/A</v>
      </c>
      <c r="Z63" s="1" t="e">
        <f t="shared" si="16"/>
        <v>#N/A</v>
      </c>
      <c r="AA63">
        <v>0</v>
      </c>
      <c r="AB63" s="1" t="s">
        <v>19</v>
      </c>
      <c r="AD63" s="17">
        <f t="shared" si="22"/>
        <v>34730</v>
      </c>
      <c r="AE63" s="1">
        <f t="shared" si="23"/>
        <v>0.76556492366651863</v>
      </c>
      <c r="AF63" s="1">
        <f t="shared" si="24"/>
        <v>0.76556492366651863</v>
      </c>
      <c r="AG63" s="1" t="e">
        <f t="shared" si="25"/>
        <v>#N/A</v>
      </c>
      <c r="AH63" s="1" t="e">
        <f t="shared" si="26"/>
        <v>#N/A</v>
      </c>
      <c r="AK63" s="1"/>
      <c r="AL63" s="1"/>
      <c r="AM63" s="1"/>
      <c r="AN63" s="1"/>
      <c r="AO63" s="17">
        <f t="shared" si="31"/>
        <v>34730</v>
      </c>
      <c r="AP63">
        <f t="shared" si="32"/>
        <v>3</v>
      </c>
      <c r="AQ63">
        <f t="shared" si="33"/>
        <v>4</v>
      </c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7" t="e">
        <f t="shared" ref="BL63" si="90">#REF!</f>
        <v>#REF!</v>
      </c>
      <c r="BM63">
        <f t="shared" si="18"/>
        <v>4</v>
      </c>
      <c r="BN63">
        <f t="shared" si="19"/>
        <v>1</v>
      </c>
    </row>
    <row r="64" spans="1:66">
      <c r="A64" s="7">
        <v>34758</v>
      </c>
      <c r="B64" s="8">
        <v>3.8469000000000003E-2</v>
      </c>
      <c r="C64" s="8">
        <f t="shared" si="6"/>
        <v>0.15429615745303352</v>
      </c>
      <c r="D64" s="9">
        <f t="shared" si="2"/>
        <v>0.77148078726516756</v>
      </c>
      <c r="E64" s="8">
        <v>7.7</v>
      </c>
      <c r="F64" s="8">
        <f t="shared" si="7"/>
        <v>8.1225083108779419</v>
      </c>
      <c r="G64" s="9">
        <f t="shared" si="3"/>
        <v>0.73840984644344931</v>
      </c>
      <c r="H64" s="8">
        <v>-0.38719999999999999</v>
      </c>
      <c r="I64" s="8">
        <f t="shared" si="8"/>
        <v>0.21312549927567875</v>
      </c>
      <c r="J64" s="9">
        <f t="shared" si="9"/>
        <v>0.41312549927567876</v>
      </c>
      <c r="K64" s="8">
        <v>1.0129999999999999</v>
      </c>
      <c r="L64" s="8">
        <f t="shared" si="10"/>
        <v>0.86407998611556458</v>
      </c>
      <c r="M64" s="9">
        <f t="shared" si="4"/>
        <v>0.86407998611556458</v>
      </c>
      <c r="O64" s="11">
        <f t="shared" si="11"/>
        <v>0.68642574383065169</v>
      </c>
      <c r="P64" s="15" t="str">
        <f t="shared" si="20"/>
        <v>SD</v>
      </c>
      <c r="Q64" t="str">
        <f t="shared" si="30"/>
        <v>SD</v>
      </c>
      <c r="R64" s="18">
        <f t="shared" si="21"/>
        <v>0.76556492366651863</v>
      </c>
      <c r="S64" t="str">
        <f t="shared" si="46"/>
        <v>SD</v>
      </c>
      <c r="T64">
        <v>0</v>
      </c>
      <c r="V64" s="17">
        <f t="shared" si="12"/>
        <v>34758</v>
      </c>
      <c r="W64" s="1" t="e">
        <f t="shared" si="13"/>
        <v>#N/A</v>
      </c>
      <c r="X64" s="1">
        <f t="shared" si="14"/>
        <v>0.68642574383065169</v>
      </c>
      <c r="Y64" s="1" t="e">
        <f t="shared" si="15"/>
        <v>#N/A</v>
      </c>
      <c r="Z64" s="1" t="e">
        <f t="shared" si="16"/>
        <v>#N/A</v>
      </c>
      <c r="AA64">
        <v>0</v>
      </c>
      <c r="AB64" s="1" t="s">
        <v>19</v>
      </c>
      <c r="AD64" s="17">
        <f t="shared" si="22"/>
        <v>34758</v>
      </c>
      <c r="AE64" s="1" t="e">
        <f t="shared" si="23"/>
        <v>#N/A</v>
      </c>
      <c r="AF64" s="1">
        <f t="shared" si="24"/>
        <v>0.68642574383065169</v>
      </c>
      <c r="AG64" s="1" t="e">
        <f t="shared" si="25"/>
        <v>#N/A</v>
      </c>
      <c r="AH64" s="1" t="e">
        <f t="shared" si="26"/>
        <v>#N/A</v>
      </c>
      <c r="AK64" s="1"/>
      <c r="AL64" s="1"/>
      <c r="AM64" s="1"/>
      <c r="AN64" s="1"/>
      <c r="AO64" s="17">
        <f t="shared" si="31"/>
        <v>34758</v>
      </c>
      <c r="AP64">
        <f t="shared" si="32"/>
        <v>3</v>
      </c>
      <c r="AQ64">
        <f t="shared" si="33"/>
        <v>3</v>
      </c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7" t="e">
        <f t="shared" ref="BL64" si="91">#REF!</f>
        <v>#REF!</v>
      </c>
      <c r="BM64">
        <f t="shared" si="18"/>
        <v>3</v>
      </c>
      <c r="BN64">
        <f t="shared" si="19"/>
        <v>1</v>
      </c>
    </row>
    <row r="65" spans="1:66">
      <c r="A65" s="7">
        <v>34789</v>
      </c>
      <c r="B65" s="8">
        <v>-3.4521000000000003E-2</v>
      </c>
      <c r="C65" s="8">
        <f t="shared" si="6"/>
        <v>0.10048326757891896</v>
      </c>
      <c r="D65" s="9">
        <f t="shared" si="2"/>
        <v>0.50241633789459472</v>
      </c>
      <c r="E65" s="8">
        <v>6.2</v>
      </c>
      <c r="F65" s="8">
        <f t="shared" si="7"/>
        <v>7.5745934422777284</v>
      </c>
      <c r="G65" s="9">
        <f t="shared" si="3"/>
        <v>0.68859940384342988</v>
      </c>
      <c r="H65" s="8">
        <v>-0.3503</v>
      </c>
      <c r="I65" s="8">
        <f t="shared" si="8"/>
        <v>5.2549231982110298E-2</v>
      </c>
      <c r="J65" s="9">
        <f t="shared" si="9"/>
        <v>0.25254923198211032</v>
      </c>
      <c r="K65" s="8">
        <v>0.88600000000000001</v>
      </c>
      <c r="L65" s="8">
        <f t="shared" si="10"/>
        <v>0.87032719007262871</v>
      </c>
      <c r="M65" s="9">
        <f t="shared" si="4"/>
        <v>0.87032719007262871</v>
      </c>
      <c r="O65" s="11">
        <f t="shared" si="11"/>
        <v>0.60862751433891593</v>
      </c>
      <c r="P65" s="15" t="str">
        <f t="shared" si="20"/>
        <v>SD</v>
      </c>
      <c r="Q65" t="str">
        <f t="shared" si="30"/>
        <v>SD</v>
      </c>
      <c r="R65" s="18">
        <f t="shared" si="21"/>
        <v>0.76556492366651863</v>
      </c>
      <c r="S65" t="str">
        <f t="shared" si="46"/>
        <v>SD</v>
      </c>
      <c r="T65">
        <v>0</v>
      </c>
      <c r="V65" s="17">
        <f t="shared" si="12"/>
        <v>34789</v>
      </c>
      <c r="W65" s="1" t="e">
        <f t="shared" si="13"/>
        <v>#N/A</v>
      </c>
      <c r="X65" s="1">
        <f t="shared" si="14"/>
        <v>0.60862751433891593</v>
      </c>
      <c r="Y65" s="1" t="e">
        <f t="shared" si="15"/>
        <v>#N/A</v>
      </c>
      <c r="Z65" s="1" t="e">
        <f t="shared" si="16"/>
        <v>#N/A</v>
      </c>
      <c r="AA65">
        <v>0</v>
      </c>
      <c r="AB65" s="1" t="s">
        <v>19</v>
      </c>
      <c r="AD65" s="17">
        <f t="shared" si="22"/>
        <v>34789</v>
      </c>
      <c r="AE65" s="1" t="e">
        <f t="shared" si="23"/>
        <v>#N/A</v>
      </c>
      <c r="AF65" s="1">
        <f t="shared" si="24"/>
        <v>0.60862751433891593</v>
      </c>
      <c r="AG65" s="1" t="e">
        <f t="shared" si="25"/>
        <v>#N/A</v>
      </c>
      <c r="AH65" s="1" t="e">
        <f t="shared" si="26"/>
        <v>#N/A</v>
      </c>
      <c r="AK65" s="1"/>
      <c r="AL65" s="1"/>
      <c r="AM65" s="1"/>
      <c r="AN65" s="1"/>
      <c r="AO65" s="17">
        <f t="shared" si="31"/>
        <v>34789</v>
      </c>
      <c r="AP65">
        <f t="shared" si="32"/>
        <v>3</v>
      </c>
      <c r="AQ65">
        <f t="shared" si="33"/>
        <v>3</v>
      </c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7" t="e">
        <f t="shared" ref="BL65" si="92">#REF!</f>
        <v>#REF!</v>
      </c>
      <c r="BM65">
        <f t="shared" si="18"/>
        <v>3</v>
      </c>
      <c r="BN65">
        <f t="shared" si="19"/>
        <v>1</v>
      </c>
    </row>
    <row r="66" spans="1:66">
      <c r="A66" s="7">
        <v>34819</v>
      </c>
      <c r="B66" s="8">
        <v>5.2863E-2</v>
      </c>
      <c r="C66" s="8">
        <f t="shared" si="6"/>
        <v>8.6911491318927059E-2</v>
      </c>
      <c r="D66" s="9">
        <f t="shared" si="2"/>
        <v>0.43455745659463529</v>
      </c>
      <c r="E66" s="8">
        <v>5.6</v>
      </c>
      <c r="F66" s="8">
        <f t="shared" si="7"/>
        <v>7.0118343112285757</v>
      </c>
      <c r="G66" s="9">
        <f t="shared" si="3"/>
        <v>0.63743948283896146</v>
      </c>
      <c r="H66" s="8">
        <v>-0.52939999999999998</v>
      </c>
      <c r="I66" s="8">
        <f t="shared" si="8"/>
        <v>-0.11330629913279115</v>
      </c>
      <c r="J66" s="9">
        <f t="shared" si="9"/>
        <v>8.6693700867208859E-2</v>
      </c>
      <c r="K66" s="8">
        <v>1.0189999999999999</v>
      </c>
      <c r="L66" s="8">
        <f t="shared" si="10"/>
        <v>0.91269894090192949</v>
      </c>
      <c r="M66" s="9">
        <f t="shared" si="4"/>
        <v>0.91269894090192949</v>
      </c>
      <c r="O66" s="11">
        <f t="shared" si="11"/>
        <v>0.54985335934323398</v>
      </c>
      <c r="P66" s="15" t="str">
        <f t="shared" si="20"/>
        <v>SD</v>
      </c>
      <c r="Q66" t="str">
        <f t="shared" si="30"/>
        <v>SD</v>
      </c>
      <c r="R66" s="18">
        <f t="shared" si="21"/>
        <v>0.76556492366651863</v>
      </c>
      <c r="S66" t="str">
        <f t="shared" si="46"/>
        <v>SD</v>
      </c>
      <c r="T66">
        <v>0</v>
      </c>
      <c r="V66" s="17">
        <f t="shared" si="12"/>
        <v>34819</v>
      </c>
      <c r="W66" s="1" t="e">
        <f t="shared" si="13"/>
        <v>#N/A</v>
      </c>
      <c r="X66" s="1">
        <f t="shared" si="14"/>
        <v>0.54985335934323398</v>
      </c>
      <c r="Y66" s="1" t="e">
        <f t="shared" si="15"/>
        <v>#N/A</v>
      </c>
      <c r="Z66" s="1" t="e">
        <f t="shared" si="16"/>
        <v>#N/A</v>
      </c>
      <c r="AA66">
        <v>0</v>
      </c>
      <c r="AB66" s="1" t="s">
        <v>19</v>
      </c>
      <c r="AD66" s="17">
        <f t="shared" si="22"/>
        <v>34819</v>
      </c>
      <c r="AE66" s="1" t="e">
        <f t="shared" si="23"/>
        <v>#N/A</v>
      </c>
      <c r="AF66" s="1">
        <f t="shared" si="24"/>
        <v>0.54985335934323398</v>
      </c>
      <c r="AG66" s="1" t="e">
        <f t="shared" si="25"/>
        <v>#N/A</v>
      </c>
      <c r="AH66" s="1" t="e">
        <f t="shared" si="26"/>
        <v>#N/A</v>
      </c>
      <c r="AK66" s="1"/>
      <c r="AL66" s="1"/>
      <c r="AM66" s="1"/>
      <c r="AN66" s="1"/>
      <c r="AO66" s="17">
        <f t="shared" si="31"/>
        <v>34819</v>
      </c>
      <c r="AP66">
        <f t="shared" si="32"/>
        <v>3</v>
      </c>
      <c r="AQ66">
        <f t="shared" si="33"/>
        <v>3</v>
      </c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7" t="e">
        <f t="shared" ref="BL66" si="93">#REF!</f>
        <v>#REF!</v>
      </c>
      <c r="BM66">
        <f t="shared" si="18"/>
        <v>3</v>
      </c>
      <c r="BN66">
        <f t="shared" si="19"/>
        <v>1</v>
      </c>
    </row>
    <row r="67" spans="1:66">
      <c r="A67" s="7">
        <v>34850</v>
      </c>
      <c r="B67" s="8">
        <v>2.5732999999999999E-2</v>
      </c>
      <c r="C67" s="8">
        <f t="shared" si="6"/>
        <v>6.9475621293032849E-2</v>
      </c>
      <c r="D67" s="9">
        <f t="shared" si="2"/>
        <v>0.3473781064651642</v>
      </c>
      <c r="E67" s="8">
        <v>5</v>
      </c>
      <c r="F67" s="8">
        <f t="shared" si="7"/>
        <v>6.4384615325284322</v>
      </c>
      <c r="G67" s="9">
        <f t="shared" si="3"/>
        <v>0.58531468477531201</v>
      </c>
      <c r="H67" s="8">
        <v>9.7000000000000003E-3</v>
      </c>
      <c r="I67" s="8">
        <f t="shared" si="8"/>
        <v>-7.824950387994567E-2</v>
      </c>
      <c r="J67" s="9">
        <f t="shared" si="9"/>
        <v>0.12175049612005434</v>
      </c>
      <c r="K67" s="8">
        <v>0.90900000000000003</v>
      </c>
      <c r="L67" s="8">
        <f t="shared" si="10"/>
        <v>0.9116447427448795</v>
      </c>
      <c r="M67" s="9">
        <f t="shared" si="4"/>
        <v>0.9116447427448795</v>
      </c>
      <c r="O67" s="11">
        <f t="shared" si="11"/>
        <v>0.53598822715768502</v>
      </c>
      <c r="P67" s="15" t="str">
        <f t="shared" si="20"/>
        <v>SD</v>
      </c>
      <c r="Q67" t="str">
        <f t="shared" si="30"/>
        <v>SD</v>
      </c>
      <c r="R67" s="18">
        <f t="shared" si="21"/>
        <v>0.76556492366651863</v>
      </c>
      <c r="S67" t="str">
        <f t="shared" si="46"/>
        <v>SD</v>
      </c>
      <c r="T67">
        <v>0</v>
      </c>
      <c r="V67" s="17">
        <f t="shared" si="12"/>
        <v>34850</v>
      </c>
      <c r="W67" s="1" t="e">
        <f t="shared" si="13"/>
        <v>#N/A</v>
      </c>
      <c r="X67" s="1">
        <f t="shared" si="14"/>
        <v>0.53598822715768502</v>
      </c>
      <c r="Y67" s="1" t="e">
        <f t="shared" si="15"/>
        <v>#N/A</v>
      </c>
      <c r="Z67" s="1" t="e">
        <f t="shared" si="16"/>
        <v>#N/A</v>
      </c>
      <c r="AA67">
        <v>0</v>
      </c>
      <c r="AB67" s="1" t="s">
        <v>19</v>
      </c>
      <c r="AD67" s="17">
        <f t="shared" si="22"/>
        <v>34850</v>
      </c>
      <c r="AE67" s="1" t="e">
        <f t="shared" si="23"/>
        <v>#N/A</v>
      </c>
      <c r="AF67" s="1">
        <f t="shared" si="24"/>
        <v>0.53598822715768502</v>
      </c>
      <c r="AG67" s="1" t="e">
        <f t="shared" si="25"/>
        <v>#N/A</v>
      </c>
      <c r="AH67" s="1" t="e">
        <f t="shared" si="26"/>
        <v>#N/A</v>
      </c>
      <c r="AK67" s="1"/>
      <c r="AL67" s="1"/>
      <c r="AM67" s="1"/>
      <c r="AN67" s="1"/>
      <c r="AO67" s="17">
        <f t="shared" si="31"/>
        <v>34850</v>
      </c>
      <c r="AP67">
        <f t="shared" si="32"/>
        <v>3</v>
      </c>
      <c r="AQ67">
        <f t="shared" si="33"/>
        <v>3</v>
      </c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7" t="e">
        <f t="shared" ref="BL67" si="94">#REF!</f>
        <v>#REF!</v>
      </c>
      <c r="BM67">
        <f t="shared" si="18"/>
        <v>3</v>
      </c>
      <c r="BN67">
        <f t="shared" si="19"/>
        <v>1</v>
      </c>
    </row>
    <row r="68" spans="1:66">
      <c r="A68" s="7">
        <v>34880</v>
      </c>
      <c r="B68" s="8">
        <v>-6.0240000000000002E-2</v>
      </c>
      <c r="C68" s="8">
        <f t="shared" si="6"/>
        <v>3.2506669224518475E-2</v>
      </c>
      <c r="D68" s="9">
        <f t="shared" ref="D68:D131" si="95">C68/0.2</f>
        <v>0.16253334612259238</v>
      </c>
      <c r="E68" s="8">
        <v>4.2</v>
      </c>
      <c r="F68" s="8">
        <f t="shared" si="7"/>
        <v>5.8004999957578285</v>
      </c>
      <c r="G68" s="9">
        <f t="shared" ref="G68:G131" si="96">F68/11</f>
        <v>0.52731818143252984</v>
      </c>
      <c r="H68" s="8">
        <v>0.10050000000000001</v>
      </c>
      <c r="I68" s="8">
        <f t="shared" si="8"/>
        <v>-2.7305895274161145E-2</v>
      </c>
      <c r="J68" s="9">
        <f t="shared" si="9"/>
        <v>0.17269410472583888</v>
      </c>
      <c r="K68" s="8">
        <v>0.624</v>
      </c>
      <c r="L68" s="8">
        <f t="shared" si="10"/>
        <v>0.82966599106258876</v>
      </c>
      <c r="M68" s="9">
        <f t="shared" ref="M68:M131" si="97">IF(L68&lt;-1,-(-L68^(0.5)),IF(L68&lt;0,0.5*L68,L68))*1+0*IF(L68&gt;0,L68*6,L68)/6</f>
        <v>0.82966599106258876</v>
      </c>
      <c r="O68" s="11">
        <f t="shared" si="11"/>
        <v>0.49255576878138113</v>
      </c>
      <c r="P68" s="15" t="str">
        <f t="shared" si="20"/>
        <v>SD</v>
      </c>
      <c r="Q68" t="str">
        <f t="shared" si="30"/>
        <v>SD</v>
      </c>
      <c r="R68" s="18">
        <f t="shared" si="21"/>
        <v>0.76556492366651863</v>
      </c>
      <c r="S68" t="str">
        <f t="shared" si="46"/>
        <v>SD</v>
      </c>
      <c r="T68">
        <v>0</v>
      </c>
      <c r="V68" s="17">
        <f t="shared" si="12"/>
        <v>34880</v>
      </c>
      <c r="W68" s="1" t="e">
        <f t="shared" si="13"/>
        <v>#N/A</v>
      </c>
      <c r="X68" s="1">
        <f t="shared" si="14"/>
        <v>0.49255576878138113</v>
      </c>
      <c r="Y68" s="1" t="e">
        <f t="shared" si="15"/>
        <v>#N/A</v>
      </c>
      <c r="Z68" s="1" t="e">
        <f t="shared" si="16"/>
        <v>#N/A</v>
      </c>
      <c r="AA68">
        <v>0</v>
      </c>
      <c r="AB68" s="1" t="s">
        <v>19</v>
      </c>
      <c r="AD68" s="17">
        <f t="shared" si="22"/>
        <v>34880</v>
      </c>
      <c r="AE68" s="1" t="e">
        <f t="shared" si="23"/>
        <v>#N/A</v>
      </c>
      <c r="AF68" s="1">
        <f t="shared" si="24"/>
        <v>0.49255576878138113</v>
      </c>
      <c r="AG68" s="1" t="e">
        <f t="shared" si="25"/>
        <v>#N/A</v>
      </c>
      <c r="AH68" s="1" t="e">
        <f t="shared" si="26"/>
        <v>#N/A</v>
      </c>
      <c r="AK68" s="1"/>
      <c r="AL68" s="1"/>
      <c r="AM68" s="1"/>
      <c r="AN68" s="1"/>
      <c r="AO68" s="17">
        <f t="shared" si="31"/>
        <v>34880</v>
      </c>
      <c r="AP68">
        <f t="shared" si="32"/>
        <v>3</v>
      </c>
      <c r="AQ68">
        <f t="shared" si="33"/>
        <v>3</v>
      </c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7" t="e">
        <f t="shared" ref="BL68" si="98">#REF!</f>
        <v>#REF!</v>
      </c>
      <c r="BM68">
        <f t="shared" si="18"/>
        <v>3</v>
      </c>
      <c r="BN68">
        <f t="shared" si="19"/>
        <v>1</v>
      </c>
    </row>
    <row r="69" spans="1:66">
      <c r="A69" s="7">
        <v>34911</v>
      </c>
      <c r="B69" s="8">
        <v>3.0748000000000001E-2</v>
      </c>
      <c r="C69" s="8">
        <f t="shared" ref="C69:C132" si="99">C68*$V$1+(1-$V$1)*B69</f>
        <v>3.2005448495530713E-2</v>
      </c>
      <c r="D69" s="9">
        <f t="shared" si="95"/>
        <v>0.16002724247765354</v>
      </c>
      <c r="E69" s="8">
        <v>3.8</v>
      </c>
      <c r="F69" s="8">
        <f t="shared" ref="F69:F132" si="100">F68*$V$1+(1-$V$1)*E69</f>
        <v>5.2303574969668469</v>
      </c>
      <c r="G69" s="9">
        <f t="shared" si="96"/>
        <v>0.47548704517880425</v>
      </c>
      <c r="H69" s="8">
        <v>-0.21060000000000001</v>
      </c>
      <c r="I69" s="8">
        <f t="shared" ref="I69:I132" si="101">I68*$V$1+(1-$V$1)*H69</f>
        <v>-7.9544715121025233E-2</v>
      </c>
      <c r="J69" s="9">
        <f t="shared" ref="J69:J132" si="102">MAX(IF(I69&lt;-1,-1*SQRT(-I69),IF(I69&gt;1,SQRT(I69),I69)),-2)+0.2</f>
        <v>0.12045528487897478</v>
      </c>
      <c r="K69" s="8">
        <v>0.99399999999999999</v>
      </c>
      <c r="L69" s="8">
        <f t="shared" ref="L69:L132" si="103">L68*$V$1+(1-$V$1)*K69</f>
        <v>0.87650118360975093</v>
      </c>
      <c r="M69" s="9">
        <f t="shared" si="97"/>
        <v>0.87650118360975093</v>
      </c>
      <c r="O69" s="11">
        <f t="shared" ref="O69:O132" si="104">0.3*M69+0.3*J69+0.3*G68+0.1*D69</f>
        <v>0.4732851192241419</v>
      </c>
      <c r="P69" s="15" t="str">
        <f t="shared" si="20"/>
        <v>SD</v>
      </c>
      <c r="Q69" t="str">
        <f t="shared" si="30"/>
        <v>SD</v>
      </c>
      <c r="R69" s="18">
        <f t="shared" si="21"/>
        <v>0.76556492366651863</v>
      </c>
      <c r="S69" t="str">
        <f t="shared" si="46"/>
        <v>SD</v>
      </c>
      <c r="T69">
        <v>0</v>
      </c>
      <c r="V69" s="17">
        <f t="shared" ref="V69:V132" si="105">A69</f>
        <v>34911</v>
      </c>
      <c r="W69" s="1">
        <f t="shared" ref="W69:W132" si="106">IF(OR($P69=W$4,$P70=W$4),$O69,NA())</f>
        <v>0.4732851192241419</v>
      </c>
      <c r="X69" s="1">
        <f t="shared" ref="X69:X132" si="107">IF(OR($P69=X$4,$P70=X$4),$O69,NA())</f>
        <v>0.4732851192241419</v>
      </c>
      <c r="Y69" s="1" t="e">
        <f t="shared" ref="Y69:Y132" si="108">IF(OR($P69=Y$4,$P70=Y$4),$O69,NA())</f>
        <v>#N/A</v>
      </c>
      <c r="Z69" s="1" t="e">
        <f t="shared" ref="Z69:Z132" si="109">IF(OR($P69=Z$4,$P70=Z$4),$O69,NA())</f>
        <v>#N/A</v>
      </c>
      <c r="AA69">
        <v>0</v>
      </c>
      <c r="AB69" s="1" t="s">
        <v>19</v>
      </c>
      <c r="AD69" s="17">
        <f t="shared" si="22"/>
        <v>34911</v>
      </c>
      <c r="AE69" s="1">
        <f t="shared" si="23"/>
        <v>0.4732851192241419</v>
      </c>
      <c r="AF69" s="1">
        <f t="shared" si="24"/>
        <v>0.4732851192241419</v>
      </c>
      <c r="AG69" s="1" t="e">
        <f t="shared" si="25"/>
        <v>#N/A</v>
      </c>
      <c r="AH69" s="1" t="e">
        <f t="shared" si="26"/>
        <v>#N/A</v>
      </c>
      <c r="AK69" s="1"/>
      <c r="AL69" s="1"/>
      <c r="AM69" s="1"/>
      <c r="AN69" s="1"/>
      <c r="AO69" s="17">
        <f t="shared" si="31"/>
        <v>34911</v>
      </c>
      <c r="AP69">
        <f t="shared" si="32"/>
        <v>3</v>
      </c>
      <c r="AQ69">
        <f t="shared" si="33"/>
        <v>3</v>
      </c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7" t="e">
        <f t="shared" ref="BL69" si="110">#REF!</f>
        <v>#REF!</v>
      </c>
      <c r="BM69">
        <f t="shared" ref="BM69:BM132" si="111">IF($Q69="E",4,IF($Q69="R",2,IF($Q69="SD",3,1)))</f>
        <v>3</v>
      </c>
      <c r="BN69">
        <f t="shared" ref="BN69:BN132" si="112">IF($U69="E",4,IF($U69="R",2,IF($U69="SD",3,1)))</f>
        <v>1</v>
      </c>
    </row>
    <row r="70" spans="1:66">
      <c r="A70" s="7">
        <v>34942</v>
      </c>
      <c r="B70" s="8">
        <v>0.143562</v>
      </c>
      <c r="C70" s="8">
        <f t="shared" si="99"/>
        <v>6.3799065674304462E-2</v>
      </c>
      <c r="D70" s="9">
        <f t="shared" si="95"/>
        <v>0.31899532837152228</v>
      </c>
      <c r="E70" s="8">
        <v>3.3</v>
      </c>
      <c r="F70" s="8">
        <f t="shared" si="100"/>
        <v>4.6802056103312957</v>
      </c>
      <c r="G70" s="9">
        <f t="shared" si="96"/>
        <v>0.42547323730284509</v>
      </c>
      <c r="H70" s="8">
        <v>0.79949999999999999</v>
      </c>
      <c r="I70" s="8">
        <f t="shared" si="101"/>
        <v>0.17098302868846699</v>
      </c>
      <c r="J70" s="9">
        <f t="shared" si="102"/>
        <v>0.370983028688467</v>
      </c>
      <c r="K70" s="8">
        <v>0.68899999999999995</v>
      </c>
      <c r="L70" s="8">
        <f t="shared" si="103"/>
        <v>0.82306334628097189</v>
      </c>
      <c r="M70" s="9">
        <f t="shared" si="97"/>
        <v>0.82306334628097189</v>
      </c>
      <c r="O70" s="11">
        <f t="shared" si="104"/>
        <v>0.53275955888162507</v>
      </c>
      <c r="P70" s="15" t="str">
        <f t="shared" ref="P70:P133" si="113">IF(O70-O69&gt;0,IF(O70&gt;=0,"E","R"),IF(O70&gt;=0,"SD","C"))</f>
        <v>E</v>
      </c>
      <c r="Q70" t="str">
        <f t="shared" si="30"/>
        <v>E</v>
      </c>
      <c r="R70" s="18">
        <f t="shared" ref="R70:R133" si="114">IF(Q70&lt;&gt;P69,O70,R69)</f>
        <v>0.53275955888162507</v>
      </c>
      <c r="S70" t="str">
        <f t="shared" si="46"/>
        <v>E</v>
      </c>
      <c r="T70">
        <v>0</v>
      </c>
      <c r="V70" s="17">
        <f t="shared" si="105"/>
        <v>34942</v>
      </c>
      <c r="W70" s="1">
        <f t="shared" si="106"/>
        <v>0.53275955888162507</v>
      </c>
      <c r="X70" s="1">
        <f t="shared" si="107"/>
        <v>0.53275955888162507</v>
      </c>
      <c r="Y70" s="1" t="e">
        <f t="shared" si="108"/>
        <v>#N/A</v>
      </c>
      <c r="Z70" s="1" t="e">
        <f t="shared" si="109"/>
        <v>#N/A</v>
      </c>
      <c r="AA70">
        <v>0</v>
      </c>
      <c r="AB70" s="1" t="s">
        <v>19</v>
      </c>
      <c r="AD70" s="17">
        <f t="shared" ref="AD70:AD133" si="115">A70</f>
        <v>34942</v>
      </c>
      <c r="AE70" s="1">
        <f t="shared" ref="AE70:AE133" si="116">IF(OR($S70=AE$4,$S71=AE$4),$O70,NA())</f>
        <v>0.53275955888162507</v>
      </c>
      <c r="AF70" s="1">
        <f t="shared" ref="AF70:AF133" si="117">IF(OR($S70=AF$4,$S71=AF$4),$O70,NA())</f>
        <v>0.53275955888162507</v>
      </c>
      <c r="AG70" s="1" t="e">
        <f t="shared" ref="AG70:AG133" si="118">IF(OR($S70=AG$4,$S71=AG$4),$O70,NA())</f>
        <v>#N/A</v>
      </c>
      <c r="AH70" s="1" t="e">
        <f t="shared" ref="AH70:AH133" si="119">IF(OR($S70=AH$4,$S71=AH$4),$O70,NA())</f>
        <v>#N/A</v>
      </c>
      <c r="AK70" s="1"/>
      <c r="AL70" s="1"/>
      <c r="AM70" s="1"/>
      <c r="AN70" s="1"/>
      <c r="AO70" s="17">
        <f t="shared" si="31"/>
        <v>34942</v>
      </c>
      <c r="AP70">
        <f t="shared" si="32"/>
        <v>4</v>
      </c>
      <c r="AQ70">
        <f t="shared" si="33"/>
        <v>4</v>
      </c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7" t="e">
        <f t="shared" ref="BL70" si="120">#REF!</f>
        <v>#REF!</v>
      </c>
      <c r="BM70">
        <f t="shared" si="111"/>
        <v>4</v>
      </c>
      <c r="BN70">
        <f t="shared" si="112"/>
        <v>1</v>
      </c>
    </row>
    <row r="71" spans="1:66">
      <c r="A71" s="7">
        <v>34972</v>
      </c>
      <c r="B71" s="8">
        <v>0.19382099999999999</v>
      </c>
      <c r="C71" s="8">
        <f t="shared" si="99"/>
        <v>0.10085531695712768</v>
      </c>
      <c r="D71" s="9">
        <f t="shared" si="95"/>
        <v>0.50427658478563842</v>
      </c>
      <c r="E71" s="8">
        <v>3.2</v>
      </c>
      <c r="F71" s="8">
        <f t="shared" si="100"/>
        <v>4.258347011386876</v>
      </c>
      <c r="G71" s="9">
        <f t="shared" si="96"/>
        <v>0.38712245558062508</v>
      </c>
      <c r="H71" s="8">
        <v>0.22009999999999999</v>
      </c>
      <c r="I71" s="8">
        <f t="shared" si="101"/>
        <v>0.18498136551225391</v>
      </c>
      <c r="J71" s="9">
        <f t="shared" si="102"/>
        <v>0.38498136551225393</v>
      </c>
      <c r="K71" s="8">
        <v>0.56699999999999995</v>
      </c>
      <c r="L71" s="8">
        <f t="shared" si="103"/>
        <v>0.75008529259089496</v>
      </c>
      <c r="M71" s="9">
        <f t="shared" si="97"/>
        <v>0.75008529259089496</v>
      </c>
      <c r="O71" s="11">
        <f t="shared" si="104"/>
        <v>0.51858962710036205</v>
      </c>
      <c r="P71" s="15" t="str">
        <f t="shared" si="113"/>
        <v>SD</v>
      </c>
      <c r="Q71" t="str">
        <f t="shared" si="30"/>
        <v>E</v>
      </c>
      <c r="R71" s="18">
        <f t="shared" si="114"/>
        <v>0.53275955888162507</v>
      </c>
      <c r="S71" t="str">
        <f t="shared" si="46"/>
        <v>SD</v>
      </c>
      <c r="T71">
        <v>0</v>
      </c>
      <c r="V71" s="17">
        <f t="shared" si="105"/>
        <v>34972</v>
      </c>
      <c r="W71" s="1" t="e">
        <f t="shared" si="106"/>
        <v>#N/A</v>
      </c>
      <c r="X71" s="1">
        <f t="shared" si="107"/>
        <v>0.51858962710036205</v>
      </c>
      <c r="Y71" s="1" t="e">
        <f t="shared" si="108"/>
        <v>#N/A</v>
      </c>
      <c r="Z71" s="1" t="e">
        <f t="shared" si="109"/>
        <v>#N/A</v>
      </c>
      <c r="AA71">
        <v>0</v>
      </c>
      <c r="AB71" s="1" t="s">
        <v>19</v>
      </c>
      <c r="AD71" s="17">
        <f t="shared" si="115"/>
        <v>34972</v>
      </c>
      <c r="AE71" s="1" t="e">
        <f t="shared" si="116"/>
        <v>#N/A</v>
      </c>
      <c r="AF71" s="1">
        <f t="shared" si="117"/>
        <v>0.51858962710036205</v>
      </c>
      <c r="AG71" s="1" t="e">
        <f t="shared" si="118"/>
        <v>#N/A</v>
      </c>
      <c r="AH71" s="1" t="e">
        <f t="shared" si="119"/>
        <v>#N/A</v>
      </c>
      <c r="AK71" s="1"/>
      <c r="AL71" s="1"/>
      <c r="AM71" s="1"/>
      <c r="AN71" s="1"/>
      <c r="AO71" s="17">
        <f t="shared" si="31"/>
        <v>34972</v>
      </c>
      <c r="AP71">
        <f t="shared" si="32"/>
        <v>3</v>
      </c>
      <c r="AQ71">
        <f t="shared" si="33"/>
        <v>4</v>
      </c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7" t="e">
        <f t="shared" ref="BL71" si="121">#REF!</f>
        <v>#REF!</v>
      </c>
      <c r="BM71">
        <f t="shared" si="111"/>
        <v>4</v>
      </c>
      <c r="BN71">
        <f t="shared" si="112"/>
        <v>1</v>
      </c>
    </row>
    <row r="72" spans="1:66">
      <c r="A72" s="7">
        <v>35003</v>
      </c>
      <c r="B72" s="8">
        <v>0.214367</v>
      </c>
      <c r="C72" s="8">
        <f t="shared" si="99"/>
        <v>0.13320614662434629</v>
      </c>
      <c r="D72" s="9">
        <f t="shared" si="95"/>
        <v>0.66603073312173144</v>
      </c>
      <c r="E72" s="8">
        <v>2.2000000000000002</v>
      </c>
      <c r="F72" s="8">
        <f t="shared" si="100"/>
        <v>3.6717181131416163</v>
      </c>
      <c r="G72" s="9">
        <f t="shared" si="96"/>
        <v>0.33379255574014693</v>
      </c>
      <c r="H72" s="8">
        <v>-0.20699999999999999</v>
      </c>
      <c r="I72" s="8">
        <f t="shared" si="101"/>
        <v>7.3266676341261536E-2</v>
      </c>
      <c r="J72" s="9">
        <f t="shared" si="102"/>
        <v>0.27326667634126156</v>
      </c>
      <c r="K72" s="8">
        <v>0.58599999999999997</v>
      </c>
      <c r="L72" s="8">
        <f t="shared" si="103"/>
        <v>0.7033209842024899</v>
      </c>
      <c r="M72" s="9">
        <f t="shared" si="97"/>
        <v>0.7033209842024899</v>
      </c>
      <c r="O72" s="11">
        <f t="shared" si="104"/>
        <v>0.47571610814948606</v>
      </c>
      <c r="P72" s="15" t="str">
        <f t="shared" si="113"/>
        <v>SD</v>
      </c>
      <c r="Q72" t="str">
        <f t="shared" ref="Q72:Q135" si="122">IF(OR(ABS($O72-$O71)&gt;$V$2,O72*O71&lt;0),P72,Q71)</f>
        <v>E</v>
      </c>
      <c r="R72" s="18">
        <f t="shared" si="114"/>
        <v>0.47571610814948606</v>
      </c>
      <c r="S72" t="str">
        <f t="shared" si="46"/>
        <v>SD</v>
      </c>
      <c r="T72">
        <v>0</v>
      </c>
      <c r="V72" s="17">
        <f t="shared" si="105"/>
        <v>35003</v>
      </c>
      <c r="W72" s="1" t="e">
        <f t="shared" si="106"/>
        <v>#N/A</v>
      </c>
      <c r="X72" s="1">
        <f t="shared" si="107"/>
        <v>0.47571610814948606</v>
      </c>
      <c r="Y72" s="1" t="e">
        <f t="shared" si="108"/>
        <v>#N/A</v>
      </c>
      <c r="Z72" s="1" t="e">
        <f t="shared" si="109"/>
        <v>#N/A</v>
      </c>
      <c r="AA72">
        <v>0</v>
      </c>
      <c r="AB72" s="1" t="s">
        <v>19</v>
      </c>
      <c r="AD72" s="17">
        <f t="shared" si="115"/>
        <v>35003</v>
      </c>
      <c r="AE72" s="1" t="e">
        <f t="shared" si="116"/>
        <v>#N/A</v>
      </c>
      <c r="AF72" s="1">
        <f t="shared" si="117"/>
        <v>0.47571610814948606</v>
      </c>
      <c r="AG72" s="1" t="e">
        <f t="shared" si="118"/>
        <v>#N/A</v>
      </c>
      <c r="AH72" s="1" t="e">
        <f t="shared" si="119"/>
        <v>#N/A</v>
      </c>
      <c r="AK72" s="1"/>
      <c r="AL72" s="1"/>
      <c r="AM72" s="1"/>
      <c r="AN72" s="1"/>
      <c r="AO72" s="17">
        <f t="shared" ref="AO72:AO135" si="123">A72</f>
        <v>35003</v>
      </c>
      <c r="AP72">
        <f t="shared" ref="AP72:AP135" si="124">IF($P72="E",4,IF($P72="R",2,IF($P72="SD",3,1)))</f>
        <v>3</v>
      </c>
      <c r="AQ72">
        <f t="shared" ref="AQ72:AQ135" si="125">IF($Q72="E",4,IF($Q72="R",2,IF($Q72="SD",3,1)))</f>
        <v>4</v>
      </c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7" t="e">
        <f t="shared" ref="BL72" si="126">#REF!</f>
        <v>#REF!</v>
      </c>
      <c r="BM72">
        <f t="shared" si="111"/>
        <v>4</v>
      </c>
      <c r="BN72">
        <f t="shared" si="112"/>
        <v>1</v>
      </c>
    </row>
    <row r="73" spans="1:66">
      <c r="A73" s="7">
        <v>35033</v>
      </c>
      <c r="B73" s="8">
        <v>0.108128</v>
      </c>
      <c r="C73" s="8">
        <f t="shared" si="99"/>
        <v>0.1260588748364076</v>
      </c>
      <c r="D73" s="9">
        <f t="shared" si="95"/>
        <v>0.63029437418203793</v>
      </c>
      <c r="E73" s="8">
        <v>2</v>
      </c>
      <c r="F73" s="8">
        <f t="shared" si="100"/>
        <v>3.1952784508962555</v>
      </c>
      <c r="G73" s="9">
        <f t="shared" si="96"/>
        <v>0.29047985917238689</v>
      </c>
      <c r="H73" s="8">
        <v>0.13600000000000001</v>
      </c>
      <c r="I73" s="8">
        <f t="shared" si="101"/>
        <v>9.1145673584001996E-2</v>
      </c>
      <c r="J73" s="9">
        <f t="shared" si="102"/>
        <v>0.29114567358400201</v>
      </c>
      <c r="K73" s="8">
        <v>0.68200000000000005</v>
      </c>
      <c r="L73" s="8">
        <f t="shared" si="103"/>
        <v>0.69724450370478031</v>
      </c>
      <c r="M73" s="9">
        <f t="shared" si="97"/>
        <v>0.69724450370478031</v>
      </c>
      <c r="O73" s="11">
        <f t="shared" si="104"/>
        <v>0.45968425732688256</v>
      </c>
      <c r="P73" s="15" t="str">
        <f t="shared" si="113"/>
        <v>SD</v>
      </c>
      <c r="Q73" t="str">
        <f t="shared" si="122"/>
        <v>E</v>
      </c>
      <c r="R73" s="18">
        <f t="shared" si="114"/>
        <v>0.45968425732688256</v>
      </c>
      <c r="S73" t="str">
        <f t="shared" si="46"/>
        <v>SD</v>
      </c>
      <c r="T73">
        <v>0</v>
      </c>
      <c r="V73" s="17">
        <f t="shared" si="105"/>
        <v>35033</v>
      </c>
      <c r="W73" s="1" t="e">
        <f t="shared" si="106"/>
        <v>#N/A</v>
      </c>
      <c r="X73" s="1">
        <f t="shared" si="107"/>
        <v>0.45968425732688256</v>
      </c>
      <c r="Y73" s="1" t="e">
        <f t="shared" si="108"/>
        <v>#N/A</v>
      </c>
      <c r="Z73" s="1" t="e">
        <f t="shared" si="109"/>
        <v>#N/A</v>
      </c>
      <c r="AA73">
        <v>0</v>
      </c>
      <c r="AB73" s="1" t="s">
        <v>19</v>
      </c>
      <c r="AD73" s="17">
        <f t="shared" si="115"/>
        <v>35033</v>
      </c>
      <c r="AE73" s="1" t="e">
        <f t="shared" si="116"/>
        <v>#N/A</v>
      </c>
      <c r="AF73" s="1">
        <f t="shared" si="117"/>
        <v>0.45968425732688256</v>
      </c>
      <c r="AG73" s="1" t="e">
        <f t="shared" si="118"/>
        <v>#N/A</v>
      </c>
      <c r="AH73" s="1" t="e">
        <f t="shared" si="119"/>
        <v>#N/A</v>
      </c>
      <c r="AK73" s="1"/>
      <c r="AL73" s="1"/>
      <c r="AM73" s="1"/>
      <c r="AN73" s="1"/>
      <c r="AO73" s="17">
        <f t="shared" si="123"/>
        <v>35033</v>
      </c>
      <c r="AP73">
        <f t="shared" si="124"/>
        <v>3</v>
      </c>
      <c r="AQ73">
        <f t="shared" si="125"/>
        <v>4</v>
      </c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7" t="e">
        <f t="shared" ref="BL73" si="127">#REF!</f>
        <v>#REF!</v>
      </c>
      <c r="BM73">
        <f t="shared" si="111"/>
        <v>4</v>
      </c>
      <c r="BN73">
        <f t="shared" si="112"/>
        <v>1</v>
      </c>
    </row>
    <row r="74" spans="1:66">
      <c r="A74" s="7">
        <v>35064</v>
      </c>
      <c r="B74" s="8">
        <v>5.0259999999999999E-2</v>
      </c>
      <c r="C74" s="8">
        <f t="shared" si="99"/>
        <v>0.10445619550803144</v>
      </c>
      <c r="D74" s="9">
        <f t="shared" si="95"/>
        <v>0.52228097754015712</v>
      </c>
      <c r="E74" s="8">
        <v>1.4</v>
      </c>
      <c r="F74" s="8">
        <f t="shared" si="100"/>
        <v>2.6836240923908226</v>
      </c>
      <c r="G74" s="9">
        <f t="shared" si="96"/>
        <v>0.24396582658098387</v>
      </c>
      <c r="H74" s="8">
        <v>-0.1517</v>
      </c>
      <c r="I74" s="8">
        <f t="shared" si="101"/>
        <v>2.1934656612561422E-2</v>
      </c>
      <c r="J74" s="9">
        <f t="shared" si="102"/>
        <v>0.22193465661256143</v>
      </c>
      <c r="K74" s="8">
        <v>0.36</v>
      </c>
      <c r="L74" s="8">
        <f t="shared" si="103"/>
        <v>0.60112982014891791</v>
      </c>
      <c r="M74" s="9">
        <f t="shared" si="97"/>
        <v>0.60112982014891791</v>
      </c>
      <c r="O74" s="11">
        <f t="shared" si="104"/>
        <v>0.3862913985341756</v>
      </c>
      <c r="P74" s="15" t="str">
        <f t="shared" si="113"/>
        <v>SD</v>
      </c>
      <c r="Q74" t="str">
        <f t="shared" si="122"/>
        <v>SD</v>
      </c>
      <c r="R74" s="18">
        <f t="shared" si="114"/>
        <v>0.45968425732688256</v>
      </c>
      <c r="S74" t="str">
        <f t="shared" si="46"/>
        <v>SD</v>
      </c>
      <c r="T74">
        <v>0</v>
      </c>
      <c r="V74" s="17">
        <f t="shared" si="105"/>
        <v>35064</v>
      </c>
      <c r="W74" s="1" t="e">
        <f t="shared" si="106"/>
        <v>#N/A</v>
      </c>
      <c r="X74" s="1">
        <f t="shared" si="107"/>
        <v>0.3862913985341756</v>
      </c>
      <c r="Y74" s="1" t="e">
        <f t="shared" si="108"/>
        <v>#N/A</v>
      </c>
      <c r="Z74" s="1" t="e">
        <f t="shared" si="109"/>
        <v>#N/A</v>
      </c>
      <c r="AA74">
        <v>0</v>
      </c>
      <c r="AB74" s="1" t="s">
        <v>19</v>
      </c>
      <c r="AD74" s="17">
        <f t="shared" si="115"/>
        <v>35064</v>
      </c>
      <c r="AE74" s="1" t="e">
        <f t="shared" si="116"/>
        <v>#N/A</v>
      </c>
      <c r="AF74" s="1">
        <f t="shared" si="117"/>
        <v>0.3862913985341756</v>
      </c>
      <c r="AG74" s="1" t="e">
        <f t="shared" si="118"/>
        <v>#N/A</v>
      </c>
      <c r="AH74" s="1" t="e">
        <f t="shared" si="119"/>
        <v>#N/A</v>
      </c>
      <c r="AK74" s="1"/>
      <c r="AL74" s="1"/>
      <c r="AM74" s="1"/>
      <c r="AN74" s="1"/>
      <c r="AO74" s="17">
        <f t="shared" si="123"/>
        <v>35064</v>
      </c>
      <c r="AP74">
        <f t="shared" si="124"/>
        <v>3</v>
      </c>
      <c r="AQ74">
        <f t="shared" si="125"/>
        <v>3</v>
      </c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7" t="e">
        <f t="shared" ref="BL74" si="128">#REF!</f>
        <v>#REF!</v>
      </c>
      <c r="BM74">
        <f t="shared" si="111"/>
        <v>3</v>
      </c>
      <c r="BN74">
        <f t="shared" si="112"/>
        <v>1</v>
      </c>
    </row>
    <row r="75" spans="1:66">
      <c r="A75" s="7">
        <v>35095</v>
      </c>
      <c r="B75" s="8">
        <v>3.3266999999999998E-2</v>
      </c>
      <c r="C75" s="8">
        <f t="shared" si="99"/>
        <v>8.4167274788242472E-2</v>
      </c>
      <c r="D75" s="9">
        <f t="shared" si="95"/>
        <v>0.42083637394121232</v>
      </c>
      <c r="E75" s="8">
        <v>-0.6</v>
      </c>
      <c r="F75" s="8">
        <f t="shared" si="100"/>
        <v>1.7477912260594379</v>
      </c>
      <c r="G75" s="9">
        <f t="shared" si="96"/>
        <v>0.15889011145994891</v>
      </c>
      <c r="H75" s="8">
        <v>-0.38919999999999999</v>
      </c>
      <c r="I75" s="8">
        <f t="shared" si="101"/>
        <v>-9.5238720522018594E-2</v>
      </c>
      <c r="J75" s="9">
        <f t="shared" si="102"/>
        <v>0.10476127947798142</v>
      </c>
      <c r="K75" s="8">
        <v>0.751</v>
      </c>
      <c r="L75" s="8">
        <f t="shared" si="103"/>
        <v>0.64384282140647631</v>
      </c>
      <c r="M75" s="9">
        <f t="shared" si="97"/>
        <v>0.64384282140647631</v>
      </c>
      <c r="O75" s="11">
        <f t="shared" si="104"/>
        <v>0.33985461563375369</v>
      </c>
      <c r="P75" s="15" t="str">
        <f t="shared" si="113"/>
        <v>SD</v>
      </c>
      <c r="Q75" t="str">
        <f t="shared" si="122"/>
        <v>SD</v>
      </c>
      <c r="R75" s="18">
        <f t="shared" si="114"/>
        <v>0.45968425732688256</v>
      </c>
      <c r="S75" t="str">
        <f t="shared" si="46"/>
        <v>SD</v>
      </c>
      <c r="T75">
        <v>0</v>
      </c>
      <c r="V75" s="17">
        <f t="shared" si="105"/>
        <v>35095</v>
      </c>
      <c r="W75" s="1">
        <f t="shared" si="106"/>
        <v>0.33985461563375369</v>
      </c>
      <c r="X75" s="1">
        <f t="shared" si="107"/>
        <v>0.33985461563375369</v>
      </c>
      <c r="Y75" s="1" t="e">
        <f t="shared" si="108"/>
        <v>#N/A</v>
      </c>
      <c r="Z75" s="1" t="e">
        <f t="shared" si="109"/>
        <v>#N/A</v>
      </c>
      <c r="AA75">
        <v>0</v>
      </c>
      <c r="AB75" s="1" t="s">
        <v>19</v>
      </c>
      <c r="AD75" s="17">
        <f t="shared" si="115"/>
        <v>35095</v>
      </c>
      <c r="AE75" s="1">
        <f t="shared" si="116"/>
        <v>0.33985461563375369</v>
      </c>
      <c r="AF75" s="1">
        <f t="shared" si="117"/>
        <v>0.33985461563375369</v>
      </c>
      <c r="AG75" s="1" t="e">
        <f t="shared" si="118"/>
        <v>#N/A</v>
      </c>
      <c r="AH75" s="1" t="e">
        <f t="shared" si="119"/>
        <v>#N/A</v>
      </c>
      <c r="AK75" s="1"/>
      <c r="AL75" s="1"/>
      <c r="AM75" s="1"/>
      <c r="AN75" s="1"/>
      <c r="AO75" s="17">
        <f t="shared" si="123"/>
        <v>35095</v>
      </c>
      <c r="AP75">
        <f t="shared" si="124"/>
        <v>3</v>
      </c>
      <c r="AQ75">
        <f t="shared" si="125"/>
        <v>3</v>
      </c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7" t="e">
        <f t="shared" ref="BL75" si="129">#REF!</f>
        <v>#REF!</v>
      </c>
      <c r="BM75">
        <f t="shared" si="111"/>
        <v>3</v>
      </c>
      <c r="BN75">
        <f t="shared" si="112"/>
        <v>1</v>
      </c>
    </row>
    <row r="76" spans="1:66">
      <c r="A76" s="7">
        <v>35124</v>
      </c>
      <c r="B76" s="8">
        <v>8.5192000000000004E-2</v>
      </c>
      <c r="C76" s="8">
        <f t="shared" si="99"/>
        <v>8.4459321473593363E-2</v>
      </c>
      <c r="D76" s="9">
        <f t="shared" si="95"/>
        <v>0.42229660736796681</v>
      </c>
      <c r="E76" s="8">
        <v>0.5</v>
      </c>
      <c r="F76" s="8">
        <f t="shared" si="100"/>
        <v>1.3921707266324981</v>
      </c>
      <c r="G76" s="9">
        <f t="shared" si="96"/>
        <v>0.12656097514840892</v>
      </c>
      <c r="H76" s="8">
        <v>0.76649999999999996</v>
      </c>
      <c r="I76" s="8">
        <f t="shared" si="101"/>
        <v>0.15035681482675672</v>
      </c>
      <c r="J76" s="9">
        <f t="shared" si="102"/>
        <v>0.35035681482675674</v>
      </c>
      <c r="K76" s="8">
        <v>0.88</v>
      </c>
      <c r="L76" s="8">
        <f t="shared" si="103"/>
        <v>0.71114761730563059</v>
      </c>
      <c r="M76" s="9">
        <f t="shared" si="97"/>
        <v>0.71114761730563059</v>
      </c>
      <c r="O76" s="11">
        <f t="shared" si="104"/>
        <v>0.40834802381449753</v>
      </c>
      <c r="P76" s="15" t="str">
        <f t="shared" si="113"/>
        <v>E</v>
      </c>
      <c r="Q76" t="str">
        <f t="shared" si="122"/>
        <v>E</v>
      </c>
      <c r="R76" s="18">
        <f t="shared" si="114"/>
        <v>0.40834802381449753</v>
      </c>
      <c r="S76" t="str">
        <f t="shared" si="46"/>
        <v>E</v>
      </c>
      <c r="T76">
        <v>0</v>
      </c>
      <c r="V76" s="17">
        <f t="shared" si="105"/>
        <v>35124</v>
      </c>
      <c r="W76" s="1">
        <f t="shared" si="106"/>
        <v>0.40834802381449753</v>
      </c>
      <c r="X76" s="1">
        <f t="shared" si="107"/>
        <v>0.40834802381449753</v>
      </c>
      <c r="Y76" s="1" t="e">
        <f t="shared" si="108"/>
        <v>#N/A</v>
      </c>
      <c r="Z76" s="1" t="e">
        <f t="shared" si="109"/>
        <v>#N/A</v>
      </c>
      <c r="AA76">
        <v>0</v>
      </c>
      <c r="AB76" s="1" t="s">
        <v>19</v>
      </c>
      <c r="AD76" s="17">
        <f t="shared" si="115"/>
        <v>35124</v>
      </c>
      <c r="AE76" s="1">
        <f t="shared" si="116"/>
        <v>0.40834802381449753</v>
      </c>
      <c r="AF76" s="1">
        <f t="shared" si="117"/>
        <v>0.40834802381449753</v>
      </c>
      <c r="AG76" s="1" t="e">
        <f t="shared" si="118"/>
        <v>#N/A</v>
      </c>
      <c r="AH76" s="1" t="e">
        <f t="shared" si="119"/>
        <v>#N/A</v>
      </c>
      <c r="AK76" s="1"/>
      <c r="AL76" s="1"/>
      <c r="AM76" s="1"/>
      <c r="AN76" s="1"/>
      <c r="AO76" s="17">
        <f t="shared" si="123"/>
        <v>35124</v>
      </c>
      <c r="AP76">
        <f t="shared" si="124"/>
        <v>4</v>
      </c>
      <c r="AQ76">
        <f t="shared" si="125"/>
        <v>4</v>
      </c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7" t="e">
        <f t="shared" ref="BL76" si="130">#REF!</f>
        <v>#REF!</v>
      </c>
      <c r="BM76">
        <f t="shared" si="111"/>
        <v>4</v>
      </c>
      <c r="BN76">
        <f t="shared" si="112"/>
        <v>1</v>
      </c>
    </row>
    <row r="77" spans="1:66">
      <c r="A77" s="7">
        <v>35155</v>
      </c>
      <c r="B77" s="8">
        <v>0.105855</v>
      </c>
      <c r="C77" s="8">
        <f t="shared" si="99"/>
        <v>9.0557089853619266E-2</v>
      </c>
      <c r="D77" s="9">
        <f t="shared" si="95"/>
        <v>0.45278544926809633</v>
      </c>
      <c r="E77" s="8">
        <v>0.8</v>
      </c>
      <c r="F77" s="8">
        <f t="shared" si="100"/>
        <v>1.2234020695422361</v>
      </c>
      <c r="G77" s="9">
        <f t="shared" si="96"/>
        <v>0.11121836995838509</v>
      </c>
      <c r="H77" s="8">
        <v>0.17510000000000001</v>
      </c>
      <c r="I77" s="8">
        <f t="shared" si="101"/>
        <v>0.15740862260113106</v>
      </c>
      <c r="J77" s="9">
        <f t="shared" si="102"/>
        <v>0.35740862260113104</v>
      </c>
      <c r="K77" s="8">
        <v>0.75600000000000001</v>
      </c>
      <c r="L77" s="8">
        <f t="shared" si="103"/>
        <v>0.72393054637352583</v>
      </c>
      <c r="M77" s="9">
        <f t="shared" si="97"/>
        <v>0.72393054637352583</v>
      </c>
      <c r="O77" s="11">
        <f t="shared" si="104"/>
        <v>0.4076485881637294</v>
      </c>
      <c r="P77" s="15" t="str">
        <f t="shared" si="113"/>
        <v>SD</v>
      </c>
      <c r="Q77" t="str">
        <f t="shared" si="122"/>
        <v>E</v>
      </c>
      <c r="R77" s="18">
        <f t="shared" si="114"/>
        <v>0.40834802381449753</v>
      </c>
      <c r="S77" t="str">
        <f t="shared" si="46"/>
        <v>SD</v>
      </c>
      <c r="T77">
        <v>0</v>
      </c>
      <c r="V77" s="17">
        <f t="shared" si="105"/>
        <v>35155</v>
      </c>
      <c r="W77" s="1">
        <f t="shared" si="106"/>
        <v>0.4076485881637294</v>
      </c>
      <c r="X77" s="1">
        <f t="shared" si="107"/>
        <v>0.4076485881637294</v>
      </c>
      <c r="Y77" s="1" t="e">
        <f t="shared" si="108"/>
        <v>#N/A</v>
      </c>
      <c r="Z77" s="1" t="e">
        <f t="shared" si="109"/>
        <v>#N/A</v>
      </c>
      <c r="AA77">
        <v>0</v>
      </c>
      <c r="AB77" s="1" t="s">
        <v>19</v>
      </c>
      <c r="AD77" s="17">
        <f t="shared" si="115"/>
        <v>35155</v>
      </c>
      <c r="AE77" s="1">
        <f t="shared" si="116"/>
        <v>0.4076485881637294</v>
      </c>
      <c r="AF77" s="1">
        <f t="shared" si="117"/>
        <v>0.4076485881637294</v>
      </c>
      <c r="AG77" s="1" t="e">
        <f t="shared" si="118"/>
        <v>#N/A</v>
      </c>
      <c r="AH77" s="1" t="e">
        <f t="shared" si="119"/>
        <v>#N/A</v>
      </c>
      <c r="AK77" s="1"/>
      <c r="AL77" s="1"/>
      <c r="AM77" s="1"/>
      <c r="AN77" s="1"/>
      <c r="AO77" s="17">
        <f t="shared" si="123"/>
        <v>35155</v>
      </c>
      <c r="AP77">
        <f t="shared" si="124"/>
        <v>3</v>
      </c>
      <c r="AQ77">
        <f t="shared" si="125"/>
        <v>4</v>
      </c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7" t="e">
        <f t="shared" ref="BL77" si="131">#REF!</f>
        <v>#REF!</v>
      </c>
      <c r="BM77">
        <f t="shared" si="111"/>
        <v>4</v>
      </c>
      <c r="BN77">
        <f t="shared" si="112"/>
        <v>1</v>
      </c>
    </row>
    <row r="78" spans="1:66">
      <c r="A78" s="7">
        <v>35185</v>
      </c>
      <c r="B78" s="8">
        <v>0.124516</v>
      </c>
      <c r="C78" s="8">
        <f t="shared" si="99"/>
        <v>0.10023537924533779</v>
      </c>
      <c r="D78" s="9">
        <f t="shared" si="95"/>
        <v>0.50117689622668893</v>
      </c>
      <c r="E78" s="8">
        <v>1</v>
      </c>
      <c r="F78" s="8">
        <f t="shared" si="100"/>
        <v>1.1597324797226989</v>
      </c>
      <c r="G78" s="9">
        <f t="shared" si="96"/>
        <v>0.10543022542933626</v>
      </c>
      <c r="H78" s="8">
        <v>0.72550000000000003</v>
      </c>
      <c r="I78" s="8">
        <f t="shared" si="101"/>
        <v>0.31931466515980872</v>
      </c>
      <c r="J78" s="9">
        <f t="shared" si="102"/>
        <v>0.51931466515980873</v>
      </c>
      <c r="K78" s="8">
        <v>1.0389999999999999</v>
      </c>
      <c r="L78" s="8">
        <f t="shared" si="103"/>
        <v>0.81372534065707092</v>
      </c>
      <c r="M78" s="9">
        <f t="shared" si="97"/>
        <v>0.81372534065707092</v>
      </c>
      <c r="O78" s="11">
        <f t="shared" si="104"/>
        <v>0.4833952023552483</v>
      </c>
      <c r="P78" s="15" t="str">
        <f t="shared" si="113"/>
        <v>E</v>
      </c>
      <c r="Q78" t="str">
        <f t="shared" si="122"/>
        <v>E</v>
      </c>
      <c r="R78" s="18">
        <f t="shared" si="114"/>
        <v>0.4833952023552483</v>
      </c>
      <c r="S78" t="str">
        <f t="shared" si="46"/>
        <v>E</v>
      </c>
      <c r="T78">
        <v>0</v>
      </c>
      <c r="V78" s="17">
        <f t="shared" si="105"/>
        <v>35185</v>
      </c>
      <c r="W78" s="1">
        <f t="shared" si="106"/>
        <v>0.4833952023552483</v>
      </c>
      <c r="X78" s="1" t="e">
        <f t="shared" si="107"/>
        <v>#N/A</v>
      </c>
      <c r="Y78" s="1" t="e">
        <f t="shared" si="108"/>
        <v>#N/A</v>
      </c>
      <c r="Z78" s="1" t="e">
        <f t="shared" si="109"/>
        <v>#N/A</v>
      </c>
      <c r="AA78">
        <v>0</v>
      </c>
      <c r="AB78" s="1" t="s">
        <v>19</v>
      </c>
      <c r="AD78" s="17">
        <f t="shared" si="115"/>
        <v>35185</v>
      </c>
      <c r="AE78" s="1">
        <f t="shared" si="116"/>
        <v>0.4833952023552483</v>
      </c>
      <c r="AF78" s="1" t="e">
        <f t="shared" si="117"/>
        <v>#N/A</v>
      </c>
      <c r="AG78" s="1" t="e">
        <f t="shared" si="118"/>
        <v>#N/A</v>
      </c>
      <c r="AH78" s="1" t="e">
        <f t="shared" si="119"/>
        <v>#N/A</v>
      </c>
      <c r="AK78" s="1"/>
      <c r="AL78" s="1"/>
      <c r="AM78" s="1"/>
      <c r="AN78" s="1"/>
      <c r="AO78" s="17">
        <f t="shared" si="123"/>
        <v>35185</v>
      </c>
      <c r="AP78">
        <f t="shared" si="124"/>
        <v>4</v>
      </c>
      <c r="AQ78">
        <f t="shared" si="125"/>
        <v>4</v>
      </c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7" t="e">
        <f t="shared" ref="BL78" si="132">#REF!</f>
        <v>#REF!</v>
      </c>
      <c r="BM78">
        <f t="shared" si="111"/>
        <v>4</v>
      </c>
      <c r="BN78">
        <f t="shared" si="112"/>
        <v>1</v>
      </c>
    </row>
    <row r="79" spans="1:66">
      <c r="A79" s="7">
        <v>35216</v>
      </c>
      <c r="B79" s="8">
        <v>0.11643100000000001</v>
      </c>
      <c r="C79" s="8">
        <f t="shared" si="99"/>
        <v>0.10485113116041653</v>
      </c>
      <c r="D79" s="9">
        <f t="shared" si="95"/>
        <v>0.52425565580208255</v>
      </c>
      <c r="E79" s="8">
        <v>1.8</v>
      </c>
      <c r="F79" s="8">
        <f t="shared" si="100"/>
        <v>1.3422087230017299</v>
      </c>
      <c r="G79" s="9">
        <f t="shared" si="96"/>
        <v>0.12201897481833908</v>
      </c>
      <c r="H79" s="8">
        <v>0.77810000000000001</v>
      </c>
      <c r="I79" s="8">
        <f t="shared" si="101"/>
        <v>0.45006848558926327</v>
      </c>
      <c r="J79" s="9">
        <f t="shared" si="102"/>
        <v>0.65006848558926333</v>
      </c>
      <c r="K79" s="8">
        <v>1.149</v>
      </c>
      <c r="L79" s="8">
        <f t="shared" si="103"/>
        <v>0.90927861856980585</v>
      </c>
      <c r="M79" s="9">
        <f t="shared" si="97"/>
        <v>0.90927861856980585</v>
      </c>
      <c r="O79" s="11">
        <f t="shared" si="104"/>
        <v>0.55185876445672977</v>
      </c>
      <c r="P79" s="15" t="str">
        <f t="shared" si="113"/>
        <v>E</v>
      </c>
      <c r="Q79" t="str">
        <f t="shared" si="122"/>
        <v>E</v>
      </c>
      <c r="R79" s="18">
        <f t="shared" si="114"/>
        <v>0.4833952023552483</v>
      </c>
      <c r="S79" t="str">
        <f t="shared" si="46"/>
        <v>E</v>
      </c>
      <c r="T79">
        <v>0</v>
      </c>
      <c r="V79" s="17">
        <f t="shared" si="105"/>
        <v>35216</v>
      </c>
      <c r="W79" s="1">
        <f t="shared" si="106"/>
        <v>0.55185876445672977</v>
      </c>
      <c r="X79" s="1">
        <f t="shared" si="107"/>
        <v>0.55185876445672977</v>
      </c>
      <c r="Y79" s="1" t="e">
        <f t="shared" si="108"/>
        <v>#N/A</v>
      </c>
      <c r="Z79" s="1" t="e">
        <f t="shared" si="109"/>
        <v>#N/A</v>
      </c>
      <c r="AA79">
        <v>0</v>
      </c>
      <c r="AB79" s="1" t="s">
        <v>19</v>
      </c>
      <c r="AD79" s="17">
        <f t="shared" si="115"/>
        <v>35216</v>
      </c>
      <c r="AE79" s="1">
        <f t="shared" si="116"/>
        <v>0.55185876445672977</v>
      </c>
      <c r="AF79" s="1" t="e">
        <f t="shared" si="117"/>
        <v>#N/A</v>
      </c>
      <c r="AG79" s="1" t="e">
        <f t="shared" si="118"/>
        <v>#N/A</v>
      </c>
      <c r="AH79" s="1" t="e">
        <f t="shared" si="119"/>
        <v>#N/A</v>
      </c>
      <c r="AK79" s="1"/>
      <c r="AL79" s="1"/>
      <c r="AM79" s="1"/>
      <c r="AN79" s="1"/>
      <c r="AO79" s="17">
        <f t="shared" si="123"/>
        <v>35216</v>
      </c>
      <c r="AP79">
        <f t="shared" si="124"/>
        <v>4</v>
      </c>
      <c r="AQ79">
        <f t="shared" si="125"/>
        <v>4</v>
      </c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7" t="e">
        <f t="shared" ref="BL79" si="133">#REF!</f>
        <v>#REF!</v>
      </c>
      <c r="BM79">
        <f t="shared" si="111"/>
        <v>4</v>
      </c>
      <c r="BN79">
        <f t="shared" si="112"/>
        <v>1</v>
      </c>
    </row>
    <row r="80" spans="1:66">
      <c r="A80" s="7">
        <v>35246</v>
      </c>
      <c r="B80" s="8">
        <v>-1.8359E-2</v>
      </c>
      <c r="C80" s="8">
        <f t="shared" si="99"/>
        <v>6.973624377969781E-2</v>
      </c>
      <c r="D80" s="9">
        <f t="shared" si="95"/>
        <v>0.34868121889848902</v>
      </c>
      <c r="E80" s="8">
        <v>2.5</v>
      </c>
      <c r="F80" s="8">
        <f t="shared" si="100"/>
        <v>1.6721792369462369</v>
      </c>
      <c r="G80" s="9">
        <f t="shared" si="96"/>
        <v>0.15201629426783972</v>
      </c>
      <c r="H80" s="8">
        <v>0.3715</v>
      </c>
      <c r="I80" s="8">
        <f t="shared" si="101"/>
        <v>0.42767646719632324</v>
      </c>
      <c r="J80" s="9">
        <f t="shared" si="102"/>
        <v>0.62767646719632331</v>
      </c>
      <c r="K80" s="8">
        <v>0.94599999999999995</v>
      </c>
      <c r="L80" s="8">
        <f t="shared" si="103"/>
        <v>0.91974421227741121</v>
      </c>
      <c r="M80" s="9">
        <f t="shared" si="97"/>
        <v>0.91974421227741121</v>
      </c>
      <c r="O80" s="11">
        <f t="shared" si="104"/>
        <v>0.53570001817747093</v>
      </c>
      <c r="P80" s="15" t="str">
        <f t="shared" si="113"/>
        <v>SD</v>
      </c>
      <c r="Q80" t="str">
        <f t="shared" si="122"/>
        <v>E</v>
      </c>
      <c r="R80" s="18">
        <f t="shared" si="114"/>
        <v>0.4833952023552483</v>
      </c>
      <c r="S80" t="str">
        <f t="shared" si="46"/>
        <v>E</v>
      </c>
      <c r="T80">
        <v>0</v>
      </c>
      <c r="V80" s="17">
        <f t="shared" si="105"/>
        <v>35246</v>
      </c>
      <c r="W80" s="1" t="e">
        <f t="shared" si="106"/>
        <v>#N/A</v>
      </c>
      <c r="X80" s="1">
        <f t="shared" si="107"/>
        <v>0.53570001817747093</v>
      </c>
      <c r="Y80" s="1" t="e">
        <f t="shared" si="108"/>
        <v>#N/A</v>
      </c>
      <c r="Z80" s="1" t="e">
        <f t="shared" si="109"/>
        <v>#N/A</v>
      </c>
      <c r="AA80">
        <v>0</v>
      </c>
      <c r="AB80" s="1" t="s">
        <v>19</v>
      </c>
      <c r="AD80" s="17">
        <f t="shared" si="115"/>
        <v>35246</v>
      </c>
      <c r="AE80" s="1">
        <f t="shared" si="116"/>
        <v>0.53570001817747093</v>
      </c>
      <c r="AF80" s="1" t="e">
        <f t="shared" si="117"/>
        <v>#N/A</v>
      </c>
      <c r="AG80" s="1" t="e">
        <f t="shared" si="118"/>
        <v>#N/A</v>
      </c>
      <c r="AH80" s="1" t="e">
        <f t="shared" si="119"/>
        <v>#N/A</v>
      </c>
      <c r="AK80" s="1"/>
      <c r="AL80" s="1"/>
      <c r="AM80" s="1"/>
      <c r="AN80" s="1"/>
      <c r="AO80" s="17">
        <f t="shared" si="123"/>
        <v>35246</v>
      </c>
      <c r="AP80">
        <f t="shared" si="124"/>
        <v>3</v>
      </c>
      <c r="AQ80">
        <f t="shared" si="125"/>
        <v>4</v>
      </c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7" t="e">
        <f t="shared" ref="BL80" si="134">#REF!</f>
        <v>#REF!</v>
      </c>
      <c r="BM80">
        <f t="shared" si="111"/>
        <v>4</v>
      </c>
      <c r="BN80">
        <f t="shared" si="112"/>
        <v>1</v>
      </c>
    </row>
    <row r="81" spans="1:66">
      <c r="A81" s="7">
        <v>35277</v>
      </c>
      <c r="B81" s="8">
        <v>0.116267</v>
      </c>
      <c r="C81" s="8">
        <f t="shared" si="99"/>
        <v>8.2997509302483938E-2</v>
      </c>
      <c r="D81" s="9">
        <f t="shared" si="95"/>
        <v>0.41498754651241965</v>
      </c>
      <c r="E81" s="8">
        <v>2.2999999999999998</v>
      </c>
      <c r="F81" s="8">
        <f t="shared" si="100"/>
        <v>1.8511081544165593</v>
      </c>
      <c r="G81" s="9">
        <f t="shared" si="96"/>
        <v>0.16828255949241447</v>
      </c>
      <c r="H81" s="8">
        <v>9.6699999999999994E-2</v>
      </c>
      <c r="I81" s="8">
        <f t="shared" si="101"/>
        <v>0.33334817404537109</v>
      </c>
      <c r="J81" s="9">
        <f t="shared" si="102"/>
        <v>0.53334817404537116</v>
      </c>
      <c r="K81" s="8">
        <v>0.79200000000000004</v>
      </c>
      <c r="L81" s="8">
        <f t="shared" si="103"/>
        <v>0.88333711177834906</v>
      </c>
      <c r="M81" s="9">
        <f t="shared" si="97"/>
        <v>0.88333711177834906</v>
      </c>
      <c r="O81" s="11">
        <f t="shared" si="104"/>
        <v>0.51210922867870989</v>
      </c>
      <c r="P81" s="15" t="str">
        <f t="shared" si="113"/>
        <v>SD</v>
      </c>
      <c r="Q81" t="str">
        <f t="shared" si="122"/>
        <v>E</v>
      </c>
      <c r="R81" s="18">
        <f t="shared" si="114"/>
        <v>0.51210922867870989</v>
      </c>
      <c r="S81" t="str">
        <f t="shared" si="46"/>
        <v>E</v>
      </c>
      <c r="T81">
        <v>0</v>
      </c>
      <c r="V81" s="17">
        <f t="shared" si="105"/>
        <v>35277</v>
      </c>
      <c r="W81" s="1">
        <f t="shared" si="106"/>
        <v>0.51210922867870989</v>
      </c>
      <c r="X81" s="1">
        <f t="shared" si="107"/>
        <v>0.51210922867870989</v>
      </c>
      <c r="Y81" s="1" t="e">
        <f t="shared" si="108"/>
        <v>#N/A</v>
      </c>
      <c r="Z81" s="1" t="e">
        <f t="shared" si="109"/>
        <v>#N/A</v>
      </c>
      <c r="AA81">
        <v>0</v>
      </c>
      <c r="AB81" s="1" t="s">
        <v>19</v>
      </c>
      <c r="AD81" s="17">
        <f t="shared" si="115"/>
        <v>35277</v>
      </c>
      <c r="AE81" s="1">
        <f t="shared" si="116"/>
        <v>0.51210922867870989</v>
      </c>
      <c r="AF81" s="1" t="e">
        <f t="shared" si="117"/>
        <v>#N/A</v>
      </c>
      <c r="AG81" s="1" t="e">
        <f t="shared" si="118"/>
        <v>#N/A</v>
      </c>
      <c r="AH81" s="1" t="e">
        <f t="shared" si="119"/>
        <v>#N/A</v>
      </c>
      <c r="AK81" s="1"/>
      <c r="AL81" s="1"/>
      <c r="AM81" s="1"/>
      <c r="AN81" s="1"/>
      <c r="AO81" s="17">
        <f t="shared" si="123"/>
        <v>35277</v>
      </c>
      <c r="AP81">
        <f t="shared" si="124"/>
        <v>3</v>
      </c>
      <c r="AQ81">
        <f t="shared" si="125"/>
        <v>4</v>
      </c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7" t="e">
        <f t="shared" ref="BL81" si="135">#REF!</f>
        <v>#REF!</v>
      </c>
      <c r="BM81">
        <f t="shared" si="111"/>
        <v>4</v>
      </c>
      <c r="BN81">
        <f t="shared" si="112"/>
        <v>1</v>
      </c>
    </row>
    <row r="82" spans="1:66">
      <c r="A82" s="7">
        <v>35308</v>
      </c>
      <c r="B82" s="8">
        <v>0.16117200000000001</v>
      </c>
      <c r="C82" s="8">
        <f t="shared" si="99"/>
        <v>0.10527723915127601</v>
      </c>
      <c r="D82" s="9">
        <f t="shared" si="95"/>
        <v>0.52638619575638002</v>
      </c>
      <c r="E82" s="8">
        <v>2.1</v>
      </c>
      <c r="F82" s="8">
        <f t="shared" si="100"/>
        <v>1.92204233040784</v>
      </c>
      <c r="G82" s="9">
        <f t="shared" si="96"/>
        <v>0.17473112094616727</v>
      </c>
      <c r="H82" s="8">
        <v>0.27589999999999998</v>
      </c>
      <c r="I82" s="8">
        <f t="shared" si="101"/>
        <v>0.3169754444424403</v>
      </c>
      <c r="J82" s="9">
        <f t="shared" si="102"/>
        <v>0.51697544444244037</v>
      </c>
      <c r="K82" s="8">
        <v>1.151</v>
      </c>
      <c r="L82" s="8">
        <f t="shared" si="103"/>
        <v>0.95962103492151951</v>
      </c>
      <c r="M82" s="9">
        <f t="shared" si="97"/>
        <v>0.95962103492151951</v>
      </c>
      <c r="O82" s="11">
        <f t="shared" si="104"/>
        <v>0.54610233123255025</v>
      </c>
      <c r="P82" s="15" t="str">
        <f t="shared" si="113"/>
        <v>E</v>
      </c>
      <c r="Q82" t="str">
        <f t="shared" si="122"/>
        <v>E</v>
      </c>
      <c r="R82" s="18">
        <f t="shared" si="114"/>
        <v>0.54610233123255025</v>
      </c>
      <c r="S82" t="str">
        <f t="shared" si="46"/>
        <v>E</v>
      </c>
      <c r="T82">
        <v>0</v>
      </c>
      <c r="V82" s="17">
        <f t="shared" si="105"/>
        <v>35308</v>
      </c>
      <c r="W82" s="1">
        <f t="shared" si="106"/>
        <v>0.54610233123255025</v>
      </c>
      <c r="X82" s="1">
        <f t="shared" si="107"/>
        <v>0.54610233123255025</v>
      </c>
      <c r="Y82" s="1" t="e">
        <f t="shared" si="108"/>
        <v>#N/A</v>
      </c>
      <c r="Z82" s="1" t="e">
        <f t="shared" si="109"/>
        <v>#N/A</v>
      </c>
      <c r="AA82">
        <v>0</v>
      </c>
      <c r="AB82" s="1" t="s">
        <v>19</v>
      </c>
      <c r="AD82" s="17">
        <f t="shared" si="115"/>
        <v>35308</v>
      </c>
      <c r="AE82" s="1">
        <f t="shared" si="116"/>
        <v>0.54610233123255025</v>
      </c>
      <c r="AF82" s="1" t="e">
        <f t="shared" si="117"/>
        <v>#N/A</v>
      </c>
      <c r="AG82" s="1" t="e">
        <f t="shared" si="118"/>
        <v>#N/A</v>
      </c>
      <c r="AH82" s="1" t="e">
        <f t="shared" si="119"/>
        <v>#N/A</v>
      </c>
      <c r="AK82" s="1"/>
      <c r="AL82" s="1"/>
      <c r="AM82" s="1"/>
      <c r="AN82" s="1"/>
      <c r="AO82" s="17">
        <f t="shared" si="123"/>
        <v>35308</v>
      </c>
      <c r="AP82">
        <f t="shared" si="124"/>
        <v>4</v>
      </c>
      <c r="AQ82">
        <f t="shared" si="125"/>
        <v>4</v>
      </c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7" t="e">
        <f t="shared" ref="BL82" si="136">#REF!</f>
        <v>#REF!</v>
      </c>
      <c r="BM82">
        <f t="shared" si="111"/>
        <v>4</v>
      </c>
      <c r="BN82">
        <f t="shared" si="112"/>
        <v>1</v>
      </c>
    </row>
    <row r="83" spans="1:66">
      <c r="A83" s="7">
        <v>35338</v>
      </c>
      <c r="B83" s="8">
        <v>0.23122999999999999</v>
      </c>
      <c r="C83" s="8">
        <f t="shared" si="99"/>
        <v>0.14117377599316233</v>
      </c>
      <c r="D83" s="9">
        <f t="shared" si="95"/>
        <v>0.7058688799658116</v>
      </c>
      <c r="E83" s="8">
        <v>2.1</v>
      </c>
      <c r="F83" s="8">
        <f t="shared" si="100"/>
        <v>1.9727602662416057</v>
      </c>
      <c r="G83" s="9">
        <f t="shared" si="96"/>
        <v>0.17934184238560053</v>
      </c>
      <c r="H83" s="8">
        <v>0.29139999999999999</v>
      </c>
      <c r="I83" s="8">
        <f t="shared" si="101"/>
        <v>0.30968644277634483</v>
      </c>
      <c r="J83" s="9">
        <f t="shared" si="102"/>
        <v>0.50968644277634478</v>
      </c>
      <c r="K83" s="8">
        <v>0.57099999999999995</v>
      </c>
      <c r="L83" s="8">
        <f t="shared" si="103"/>
        <v>0.84886403996888637</v>
      </c>
      <c r="M83" s="9">
        <f t="shared" si="97"/>
        <v>0.84886403996888637</v>
      </c>
      <c r="O83" s="11">
        <f t="shared" si="104"/>
        <v>0.53057136910400071</v>
      </c>
      <c r="P83" s="15" t="str">
        <f t="shared" si="113"/>
        <v>SD</v>
      </c>
      <c r="Q83" t="str">
        <f t="shared" si="122"/>
        <v>E</v>
      </c>
      <c r="R83" s="18">
        <f t="shared" si="114"/>
        <v>0.54610233123255025</v>
      </c>
      <c r="S83" t="str">
        <f t="shared" si="46"/>
        <v>E</v>
      </c>
      <c r="T83">
        <v>0</v>
      </c>
      <c r="V83" s="17">
        <f t="shared" si="105"/>
        <v>35338</v>
      </c>
      <c r="W83" s="1">
        <f t="shared" si="106"/>
        <v>0.53057136910400071</v>
      </c>
      <c r="X83" s="1">
        <f t="shared" si="107"/>
        <v>0.53057136910400071</v>
      </c>
      <c r="Y83" s="1" t="e">
        <f t="shared" si="108"/>
        <v>#N/A</v>
      </c>
      <c r="Z83" s="1" t="e">
        <f t="shared" si="109"/>
        <v>#N/A</v>
      </c>
      <c r="AA83">
        <v>0</v>
      </c>
      <c r="AB83" s="1" t="s">
        <v>19</v>
      </c>
      <c r="AD83" s="17">
        <f t="shared" si="115"/>
        <v>35338</v>
      </c>
      <c r="AE83" s="1">
        <f t="shared" si="116"/>
        <v>0.53057136910400071</v>
      </c>
      <c r="AF83" s="1" t="e">
        <f t="shared" si="117"/>
        <v>#N/A</v>
      </c>
      <c r="AG83" s="1" t="e">
        <f t="shared" si="118"/>
        <v>#N/A</v>
      </c>
      <c r="AH83" s="1" t="e">
        <f t="shared" si="119"/>
        <v>#N/A</v>
      </c>
      <c r="AK83" s="1"/>
      <c r="AL83" s="1"/>
      <c r="AM83" s="1"/>
      <c r="AN83" s="1"/>
      <c r="AO83" s="17">
        <f t="shared" si="123"/>
        <v>35338</v>
      </c>
      <c r="AP83">
        <f t="shared" si="124"/>
        <v>3</v>
      </c>
      <c r="AQ83">
        <f t="shared" si="125"/>
        <v>4</v>
      </c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7" t="e">
        <f t="shared" ref="BL83" si="137">#REF!</f>
        <v>#REF!</v>
      </c>
      <c r="BM83">
        <f t="shared" si="111"/>
        <v>4</v>
      </c>
      <c r="BN83">
        <f t="shared" si="112"/>
        <v>1</v>
      </c>
    </row>
    <row r="84" spans="1:66">
      <c r="A84" s="7">
        <v>35369</v>
      </c>
      <c r="B84" s="8">
        <v>0.21048500000000001</v>
      </c>
      <c r="C84" s="8">
        <f t="shared" si="99"/>
        <v>0.16092747483511105</v>
      </c>
      <c r="D84" s="9">
        <f t="shared" si="95"/>
        <v>0.80463737417555525</v>
      </c>
      <c r="E84" s="8">
        <v>2.6</v>
      </c>
      <c r="F84" s="8">
        <f t="shared" si="100"/>
        <v>2.1515235903627481</v>
      </c>
      <c r="G84" s="9">
        <f t="shared" si="96"/>
        <v>0.19559305366934074</v>
      </c>
      <c r="H84" s="8">
        <v>0.2843</v>
      </c>
      <c r="I84" s="8">
        <f t="shared" si="101"/>
        <v>0.30245130658508657</v>
      </c>
      <c r="J84" s="9">
        <f t="shared" si="102"/>
        <v>0.50245130658508663</v>
      </c>
      <c r="K84" s="8">
        <v>0.81200000000000006</v>
      </c>
      <c r="L84" s="8">
        <f t="shared" si="103"/>
        <v>0.83835778857775378</v>
      </c>
      <c r="M84" s="9">
        <f t="shared" si="97"/>
        <v>0.83835778857775378</v>
      </c>
      <c r="O84" s="11">
        <f t="shared" si="104"/>
        <v>0.53650901868208778</v>
      </c>
      <c r="P84" s="15" t="str">
        <f t="shared" si="113"/>
        <v>E</v>
      </c>
      <c r="Q84" t="str">
        <f t="shared" si="122"/>
        <v>E</v>
      </c>
      <c r="R84" s="18">
        <f t="shared" si="114"/>
        <v>0.53650901868208778</v>
      </c>
      <c r="S84" t="str">
        <f t="shared" ref="S84:S147" si="138">IF(OR(ABS($R84-$R83)&gt;$V$2,R84*R83&lt;0,ABS(O84-MAX(O73:O83))&gt;$AJ$2),P84,S83)</f>
        <v>E</v>
      </c>
      <c r="T84">
        <v>0</v>
      </c>
      <c r="V84" s="17">
        <f t="shared" si="105"/>
        <v>35369</v>
      </c>
      <c r="W84" s="1">
        <f t="shared" si="106"/>
        <v>0.53650901868208778</v>
      </c>
      <c r="X84" s="1" t="e">
        <f t="shared" si="107"/>
        <v>#N/A</v>
      </c>
      <c r="Y84" s="1" t="e">
        <f t="shared" si="108"/>
        <v>#N/A</v>
      </c>
      <c r="Z84" s="1" t="e">
        <f t="shared" si="109"/>
        <v>#N/A</v>
      </c>
      <c r="AA84">
        <v>0</v>
      </c>
      <c r="AB84" s="1" t="s">
        <v>19</v>
      </c>
      <c r="AD84" s="17">
        <f t="shared" si="115"/>
        <v>35369</v>
      </c>
      <c r="AE84" s="1">
        <f t="shared" si="116"/>
        <v>0.53650901868208778</v>
      </c>
      <c r="AF84" s="1" t="e">
        <f t="shared" si="117"/>
        <v>#N/A</v>
      </c>
      <c r="AG84" s="1" t="e">
        <f t="shared" si="118"/>
        <v>#N/A</v>
      </c>
      <c r="AH84" s="1" t="e">
        <f t="shared" si="119"/>
        <v>#N/A</v>
      </c>
      <c r="AK84" s="1"/>
      <c r="AL84" s="1"/>
      <c r="AM84" s="1"/>
      <c r="AN84" s="1"/>
      <c r="AO84" s="17">
        <f t="shared" si="123"/>
        <v>35369</v>
      </c>
      <c r="AP84">
        <f t="shared" si="124"/>
        <v>4</v>
      </c>
      <c r="AQ84">
        <f t="shared" si="125"/>
        <v>4</v>
      </c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7" t="e">
        <f t="shared" ref="BL84" si="139">#REF!</f>
        <v>#REF!</v>
      </c>
      <c r="BM84">
        <f t="shared" si="111"/>
        <v>4</v>
      </c>
      <c r="BN84">
        <f t="shared" si="112"/>
        <v>1</v>
      </c>
    </row>
    <row r="85" spans="1:66">
      <c r="A85" s="7">
        <v>35399</v>
      </c>
      <c r="B85" s="8">
        <v>0.20022899999999999</v>
      </c>
      <c r="C85" s="8">
        <f t="shared" si="99"/>
        <v>0.1721284095071044</v>
      </c>
      <c r="D85" s="9">
        <f t="shared" si="95"/>
        <v>0.86064204753552198</v>
      </c>
      <c r="E85" s="8">
        <v>3.3</v>
      </c>
      <c r="F85" s="8">
        <f t="shared" si="100"/>
        <v>2.4788393671093649</v>
      </c>
      <c r="G85" s="9">
        <f t="shared" si="96"/>
        <v>0.22534903337357862</v>
      </c>
      <c r="H85" s="8">
        <v>0.51749999999999996</v>
      </c>
      <c r="I85" s="8">
        <f t="shared" si="101"/>
        <v>0.36374018420833687</v>
      </c>
      <c r="J85" s="9">
        <f t="shared" si="102"/>
        <v>0.56374018420833694</v>
      </c>
      <c r="K85" s="8">
        <v>0.70599999999999996</v>
      </c>
      <c r="L85" s="8">
        <f t="shared" si="103"/>
        <v>0.80063581883309398</v>
      </c>
      <c r="M85" s="9">
        <f t="shared" si="97"/>
        <v>0.80063581883309398</v>
      </c>
      <c r="O85" s="11">
        <f t="shared" si="104"/>
        <v>0.55405492176678361</v>
      </c>
      <c r="P85" s="15" t="str">
        <f t="shared" si="113"/>
        <v>E</v>
      </c>
      <c r="Q85" t="str">
        <f t="shared" si="122"/>
        <v>E</v>
      </c>
      <c r="R85" s="18">
        <f t="shared" si="114"/>
        <v>0.53650901868208778</v>
      </c>
      <c r="S85" t="str">
        <f t="shared" si="138"/>
        <v>E</v>
      </c>
      <c r="T85">
        <v>0</v>
      </c>
      <c r="V85" s="17">
        <f t="shared" si="105"/>
        <v>35399</v>
      </c>
      <c r="W85" s="1">
        <f t="shared" si="106"/>
        <v>0.55405492176678361</v>
      </c>
      <c r="X85" s="1" t="e">
        <f t="shared" si="107"/>
        <v>#N/A</v>
      </c>
      <c r="Y85" s="1" t="e">
        <f t="shared" si="108"/>
        <v>#N/A</v>
      </c>
      <c r="Z85" s="1" t="e">
        <f t="shared" si="109"/>
        <v>#N/A</v>
      </c>
      <c r="AA85">
        <v>0</v>
      </c>
      <c r="AB85" s="1" t="s">
        <v>19</v>
      </c>
      <c r="AD85" s="17">
        <f t="shared" si="115"/>
        <v>35399</v>
      </c>
      <c r="AE85" s="1">
        <f t="shared" si="116"/>
        <v>0.55405492176678361</v>
      </c>
      <c r="AF85" s="1" t="e">
        <f t="shared" si="117"/>
        <v>#N/A</v>
      </c>
      <c r="AG85" s="1" t="e">
        <f t="shared" si="118"/>
        <v>#N/A</v>
      </c>
      <c r="AH85" s="1" t="e">
        <f t="shared" si="119"/>
        <v>#N/A</v>
      </c>
      <c r="AK85" s="1"/>
      <c r="AL85" s="1"/>
      <c r="AM85" s="1"/>
      <c r="AN85" s="1"/>
      <c r="AO85" s="17">
        <f t="shared" si="123"/>
        <v>35399</v>
      </c>
      <c r="AP85">
        <f t="shared" si="124"/>
        <v>4</v>
      </c>
      <c r="AQ85">
        <f t="shared" si="125"/>
        <v>4</v>
      </c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7" t="e">
        <f t="shared" ref="BL85" si="140">#REF!</f>
        <v>#REF!</v>
      </c>
      <c r="BM85">
        <f t="shared" si="111"/>
        <v>4</v>
      </c>
      <c r="BN85">
        <f t="shared" si="112"/>
        <v>1</v>
      </c>
    </row>
    <row r="86" spans="1:66">
      <c r="A86" s="7">
        <v>35430</v>
      </c>
      <c r="B86" s="8">
        <v>0.287381</v>
      </c>
      <c r="C86" s="8">
        <f t="shared" si="99"/>
        <v>0.20497539779757967</v>
      </c>
      <c r="D86" s="9">
        <f t="shared" si="95"/>
        <v>1.0248769889878984</v>
      </c>
      <c r="E86" s="8">
        <v>3.3</v>
      </c>
      <c r="F86" s="8">
        <f t="shared" si="100"/>
        <v>2.712870147483196</v>
      </c>
      <c r="G86" s="9">
        <f t="shared" si="96"/>
        <v>0.24662455886210874</v>
      </c>
      <c r="H86" s="8">
        <v>0.16189999999999999</v>
      </c>
      <c r="I86" s="8">
        <f t="shared" si="101"/>
        <v>0.30621573170896083</v>
      </c>
      <c r="J86" s="9">
        <f t="shared" si="102"/>
        <v>0.50621573170896084</v>
      </c>
      <c r="K86" s="8">
        <v>0.76100000000000001</v>
      </c>
      <c r="L86" s="8">
        <f t="shared" si="103"/>
        <v>0.78933961046566214</v>
      </c>
      <c r="M86" s="9">
        <f t="shared" si="97"/>
        <v>0.78933961046566214</v>
      </c>
      <c r="O86" s="11">
        <f t="shared" si="104"/>
        <v>0.55875901156325025</v>
      </c>
      <c r="P86" s="15" t="str">
        <f t="shared" si="113"/>
        <v>E</v>
      </c>
      <c r="Q86" t="str">
        <f t="shared" si="122"/>
        <v>E</v>
      </c>
      <c r="R86" s="18">
        <f t="shared" si="114"/>
        <v>0.53650901868208778</v>
      </c>
      <c r="S86" t="str">
        <f t="shared" si="138"/>
        <v>E</v>
      </c>
      <c r="T86">
        <v>0</v>
      </c>
      <c r="V86" s="17">
        <f t="shared" si="105"/>
        <v>35430</v>
      </c>
      <c r="W86" s="1">
        <f t="shared" si="106"/>
        <v>0.55875901156325025</v>
      </c>
      <c r="X86" s="1" t="e">
        <f t="shared" si="107"/>
        <v>#N/A</v>
      </c>
      <c r="Y86" s="1" t="e">
        <f t="shared" si="108"/>
        <v>#N/A</v>
      </c>
      <c r="Z86" s="1" t="e">
        <f t="shared" si="109"/>
        <v>#N/A</v>
      </c>
      <c r="AA86">
        <v>0</v>
      </c>
      <c r="AB86" s="1" t="s">
        <v>19</v>
      </c>
      <c r="AD86" s="17">
        <f t="shared" si="115"/>
        <v>35430</v>
      </c>
      <c r="AE86" s="1">
        <f t="shared" si="116"/>
        <v>0.55875901156325025</v>
      </c>
      <c r="AF86" s="1" t="e">
        <f t="shared" si="117"/>
        <v>#N/A</v>
      </c>
      <c r="AG86" s="1" t="e">
        <f t="shared" si="118"/>
        <v>#N/A</v>
      </c>
      <c r="AH86" s="1" t="e">
        <f t="shared" si="119"/>
        <v>#N/A</v>
      </c>
      <c r="AK86" s="1"/>
      <c r="AL86" s="1"/>
      <c r="AM86" s="1"/>
      <c r="AN86" s="1"/>
      <c r="AO86" s="17">
        <f t="shared" si="123"/>
        <v>35430</v>
      </c>
      <c r="AP86">
        <f t="shared" si="124"/>
        <v>4</v>
      </c>
      <c r="AQ86">
        <f t="shared" si="125"/>
        <v>4</v>
      </c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7" t="e">
        <f t="shared" ref="BL86" si="141">#REF!</f>
        <v>#REF!</v>
      </c>
      <c r="BM86">
        <f t="shared" si="111"/>
        <v>4</v>
      </c>
      <c r="BN86">
        <f t="shared" si="112"/>
        <v>1</v>
      </c>
    </row>
    <row r="87" spans="1:66">
      <c r="A87" s="7">
        <v>35461</v>
      </c>
      <c r="B87" s="8">
        <v>0.35327199999999997</v>
      </c>
      <c r="C87" s="8">
        <f t="shared" si="99"/>
        <v>0.24723992942526946</v>
      </c>
      <c r="D87" s="9">
        <f t="shared" si="95"/>
        <v>1.2361996471263472</v>
      </c>
      <c r="E87" s="8">
        <v>5.9</v>
      </c>
      <c r="F87" s="8">
        <f t="shared" si="100"/>
        <v>3.6212021554504852</v>
      </c>
      <c r="G87" s="9">
        <f t="shared" si="96"/>
        <v>0.32920019595004413</v>
      </c>
      <c r="H87" s="8">
        <v>0.53069999999999995</v>
      </c>
      <c r="I87" s="8">
        <f t="shared" si="101"/>
        <v>0.37019374817190698</v>
      </c>
      <c r="J87" s="9">
        <f t="shared" si="102"/>
        <v>0.57019374817190704</v>
      </c>
      <c r="K87" s="8">
        <v>0.89500000000000002</v>
      </c>
      <c r="L87" s="8">
        <f t="shared" si="103"/>
        <v>0.81945282148294851</v>
      </c>
      <c r="M87" s="9">
        <f t="shared" si="97"/>
        <v>0.81945282148294851</v>
      </c>
      <c r="O87" s="11">
        <f t="shared" si="104"/>
        <v>0.61450130326772401</v>
      </c>
      <c r="P87" s="15" t="str">
        <f t="shared" si="113"/>
        <v>E</v>
      </c>
      <c r="Q87" t="str">
        <f t="shared" si="122"/>
        <v>E</v>
      </c>
      <c r="R87" s="18">
        <f t="shared" si="114"/>
        <v>0.53650901868208778</v>
      </c>
      <c r="S87" t="str">
        <f t="shared" si="138"/>
        <v>E</v>
      </c>
      <c r="T87">
        <v>0</v>
      </c>
      <c r="V87" s="17">
        <f t="shared" si="105"/>
        <v>35461</v>
      </c>
      <c r="W87" s="1">
        <f t="shared" si="106"/>
        <v>0.61450130326772401</v>
      </c>
      <c r="X87" s="1" t="e">
        <f t="shared" si="107"/>
        <v>#N/A</v>
      </c>
      <c r="Y87" s="1" t="e">
        <f t="shared" si="108"/>
        <v>#N/A</v>
      </c>
      <c r="Z87" s="1" t="e">
        <f t="shared" si="109"/>
        <v>#N/A</v>
      </c>
      <c r="AA87">
        <v>0</v>
      </c>
      <c r="AB87" s="1" t="s">
        <v>19</v>
      </c>
      <c r="AD87" s="17">
        <f t="shared" si="115"/>
        <v>35461</v>
      </c>
      <c r="AE87" s="1">
        <f t="shared" si="116"/>
        <v>0.61450130326772401</v>
      </c>
      <c r="AF87" s="1" t="e">
        <f t="shared" si="117"/>
        <v>#N/A</v>
      </c>
      <c r="AG87" s="1" t="e">
        <f t="shared" si="118"/>
        <v>#N/A</v>
      </c>
      <c r="AH87" s="1" t="e">
        <f t="shared" si="119"/>
        <v>#N/A</v>
      </c>
      <c r="AK87" s="1"/>
      <c r="AL87" s="1"/>
      <c r="AM87" s="1"/>
      <c r="AN87" s="1"/>
      <c r="AO87" s="17">
        <f t="shared" si="123"/>
        <v>35461</v>
      </c>
      <c r="AP87">
        <f t="shared" si="124"/>
        <v>4</v>
      </c>
      <c r="AQ87">
        <f t="shared" si="125"/>
        <v>4</v>
      </c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7" t="e">
        <f t="shared" ref="BL87" si="142">#REF!</f>
        <v>#REF!</v>
      </c>
      <c r="BM87">
        <f t="shared" si="111"/>
        <v>4</v>
      </c>
      <c r="BN87">
        <f t="shared" si="112"/>
        <v>1</v>
      </c>
    </row>
    <row r="88" spans="1:66">
      <c r="A88" s="7">
        <v>35489</v>
      </c>
      <c r="B88" s="8">
        <v>0.26270300000000002</v>
      </c>
      <c r="C88" s="8">
        <f t="shared" si="99"/>
        <v>0.25164690453906768</v>
      </c>
      <c r="D88" s="9">
        <f t="shared" si="95"/>
        <v>1.2582345226953384</v>
      </c>
      <c r="E88" s="8">
        <v>6.1</v>
      </c>
      <c r="F88" s="8">
        <f t="shared" si="100"/>
        <v>4.3276595411470975</v>
      </c>
      <c r="G88" s="9">
        <f t="shared" si="96"/>
        <v>0.39342359464973614</v>
      </c>
      <c r="H88" s="8">
        <v>1.0792999999999999</v>
      </c>
      <c r="I88" s="8">
        <f t="shared" si="101"/>
        <v>0.57228902994291353</v>
      </c>
      <c r="J88" s="9">
        <f t="shared" si="102"/>
        <v>0.77228902994291349</v>
      </c>
      <c r="K88" s="8">
        <v>1.117</v>
      </c>
      <c r="L88" s="8">
        <f t="shared" si="103"/>
        <v>0.90425376736030816</v>
      </c>
      <c r="M88" s="9">
        <f t="shared" si="97"/>
        <v>0.90425376736030816</v>
      </c>
      <c r="O88" s="11">
        <f t="shared" si="104"/>
        <v>0.72754635024551351</v>
      </c>
      <c r="P88" s="15" t="str">
        <f t="shared" si="113"/>
        <v>E</v>
      </c>
      <c r="Q88" t="str">
        <f t="shared" si="122"/>
        <v>E</v>
      </c>
      <c r="R88" s="18">
        <f t="shared" si="114"/>
        <v>0.53650901868208778</v>
      </c>
      <c r="S88" t="str">
        <f t="shared" si="138"/>
        <v>E</v>
      </c>
      <c r="T88">
        <v>0</v>
      </c>
      <c r="V88" s="17">
        <f t="shared" si="105"/>
        <v>35489</v>
      </c>
      <c r="W88" s="1">
        <f t="shared" si="106"/>
        <v>0.72754635024551351</v>
      </c>
      <c r="X88" s="1">
        <f t="shared" si="107"/>
        <v>0.72754635024551351</v>
      </c>
      <c r="Y88" s="1" t="e">
        <f t="shared" si="108"/>
        <v>#N/A</v>
      </c>
      <c r="Z88" s="1" t="e">
        <f t="shared" si="109"/>
        <v>#N/A</v>
      </c>
      <c r="AA88">
        <v>0</v>
      </c>
      <c r="AB88" s="1" t="s">
        <v>19</v>
      </c>
      <c r="AD88" s="17">
        <f t="shared" si="115"/>
        <v>35489</v>
      </c>
      <c r="AE88" s="1">
        <f t="shared" si="116"/>
        <v>0.72754635024551351</v>
      </c>
      <c r="AF88" s="1" t="e">
        <f t="shared" si="117"/>
        <v>#N/A</v>
      </c>
      <c r="AG88" s="1" t="e">
        <f t="shared" si="118"/>
        <v>#N/A</v>
      </c>
      <c r="AH88" s="1" t="e">
        <f t="shared" si="119"/>
        <v>#N/A</v>
      </c>
      <c r="AK88" s="1"/>
      <c r="AL88" s="1"/>
      <c r="AM88" s="1"/>
      <c r="AN88" s="1"/>
      <c r="AO88" s="17">
        <f t="shared" si="123"/>
        <v>35489</v>
      </c>
      <c r="AP88">
        <f t="shared" si="124"/>
        <v>4</v>
      </c>
      <c r="AQ88">
        <f t="shared" si="125"/>
        <v>4</v>
      </c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7" t="e">
        <f t="shared" ref="BL88" si="143">#REF!</f>
        <v>#REF!</v>
      </c>
      <c r="BM88">
        <f t="shared" si="111"/>
        <v>4</v>
      </c>
      <c r="BN88">
        <f t="shared" si="112"/>
        <v>1</v>
      </c>
    </row>
    <row r="89" spans="1:66">
      <c r="A89" s="7">
        <v>35520</v>
      </c>
      <c r="B89" s="8">
        <v>0.21680099999999999</v>
      </c>
      <c r="C89" s="8">
        <f t="shared" si="99"/>
        <v>0.24171582174543338</v>
      </c>
      <c r="D89" s="9">
        <f t="shared" si="95"/>
        <v>1.2085791087271669</v>
      </c>
      <c r="E89" s="8">
        <v>6.2</v>
      </c>
      <c r="F89" s="8">
        <f t="shared" si="100"/>
        <v>4.8612765719201754</v>
      </c>
      <c r="G89" s="9">
        <f t="shared" si="96"/>
        <v>0.44193423381092506</v>
      </c>
      <c r="H89" s="8">
        <v>0.44009999999999999</v>
      </c>
      <c r="I89" s="8">
        <f t="shared" si="101"/>
        <v>0.53461515640918322</v>
      </c>
      <c r="J89" s="9">
        <f t="shared" si="102"/>
        <v>0.73461515640918318</v>
      </c>
      <c r="K89" s="8">
        <v>0.79600000000000004</v>
      </c>
      <c r="L89" s="8">
        <f t="shared" si="103"/>
        <v>0.8734014436626204</v>
      </c>
      <c r="M89" s="9">
        <f t="shared" si="97"/>
        <v>0.8734014436626204</v>
      </c>
      <c r="O89" s="11">
        <f t="shared" si="104"/>
        <v>0.72128996928917855</v>
      </c>
      <c r="P89" s="15" t="str">
        <f t="shared" si="113"/>
        <v>SD</v>
      </c>
      <c r="Q89" t="str">
        <f t="shared" si="122"/>
        <v>E</v>
      </c>
      <c r="R89" s="18">
        <f t="shared" si="114"/>
        <v>0.53650901868208778</v>
      </c>
      <c r="S89" t="str">
        <f t="shared" si="138"/>
        <v>E</v>
      </c>
      <c r="T89">
        <v>0</v>
      </c>
      <c r="V89" s="17">
        <f t="shared" si="105"/>
        <v>35520</v>
      </c>
      <c r="W89" s="1" t="e">
        <f t="shared" si="106"/>
        <v>#N/A</v>
      </c>
      <c r="X89" s="1">
        <f t="shared" si="107"/>
        <v>0.72128996928917855</v>
      </c>
      <c r="Y89" s="1" t="e">
        <f t="shared" si="108"/>
        <v>#N/A</v>
      </c>
      <c r="Z89" s="1" t="e">
        <f t="shared" si="109"/>
        <v>#N/A</v>
      </c>
      <c r="AA89">
        <v>0</v>
      </c>
      <c r="AB89" s="1" t="s">
        <v>19</v>
      </c>
      <c r="AD89" s="17">
        <f t="shared" si="115"/>
        <v>35520</v>
      </c>
      <c r="AE89" s="1">
        <f t="shared" si="116"/>
        <v>0.72128996928917855</v>
      </c>
      <c r="AF89" s="1">
        <f t="shared" si="117"/>
        <v>0.72128996928917855</v>
      </c>
      <c r="AG89" s="1" t="e">
        <f t="shared" si="118"/>
        <v>#N/A</v>
      </c>
      <c r="AH89" s="1" t="e">
        <f t="shared" si="119"/>
        <v>#N/A</v>
      </c>
      <c r="AK89" s="1"/>
      <c r="AL89" s="1"/>
      <c r="AM89" s="1"/>
      <c r="AN89" s="1"/>
      <c r="AO89" s="17">
        <f t="shared" si="123"/>
        <v>35520</v>
      </c>
      <c r="AP89">
        <f t="shared" si="124"/>
        <v>3</v>
      </c>
      <c r="AQ89">
        <f t="shared" si="125"/>
        <v>4</v>
      </c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7" t="e">
        <f t="shared" ref="BL89" si="144">#REF!</f>
        <v>#REF!</v>
      </c>
      <c r="BM89">
        <f t="shared" si="111"/>
        <v>4</v>
      </c>
      <c r="BN89">
        <f t="shared" si="112"/>
        <v>1</v>
      </c>
    </row>
    <row r="90" spans="1:66">
      <c r="A90" s="7">
        <v>35550</v>
      </c>
      <c r="B90" s="8">
        <v>0.20410300000000001</v>
      </c>
      <c r="C90" s="8">
        <f t="shared" si="99"/>
        <v>0.23099616754798485</v>
      </c>
      <c r="D90" s="9">
        <f t="shared" si="95"/>
        <v>1.1549808377399242</v>
      </c>
      <c r="E90" s="8">
        <v>6</v>
      </c>
      <c r="F90" s="8">
        <f t="shared" si="100"/>
        <v>5.1858127489229258</v>
      </c>
      <c r="G90" s="9">
        <f t="shared" si="96"/>
        <v>0.4714375226293569</v>
      </c>
      <c r="H90" s="8">
        <v>0.20039999999999999</v>
      </c>
      <c r="I90" s="8">
        <f t="shared" si="101"/>
        <v>0.43936383683256597</v>
      </c>
      <c r="J90" s="9">
        <f t="shared" si="102"/>
        <v>0.63936383683256603</v>
      </c>
      <c r="K90" s="8">
        <v>0.59299999999999997</v>
      </c>
      <c r="L90" s="8">
        <f t="shared" si="103"/>
        <v>0.79348703221877348</v>
      </c>
      <c r="M90" s="9">
        <f t="shared" si="97"/>
        <v>0.79348703221877348</v>
      </c>
      <c r="O90" s="11">
        <f t="shared" si="104"/>
        <v>0.67793361463267166</v>
      </c>
      <c r="P90" s="15" t="str">
        <f t="shared" si="113"/>
        <v>SD</v>
      </c>
      <c r="Q90" t="str">
        <f t="shared" si="122"/>
        <v>E</v>
      </c>
      <c r="R90" s="18">
        <f t="shared" si="114"/>
        <v>0.67793361463267166</v>
      </c>
      <c r="S90" t="str">
        <f t="shared" si="138"/>
        <v>SD</v>
      </c>
      <c r="T90">
        <v>0</v>
      </c>
      <c r="V90" s="17">
        <f t="shared" si="105"/>
        <v>35550</v>
      </c>
      <c r="W90" s="1" t="e">
        <f t="shared" si="106"/>
        <v>#N/A</v>
      </c>
      <c r="X90" s="1">
        <f t="shared" si="107"/>
        <v>0.67793361463267166</v>
      </c>
      <c r="Y90" s="1" t="e">
        <f t="shared" si="108"/>
        <v>#N/A</v>
      </c>
      <c r="Z90" s="1" t="e">
        <f t="shared" si="109"/>
        <v>#N/A</v>
      </c>
      <c r="AA90">
        <v>0</v>
      </c>
      <c r="AB90" s="1" t="s">
        <v>19</v>
      </c>
      <c r="AD90" s="17">
        <f t="shared" si="115"/>
        <v>35550</v>
      </c>
      <c r="AE90" s="1" t="e">
        <f t="shared" si="116"/>
        <v>#N/A</v>
      </c>
      <c r="AF90" s="1">
        <f t="shared" si="117"/>
        <v>0.67793361463267166</v>
      </c>
      <c r="AG90" s="1" t="e">
        <f t="shared" si="118"/>
        <v>#N/A</v>
      </c>
      <c r="AH90" s="1" t="e">
        <f t="shared" si="119"/>
        <v>#N/A</v>
      </c>
      <c r="AK90" s="1"/>
      <c r="AL90" s="1"/>
      <c r="AM90" s="1"/>
      <c r="AN90" s="1"/>
      <c r="AO90" s="17">
        <f t="shared" si="123"/>
        <v>35550</v>
      </c>
      <c r="AP90">
        <f t="shared" si="124"/>
        <v>3</v>
      </c>
      <c r="AQ90">
        <f t="shared" si="125"/>
        <v>4</v>
      </c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7" t="e">
        <f t="shared" ref="BL90" si="145">#REF!</f>
        <v>#REF!</v>
      </c>
      <c r="BM90">
        <f t="shared" si="111"/>
        <v>4</v>
      </c>
      <c r="BN90">
        <f t="shared" si="112"/>
        <v>1</v>
      </c>
    </row>
    <row r="91" spans="1:66">
      <c r="A91" s="7">
        <v>35581</v>
      </c>
      <c r="B91" s="8">
        <v>0.20465800000000001</v>
      </c>
      <c r="C91" s="8">
        <f t="shared" si="99"/>
        <v>0.22348978979680917</v>
      </c>
      <c r="D91" s="9">
        <f t="shared" si="95"/>
        <v>1.1174489489840458</v>
      </c>
      <c r="E91" s="8">
        <v>5.9</v>
      </c>
      <c r="F91" s="8">
        <f t="shared" si="100"/>
        <v>5.3893561154798917</v>
      </c>
      <c r="G91" s="9">
        <f t="shared" si="96"/>
        <v>0.48994146504362651</v>
      </c>
      <c r="H91" s="8">
        <v>0.42970000000000003</v>
      </c>
      <c r="I91" s="8">
        <f t="shared" si="101"/>
        <v>0.43660964333528468</v>
      </c>
      <c r="J91" s="9">
        <f t="shared" si="102"/>
        <v>0.63660964333528469</v>
      </c>
      <c r="K91" s="8">
        <v>0.34399999999999997</v>
      </c>
      <c r="L91" s="8">
        <f t="shared" si="103"/>
        <v>0.66538322803642302</v>
      </c>
      <c r="M91" s="9">
        <f t="shared" si="97"/>
        <v>0.66538322803642302</v>
      </c>
      <c r="O91" s="11">
        <f t="shared" si="104"/>
        <v>0.64377401309872395</v>
      </c>
      <c r="P91" s="15" t="str">
        <f t="shared" si="113"/>
        <v>SD</v>
      </c>
      <c r="Q91" t="str">
        <f t="shared" si="122"/>
        <v>E</v>
      </c>
      <c r="R91" s="18">
        <f t="shared" si="114"/>
        <v>0.64377401309872395</v>
      </c>
      <c r="S91" t="str">
        <f t="shared" si="138"/>
        <v>SD</v>
      </c>
      <c r="T91">
        <v>0</v>
      </c>
      <c r="V91" s="17">
        <f t="shared" si="105"/>
        <v>35581</v>
      </c>
      <c r="W91" s="1">
        <f t="shared" si="106"/>
        <v>0.64377401309872395</v>
      </c>
      <c r="X91" s="1">
        <f t="shared" si="107"/>
        <v>0.64377401309872395</v>
      </c>
      <c r="Y91" s="1" t="e">
        <f t="shared" si="108"/>
        <v>#N/A</v>
      </c>
      <c r="Z91" s="1" t="e">
        <f t="shared" si="109"/>
        <v>#N/A</v>
      </c>
      <c r="AA91">
        <v>0</v>
      </c>
      <c r="AB91" s="1" t="s">
        <v>19</v>
      </c>
      <c r="AD91" s="17">
        <f t="shared" si="115"/>
        <v>35581</v>
      </c>
      <c r="AE91" s="1" t="e">
        <f t="shared" si="116"/>
        <v>#N/A</v>
      </c>
      <c r="AF91" s="1">
        <f t="shared" si="117"/>
        <v>0.64377401309872395</v>
      </c>
      <c r="AG91" s="1" t="e">
        <f t="shared" si="118"/>
        <v>#N/A</v>
      </c>
      <c r="AH91" s="1" t="e">
        <f t="shared" si="119"/>
        <v>#N/A</v>
      </c>
      <c r="AK91" s="1"/>
      <c r="AL91" s="1"/>
      <c r="AM91" s="1"/>
      <c r="AN91" s="1"/>
      <c r="AO91" s="17">
        <f t="shared" si="123"/>
        <v>35581</v>
      </c>
      <c r="AP91">
        <f t="shared" si="124"/>
        <v>3</v>
      </c>
      <c r="AQ91">
        <f t="shared" si="125"/>
        <v>4</v>
      </c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7" t="e">
        <f t="shared" ref="BL91" si="146">#REF!</f>
        <v>#REF!</v>
      </c>
      <c r="BM91">
        <f t="shared" si="111"/>
        <v>4</v>
      </c>
      <c r="BN91">
        <f t="shared" si="112"/>
        <v>1</v>
      </c>
    </row>
    <row r="92" spans="1:66">
      <c r="A92" s="7">
        <v>35611</v>
      </c>
      <c r="B92" s="8">
        <v>0.324905</v>
      </c>
      <c r="C92" s="8">
        <f t="shared" si="99"/>
        <v>0.25239312470471859</v>
      </c>
      <c r="D92" s="9">
        <f t="shared" si="95"/>
        <v>1.2619656235235928</v>
      </c>
      <c r="E92" s="8">
        <v>5.9</v>
      </c>
      <c r="F92" s="8">
        <f t="shared" si="100"/>
        <v>5.534889622568123</v>
      </c>
      <c r="G92" s="9">
        <f t="shared" si="96"/>
        <v>0.50317178386982941</v>
      </c>
      <c r="H92" s="8">
        <v>0.72360000000000002</v>
      </c>
      <c r="I92" s="8">
        <f t="shared" si="101"/>
        <v>0.51840189498472855</v>
      </c>
      <c r="J92" s="9">
        <f t="shared" si="102"/>
        <v>0.71840189498472862</v>
      </c>
      <c r="K92" s="8">
        <v>0.71499999999999997</v>
      </c>
      <c r="L92" s="8">
        <f t="shared" si="103"/>
        <v>0.6795240080460424</v>
      </c>
      <c r="M92" s="9">
        <f t="shared" si="97"/>
        <v>0.6795240080460424</v>
      </c>
      <c r="O92" s="11">
        <f t="shared" si="104"/>
        <v>0.69255677277467864</v>
      </c>
      <c r="P92" s="15" t="str">
        <f t="shared" si="113"/>
        <v>E</v>
      </c>
      <c r="Q92" t="str">
        <f t="shared" si="122"/>
        <v>E</v>
      </c>
      <c r="R92" s="18">
        <f t="shared" si="114"/>
        <v>0.69255677277467864</v>
      </c>
      <c r="S92" t="str">
        <f t="shared" si="138"/>
        <v>SD</v>
      </c>
      <c r="T92">
        <v>0</v>
      </c>
      <c r="V92" s="17">
        <f t="shared" si="105"/>
        <v>35611</v>
      </c>
      <c r="W92" s="1">
        <f t="shared" si="106"/>
        <v>0.69255677277467864</v>
      </c>
      <c r="X92" s="1" t="e">
        <f t="shared" si="107"/>
        <v>#N/A</v>
      </c>
      <c r="Y92" s="1" t="e">
        <f t="shared" si="108"/>
        <v>#N/A</v>
      </c>
      <c r="Z92" s="1" t="e">
        <f t="shared" si="109"/>
        <v>#N/A</v>
      </c>
      <c r="AA92">
        <v>0</v>
      </c>
      <c r="AB92" s="1" t="s">
        <v>19</v>
      </c>
      <c r="AD92" s="17">
        <f t="shared" si="115"/>
        <v>35611</v>
      </c>
      <c r="AE92" s="1" t="e">
        <f t="shared" si="116"/>
        <v>#N/A</v>
      </c>
      <c r="AF92" s="1">
        <f t="shared" si="117"/>
        <v>0.69255677277467864</v>
      </c>
      <c r="AG92" s="1" t="e">
        <f t="shared" si="118"/>
        <v>#N/A</v>
      </c>
      <c r="AH92" s="1" t="e">
        <f t="shared" si="119"/>
        <v>#N/A</v>
      </c>
      <c r="AK92" s="1"/>
      <c r="AL92" s="1"/>
      <c r="AM92" s="1"/>
      <c r="AN92" s="1"/>
      <c r="AO92" s="17">
        <f t="shared" si="123"/>
        <v>35611</v>
      </c>
      <c r="AP92">
        <f t="shared" si="124"/>
        <v>4</v>
      </c>
      <c r="AQ92">
        <f t="shared" si="125"/>
        <v>4</v>
      </c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7" t="e">
        <f t="shared" ref="BL92" si="147">#REF!</f>
        <v>#REF!</v>
      </c>
      <c r="BM92">
        <f t="shared" si="111"/>
        <v>4</v>
      </c>
      <c r="BN92">
        <f t="shared" si="112"/>
        <v>1</v>
      </c>
    </row>
    <row r="93" spans="1:66">
      <c r="A93" s="7">
        <v>35642</v>
      </c>
      <c r="B93" s="8">
        <v>0.37515999999999999</v>
      </c>
      <c r="C93" s="8">
        <f t="shared" si="99"/>
        <v>0.28738168416387377</v>
      </c>
      <c r="D93" s="9">
        <f t="shared" si="95"/>
        <v>1.4369084208193688</v>
      </c>
      <c r="E93" s="8">
        <v>7.2</v>
      </c>
      <c r="F93" s="8">
        <f t="shared" si="100"/>
        <v>6.0094460801362084</v>
      </c>
      <c r="G93" s="9">
        <f t="shared" si="96"/>
        <v>0.54631328001238255</v>
      </c>
      <c r="H93" s="8">
        <v>0.70040000000000002</v>
      </c>
      <c r="I93" s="8">
        <f t="shared" si="101"/>
        <v>0.57027135491408099</v>
      </c>
      <c r="J93" s="9">
        <f t="shared" si="102"/>
        <v>0.77027135491408094</v>
      </c>
      <c r="K93" s="8">
        <v>0.89300000000000002</v>
      </c>
      <c r="L93" s="8">
        <f t="shared" si="103"/>
        <v>0.74036466575292037</v>
      </c>
      <c r="M93" s="9">
        <f t="shared" si="97"/>
        <v>0.74036466575292037</v>
      </c>
      <c r="O93" s="11">
        <f t="shared" si="104"/>
        <v>0.7478331834429861</v>
      </c>
      <c r="P93" s="15" t="str">
        <f t="shared" si="113"/>
        <v>E</v>
      </c>
      <c r="Q93" t="str">
        <f t="shared" si="122"/>
        <v>E</v>
      </c>
      <c r="R93" s="18">
        <f t="shared" si="114"/>
        <v>0.69255677277467864</v>
      </c>
      <c r="S93" t="str">
        <f t="shared" si="138"/>
        <v>SD</v>
      </c>
      <c r="T93">
        <v>0</v>
      </c>
      <c r="V93" s="17">
        <f t="shared" si="105"/>
        <v>35642</v>
      </c>
      <c r="W93" s="1">
        <f t="shared" si="106"/>
        <v>0.7478331834429861</v>
      </c>
      <c r="X93" s="1" t="e">
        <f t="shared" si="107"/>
        <v>#N/A</v>
      </c>
      <c r="Y93" s="1" t="e">
        <f t="shared" si="108"/>
        <v>#N/A</v>
      </c>
      <c r="Z93" s="1" t="e">
        <f t="shared" si="109"/>
        <v>#N/A</v>
      </c>
      <c r="AA93">
        <v>0</v>
      </c>
      <c r="AB93" s="1" t="s">
        <v>19</v>
      </c>
      <c r="AD93" s="17">
        <f t="shared" si="115"/>
        <v>35642</v>
      </c>
      <c r="AE93" s="1" t="e">
        <f t="shared" si="116"/>
        <v>#N/A</v>
      </c>
      <c r="AF93" s="1">
        <f t="shared" si="117"/>
        <v>0.7478331834429861</v>
      </c>
      <c r="AG93" s="1" t="e">
        <f t="shared" si="118"/>
        <v>#N/A</v>
      </c>
      <c r="AH93" s="1" t="e">
        <f t="shared" si="119"/>
        <v>#N/A</v>
      </c>
      <c r="AK93" s="1"/>
      <c r="AL93" s="1"/>
      <c r="AM93" s="1"/>
      <c r="AN93" s="1"/>
      <c r="AO93" s="17">
        <f t="shared" si="123"/>
        <v>35642</v>
      </c>
      <c r="AP93">
        <f t="shared" si="124"/>
        <v>4</v>
      </c>
      <c r="AQ93">
        <f t="shared" si="125"/>
        <v>4</v>
      </c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7" t="e">
        <f t="shared" ref="BL93" si="148">#REF!</f>
        <v>#REF!</v>
      </c>
      <c r="BM93">
        <f t="shared" si="111"/>
        <v>4</v>
      </c>
      <c r="BN93">
        <f t="shared" si="112"/>
        <v>1</v>
      </c>
    </row>
    <row r="94" spans="1:66">
      <c r="A94" s="7">
        <v>35673</v>
      </c>
      <c r="B94" s="8">
        <v>0.37337100000000001</v>
      </c>
      <c r="C94" s="8">
        <f t="shared" si="99"/>
        <v>0.31188863917716975</v>
      </c>
      <c r="D94" s="9">
        <f t="shared" si="95"/>
        <v>1.5594431958858486</v>
      </c>
      <c r="E94" s="8">
        <v>7.4</v>
      </c>
      <c r="F94" s="8">
        <f t="shared" si="100"/>
        <v>6.4057539472973897</v>
      </c>
      <c r="G94" s="9">
        <f t="shared" si="96"/>
        <v>0.58234126793612628</v>
      </c>
      <c r="H94" s="8">
        <v>0.52739999999999998</v>
      </c>
      <c r="I94" s="8">
        <f t="shared" si="101"/>
        <v>0.55805301876356783</v>
      </c>
      <c r="J94" s="9">
        <f t="shared" si="102"/>
        <v>0.7580530187635679</v>
      </c>
      <c r="K94" s="8">
        <v>0.70499999999999996</v>
      </c>
      <c r="L94" s="8">
        <f t="shared" si="103"/>
        <v>0.73028573601333802</v>
      </c>
      <c r="M94" s="9">
        <f t="shared" si="97"/>
        <v>0.73028573601333802</v>
      </c>
      <c r="O94" s="11">
        <f t="shared" si="104"/>
        <v>0.76633993002537149</v>
      </c>
      <c r="P94" s="15" t="str">
        <f t="shared" si="113"/>
        <v>E</v>
      </c>
      <c r="Q94" t="str">
        <f t="shared" si="122"/>
        <v>E</v>
      </c>
      <c r="R94" s="18">
        <f t="shared" si="114"/>
        <v>0.69255677277467864</v>
      </c>
      <c r="S94" t="str">
        <f t="shared" si="138"/>
        <v>SD</v>
      </c>
      <c r="T94">
        <v>0</v>
      </c>
      <c r="V94" s="17">
        <f t="shared" si="105"/>
        <v>35673</v>
      </c>
      <c r="W94" s="1">
        <f t="shared" si="106"/>
        <v>0.76633993002537149</v>
      </c>
      <c r="X94" s="1" t="e">
        <f t="shared" si="107"/>
        <v>#N/A</v>
      </c>
      <c r="Y94" s="1" t="e">
        <f t="shared" si="108"/>
        <v>#N/A</v>
      </c>
      <c r="Z94" s="1" t="e">
        <f t="shared" si="109"/>
        <v>#N/A</v>
      </c>
      <c r="AA94">
        <v>0</v>
      </c>
      <c r="AB94" s="1" t="s">
        <v>19</v>
      </c>
      <c r="AD94" s="17">
        <f t="shared" si="115"/>
        <v>35673</v>
      </c>
      <c r="AE94" s="1" t="e">
        <f t="shared" si="116"/>
        <v>#N/A</v>
      </c>
      <c r="AF94" s="1">
        <f t="shared" si="117"/>
        <v>0.76633993002537149</v>
      </c>
      <c r="AG94" s="1" t="e">
        <f t="shared" si="118"/>
        <v>#N/A</v>
      </c>
      <c r="AH94" s="1" t="e">
        <f t="shared" si="119"/>
        <v>#N/A</v>
      </c>
      <c r="AK94" s="1"/>
      <c r="AL94" s="1"/>
      <c r="AM94" s="1"/>
      <c r="AN94" s="1"/>
      <c r="AO94" s="17">
        <f t="shared" si="123"/>
        <v>35673</v>
      </c>
      <c r="AP94">
        <f t="shared" si="124"/>
        <v>4</v>
      </c>
      <c r="AQ94">
        <f t="shared" si="125"/>
        <v>4</v>
      </c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7" t="e">
        <f t="shared" ref="BL94" si="149">#REF!</f>
        <v>#REF!</v>
      </c>
      <c r="BM94">
        <f t="shared" si="111"/>
        <v>4</v>
      </c>
      <c r="BN94">
        <f t="shared" si="112"/>
        <v>1</v>
      </c>
    </row>
    <row r="95" spans="1:66">
      <c r="A95" s="7">
        <v>35703</v>
      </c>
      <c r="B95" s="8">
        <v>0.24901499999999999</v>
      </c>
      <c r="C95" s="8">
        <f t="shared" si="99"/>
        <v>0.29396965201167635</v>
      </c>
      <c r="D95" s="9">
        <f t="shared" si="95"/>
        <v>1.4698482600583818</v>
      </c>
      <c r="E95" s="8">
        <v>7.8</v>
      </c>
      <c r="F95" s="8">
        <f t="shared" si="100"/>
        <v>6.8031140723176335</v>
      </c>
      <c r="G95" s="9">
        <f t="shared" si="96"/>
        <v>0.61846491566523942</v>
      </c>
      <c r="H95" s="8">
        <v>0.86460000000000004</v>
      </c>
      <c r="I95" s="8">
        <f t="shared" si="101"/>
        <v>0.64541890841595095</v>
      </c>
      <c r="J95" s="9">
        <f t="shared" si="102"/>
        <v>0.84541890841595091</v>
      </c>
      <c r="K95" s="8">
        <v>0.53900000000000003</v>
      </c>
      <c r="L95" s="8">
        <f t="shared" si="103"/>
        <v>0.67576930124953671</v>
      </c>
      <c r="M95" s="9">
        <f t="shared" si="97"/>
        <v>0.67576930124953671</v>
      </c>
      <c r="O95" s="11">
        <f t="shared" si="104"/>
        <v>0.77804366928632229</v>
      </c>
      <c r="P95" s="15" t="str">
        <f t="shared" si="113"/>
        <v>E</v>
      </c>
      <c r="Q95" t="str">
        <f t="shared" si="122"/>
        <v>E</v>
      </c>
      <c r="R95" s="18">
        <f t="shared" si="114"/>
        <v>0.69255677277467864</v>
      </c>
      <c r="S95" t="str">
        <f t="shared" si="138"/>
        <v>SD</v>
      </c>
      <c r="T95">
        <v>0</v>
      </c>
      <c r="V95" s="17">
        <f t="shared" si="105"/>
        <v>35703</v>
      </c>
      <c r="W95" s="1">
        <f t="shared" si="106"/>
        <v>0.77804366928632229</v>
      </c>
      <c r="X95" s="1">
        <f t="shared" si="107"/>
        <v>0.77804366928632229</v>
      </c>
      <c r="Y95" s="1" t="e">
        <f t="shared" si="108"/>
        <v>#N/A</v>
      </c>
      <c r="Z95" s="1" t="e">
        <f t="shared" si="109"/>
        <v>#N/A</v>
      </c>
      <c r="AA95">
        <v>0</v>
      </c>
      <c r="AB95" s="1" t="s">
        <v>19</v>
      </c>
      <c r="AD95" s="17">
        <f t="shared" si="115"/>
        <v>35703</v>
      </c>
      <c r="AE95" s="1" t="e">
        <f t="shared" si="116"/>
        <v>#N/A</v>
      </c>
      <c r="AF95" s="1">
        <f t="shared" si="117"/>
        <v>0.77804366928632229</v>
      </c>
      <c r="AG95" s="1" t="e">
        <f t="shared" si="118"/>
        <v>#N/A</v>
      </c>
      <c r="AH95" s="1" t="e">
        <f t="shared" si="119"/>
        <v>#N/A</v>
      </c>
      <c r="AK95" s="1"/>
      <c r="AL95" s="1"/>
      <c r="AM95" s="1"/>
      <c r="AN95" s="1"/>
      <c r="AO95" s="17">
        <f t="shared" si="123"/>
        <v>35703</v>
      </c>
      <c r="AP95">
        <f t="shared" si="124"/>
        <v>4</v>
      </c>
      <c r="AQ95">
        <f t="shared" si="125"/>
        <v>4</v>
      </c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7" t="e">
        <f t="shared" ref="BL95" si="150">#REF!</f>
        <v>#REF!</v>
      </c>
      <c r="BM95">
        <f t="shared" si="111"/>
        <v>4</v>
      </c>
      <c r="BN95">
        <f t="shared" si="112"/>
        <v>1</v>
      </c>
    </row>
    <row r="96" spans="1:66">
      <c r="A96" s="7">
        <v>35734</v>
      </c>
      <c r="B96" s="8">
        <v>0.21277599999999999</v>
      </c>
      <c r="C96" s="8">
        <f t="shared" si="99"/>
        <v>0.27082946118834861</v>
      </c>
      <c r="D96" s="9">
        <f t="shared" si="95"/>
        <v>1.354147305941743</v>
      </c>
      <c r="E96" s="8">
        <v>7.6</v>
      </c>
      <c r="F96" s="8">
        <f t="shared" si="100"/>
        <v>7.0302265617071082</v>
      </c>
      <c r="G96" s="9">
        <f t="shared" si="96"/>
        <v>0.63911150560973706</v>
      </c>
      <c r="H96" s="8">
        <v>0.59199999999999997</v>
      </c>
      <c r="I96" s="8">
        <f t="shared" si="101"/>
        <v>0.63019451951740491</v>
      </c>
      <c r="J96" s="9">
        <f t="shared" si="102"/>
        <v>0.83019451951740497</v>
      </c>
      <c r="K96" s="8">
        <v>-0.1</v>
      </c>
      <c r="L96" s="8">
        <f t="shared" si="103"/>
        <v>0.45467505039341871</v>
      </c>
      <c r="M96" s="9">
        <f t="shared" si="97"/>
        <v>0.45467505039341871</v>
      </c>
      <c r="O96" s="11">
        <f t="shared" si="104"/>
        <v>0.70641507626699329</v>
      </c>
      <c r="P96" s="15" t="str">
        <f t="shared" si="113"/>
        <v>SD</v>
      </c>
      <c r="Q96" t="str">
        <f t="shared" si="122"/>
        <v>SD</v>
      </c>
      <c r="R96" s="18">
        <f t="shared" si="114"/>
        <v>0.70641507626699329</v>
      </c>
      <c r="S96" t="str">
        <f t="shared" si="138"/>
        <v>SD</v>
      </c>
      <c r="T96">
        <v>0</v>
      </c>
      <c r="V96" s="17">
        <f t="shared" si="105"/>
        <v>35734</v>
      </c>
      <c r="W96" s="1" t="e">
        <f t="shared" si="106"/>
        <v>#N/A</v>
      </c>
      <c r="X96" s="1">
        <f t="shared" si="107"/>
        <v>0.70641507626699329</v>
      </c>
      <c r="Y96" s="1" t="e">
        <f t="shared" si="108"/>
        <v>#N/A</v>
      </c>
      <c r="Z96" s="1" t="e">
        <f t="shared" si="109"/>
        <v>#N/A</v>
      </c>
      <c r="AA96">
        <v>0</v>
      </c>
      <c r="AB96" s="1" t="s">
        <v>19</v>
      </c>
      <c r="AD96" s="17">
        <f t="shared" si="115"/>
        <v>35734</v>
      </c>
      <c r="AE96" s="1" t="e">
        <f t="shared" si="116"/>
        <v>#N/A</v>
      </c>
      <c r="AF96" s="1">
        <f t="shared" si="117"/>
        <v>0.70641507626699329</v>
      </c>
      <c r="AG96" s="1" t="e">
        <f t="shared" si="118"/>
        <v>#N/A</v>
      </c>
      <c r="AH96" s="1" t="e">
        <f t="shared" si="119"/>
        <v>#N/A</v>
      </c>
      <c r="AK96" s="1"/>
      <c r="AL96" s="1"/>
      <c r="AM96" s="1"/>
      <c r="AN96" s="1"/>
      <c r="AO96" s="17">
        <f t="shared" si="123"/>
        <v>35734</v>
      </c>
      <c r="AP96">
        <f t="shared" si="124"/>
        <v>3</v>
      </c>
      <c r="AQ96">
        <f t="shared" si="125"/>
        <v>3</v>
      </c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7" t="e">
        <f t="shared" ref="BL96" si="151">#REF!</f>
        <v>#REF!</v>
      </c>
      <c r="BM96">
        <f t="shared" si="111"/>
        <v>3</v>
      </c>
      <c r="BN96">
        <f t="shared" si="112"/>
        <v>1</v>
      </c>
    </row>
    <row r="97" spans="1:66">
      <c r="A97" s="7">
        <v>35764</v>
      </c>
      <c r="B97" s="8">
        <v>0.15195500000000001</v>
      </c>
      <c r="C97" s="8">
        <f t="shared" si="99"/>
        <v>0.23695023974966925</v>
      </c>
      <c r="D97" s="9">
        <f t="shared" si="95"/>
        <v>1.1847511987483461</v>
      </c>
      <c r="E97" s="8">
        <v>7.1</v>
      </c>
      <c r="F97" s="8">
        <f t="shared" si="100"/>
        <v>7.0501119916205823</v>
      </c>
      <c r="G97" s="9">
        <f t="shared" si="96"/>
        <v>0.64091927196550746</v>
      </c>
      <c r="H97" s="8">
        <v>0.63090000000000002</v>
      </c>
      <c r="I97" s="8">
        <f t="shared" si="101"/>
        <v>0.63039558145494445</v>
      </c>
      <c r="J97" s="9">
        <f t="shared" si="102"/>
        <v>0.83039558145494441</v>
      </c>
      <c r="K97" s="8">
        <v>6.4000000000000001E-2</v>
      </c>
      <c r="L97" s="8">
        <f t="shared" si="103"/>
        <v>0.34333266103129434</v>
      </c>
      <c r="M97" s="9">
        <f t="shared" si="97"/>
        <v>0.34333266103129434</v>
      </c>
      <c r="O97" s="11">
        <f t="shared" si="104"/>
        <v>0.66232704430362732</v>
      </c>
      <c r="P97" s="15" t="str">
        <f t="shared" si="113"/>
        <v>SD</v>
      </c>
      <c r="Q97" t="str">
        <f t="shared" si="122"/>
        <v>SD</v>
      </c>
      <c r="R97" s="18">
        <f t="shared" si="114"/>
        <v>0.70641507626699329</v>
      </c>
      <c r="S97" t="str">
        <f t="shared" si="138"/>
        <v>SD</v>
      </c>
      <c r="T97">
        <v>0</v>
      </c>
      <c r="V97" s="17">
        <f t="shared" si="105"/>
        <v>35764</v>
      </c>
      <c r="W97" s="1">
        <f t="shared" si="106"/>
        <v>0.66232704430362732</v>
      </c>
      <c r="X97" s="1">
        <f t="shared" si="107"/>
        <v>0.66232704430362732</v>
      </c>
      <c r="Y97" s="1" t="e">
        <f t="shared" si="108"/>
        <v>#N/A</v>
      </c>
      <c r="Z97" s="1" t="e">
        <f t="shared" si="109"/>
        <v>#N/A</v>
      </c>
      <c r="AA97">
        <v>0</v>
      </c>
      <c r="AB97" s="1" t="s">
        <v>19</v>
      </c>
      <c r="AD97" s="17">
        <f t="shared" si="115"/>
        <v>35764</v>
      </c>
      <c r="AE97" s="1">
        <f t="shared" si="116"/>
        <v>0.66232704430362732</v>
      </c>
      <c r="AF97" s="1">
        <f t="shared" si="117"/>
        <v>0.66232704430362732</v>
      </c>
      <c r="AG97" s="1" t="e">
        <f t="shared" si="118"/>
        <v>#N/A</v>
      </c>
      <c r="AH97" s="1" t="e">
        <f t="shared" si="119"/>
        <v>#N/A</v>
      </c>
      <c r="AK97" s="1"/>
      <c r="AL97" s="1"/>
      <c r="AM97" s="1"/>
      <c r="AN97" s="1"/>
      <c r="AO97" s="17">
        <f t="shared" si="123"/>
        <v>35764</v>
      </c>
      <c r="AP97">
        <f t="shared" si="124"/>
        <v>3</v>
      </c>
      <c r="AQ97">
        <f t="shared" si="125"/>
        <v>3</v>
      </c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7" t="e">
        <f t="shared" ref="BL97" si="152">#REF!</f>
        <v>#REF!</v>
      </c>
      <c r="BM97">
        <f t="shared" si="111"/>
        <v>3</v>
      </c>
      <c r="BN97">
        <f t="shared" si="112"/>
        <v>1</v>
      </c>
    </row>
    <row r="98" spans="1:66">
      <c r="A98" s="7">
        <v>35795</v>
      </c>
      <c r="B98" s="8">
        <v>0.27335599999999999</v>
      </c>
      <c r="C98" s="8">
        <f t="shared" si="99"/>
        <v>0.24732588142101353</v>
      </c>
      <c r="D98" s="9">
        <f t="shared" si="95"/>
        <v>1.2366294071050676</v>
      </c>
      <c r="E98" s="8">
        <v>7.3</v>
      </c>
      <c r="F98" s="8">
        <f t="shared" si="100"/>
        <v>7.121330074008716</v>
      </c>
      <c r="G98" s="9">
        <f t="shared" si="96"/>
        <v>0.64739364309170144</v>
      </c>
      <c r="H98" s="8">
        <v>0.3014</v>
      </c>
      <c r="I98" s="8">
        <f t="shared" si="101"/>
        <v>0.53663184074028525</v>
      </c>
      <c r="J98" s="9">
        <f t="shared" si="102"/>
        <v>0.7366318407402852</v>
      </c>
      <c r="K98" s="8">
        <v>0.64200000000000002</v>
      </c>
      <c r="L98" s="8">
        <f t="shared" si="103"/>
        <v>0.42845285263737543</v>
      </c>
      <c r="M98" s="9">
        <f t="shared" si="97"/>
        <v>0.42845285263737543</v>
      </c>
      <c r="O98" s="11">
        <f t="shared" si="104"/>
        <v>0.66546413031345719</v>
      </c>
      <c r="P98" s="15" t="str">
        <f t="shared" si="113"/>
        <v>E</v>
      </c>
      <c r="Q98" t="str">
        <f t="shared" si="122"/>
        <v>SD</v>
      </c>
      <c r="R98" s="18">
        <f t="shared" si="114"/>
        <v>0.70641507626699329</v>
      </c>
      <c r="S98" t="str">
        <f t="shared" si="138"/>
        <v>E</v>
      </c>
      <c r="T98">
        <v>0</v>
      </c>
      <c r="V98" s="17">
        <f t="shared" si="105"/>
        <v>35795</v>
      </c>
      <c r="W98" s="1">
        <f t="shared" si="106"/>
        <v>0.66546413031345719</v>
      </c>
      <c r="X98" s="1">
        <f t="shared" si="107"/>
        <v>0.66546413031345719</v>
      </c>
      <c r="Y98" s="1" t="e">
        <f t="shared" si="108"/>
        <v>#N/A</v>
      </c>
      <c r="Z98" s="1" t="e">
        <f t="shared" si="109"/>
        <v>#N/A</v>
      </c>
      <c r="AA98">
        <v>0</v>
      </c>
      <c r="AB98" s="1" t="s">
        <v>19</v>
      </c>
      <c r="AD98" s="17">
        <f t="shared" si="115"/>
        <v>35795</v>
      </c>
      <c r="AE98" s="1">
        <f t="shared" si="116"/>
        <v>0.66546413031345719</v>
      </c>
      <c r="AF98" s="1">
        <f t="shared" si="117"/>
        <v>0.66546413031345719</v>
      </c>
      <c r="AG98" s="1" t="e">
        <f t="shared" si="118"/>
        <v>#N/A</v>
      </c>
      <c r="AH98" s="1" t="e">
        <f t="shared" si="119"/>
        <v>#N/A</v>
      </c>
      <c r="AK98" s="1"/>
      <c r="AL98" s="1"/>
      <c r="AM98" s="1"/>
      <c r="AN98" s="1"/>
      <c r="AO98" s="17">
        <f t="shared" si="123"/>
        <v>35795</v>
      </c>
      <c r="AP98">
        <f t="shared" si="124"/>
        <v>4</v>
      </c>
      <c r="AQ98">
        <f t="shared" si="125"/>
        <v>3</v>
      </c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7" t="e">
        <f t="shared" ref="BL98" si="153">#REF!</f>
        <v>#REF!</v>
      </c>
      <c r="BM98">
        <f t="shared" si="111"/>
        <v>3</v>
      </c>
      <c r="BN98">
        <f t="shared" si="112"/>
        <v>1</v>
      </c>
    </row>
    <row r="99" spans="1:66">
      <c r="A99" s="7">
        <v>35826</v>
      </c>
      <c r="B99" s="8">
        <v>8.6643999999999999E-2</v>
      </c>
      <c r="C99" s="8">
        <f t="shared" si="99"/>
        <v>0.20153154521602468</v>
      </c>
      <c r="D99" s="9">
        <f t="shared" si="95"/>
        <v>1.0076577260801234</v>
      </c>
      <c r="E99" s="8">
        <v>6.8</v>
      </c>
      <c r="F99" s="8">
        <f t="shared" si="100"/>
        <v>7.0297510029162318</v>
      </c>
      <c r="G99" s="9">
        <f t="shared" si="96"/>
        <v>0.63906827299238467</v>
      </c>
      <c r="H99" s="8">
        <v>0.38009999999999999</v>
      </c>
      <c r="I99" s="8">
        <f t="shared" si="101"/>
        <v>0.49202026612930394</v>
      </c>
      <c r="J99" s="9">
        <f t="shared" si="102"/>
        <v>0.69202026612930401</v>
      </c>
      <c r="K99" s="8">
        <v>0.67200000000000004</v>
      </c>
      <c r="L99" s="8">
        <f t="shared" si="103"/>
        <v>0.49786378963572342</v>
      </c>
      <c r="M99" s="9">
        <f t="shared" si="97"/>
        <v>0.49786378963572342</v>
      </c>
      <c r="O99" s="11">
        <f t="shared" si="104"/>
        <v>0.65194908226503101</v>
      </c>
      <c r="P99" s="15" t="str">
        <f t="shared" si="113"/>
        <v>SD</v>
      </c>
      <c r="Q99" t="str">
        <f t="shared" si="122"/>
        <v>SD</v>
      </c>
      <c r="R99" s="18">
        <f t="shared" si="114"/>
        <v>0.65194908226503101</v>
      </c>
      <c r="S99" t="str">
        <f t="shared" si="138"/>
        <v>SD</v>
      </c>
      <c r="T99">
        <v>0</v>
      </c>
      <c r="V99" s="17">
        <f t="shared" si="105"/>
        <v>35826</v>
      </c>
      <c r="W99" s="1">
        <f t="shared" si="106"/>
        <v>0.65194908226503101</v>
      </c>
      <c r="X99" s="1">
        <f t="shared" si="107"/>
        <v>0.65194908226503101</v>
      </c>
      <c r="Y99" s="1" t="e">
        <f t="shared" si="108"/>
        <v>#N/A</v>
      </c>
      <c r="Z99" s="1" t="e">
        <f t="shared" si="109"/>
        <v>#N/A</v>
      </c>
      <c r="AA99">
        <v>0</v>
      </c>
      <c r="AB99" s="1" t="s">
        <v>19</v>
      </c>
      <c r="AD99" s="17">
        <f t="shared" si="115"/>
        <v>35826</v>
      </c>
      <c r="AE99" s="1" t="e">
        <f t="shared" si="116"/>
        <v>#N/A</v>
      </c>
      <c r="AF99" s="1">
        <f t="shared" si="117"/>
        <v>0.65194908226503101</v>
      </c>
      <c r="AG99" s="1" t="e">
        <f t="shared" si="118"/>
        <v>#N/A</v>
      </c>
      <c r="AH99" s="1" t="e">
        <f t="shared" si="119"/>
        <v>#N/A</v>
      </c>
      <c r="AK99" s="1"/>
      <c r="AL99" s="1"/>
      <c r="AM99" s="1"/>
      <c r="AN99" s="1"/>
      <c r="AO99" s="17">
        <f t="shared" si="123"/>
        <v>35826</v>
      </c>
      <c r="AP99">
        <f t="shared" si="124"/>
        <v>3</v>
      </c>
      <c r="AQ99">
        <f t="shared" si="125"/>
        <v>3</v>
      </c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7" t="e">
        <f t="shared" ref="BL99" si="154">#REF!</f>
        <v>#REF!</v>
      </c>
      <c r="BM99">
        <f t="shared" si="111"/>
        <v>3</v>
      </c>
      <c r="BN99">
        <f t="shared" si="112"/>
        <v>1</v>
      </c>
    </row>
    <row r="100" spans="1:66">
      <c r="A100" s="7">
        <v>35854</v>
      </c>
      <c r="B100" s="8">
        <v>0.21087900000000001</v>
      </c>
      <c r="C100" s="8">
        <f t="shared" si="99"/>
        <v>0.20419556982945763</v>
      </c>
      <c r="D100" s="9">
        <f t="shared" si="95"/>
        <v>1.0209778491472881</v>
      </c>
      <c r="E100" s="8">
        <v>6.5</v>
      </c>
      <c r="F100" s="8">
        <f t="shared" si="100"/>
        <v>6.8787719670851057</v>
      </c>
      <c r="G100" s="9">
        <f t="shared" si="96"/>
        <v>0.62534290609864596</v>
      </c>
      <c r="H100" s="8">
        <v>0.38080000000000003</v>
      </c>
      <c r="I100" s="8">
        <f t="shared" si="101"/>
        <v>0.46032249028245231</v>
      </c>
      <c r="J100" s="9">
        <f t="shared" si="102"/>
        <v>0.66032249028245227</v>
      </c>
      <c r="K100" s="8">
        <v>1.0860000000000001</v>
      </c>
      <c r="L100" s="8">
        <f t="shared" si="103"/>
        <v>0.66548260958954231</v>
      </c>
      <c r="M100" s="9">
        <f t="shared" si="97"/>
        <v>0.66548260958954231</v>
      </c>
      <c r="O100" s="11">
        <f t="shared" si="104"/>
        <v>0.69155979677404256</v>
      </c>
      <c r="P100" s="15" t="str">
        <f t="shared" si="113"/>
        <v>E</v>
      </c>
      <c r="Q100" t="str">
        <f t="shared" si="122"/>
        <v>SD</v>
      </c>
      <c r="R100" s="18">
        <f t="shared" si="114"/>
        <v>0.65194908226503101</v>
      </c>
      <c r="S100" t="str">
        <f t="shared" si="138"/>
        <v>SD</v>
      </c>
      <c r="T100">
        <v>0</v>
      </c>
      <c r="V100" s="17">
        <f t="shared" si="105"/>
        <v>35854</v>
      </c>
      <c r="W100" s="1">
        <f t="shared" si="106"/>
        <v>0.69155979677404256</v>
      </c>
      <c r="X100" s="1">
        <f t="shared" si="107"/>
        <v>0.69155979677404256</v>
      </c>
      <c r="Y100" s="1" t="e">
        <f t="shared" si="108"/>
        <v>#N/A</v>
      </c>
      <c r="Z100" s="1" t="e">
        <f t="shared" si="109"/>
        <v>#N/A</v>
      </c>
      <c r="AA100">
        <v>0</v>
      </c>
      <c r="AB100" s="1" t="s">
        <v>19</v>
      </c>
      <c r="AD100" s="17">
        <f t="shared" si="115"/>
        <v>35854</v>
      </c>
      <c r="AE100" s="1" t="e">
        <f t="shared" si="116"/>
        <v>#N/A</v>
      </c>
      <c r="AF100" s="1">
        <f t="shared" si="117"/>
        <v>0.69155979677404256</v>
      </c>
      <c r="AG100" s="1" t="e">
        <f t="shared" si="118"/>
        <v>#N/A</v>
      </c>
      <c r="AH100" s="1" t="e">
        <f t="shared" si="119"/>
        <v>#N/A</v>
      </c>
      <c r="AK100" s="1"/>
      <c r="AL100" s="1"/>
      <c r="AM100" s="1"/>
      <c r="AN100" s="1"/>
      <c r="AO100" s="17">
        <f t="shared" si="123"/>
        <v>35854</v>
      </c>
      <c r="AP100">
        <f t="shared" si="124"/>
        <v>4</v>
      </c>
      <c r="AQ100">
        <f t="shared" si="125"/>
        <v>3</v>
      </c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7" t="e">
        <f t="shared" ref="BL100" si="155">#REF!</f>
        <v>#REF!</v>
      </c>
      <c r="BM100">
        <f t="shared" si="111"/>
        <v>3</v>
      </c>
      <c r="BN100">
        <f t="shared" si="112"/>
        <v>1</v>
      </c>
    </row>
    <row r="101" spans="1:66">
      <c r="A101" s="7">
        <v>35885</v>
      </c>
      <c r="B101" s="8">
        <v>0.18773400000000001</v>
      </c>
      <c r="C101" s="8">
        <f t="shared" si="99"/>
        <v>0.1995040224280622</v>
      </c>
      <c r="D101" s="9">
        <f t="shared" si="95"/>
        <v>0.997520112140311</v>
      </c>
      <c r="E101" s="8">
        <v>6.3</v>
      </c>
      <c r="F101" s="8">
        <f t="shared" si="100"/>
        <v>6.7138219564658499</v>
      </c>
      <c r="G101" s="9">
        <f t="shared" si="96"/>
        <v>0.61034745058780449</v>
      </c>
      <c r="H101" s="8">
        <v>0.185</v>
      </c>
      <c r="I101" s="8">
        <f t="shared" si="101"/>
        <v>0.3818555805519534</v>
      </c>
      <c r="J101" s="9">
        <f t="shared" si="102"/>
        <v>0.58185558055195341</v>
      </c>
      <c r="K101" s="8">
        <v>0.51300000000000001</v>
      </c>
      <c r="L101" s="8">
        <f t="shared" si="103"/>
        <v>0.62202506585652273</v>
      </c>
      <c r="M101" s="9">
        <f t="shared" si="97"/>
        <v>0.62202506585652273</v>
      </c>
      <c r="O101" s="11">
        <f t="shared" si="104"/>
        <v>0.64851907696616773</v>
      </c>
      <c r="P101" s="15" t="str">
        <f t="shared" si="113"/>
        <v>SD</v>
      </c>
      <c r="Q101" t="str">
        <f t="shared" si="122"/>
        <v>SD</v>
      </c>
      <c r="R101" s="18">
        <f t="shared" si="114"/>
        <v>0.64851907696616773</v>
      </c>
      <c r="S101" t="str">
        <f t="shared" si="138"/>
        <v>SD</v>
      </c>
      <c r="T101">
        <v>0</v>
      </c>
      <c r="V101" s="17">
        <f t="shared" si="105"/>
        <v>35885</v>
      </c>
      <c r="W101" s="1" t="e">
        <f t="shared" si="106"/>
        <v>#N/A</v>
      </c>
      <c r="X101" s="1">
        <f t="shared" si="107"/>
        <v>0.64851907696616773</v>
      </c>
      <c r="Y101" s="1" t="e">
        <f t="shared" si="108"/>
        <v>#N/A</v>
      </c>
      <c r="Z101" s="1" t="e">
        <f t="shared" si="109"/>
        <v>#N/A</v>
      </c>
      <c r="AA101">
        <v>0</v>
      </c>
      <c r="AB101" s="1" t="s">
        <v>19</v>
      </c>
      <c r="AD101" s="17">
        <f t="shared" si="115"/>
        <v>35885</v>
      </c>
      <c r="AE101" s="1" t="e">
        <f t="shared" si="116"/>
        <v>#N/A</v>
      </c>
      <c r="AF101" s="1">
        <f t="shared" si="117"/>
        <v>0.64851907696616773</v>
      </c>
      <c r="AG101" s="1" t="e">
        <f t="shared" si="118"/>
        <v>#N/A</v>
      </c>
      <c r="AH101" s="1" t="e">
        <f t="shared" si="119"/>
        <v>#N/A</v>
      </c>
      <c r="AK101" s="1"/>
      <c r="AL101" s="1"/>
      <c r="AM101" s="1"/>
      <c r="AN101" s="1"/>
      <c r="AO101" s="17">
        <f t="shared" si="123"/>
        <v>35885</v>
      </c>
      <c r="AP101">
        <f t="shared" si="124"/>
        <v>3</v>
      </c>
      <c r="AQ101">
        <f t="shared" si="125"/>
        <v>3</v>
      </c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7" t="e">
        <f t="shared" ref="BL101" si="156">#REF!</f>
        <v>#REF!</v>
      </c>
      <c r="BM101">
        <f t="shared" si="111"/>
        <v>3</v>
      </c>
      <c r="BN101">
        <f t="shared" si="112"/>
        <v>1</v>
      </c>
    </row>
    <row r="102" spans="1:66">
      <c r="A102" s="7">
        <v>35915</v>
      </c>
      <c r="B102" s="8">
        <v>0.225965</v>
      </c>
      <c r="C102" s="8">
        <f t="shared" si="99"/>
        <v>0.2070454010360645</v>
      </c>
      <c r="D102" s="9">
        <f t="shared" si="95"/>
        <v>1.0352270051803225</v>
      </c>
      <c r="E102" s="8">
        <v>5.8</v>
      </c>
      <c r="F102" s="8">
        <f t="shared" si="100"/>
        <v>6.4533826988730834</v>
      </c>
      <c r="G102" s="9">
        <f t="shared" si="96"/>
        <v>0.58667115444300755</v>
      </c>
      <c r="H102" s="8">
        <v>0.34499999999999997</v>
      </c>
      <c r="I102" s="8">
        <f t="shared" si="101"/>
        <v>0.37135174009464667</v>
      </c>
      <c r="J102" s="9">
        <f t="shared" si="102"/>
        <v>0.57135174009464662</v>
      </c>
      <c r="K102" s="8">
        <v>0.34499999999999997</v>
      </c>
      <c r="L102" s="8">
        <f t="shared" si="103"/>
        <v>0.54307292208741376</v>
      </c>
      <c r="M102" s="9">
        <f t="shared" si="97"/>
        <v>0.54307292208741376</v>
      </c>
      <c r="O102" s="11">
        <f t="shared" si="104"/>
        <v>0.62095433434899172</v>
      </c>
      <c r="P102" s="15" t="str">
        <f t="shared" si="113"/>
        <v>SD</v>
      </c>
      <c r="Q102" t="str">
        <f t="shared" si="122"/>
        <v>SD</v>
      </c>
      <c r="R102" s="18">
        <f t="shared" si="114"/>
        <v>0.64851907696616773</v>
      </c>
      <c r="S102" t="str">
        <f t="shared" si="138"/>
        <v>SD</v>
      </c>
      <c r="T102">
        <v>0</v>
      </c>
      <c r="V102" s="17">
        <f t="shared" si="105"/>
        <v>35915</v>
      </c>
      <c r="W102" s="1" t="e">
        <f t="shared" si="106"/>
        <v>#N/A</v>
      </c>
      <c r="X102" s="1">
        <f t="shared" si="107"/>
        <v>0.62095433434899172</v>
      </c>
      <c r="Y102" s="1" t="e">
        <f t="shared" si="108"/>
        <v>#N/A</v>
      </c>
      <c r="Z102" s="1" t="e">
        <f t="shared" si="109"/>
        <v>#N/A</v>
      </c>
      <c r="AA102">
        <v>0</v>
      </c>
      <c r="AB102" s="1" t="s">
        <v>19</v>
      </c>
      <c r="AD102" s="17">
        <f t="shared" si="115"/>
        <v>35915</v>
      </c>
      <c r="AE102" s="1" t="e">
        <f t="shared" si="116"/>
        <v>#N/A</v>
      </c>
      <c r="AF102" s="1">
        <f t="shared" si="117"/>
        <v>0.62095433434899172</v>
      </c>
      <c r="AG102" s="1" t="e">
        <f t="shared" si="118"/>
        <v>#N/A</v>
      </c>
      <c r="AH102" s="1" t="e">
        <f t="shared" si="119"/>
        <v>#N/A</v>
      </c>
      <c r="AK102" s="1"/>
      <c r="AL102" s="1"/>
      <c r="AM102" s="1"/>
      <c r="AN102" s="1"/>
      <c r="AO102" s="17">
        <f t="shared" si="123"/>
        <v>35915</v>
      </c>
      <c r="AP102">
        <f t="shared" si="124"/>
        <v>3</v>
      </c>
      <c r="AQ102">
        <f t="shared" si="125"/>
        <v>3</v>
      </c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7" t="e">
        <f t="shared" ref="BL102" si="157">#REF!</f>
        <v>#REF!</v>
      </c>
      <c r="BM102">
        <f t="shared" si="111"/>
        <v>3</v>
      </c>
      <c r="BN102">
        <f t="shared" si="112"/>
        <v>1</v>
      </c>
    </row>
    <row r="103" spans="1:66">
      <c r="A103" s="7">
        <v>35946</v>
      </c>
      <c r="B103" s="8">
        <v>0.13223599999999999</v>
      </c>
      <c r="C103" s="8">
        <f t="shared" si="99"/>
        <v>0.18572472174078611</v>
      </c>
      <c r="D103" s="9">
        <f t="shared" si="95"/>
        <v>0.92862360870393046</v>
      </c>
      <c r="E103" s="8">
        <v>5.6</v>
      </c>
      <c r="F103" s="8">
        <f t="shared" si="100"/>
        <v>6.2101686296942544</v>
      </c>
      <c r="G103" s="9">
        <f t="shared" si="96"/>
        <v>0.56456078451765945</v>
      </c>
      <c r="H103" s="8">
        <v>0.25929999999999997</v>
      </c>
      <c r="I103" s="8">
        <f t="shared" si="101"/>
        <v>0.33941699416767235</v>
      </c>
      <c r="J103" s="9">
        <f t="shared" si="102"/>
        <v>0.5394169941676723</v>
      </c>
      <c r="K103" s="8">
        <v>0.34799999999999998</v>
      </c>
      <c r="L103" s="8">
        <f t="shared" si="103"/>
        <v>0.48747713929250081</v>
      </c>
      <c r="M103" s="9">
        <f t="shared" si="97"/>
        <v>0.48747713929250081</v>
      </c>
      <c r="O103" s="11">
        <f t="shared" si="104"/>
        <v>0.57693194724134722</v>
      </c>
      <c r="P103" s="15" t="str">
        <f t="shared" si="113"/>
        <v>SD</v>
      </c>
      <c r="Q103" t="str">
        <f t="shared" si="122"/>
        <v>SD</v>
      </c>
      <c r="R103" s="18">
        <f t="shared" si="114"/>
        <v>0.64851907696616773</v>
      </c>
      <c r="S103" t="str">
        <f t="shared" si="138"/>
        <v>SD</v>
      </c>
      <c r="T103">
        <v>0</v>
      </c>
      <c r="V103" s="17">
        <f t="shared" si="105"/>
        <v>35946</v>
      </c>
      <c r="W103" s="1" t="e">
        <f t="shared" si="106"/>
        <v>#N/A</v>
      </c>
      <c r="X103" s="1">
        <f t="shared" si="107"/>
        <v>0.57693194724134722</v>
      </c>
      <c r="Y103" s="1" t="e">
        <f t="shared" si="108"/>
        <v>#N/A</v>
      </c>
      <c r="Z103" s="1" t="e">
        <f t="shared" si="109"/>
        <v>#N/A</v>
      </c>
      <c r="AA103">
        <v>0</v>
      </c>
      <c r="AB103" s="1" t="s">
        <v>19</v>
      </c>
      <c r="AD103" s="17">
        <f t="shared" si="115"/>
        <v>35946</v>
      </c>
      <c r="AE103" s="1" t="e">
        <f t="shared" si="116"/>
        <v>#N/A</v>
      </c>
      <c r="AF103" s="1">
        <f t="shared" si="117"/>
        <v>0.57693194724134722</v>
      </c>
      <c r="AG103" s="1" t="e">
        <f t="shared" si="118"/>
        <v>#N/A</v>
      </c>
      <c r="AH103" s="1" t="e">
        <f t="shared" si="119"/>
        <v>#N/A</v>
      </c>
      <c r="AK103" s="1"/>
      <c r="AL103" s="1"/>
      <c r="AM103" s="1"/>
      <c r="AN103" s="1"/>
      <c r="AO103" s="17">
        <f t="shared" si="123"/>
        <v>35946</v>
      </c>
      <c r="AP103">
        <f t="shared" si="124"/>
        <v>3</v>
      </c>
      <c r="AQ103">
        <f t="shared" si="125"/>
        <v>3</v>
      </c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7" t="e">
        <f t="shared" ref="BL103" si="158">#REF!</f>
        <v>#REF!</v>
      </c>
      <c r="BM103">
        <f t="shared" si="111"/>
        <v>3</v>
      </c>
      <c r="BN103">
        <f t="shared" si="112"/>
        <v>1</v>
      </c>
    </row>
    <row r="104" spans="1:66">
      <c r="A104" s="7">
        <v>35976</v>
      </c>
      <c r="B104" s="8">
        <v>-4.1151E-2</v>
      </c>
      <c r="C104" s="8">
        <f t="shared" si="99"/>
        <v>0.12106514104466207</v>
      </c>
      <c r="D104" s="9">
        <f t="shared" si="95"/>
        <v>0.60532570522331031</v>
      </c>
      <c r="E104" s="8">
        <v>4.4000000000000004</v>
      </c>
      <c r="F104" s="8">
        <f t="shared" si="100"/>
        <v>5.6942705702313923</v>
      </c>
      <c r="G104" s="9">
        <f t="shared" si="96"/>
        <v>0.51766096093012659</v>
      </c>
      <c r="H104" s="8">
        <v>-0.5988</v>
      </c>
      <c r="I104" s="8">
        <f t="shared" si="101"/>
        <v>7.2025150829885698E-2</v>
      </c>
      <c r="J104" s="9">
        <f t="shared" si="102"/>
        <v>0.27202515082988571</v>
      </c>
      <c r="K104" s="8">
        <v>0.48</v>
      </c>
      <c r="L104" s="8">
        <f t="shared" si="103"/>
        <v>0.4853461545941381</v>
      </c>
      <c r="M104" s="9">
        <f t="shared" si="97"/>
        <v>0.4853461545941381</v>
      </c>
      <c r="O104" s="11">
        <f t="shared" si="104"/>
        <v>0.45711219750483595</v>
      </c>
      <c r="P104" s="15" t="str">
        <f t="shared" si="113"/>
        <v>SD</v>
      </c>
      <c r="Q104" t="str">
        <f t="shared" si="122"/>
        <v>SD</v>
      </c>
      <c r="R104" s="18">
        <f t="shared" si="114"/>
        <v>0.64851907696616773</v>
      </c>
      <c r="S104" t="str">
        <f t="shared" si="138"/>
        <v>SD</v>
      </c>
      <c r="T104">
        <v>0</v>
      </c>
      <c r="V104" s="17">
        <f t="shared" si="105"/>
        <v>35976</v>
      </c>
      <c r="W104" s="1" t="e">
        <f t="shared" si="106"/>
        <v>#N/A</v>
      </c>
      <c r="X104" s="1">
        <f t="shared" si="107"/>
        <v>0.45711219750483595</v>
      </c>
      <c r="Y104" s="1" t="e">
        <f t="shared" si="108"/>
        <v>#N/A</v>
      </c>
      <c r="Z104" s="1" t="e">
        <f t="shared" si="109"/>
        <v>#N/A</v>
      </c>
      <c r="AA104">
        <v>0</v>
      </c>
      <c r="AB104" s="1" t="s">
        <v>19</v>
      </c>
      <c r="AD104" s="17">
        <f t="shared" si="115"/>
        <v>35976</v>
      </c>
      <c r="AE104" s="1" t="e">
        <f t="shared" si="116"/>
        <v>#N/A</v>
      </c>
      <c r="AF104" s="1">
        <f t="shared" si="117"/>
        <v>0.45711219750483595</v>
      </c>
      <c r="AG104" s="1" t="e">
        <f t="shared" si="118"/>
        <v>#N/A</v>
      </c>
      <c r="AH104" s="1" t="e">
        <f t="shared" si="119"/>
        <v>#N/A</v>
      </c>
      <c r="AK104" s="1"/>
      <c r="AL104" s="1"/>
      <c r="AM104" s="1"/>
      <c r="AN104" s="1"/>
      <c r="AO104" s="17">
        <f t="shared" si="123"/>
        <v>35976</v>
      </c>
      <c r="AP104">
        <f t="shared" si="124"/>
        <v>3</v>
      </c>
      <c r="AQ104">
        <f t="shared" si="125"/>
        <v>3</v>
      </c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7" t="e">
        <f t="shared" ref="BL104" si="159">#REF!</f>
        <v>#REF!</v>
      </c>
      <c r="BM104">
        <f t="shared" si="111"/>
        <v>3</v>
      </c>
      <c r="BN104">
        <f t="shared" si="112"/>
        <v>1</v>
      </c>
    </row>
    <row r="105" spans="1:66">
      <c r="A105" s="7">
        <v>36007</v>
      </c>
      <c r="B105" s="8">
        <v>1.6670999999999998E-2</v>
      </c>
      <c r="C105" s="8">
        <f t="shared" si="99"/>
        <v>9.1312810846933379E-2</v>
      </c>
      <c r="D105" s="9">
        <f t="shared" si="95"/>
        <v>0.45656405423466689</v>
      </c>
      <c r="E105" s="8">
        <v>3.5</v>
      </c>
      <c r="F105" s="8">
        <f t="shared" si="100"/>
        <v>5.0689034577154448</v>
      </c>
      <c r="G105" s="9">
        <f t="shared" si="96"/>
        <v>0.46080940524685859</v>
      </c>
      <c r="H105" s="8">
        <v>-0.14169999999999999</v>
      </c>
      <c r="I105" s="8">
        <f t="shared" si="101"/>
        <v>1.1113482843368265E-2</v>
      </c>
      <c r="J105" s="9">
        <f t="shared" si="102"/>
        <v>0.21111348284336828</v>
      </c>
      <c r="K105" s="8">
        <v>0.23400000000000001</v>
      </c>
      <c r="L105" s="8">
        <f t="shared" si="103"/>
        <v>0.41371250053480874</v>
      </c>
      <c r="M105" s="9">
        <f t="shared" si="97"/>
        <v>0.41371250053480874</v>
      </c>
      <c r="O105" s="11">
        <f t="shared" si="104"/>
        <v>0.38840248871595773</v>
      </c>
      <c r="P105" s="15" t="str">
        <f t="shared" si="113"/>
        <v>SD</v>
      </c>
      <c r="Q105" t="str">
        <f t="shared" si="122"/>
        <v>SD</v>
      </c>
      <c r="R105" s="18">
        <f t="shared" si="114"/>
        <v>0.64851907696616773</v>
      </c>
      <c r="S105" t="str">
        <f t="shared" si="138"/>
        <v>SD</v>
      </c>
      <c r="T105">
        <v>0</v>
      </c>
      <c r="V105" s="17">
        <f t="shared" si="105"/>
        <v>36007</v>
      </c>
      <c r="W105" s="1" t="e">
        <f t="shared" si="106"/>
        <v>#N/A</v>
      </c>
      <c r="X105" s="1">
        <f t="shared" si="107"/>
        <v>0.38840248871595773</v>
      </c>
      <c r="Y105" s="1" t="e">
        <f t="shared" si="108"/>
        <v>#N/A</v>
      </c>
      <c r="Z105" s="1" t="e">
        <f t="shared" si="109"/>
        <v>#N/A</v>
      </c>
      <c r="AA105">
        <v>0</v>
      </c>
      <c r="AB105" s="1" t="s">
        <v>19</v>
      </c>
      <c r="AD105" s="17">
        <f t="shared" si="115"/>
        <v>36007</v>
      </c>
      <c r="AE105" s="1" t="e">
        <f t="shared" si="116"/>
        <v>#N/A</v>
      </c>
      <c r="AF105" s="1">
        <f t="shared" si="117"/>
        <v>0.38840248871595773</v>
      </c>
      <c r="AG105" s="1" t="e">
        <f t="shared" si="118"/>
        <v>#N/A</v>
      </c>
      <c r="AH105" s="1" t="e">
        <f t="shared" si="119"/>
        <v>#N/A</v>
      </c>
      <c r="AK105" s="1"/>
      <c r="AL105" s="1"/>
      <c r="AM105" s="1"/>
      <c r="AN105" s="1"/>
      <c r="AO105" s="17">
        <f t="shared" si="123"/>
        <v>36007</v>
      </c>
      <c r="AP105">
        <f t="shared" si="124"/>
        <v>3</v>
      </c>
      <c r="AQ105">
        <f t="shared" si="125"/>
        <v>3</v>
      </c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7" t="e">
        <f t="shared" ref="BL105" si="160">#REF!</f>
        <v>#REF!</v>
      </c>
      <c r="BM105">
        <f t="shared" si="111"/>
        <v>3</v>
      </c>
      <c r="BN105">
        <f t="shared" si="112"/>
        <v>1</v>
      </c>
    </row>
    <row r="106" spans="1:66">
      <c r="A106" s="7">
        <v>36038</v>
      </c>
      <c r="B106" s="8">
        <v>2.9342E-2</v>
      </c>
      <c r="C106" s="8">
        <f t="shared" si="99"/>
        <v>7.3651129755557362E-2</v>
      </c>
      <c r="D106" s="9">
        <f t="shared" si="95"/>
        <v>0.36825564877778677</v>
      </c>
      <c r="E106" s="8">
        <v>3.1</v>
      </c>
      <c r="F106" s="8">
        <f t="shared" si="100"/>
        <v>4.5077659722665429</v>
      </c>
      <c r="G106" s="9">
        <f t="shared" si="96"/>
        <v>0.4097969065696857</v>
      </c>
      <c r="H106" s="8">
        <v>1.0750999999999999</v>
      </c>
      <c r="I106" s="8">
        <f t="shared" si="101"/>
        <v>0.31434964023300832</v>
      </c>
      <c r="J106" s="9">
        <f t="shared" si="102"/>
        <v>0.51434964023300833</v>
      </c>
      <c r="K106" s="8">
        <v>-1.595</v>
      </c>
      <c r="L106" s="8">
        <f t="shared" si="103"/>
        <v>-0.15877056211761181</v>
      </c>
      <c r="M106" s="9">
        <f t="shared" si="97"/>
        <v>-7.9385281058805907E-2</v>
      </c>
      <c r="O106" s="11">
        <f t="shared" si="104"/>
        <v>0.30555769420409695</v>
      </c>
      <c r="P106" s="15" t="str">
        <f t="shared" si="113"/>
        <v>SD</v>
      </c>
      <c r="Q106" t="str">
        <f t="shared" si="122"/>
        <v>SD</v>
      </c>
      <c r="R106" s="18">
        <f t="shared" si="114"/>
        <v>0.64851907696616773</v>
      </c>
      <c r="S106" t="str">
        <f t="shared" si="138"/>
        <v>SD</v>
      </c>
      <c r="T106">
        <v>0</v>
      </c>
      <c r="V106" s="17">
        <f t="shared" si="105"/>
        <v>36038</v>
      </c>
      <c r="W106" s="1" t="e">
        <f t="shared" si="106"/>
        <v>#N/A</v>
      </c>
      <c r="X106" s="1">
        <f t="shared" si="107"/>
        <v>0.30555769420409695</v>
      </c>
      <c r="Y106" s="1" t="e">
        <f t="shared" si="108"/>
        <v>#N/A</v>
      </c>
      <c r="Z106" s="1" t="e">
        <f t="shared" si="109"/>
        <v>#N/A</v>
      </c>
      <c r="AA106">
        <v>0</v>
      </c>
      <c r="AB106" s="1" t="s">
        <v>19</v>
      </c>
      <c r="AD106" s="17">
        <f t="shared" si="115"/>
        <v>36038</v>
      </c>
      <c r="AE106" s="1" t="e">
        <f t="shared" si="116"/>
        <v>#N/A</v>
      </c>
      <c r="AF106" s="1">
        <f t="shared" si="117"/>
        <v>0.30555769420409695</v>
      </c>
      <c r="AG106" s="1" t="e">
        <f t="shared" si="118"/>
        <v>#N/A</v>
      </c>
      <c r="AH106" s="1" t="e">
        <f t="shared" si="119"/>
        <v>#N/A</v>
      </c>
      <c r="AK106" s="1"/>
      <c r="AL106" s="1"/>
      <c r="AM106" s="1"/>
      <c r="AN106" s="1"/>
      <c r="AO106" s="17">
        <f t="shared" si="123"/>
        <v>36038</v>
      </c>
      <c r="AP106">
        <f t="shared" si="124"/>
        <v>3</v>
      </c>
      <c r="AQ106">
        <f t="shared" si="125"/>
        <v>3</v>
      </c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7" t="e">
        <f t="shared" ref="BL106" si="161">#REF!</f>
        <v>#REF!</v>
      </c>
      <c r="BM106">
        <f t="shared" si="111"/>
        <v>3</v>
      </c>
      <c r="BN106">
        <f t="shared" si="112"/>
        <v>1</v>
      </c>
    </row>
    <row r="107" spans="1:66">
      <c r="A107" s="7">
        <v>36068</v>
      </c>
      <c r="B107" s="8">
        <v>-0.10437399999999999</v>
      </c>
      <c r="C107" s="8">
        <f t="shared" si="99"/>
        <v>2.2913967775223511E-2</v>
      </c>
      <c r="D107" s="9">
        <f t="shared" si="95"/>
        <v>0.11456983887611755</v>
      </c>
      <c r="E107" s="8">
        <v>1.6</v>
      </c>
      <c r="F107" s="8">
        <f t="shared" si="100"/>
        <v>3.6790526701705781</v>
      </c>
      <c r="G107" s="9">
        <f t="shared" si="96"/>
        <v>0.33445933365187075</v>
      </c>
      <c r="H107" s="8">
        <v>0.44019999999999998</v>
      </c>
      <c r="I107" s="8">
        <f t="shared" si="101"/>
        <v>0.35021699276660095</v>
      </c>
      <c r="J107" s="9">
        <f t="shared" si="102"/>
        <v>0.55021699276660097</v>
      </c>
      <c r="K107" s="8">
        <v>-1.99</v>
      </c>
      <c r="L107" s="8">
        <f t="shared" si="103"/>
        <v>-0.68067095191409244</v>
      </c>
      <c r="M107" s="9">
        <f t="shared" si="97"/>
        <v>-0.34033547595704622</v>
      </c>
      <c r="O107" s="11">
        <f t="shared" si="104"/>
        <v>0.19736051090138387</v>
      </c>
      <c r="P107" s="15" t="str">
        <f t="shared" si="113"/>
        <v>SD</v>
      </c>
      <c r="Q107" t="str">
        <f t="shared" si="122"/>
        <v>SD</v>
      </c>
      <c r="R107" s="18">
        <f t="shared" si="114"/>
        <v>0.64851907696616773</v>
      </c>
      <c r="S107" t="str">
        <f t="shared" si="138"/>
        <v>SD</v>
      </c>
      <c r="T107">
        <v>0</v>
      </c>
      <c r="V107" s="17">
        <f t="shared" si="105"/>
        <v>36068</v>
      </c>
      <c r="W107" s="1" t="e">
        <f t="shared" si="106"/>
        <v>#N/A</v>
      </c>
      <c r="X107" s="1">
        <f t="shared" si="107"/>
        <v>0.19736051090138387</v>
      </c>
      <c r="Y107" s="1" t="e">
        <f t="shared" si="108"/>
        <v>#N/A</v>
      </c>
      <c r="Z107" s="1" t="e">
        <f t="shared" si="109"/>
        <v>#N/A</v>
      </c>
      <c r="AA107">
        <v>0</v>
      </c>
      <c r="AB107" s="1" t="s">
        <v>19</v>
      </c>
      <c r="AD107" s="17">
        <f t="shared" si="115"/>
        <v>36068</v>
      </c>
      <c r="AE107" s="1" t="e">
        <f t="shared" si="116"/>
        <v>#N/A</v>
      </c>
      <c r="AF107" s="1">
        <f t="shared" si="117"/>
        <v>0.19736051090138387</v>
      </c>
      <c r="AG107" s="1" t="e">
        <f t="shared" si="118"/>
        <v>#N/A</v>
      </c>
      <c r="AH107" s="1" t="e">
        <f t="shared" si="119"/>
        <v>#N/A</v>
      </c>
      <c r="AK107" s="1"/>
      <c r="AL107" s="1"/>
      <c r="AM107" s="1"/>
      <c r="AN107" s="1"/>
      <c r="AO107" s="17">
        <f t="shared" si="123"/>
        <v>36068</v>
      </c>
      <c r="AP107">
        <f t="shared" si="124"/>
        <v>3</v>
      </c>
      <c r="AQ107">
        <f t="shared" si="125"/>
        <v>3</v>
      </c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7" t="e">
        <f t="shared" ref="BL107" si="162">#REF!</f>
        <v>#REF!</v>
      </c>
      <c r="BM107">
        <f t="shared" si="111"/>
        <v>3</v>
      </c>
      <c r="BN107">
        <f t="shared" si="112"/>
        <v>1</v>
      </c>
    </row>
    <row r="108" spans="1:66">
      <c r="A108" s="7">
        <v>36099</v>
      </c>
      <c r="B108" s="8">
        <v>-7.9605999999999996E-2</v>
      </c>
      <c r="C108" s="8">
        <f t="shared" si="99"/>
        <v>-6.3042230407151893E-3</v>
      </c>
      <c r="D108" s="9">
        <f t="shared" si="95"/>
        <v>-3.1521115203575943E-2</v>
      </c>
      <c r="E108" s="8">
        <v>0.8</v>
      </c>
      <c r="F108" s="8">
        <f t="shared" si="100"/>
        <v>2.8585226591719635</v>
      </c>
      <c r="G108" s="9">
        <f t="shared" si="96"/>
        <v>0.25986569628836031</v>
      </c>
      <c r="H108" s="8">
        <v>0.48249999999999998</v>
      </c>
      <c r="I108" s="8">
        <f t="shared" si="101"/>
        <v>0.38791764982811971</v>
      </c>
      <c r="J108" s="9">
        <f t="shared" si="102"/>
        <v>0.58791764982811978</v>
      </c>
      <c r="K108" s="8">
        <v>-1.2729999999999999</v>
      </c>
      <c r="L108" s="8">
        <f t="shared" si="103"/>
        <v>-0.84948473061857599</v>
      </c>
      <c r="M108" s="9">
        <f t="shared" si="97"/>
        <v>-0.42474236530928799</v>
      </c>
      <c r="O108" s="11">
        <f t="shared" si="104"/>
        <v>0.14613827393085316</v>
      </c>
      <c r="P108" s="15" t="str">
        <f t="shared" si="113"/>
        <v>SD</v>
      </c>
      <c r="Q108" t="str">
        <f t="shared" si="122"/>
        <v>SD</v>
      </c>
      <c r="R108" s="18">
        <f t="shared" si="114"/>
        <v>0.64851907696616773</v>
      </c>
      <c r="S108" t="str">
        <f t="shared" si="138"/>
        <v>SD</v>
      </c>
      <c r="T108">
        <v>0</v>
      </c>
      <c r="V108" s="17">
        <f t="shared" si="105"/>
        <v>36099</v>
      </c>
      <c r="W108" s="1" t="e">
        <f t="shared" si="106"/>
        <v>#N/A</v>
      </c>
      <c r="X108" s="1">
        <f t="shared" si="107"/>
        <v>0.14613827393085316</v>
      </c>
      <c r="Y108" s="1" t="e">
        <f t="shared" si="108"/>
        <v>#N/A</v>
      </c>
      <c r="Z108" s="1" t="e">
        <f t="shared" si="109"/>
        <v>#N/A</v>
      </c>
      <c r="AA108">
        <v>0</v>
      </c>
      <c r="AB108" s="1" t="s">
        <v>19</v>
      </c>
      <c r="AD108" s="17">
        <f t="shared" si="115"/>
        <v>36099</v>
      </c>
      <c r="AE108" s="1" t="e">
        <f t="shared" si="116"/>
        <v>#N/A</v>
      </c>
      <c r="AF108" s="1">
        <f t="shared" si="117"/>
        <v>0.14613827393085316</v>
      </c>
      <c r="AG108" s="1" t="e">
        <f t="shared" si="118"/>
        <v>#N/A</v>
      </c>
      <c r="AH108" s="1" t="e">
        <f t="shared" si="119"/>
        <v>#N/A</v>
      </c>
      <c r="AK108" s="1"/>
      <c r="AL108" s="1"/>
      <c r="AM108" s="1"/>
      <c r="AN108" s="1"/>
      <c r="AO108" s="17">
        <f t="shared" si="123"/>
        <v>36099</v>
      </c>
      <c r="AP108">
        <f t="shared" si="124"/>
        <v>3</v>
      </c>
      <c r="AQ108">
        <f t="shared" si="125"/>
        <v>3</v>
      </c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7" t="e">
        <f t="shared" ref="BL108" si="163">#REF!</f>
        <v>#REF!</v>
      </c>
      <c r="BM108">
        <f t="shared" si="111"/>
        <v>3</v>
      </c>
      <c r="BN108">
        <f t="shared" si="112"/>
        <v>1</v>
      </c>
    </row>
    <row r="109" spans="1:66">
      <c r="A109" s="7">
        <v>36129</v>
      </c>
      <c r="B109" s="8">
        <v>-2.5522E-2</v>
      </c>
      <c r="C109" s="8">
        <f t="shared" si="99"/>
        <v>-1.1781289474111362E-2</v>
      </c>
      <c r="D109" s="9">
        <f t="shared" si="95"/>
        <v>-5.8906447370556808E-2</v>
      </c>
      <c r="E109" s="8">
        <v>0.9</v>
      </c>
      <c r="F109" s="8">
        <f t="shared" si="100"/>
        <v>2.3003437013079537</v>
      </c>
      <c r="G109" s="9">
        <f t="shared" si="96"/>
        <v>0.20912215466435943</v>
      </c>
      <c r="H109" s="8">
        <v>0.31530000000000002</v>
      </c>
      <c r="I109" s="8">
        <f t="shared" si="101"/>
        <v>0.36722161962710559</v>
      </c>
      <c r="J109" s="9">
        <f t="shared" si="102"/>
        <v>0.5672216196271056</v>
      </c>
      <c r="K109" s="8">
        <v>-0.78</v>
      </c>
      <c r="L109" s="8">
        <f t="shared" si="103"/>
        <v>-0.82968158239228185</v>
      </c>
      <c r="M109" s="9">
        <f t="shared" si="97"/>
        <v>-0.41484079119614092</v>
      </c>
      <c r="O109" s="11">
        <f t="shared" si="104"/>
        <v>0.11778331267874183</v>
      </c>
      <c r="P109" s="15" t="str">
        <f t="shared" si="113"/>
        <v>SD</v>
      </c>
      <c r="Q109" t="str">
        <f t="shared" si="122"/>
        <v>SD</v>
      </c>
      <c r="R109" s="18">
        <f t="shared" si="114"/>
        <v>0.64851907696616773</v>
      </c>
      <c r="S109" t="str">
        <f t="shared" si="138"/>
        <v>SD</v>
      </c>
      <c r="T109">
        <v>0</v>
      </c>
      <c r="V109" s="17">
        <f t="shared" si="105"/>
        <v>36129</v>
      </c>
      <c r="W109" s="1">
        <f t="shared" si="106"/>
        <v>0.11778331267874183</v>
      </c>
      <c r="X109" s="1">
        <f t="shared" si="107"/>
        <v>0.11778331267874183</v>
      </c>
      <c r="Y109" s="1" t="e">
        <f t="shared" si="108"/>
        <v>#N/A</v>
      </c>
      <c r="Z109" s="1" t="e">
        <f t="shared" si="109"/>
        <v>#N/A</v>
      </c>
      <c r="AA109">
        <v>0</v>
      </c>
      <c r="AB109" s="1" t="s">
        <v>19</v>
      </c>
      <c r="AD109" s="17">
        <f t="shared" si="115"/>
        <v>36129</v>
      </c>
      <c r="AE109" s="1">
        <f t="shared" si="116"/>
        <v>0.11778331267874183</v>
      </c>
      <c r="AF109" s="1">
        <f t="shared" si="117"/>
        <v>0.11778331267874183</v>
      </c>
      <c r="AG109" s="1" t="e">
        <f t="shared" si="118"/>
        <v>#N/A</v>
      </c>
      <c r="AH109" s="1" t="e">
        <f t="shared" si="119"/>
        <v>#N/A</v>
      </c>
      <c r="AK109" s="1"/>
      <c r="AL109" s="1"/>
      <c r="AM109" s="1"/>
      <c r="AN109" s="1"/>
      <c r="AO109" s="17">
        <f t="shared" si="123"/>
        <v>36129</v>
      </c>
      <c r="AP109">
        <f t="shared" si="124"/>
        <v>3</v>
      </c>
      <c r="AQ109">
        <f t="shared" si="125"/>
        <v>3</v>
      </c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7" t="e">
        <f t="shared" ref="BL109" si="164">#REF!</f>
        <v>#REF!</v>
      </c>
      <c r="BM109">
        <f t="shared" si="111"/>
        <v>3</v>
      </c>
      <c r="BN109">
        <f t="shared" si="112"/>
        <v>1</v>
      </c>
    </row>
    <row r="110" spans="1:66">
      <c r="A110" s="7">
        <v>36160</v>
      </c>
      <c r="B110" s="8">
        <v>1.3362000000000001E-2</v>
      </c>
      <c r="C110" s="8">
        <f t="shared" si="99"/>
        <v>-4.615451973989622E-3</v>
      </c>
      <c r="D110" s="9">
        <f t="shared" si="95"/>
        <v>-2.3077259869948109E-2</v>
      </c>
      <c r="E110" s="8">
        <v>0.9</v>
      </c>
      <c r="F110" s="8">
        <f t="shared" si="100"/>
        <v>1.9012457464351868</v>
      </c>
      <c r="G110" s="9">
        <f t="shared" si="96"/>
        <v>0.1728405224031988</v>
      </c>
      <c r="H110" s="8">
        <v>0.29799999999999999</v>
      </c>
      <c r="I110" s="8">
        <f t="shared" si="101"/>
        <v>0.3474934580333805</v>
      </c>
      <c r="J110" s="9">
        <f t="shared" si="102"/>
        <v>0.54749345803338056</v>
      </c>
      <c r="K110" s="8">
        <v>-0.38300000000000001</v>
      </c>
      <c r="L110" s="8">
        <f t="shared" si="103"/>
        <v>-0.70237733141048153</v>
      </c>
      <c r="M110" s="9">
        <f t="shared" si="97"/>
        <v>-0.35118866570524077</v>
      </c>
      <c r="O110" s="11">
        <f t="shared" si="104"/>
        <v>0.11932035811075496</v>
      </c>
      <c r="P110" s="15" t="str">
        <f t="shared" si="113"/>
        <v>E</v>
      </c>
      <c r="Q110" t="str">
        <f t="shared" si="122"/>
        <v>SD</v>
      </c>
      <c r="R110" s="18">
        <f t="shared" si="114"/>
        <v>0.64851907696616773</v>
      </c>
      <c r="S110" t="str">
        <f t="shared" si="138"/>
        <v>E</v>
      </c>
      <c r="T110">
        <v>0</v>
      </c>
      <c r="V110" s="17">
        <f t="shared" si="105"/>
        <v>36160</v>
      </c>
      <c r="W110" s="1">
        <f t="shared" si="106"/>
        <v>0.11932035811075496</v>
      </c>
      <c r="X110" s="1" t="e">
        <f t="shared" si="107"/>
        <v>#N/A</v>
      </c>
      <c r="Y110" s="1" t="e">
        <f t="shared" si="108"/>
        <v>#N/A</v>
      </c>
      <c r="Z110" s="1" t="e">
        <f t="shared" si="109"/>
        <v>#N/A</v>
      </c>
      <c r="AA110">
        <v>0</v>
      </c>
      <c r="AB110" s="1" t="s">
        <v>19</v>
      </c>
      <c r="AD110" s="17">
        <f t="shared" si="115"/>
        <v>36160</v>
      </c>
      <c r="AE110" s="1">
        <f t="shared" si="116"/>
        <v>0.11932035811075496</v>
      </c>
      <c r="AF110" s="1" t="e">
        <f t="shared" si="117"/>
        <v>#N/A</v>
      </c>
      <c r="AG110" s="1" t="e">
        <f t="shared" si="118"/>
        <v>#N/A</v>
      </c>
      <c r="AH110" s="1" t="e">
        <f t="shared" si="119"/>
        <v>#N/A</v>
      </c>
      <c r="AK110" s="1"/>
      <c r="AL110" s="1"/>
      <c r="AM110" s="1"/>
      <c r="AN110" s="1"/>
      <c r="AO110" s="17">
        <f t="shared" si="123"/>
        <v>36160</v>
      </c>
      <c r="AP110">
        <f t="shared" si="124"/>
        <v>4</v>
      </c>
      <c r="AQ110">
        <f t="shared" si="125"/>
        <v>3</v>
      </c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7" t="e">
        <f t="shared" ref="BL110" si="165">#REF!</f>
        <v>#REF!</v>
      </c>
      <c r="BM110">
        <f t="shared" si="111"/>
        <v>3</v>
      </c>
      <c r="BN110">
        <f t="shared" si="112"/>
        <v>1</v>
      </c>
    </row>
    <row r="111" spans="1:66">
      <c r="A111" s="7">
        <v>36191</v>
      </c>
      <c r="B111" s="8">
        <v>0.23099500000000001</v>
      </c>
      <c r="C111" s="8">
        <f t="shared" si="99"/>
        <v>6.253352683859742E-2</v>
      </c>
      <c r="D111" s="9">
        <f t="shared" si="95"/>
        <v>0.3126676341929871</v>
      </c>
      <c r="E111" s="8">
        <v>0.7</v>
      </c>
      <c r="F111" s="8">
        <f t="shared" si="100"/>
        <v>1.5588907087011585</v>
      </c>
      <c r="G111" s="9">
        <f t="shared" si="96"/>
        <v>0.14171733715465076</v>
      </c>
      <c r="H111" s="8">
        <v>0.29680000000000001</v>
      </c>
      <c r="I111" s="8">
        <f t="shared" si="101"/>
        <v>0.33304582249386705</v>
      </c>
      <c r="J111" s="9">
        <f t="shared" si="102"/>
        <v>0.53304582249386701</v>
      </c>
      <c r="K111" s="8">
        <v>-0.19600000000000001</v>
      </c>
      <c r="L111" s="8">
        <f t="shared" si="103"/>
        <v>-0.55805979195849431</v>
      </c>
      <c r="M111" s="9">
        <f t="shared" si="97"/>
        <v>-0.27902989597924716</v>
      </c>
      <c r="O111" s="11">
        <f t="shared" si="104"/>
        <v>0.15932369809464431</v>
      </c>
      <c r="P111" s="15" t="str">
        <f t="shared" si="113"/>
        <v>E</v>
      </c>
      <c r="Q111" t="str">
        <f t="shared" si="122"/>
        <v>SD</v>
      </c>
      <c r="R111" s="18">
        <f t="shared" si="114"/>
        <v>0.15932369809464431</v>
      </c>
      <c r="S111" t="str">
        <f t="shared" si="138"/>
        <v>E</v>
      </c>
      <c r="T111">
        <v>0</v>
      </c>
      <c r="V111" s="17">
        <f t="shared" si="105"/>
        <v>36191</v>
      </c>
      <c r="W111" s="1">
        <f t="shared" si="106"/>
        <v>0.15932369809464431</v>
      </c>
      <c r="X111" s="1" t="e">
        <f t="shared" si="107"/>
        <v>#N/A</v>
      </c>
      <c r="Y111" s="1" t="e">
        <f t="shared" si="108"/>
        <v>#N/A</v>
      </c>
      <c r="Z111" s="1" t="e">
        <f t="shared" si="109"/>
        <v>#N/A</v>
      </c>
      <c r="AA111">
        <v>0</v>
      </c>
      <c r="AB111" s="1" t="s">
        <v>19</v>
      </c>
      <c r="AD111" s="17">
        <f t="shared" si="115"/>
        <v>36191</v>
      </c>
      <c r="AE111" s="1">
        <f t="shared" si="116"/>
        <v>0.15932369809464431</v>
      </c>
      <c r="AF111" s="1" t="e">
        <f t="shared" si="117"/>
        <v>#N/A</v>
      </c>
      <c r="AG111" s="1" t="e">
        <f t="shared" si="118"/>
        <v>#N/A</v>
      </c>
      <c r="AH111" s="1" t="e">
        <f t="shared" si="119"/>
        <v>#N/A</v>
      </c>
      <c r="AK111" s="1"/>
      <c r="AL111" s="1"/>
      <c r="AM111" s="1"/>
      <c r="AN111" s="1"/>
      <c r="AO111" s="17">
        <f t="shared" si="123"/>
        <v>36191</v>
      </c>
      <c r="AP111">
        <f t="shared" si="124"/>
        <v>4</v>
      </c>
      <c r="AQ111">
        <f t="shared" si="125"/>
        <v>3</v>
      </c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7" t="e">
        <f t="shared" ref="BL111" si="166">#REF!</f>
        <v>#REF!</v>
      </c>
      <c r="BM111">
        <f t="shared" si="111"/>
        <v>3</v>
      </c>
      <c r="BN111">
        <f t="shared" si="112"/>
        <v>1</v>
      </c>
    </row>
    <row r="112" spans="1:66">
      <c r="A112" s="7">
        <v>36219</v>
      </c>
      <c r="B112" s="8">
        <v>0.25339200000000001</v>
      </c>
      <c r="C112" s="8">
        <f t="shared" si="99"/>
        <v>0.11692819168959717</v>
      </c>
      <c r="D112" s="9">
        <f t="shared" si="95"/>
        <v>0.5846409584479858</v>
      </c>
      <c r="E112" s="8">
        <v>0.1</v>
      </c>
      <c r="F112" s="8">
        <f t="shared" si="100"/>
        <v>1.1431068567213283</v>
      </c>
      <c r="G112" s="9">
        <f t="shared" si="96"/>
        <v>0.10391880515648438</v>
      </c>
      <c r="H112" s="8">
        <v>0.60260000000000002</v>
      </c>
      <c r="I112" s="8">
        <f t="shared" si="101"/>
        <v>0.40986876308311493</v>
      </c>
      <c r="J112" s="9">
        <f t="shared" si="102"/>
        <v>0.609868763083115</v>
      </c>
      <c r="K112" s="8">
        <v>0.25600000000000001</v>
      </c>
      <c r="L112" s="8">
        <f t="shared" si="103"/>
        <v>-0.3260527512503234</v>
      </c>
      <c r="M112" s="9">
        <f t="shared" si="97"/>
        <v>-0.1630263756251617</v>
      </c>
      <c r="O112" s="11">
        <f t="shared" si="104"/>
        <v>0.23503201322857981</v>
      </c>
      <c r="P112" s="15" t="str">
        <f t="shared" si="113"/>
        <v>E</v>
      </c>
      <c r="Q112" t="str">
        <f t="shared" si="122"/>
        <v>E</v>
      </c>
      <c r="R112" s="18">
        <f t="shared" si="114"/>
        <v>0.15932369809464431</v>
      </c>
      <c r="S112" t="str">
        <f t="shared" si="138"/>
        <v>E</v>
      </c>
      <c r="T112">
        <v>0</v>
      </c>
      <c r="V112" s="17">
        <f t="shared" si="105"/>
        <v>36219</v>
      </c>
      <c r="W112" s="1">
        <f t="shared" si="106"/>
        <v>0.23503201322857981</v>
      </c>
      <c r="X112" s="1">
        <f t="shared" si="107"/>
        <v>0.23503201322857981</v>
      </c>
      <c r="Y112" s="1" t="e">
        <f t="shared" si="108"/>
        <v>#N/A</v>
      </c>
      <c r="Z112" s="1" t="e">
        <f t="shared" si="109"/>
        <v>#N/A</v>
      </c>
      <c r="AA112">
        <v>0</v>
      </c>
      <c r="AB112" s="1" t="s">
        <v>19</v>
      </c>
      <c r="AD112" s="17">
        <f t="shared" si="115"/>
        <v>36219</v>
      </c>
      <c r="AE112" s="1">
        <f t="shared" si="116"/>
        <v>0.23503201322857981</v>
      </c>
      <c r="AF112" s="1">
        <f t="shared" si="117"/>
        <v>0.23503201322857981</v>
      </c>
      <c r="AG112" s="1" t="e">
        <f t="shared" si="118"/>
        <v>#N/A</v>
      </c>
      <c r="AH112" s="1" t="e">
        <f t="shared" si="119"/>
        <v>#N/A</v>
      </c>
      <c r="AK112" s="1"/>
      <c r="AL112" s="1"/>
      <c r="AM112" s="1"/>
      <c r="AN112" s="1"/>
      <c r="AO112" s="17">
        <f t="shared" si="123"/>
        <v>36219</v>
      </c>
      <c r="AP112">
        <f t="shared" si="124"/>
        <v>4</v>
      </c>
      <c r="AQ112">
        <f t="shared" si="125"/>
        <v>4</v>
      </c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7" t="e">
        <f t="shared" ref="BL112" si="167">#REF!</f>
        <v>#REF!</v>
      </c>
      <c r="BM112">
        <f t="shared" si="111"/>
        <v>4</v>
      </c>
      <c r="BN112">
        <f t="shared" si="112"/>
        <v>1</v>
      </c>
    </row>
    <row r="113" spans="1:66">
      <c r="A113" s="7">
        <v>36250</v>
      </c>
      <c r="B113" s="8">
        <v>0.179087</v>
      </c>
      <c r="C113" s="8">
        <f t="shared" si="99"/>
        <v>0.13464345205806197</v>
      </c>
      <c r="D113" s="9">
        <f t="shared" si="95"/>
        <v>0.67321726029030982</v>
      </c>
      <c r="E113" s="8">
        <v>-0.1</v>
      </c>
      <c r="F113" s="8">
        <f t="shared" si="100"/>
        <v>0.78882140255574973</v>
      </c>
      <c r="G113" s="9">
        <f t="shared" si="96"/>
        <v>7.1711036595977246E-2</v>
      </c>
      <c r="H113" s="8">
        <v>-6.0600000000000001E-2</v>
      </c>
      <c r="I113" s="8">
        <f t="shared" si="101"/>
        <v>0.27578516560442717</v>
      </c>
      <c r="J113" s="9">
        <f t="shared" si="102"/>
        <v>0.47578516560442718</v>
      </c>
      <c r="K113" s="8">
        <v>7.8E-2</v>
      </c>
      <c r="L113" s="8">
        <f t="shared" si="103"/>
        <v>-0.21089771714398123</v>
      </c>
      <c r="M113" s="9">
        <f t="shared" si="97"/>
        <v>-0.10544885857199061</v>
      </c>
      <c r="O113" s="11">
        <f t="shared" si="104"/>
        <v>0.20959825968570728</v>
      </c>
      <c r="P113" s="15" t="str">
        <f t="shared" si="113"/>
        <v>SD</v>
      </c>
      <c r="Q113" t="str">
        <f t="shared" si="122"/>
        <v>E</v>
      </c>
      <c r="R113" s="18">
        <f t="shared" si="114"/>
        <v>0.15932369809464431</v>
      </c>
      <c r="S113" t="str">
        <f t="shared" si="138"/>
        <v>SD</v>
      </c>
      <c r="T113">
        <v>0</v>
      </c>
      <c r="V113" s="17">
        <f t="shared" si="105"/>
        <v>36250</v>
      </c>
      <c r="W113" s="1" t="e">
        <f t="shared" si="106"/>
        <v>#N/A</v>
      </c>
      <c r="X113" s="1">
        <f t="shared" si="107"/>
        <v>0.20959825968570728</v>
      </c>
      <c r="Y113" s="1" t="e">
        <f t="shared" si="108"/>
        <v>#N/A</v>
      </c>
      <c r="Z113" s="1" t="e">
        <f t="shared" si="109"/>
        <v>#N/A</v>
      </c>
      <c r="AA113">
        <v>0</v>
      </c>
      <c r="AB113" s="1" t="s">
        <v>19</v>
      </c>
      <c r="AD113" s="17">
        <f t="shared" si="115"/>
        <v>36250</v>
      </c>
      <c r="AE113" s="1" t="e">
        <f t="shared" si="116"/>
        <v>#N/A</v>
      </c>
      <c r="AF113" s="1">
        <f t="shared" si="117"/>
        <v>0.20959825968570728</v>
      </c>
      <c r="AG113" s="1" t="e">
        <f t="shared" si="118"/>
        <v>#N/A</v>
      </c>
      <c r="AH113" s="1" t="e">
        <f t="shared" si="119"/>
        <v>#N/A</v>
      </c>
      <c r="AK113" s="1"/>
      <c r="AL113" s="1"/>
      <c r="AM113" s="1"/>
      <c r="AN113" s="1"/>
      <c r="AO113" s="17">
        <f t="shared" si="123"/>
        <v>36250</v>
      </c>
      <c r="AP113">
        <f t="shared" si="124"/>
        <v>3</v>
      </c>
      <c r="AQ113">
        <f t="shared" si="125"/>
        <v>4</v>
      </c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7" t="e">
        <f t="shared" ref="BL113" si="168">#REF!</f>
        <v>#REF!</v>
      </c>
      <c r="BM113">
        <f t="shared" si="111"/>
        <v>4</v>
      </c>
      <c r="BN113">
        <f t="shared" si="112"/>
        <v>1</v>
      </c>
    </row>
    <row r="114" spans="1:66">
      <c r="A114" s="7">
        <v>36280</v>
      </c>
      <c r="B114" s="8">
        <v>0.125748</v>
      </c>
      <c r="C114" s="8">
        <f t="shared" si="99"/>
        <v>0.13210824822151432</v>
      </c>
      <c r="D114" s="9">
        <f t="shared" si="95"/>
        <v>0.66054124110757151</v>
      </c>
      <c r="E114" s="8">
        <v>0.2</v>
      </c>
      <c r="F114" s="8">
        <f t="shared" si="100"/>
        <v>0.62100730282736105</v>
      </c>
      <c r="G114" s="9">
        <f t="shared" si="96"/>
        <v>5.6455209347941911E-2</v>
      </c>
      <c r="H114" s="8">
        <v>0.129</v>
      </c>
      <c r="I114" s="8">
        <f t="shared" si="101"/>
        <v>0.23395139340716542</v>
      </c>
      <c r="J114" s="9">
        <f t="shared" si="102"/>
        <v>0.43395139340716543</v>
      </c>
      <c r="K114" s="8">
        <v>0.26200000000000001</v>
      </c>
      <c r="L114" s="8">
        <f t="shared" si="103"/>
        <v>-7.6121867757946549E-2</v>
      </c>
      <c r="M114" s="9">
        <f t="shared" si="97"/>
        <v>-3.8060933878973274E-2</v>
      </c>
      <c r="O114" s="11">
        <f t="shared" si="104"/>
        <v>0.20633457294800794</v>
      </c>
      <c r="P114" s="15" t="str">
        <f t="shared" si="113"/>
        <v>SD</v>
      </c>
      <c r="Q114" t="str">
        <f t="shared" si="122"/>
        <v>E</v>
      </c>
      <c r="R114" s="18">
        <f t="shared" si="114"/>
        <v>0.20633457294800794</v>
      </c>
      <c r="S114" t="str">
        <f t="shared" si="138"/>
        <v>SD</v>
      </c>
      <c r="T114">
        <v>0</v>
      </c>
      <c r="V114" s="17">
        <f t="shared" si="105"/>
        <v>36280</v>
      </c>
      <c r="W114" s="1">
        <f t="shared" si="106"/>
        <v>0.20633457294800794</v>
      </c>
      <c r="X114" s="1">
        <f t="shared" si="107"/>
        <v>0.20633457294800794</v>
      </c>
      <c r="Y114" s="1" t="e">
        <f t="shared" si="108"/>
        <v>#N/A</v>
      </c>
      <c r="Z114" s="1" t="e">
        <f t="shared" si="109"/>
        <v>#N/A</v>
      </c>
      <c r="AA114">
        <v>0</v>
      </c>
      <c r="AB114" s="1" t="s">
        <v>19</v>
      </c>
      <c r="AD114" s="17">
        <f t="shared" si="115"/>
        <v>36280</v>
      </c>
      <c r="AE114" s="1">
        <f t="shared" si="116"/>
        <v>0.20633457294800794</v>
      </c>
      <c r="AF114" s="1">
        <f t="shared" si="117"/>
        <v>0.20633457294800794</v>
      </c>
      <c r="AG114" s="1" t="e">
        <f t="shared" si="118"/>
        <v>#N/A</v>
      </c>
      <c r="AH114" s="1" t="e">
        <f t="shared" si="119"/>
        <v>#N/A</v>
      </c>
      <c r="AK114" s="1"/>
      <c r="AL114" s="1"/>
      <c r="AM114" s="1"/>
      <c r="AN114" s="1"/>
      <c r="AO114" s="17">
        <f t="shared" si="123"/>
        <v>36280</v>
      </c>
      <c r="AP114">
        <f t="shared" si="124"/>
        <v>3</v>
      </c>
      <c r="AQ114">
        <f t="shared" si="125"/>
        <v>4</v>
      </c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7" t="e">
        <f t="shared" ref="BL114" si="169">#REF!</f>
        <v>#REF!</v>
      </c>
      <c r="BM114">
        <f t="shared" si="111"/>
        <v>4</v>
      </c>
      <c r="BN114">
        <f t="shared" si="112"/>
        <v>1</v>
      </c>
    </row>
    <row r="115" spans="1:66">
      <c r="A115" s="7">
        <v>36311</v>
      </c>
      <c r="B115" s="8">
        <v>0.17333799999999999</v>
      </c>
      <c r="C115" s="8">
        <f t="shared" si="99"/>
        <v>0.14385872747838274</v>
      </c>
      <c r="D115" s="9">
        <f t="shared" si="95"/>
        <v>0.71929363739191365</v>
      </c>
      <c r="E115" s="8">
        <v>0.2</v>
      </c>
      <c r="F115" s="8">
        <f t="shared" si="100"/>
        <v>0.50102022152156311</v>
      </c>
      <c r="G115" s="9">
        <f t="shared" si="96"/>
        <v>4.5547292865596646E-2</v>
      </c>
      <c r="H115" s="8">
        <v>0.3775</v>
      </c>
      <c r="I115" s="8">
        <f t="shared" si="101"/>
        <v>0.27486274628612328</v>
      </c>
      <c r="J115" s="9">
        <f t="shared" si="102"/>
        <v>0.47486274628612329</v>
      </c>
      <c r="K115" s="8">
        <v>0.20499999999999999</v>
      </c>
      <c r="L115" s="8">
        <f t="shared" si="103"/>
        <v>3.9978645530682269E-3</v>
      </c>
      <c r="M115" s="9">
        <f t="shared" si="97"/>
        <v>3.9978645530682269E-3</v>
      </c>
      <c r="O115" s="11">
        <f t="shared" si="104"/>
        <v>0.23252410979533139</v>
      </c>
      <c r="P115" s="15" t="str">
        <f t="shared" si="113"/>
        <v>E</v>
      </c>
      <c r="Q115" t="str">
        <f t="shared" si="122"/>
        <v>E</v>
      </c>
      <c r="R115" s="18">
        <f t="shared" si="114"/>
        <v>0.23252410979533139</v>
      </c>
      <c r="S115" t="str">
        <f t="shared" si="138"/>
        <v>E</v>
      </c>
      <c r="T115">
        <v>0</v>
      </c>
      <c r="V115" s="17">
        <f t="shared" si="105"/>
        <v>36311</v>
      </c>
      <c r="W115" s="1">
        <f t="shared" si="106"/>
        <v>0.23252410979533139</v>
      </c>
      <c r="X115" s="1" t="e">
        <f t="shared" si="107"/>
        <v>#N/A</v>
      </c>
      <c r="Y115" s="1" t="e">
        <f t="shared" si="108"/>
        <v>#N/A</v>
      </c>
      <c r="Z115" s="1" t="e">
        <f t="shared" si="109"/>
        <v>#N/A</v>
      </c>
      <c r="AA115">
        <v>0</v>
      </c>
      <c r="AB115" s="1" t="s">
        <v>19</v>
      </c>
      <c r="AD115" s="17">
        <f t="shared" si="115"/>
        <v>36311</v>
      </c>
      <c r="AE115" s="1">
        <f t="shared" si="116"/>
        <v>0.23252410979533139</v>
      </c>
      <c r="AF115" s="1" t="e">
        <f t="shared" si="117"/>
        <v>#N/A</v>
      </c>
      <c r="AG115" s="1" t="e">
        <f t="shared" si="118"/>
        <v>#N/A</v>
      </c>
      <c r="AH115" s="1" t="e">
        <f t="shared" si="119"/>
        <v>#N/A</v>
      </c>
      <c r="AK115" s="1"/>
      <c r="AL115" s="1"/>
      <c r="AM115" s="1"/>
      <c r="AN115" s="1"/>
      <c r="AO115" s="17">
        <f t="shared" si="123"/>
        <v>36311</v>
      </c>
      <c r="AP115">
        <f t="shared" si="124"/>
        <v>4</v>
      </c>
      <c r="AQ115">
        <f t="shared" si="125"/>
        <v>4</v>
      </c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7" t="e">
        <f t="shared" ref="BL115" si="170">#REF!</f>
        <v>#REF!</v>
      </c>
      <c r="BM115">
        <f t="shared" si="111"/>
        <v>4</v>
      </c>
      <c r="BN115">
        <f t="shared" si="112"/>
        <v>1</v>
      </c>
    </row>
    <row r="116" spans="1:66">
      <c r="A116" s="7">
        <v>36341</v>
      </c>
      <c r="B116" s="8">
        <v>0.185671</v>
      </c>
      <c r="C116" s="8">
        <f t="shared" si="99"/>
        <v>0.15577522514704367</v>
      </c>
      <c r="D116" s="9">
        <f t="shared" si="95"/>
        <v>0.77887612573521836</v>
      </c>
      <c r="E116" s="8">
        <v>1</v>
      </c>
      <c r="F116" s="8">
        <f t="shared" si="100"/>
        <v>0.64322945838791767</v>
      </c>
      <c r="G116" s="9">
        <f t="shared" si="96"/>
        <v>5.8475405307992515E-2</v>
      </c>
      <c r="H116" s="8">
        <v>0.16639999999999999</v>
      </c>
      <c r="I116" s="8">
        <f t="shared" si="101"/>
        <v>0.24395086359457813</v>
      </c>
      <c r="J116" s="9">
        <f t="shared" si="102"/>
        <v>0.44395086359457814</v>
      </c>
      <c r="K116" s="8">
        <v>0.14000000000000001</v>
      </c>
      <c r="L116" s="8">
        <f t="shared" si="103"/>
        <v>4.2758473155443788E-2</v>
      </c>
      <c r="M116" s="9">
        <f t="shared" si="97"/>
        <v>4.2758473155443788E-2</v>
      </c>
      <c r="O116" s="11">
        <f t="shared" si="104"/>
        <v>0.2375646014582074</v>
      </c>
      <c r="P116" s="15" t="str">
        <f t="shared" si="113"/>
        <v>E</v>
      </c>
      <c r="Q116" t="str">
        <f t="shared" si="122"/>
        <v>E</v>
      </c>
      <c r="R116" s="18">
        <f t="shared" si="114"/>
        <v>0.23252410979533139</v>
      </c>
      <c r="S116" t="str">
        <f t="shared" si="138"/>
        <v>E</v>
      </c>
      <c r="T116">
        <v>0</v>
      </c>
      <c r="V116" s="17">
        <f t="shared" si="105"/>
        <v>36341</v>
      </c>
      <c r="W116" s="1">
        <f t="shared" si="106"/>
        <v>0.2375646014582074</v>
      </c>
      <c r="X116" s="1" t="e">
        <f t="shared" si="107"/>
        <v>#N/A</v>
      </c>
      <c r="Y116" s="1" t="e">
        <f t="shared" si="108"/>
        <v>#N/A</v>
      </c>
      <c r="Z116" s="1" t="e">
        <f t="shared" si="109"/>
        <v>#N/A</v>
      </c>
      <c r="AA116">
        <v>0</v>
      </c>
      <c r="AB116" s="1" t="s">
        <v>19</v>
      </c>
      <c r="AD116" s="17">
        <f t="shared" si="115"/>
        <v>36341</v>
      </c>
      <c r="AE116" s="1">
        <f t="shared" si="116"/>
        <v>0.2375646014582074</v>
      </c>
      <c r="AF116" s="1" t="e">
        <f t="shared" si="117"/>
        <v>#N/A</v>
      </c>
      <c r="AG116" s="1" t="e">
        <f t="shared" si="118"/>
        <v>#N/A</v>
      </c>
      <c r="AH116" s="1" t="e">
        <f t="shared" si="119"/>
        <v>#N/A</v>
      </c>
      <c r="AK116" s="1"/>
      <c r="AL116" s="1"/>
      <c r="AM116" s="1"/>
      <c r="AN116" s="1"/>
      <c r="AO116" s="17">
        <f t="shared" si="123"/>
        <v>36341</v>
      </c>
      <c r="AP116">
        <f t="shared" si="124"/>
        <v>4</v>
      </c>
      <c r="AQ116">
        <f t="shared" si="125"/>
        <v>4</v>
      </c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7" t="e">
        <f t="shared" ref="BL116" si="171">#REF!</f>
        <v>#REF!</v>
      </c>
      <c r="BM116">
        <f t="shared" si="111"/>
        <v>4</v>
      </c>
      <c r="BN116">
        <f t="shared" si="112"/>
        <v>1</v>
      </c>
    </row>
    <row r="117" spans="1:66">
      <c r="A117" s="7">
        <v>36372</v>
      </c>
      <c r="B117" s="8">
        <v>0.17806900000000001</v>
      </c>
      <c r="C117" s="8">
        <f t="shared" si="99"/>
        <v>0.16212895098013622</v>
      </c>
      <c r="D117" s="9">
        <f t="shared" si="95"/>
        <v>0.810644754900681</v>
      </c>
      <c r="E117" s="8">
        <v>1.4</v>
      </c>
      <c r="F117" s="8">
        <f t="shared" si="100"/>
        <v>0.85890906274736112</v>
      </c>
      <c r="G117" s="9">
        <f t="shared" si="96"/>
        <v>7.8082642067941924E-2</v>
      </c>
      <c r="H117" s="8">
        <v>0.36359999999999998</v>
      </c>
      <c r="I117" s="8">
        <f t="shared" si="101"/>
        <v>0.27805086747012336</v>
      </c>
      <c r="J117" s="9">
        <f t="shared" si="102"/>
        <v>0.47805086747012338</v>
      </c>
      <c r="K117" s="8">
        <v>-5.0999999999999997E-2</v>
      </c>
      <c r="L117" s="8">
        <f t="shared" si="103"/>
        <v>1.6037308306142306E-2</v>
      </c>
      <c r="M117" s="9">
        <f t="shared" si="97"/>
        <v>1.6037308306142306E-2</v>
      </c>
      <c r="O117" s="11">
        <f t="shared" si="104"/>
        <v>0.24683354981534555</v>
      </c>
      <c r="P117" s="15" t="str">
        <f t="shared" si="113"/>
        <v>E</v>
      </c>
      <c r="Q117" t="str">
        <f t="shared" si="122"/>
        <v>E</v>
      </c>
      <c r="R117" s="18">
        <f t="shared" si="114"/>
        <v>0.23252410979533139</v>
      </c>
      <c r="S117" t="str">
        <f t="shared" si="138"/>
        <v>E</v>
      </c>
      <c r="T117">
        <v>0</v>
      </c>
      <c r="V117" s="17">
        <f t="shared" si="105"/>
        <v>36372</v>
      </c>
      <c r="W117" s="1">
        <f t="shared" si="106"/>
        <v>0.24683354981534555</v>
      </c>
      <c r="X117" s="1">
        <f t="shared" si="107"/>
        <v>0.24683354981534555</v>
      </c>
      <c r="Y117" s="1" t="e">
        <f t="shared" si="108"/>
        <v>#N/A</v>
      </c>
      <c r="Z117" s="1" t="e">
        <f t="shared" si="109"/>
        <v>#N/A</v>
      </c>
      <c r="AA117">
        <v>0</v>
      </c>
      <c r="AB117" s="1" t="s">
        <v>19</v>
      </c>
      <c r="AD117" s="17">
        <f t="shared" si="115"/>
        <v>36372</v>
      </c>
      <c r="AE117" s="1">
        <f t="shared" si="116"/>
        <v>0.24683354981534555</v>
      </c>
      <c r="AF117" s="1" t="e">
        <f t="shared" si="117"/>
        <v>#N/A</v>
      </c>
      <c r="AG117" s="1" t="e">
        <f t="shared" si="118"/>
        <v>#N/A</v>
      </c>
      <c r="AH117" s="1" t="e">
        <f t="shared" si="119"/>
        <v>#N/A</v>
      </c>
      <c r="AK117" s="1"/>
      <c r="AL117" s="1"/>
      <c r="AM117" s="1"/>
      <c r="AN117" s="1"/>
      <c r="AO117" s="17">
        <f t="shared" si="123"/>
        <v>36372</v>
      </c>
      <c r="AP117">
        <f t="shared" si="124"/>
        <v>4</v>
      </c>
      <c r="AQ117">
        <f t="shared" si="125"/>
        <v>4</v>
      </c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7" t="e">
        <f t="shared" ref="BL117" si="172">#REF!</f>
        <v>#REF!</v>
      </c>
      <c r="BM117">
        <f t="shared" si="111"/>
        <v>4</v>
      </c>
      <c r="BN117">
        <f t="shared" si="112"/>
        <v>1</v>
      </c>
    </row>
    <row r="118" spans="1:66">
      <c r="A118" s="7">
        <v>36403</v>
      </c>
      <c r="B118" s="8">
        <v>0.17759900000000001</v>
      </c>
      <c r="C118" s="8">
        <f t="shared" si="99"/>
        <v>0.16653791495079739</v>
      </c>
      <c r="D118" s="9">
        <f t="shared" si="95"/>
        <v>0.83268957475398697</v>
      </c>
      <c r="E118" s="8">
        <v>1.5</v>
      </c>
      <c r="F118" s="8">
        <f t="shared" si="100"/>
        <v>1.0416199798643633</v>
      </c>
      <c r="G118" s="9">
        <f t="shared" si="96"/>
        <v>9.469272544221484E-2</v>
      </c>
      <c r="H118" s="8">
        <v>0.1588</v>
      </c>
      <c r="I118" s="8">
        <f t="shared" si="101"/>
        <v>0.2440643702411382</v>
      </c>
      <c r="J118" s="9">
        <f t="shared" si="102"/>
        <v>0.44406437024113821</v>
      </c>
      <c r="K118" s="8">
        <v>-0.127</v>
      </c>
      <c r="L118" s="8">
        <f t="shared" si="103"/>
        <v>-2.4728324561108257E-2</v>
      </c>
      <c r="M118" s="9">
        <f t="shared" si="97"/>
        <v>-1.2364162280554128E-2</v>
      </c>
      <c r="O118" s="11">
        <f t="shared" si="104"/>
        <v>0.23620381248395647</v>
      </c>
      <c r="P118" s="15" t="str">
        <f t="shared" si="113"/>
        <v>SD</v>
      </c>
      <c r="Q118" t="str">
        <f t="shared" si="122"/>
        <v>E</v>
      </c>
      <c r="R118" s="18">
        <f t="shared" si="114"/>
        <v>0.23252410979533139</v>
      </c>
      <c r="S118" t="str">
        <f t="shared" si="138"/>
        <v>E</v>
      </c>
      <c r="T118">
        <v>0</v>
      </c>
      <c r="V118" s="17">
        <f t="shared" si="105"/>
        <v>36403</v>
      </c>
      <c r="W118" s="1" t="e">
        <f t="shared" si="106"/>
        <v>#N/A</v>
      </c>
      <c r="X118" s="1">
        <f t="shared" si="107"/>
        <v>0.23620381248395647</v>
      </c>
      <c r="Y118" s="1" t="e">
        <f t="shared" si="108"/>
        <v>#N/A</v>
      </c>
      <c r="Z118" s="1" t="e">
        <f t="shared" si="109"/>
        <v>#N/A</v>
      </c>
      <c r="AA118">
        <v>0</v>
      </c>
      <c r="AB118" s="1" t="s">
        <v>19</v>
      </c>
      <c r="AD118" s="17">
        <f t="shared" si="115"/>
        <v>36403</v>
      </c>
      <c r="AE118" s="1">
        <f t="shared" si="116"/>
        <v>0.23620381248395647</v>
      </c>
      <c r="AF118" s="1" t="e">
        <f t="shared" si="117"/>
        <v>#N/A</v>
      </c>
      <c r="AG118" s="1" t="e">
        <f t="shared" si="118"/>
        <v>#N/A</v>
      </c>
      <c r="AH118" s="1" t="e">
        <f t="shared" si="119"/>
        <v>#N/A</v>
      </c>
      <c r="AK118" s="1"/>
      <c r="AL118" s="1"/>
      <c r="AM118" s="1"/>
      <c r="AN118" s="1"/>
      <c r="AO118" s="17">
        <f t="shared" si="123"/>
        <v>36403</v>
      </c>
      <c r="AP118">
        <f t="shared" si="124"/>
        <v>3</v>
      </c>
      <c r="AQ118">
        <f t="shared" si="125"/>
        <v>4</v>
      </c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7" t="e">
        <f t="shared" ref="BL118" si="173">#REF!</f>
        <v>#REF!</v>
      </c>
      <c r="BM118">
        <f t="shared" si="111"/>
        <v>4</v>
      </c>
      <c r="BN118">
        <f t="shared" si="112"/>
        <v>1</v>
      </c>
    </row>
    <row r="119" spans="1:66">
      <c r="A119" s="7">
        <v>36433</v>
      </c>
      <c r="B119" s="8">
        <v>0.12237099999999999</v>
      </c>
      <c r="C119" s="8">
        <f t="shared" si="99"/>
        <v>0.15395034418982012</v>
      </c>
      <c r="D119" s="9">
        <f t="shared" si="95"/>
        <v>0.7697517209491006</v>
      </c>
      <c r="E119" s="8">
        <v>2.2999999999999998</v>
      </c>
      <c r="F119" s="8">
        <f t="shared" si="100"/>
        <v>1.4002582856030197</v>
      </c>
      <c r="G119" s="9">
        <f t="shared" si="96"/>
        <v>0.12729620778209269</v>
      </c>
      <c r="H119" s="8">
        <v>1.0500000000000001E-2</v>
      </c>
      <c r="I119" s="8">
        <f t="shared" si="101"/>
        <v>0.17749852472241381</v>
      </c>
      <c r="J119" s="9">
        <f t="shared" si="102"/>
        <v>0.37749852472241385</v>
      </c>
      <c r="K119" s="8">
        <v>-0.95</v>
      </c>
      <c r="L119" s="8">
        <f t="shared" si="103"/>
        <v>-0.2884307520611924</v>
      </c>
      <c r="M119" s="9">
        <f t="shared" si="97"/>
        <v>-0.1442153760305962</v>
      </c>
      <c r="O119" s="11">
        <f t="shared" si="104"/>
        <v>0.17536793433511982</v>
      </c>
      <c r="P119" s="15" t="str">
        <f t="shared" si="113"/>
        <v>SD</v>
      </c>
      <c r="Q119" t="str">
        <f t="shared" si="122"/>
        <v>SD</v>
      </c>
      <c r="R119" s="18">
        <f t="shared" si="114"/>
        <v>0.23252410979533139</v>
      </c>
      <c r="S119" t="str">
        <f t="shared" si="138"/>
        <v>E</v>
      </c>
      <c r="T119">
        <v>0</v>
      </c>
      <c r="V119" s="17">
        <f t="shared" si="105"/>
        <v>36433</v>
      </c>
      <c r="W119" s="1">
        <f t="shared" si="106"/>
        <v>0.17536793433511982</v>
      </c>
      <c r="X119" s="1">
        <f t="shared" si="107"/>
        <v>0.17536793433511982</v>
      </c>
      <c r="Y119" s="1" t="e">
        <f t="shared" si="108"/>
        <v>#N/A</v>
      </c>
      <c r="Z119" s="1" t="e">
        <f t="shared" si="109"/>
        <v>#N/A</v>
      </c>
      <c r="AA119">
        <v>0</v>
      </c>
      <c r="AB119" s="1" t="s">
        <v>19</v>
      </c>
      <c r="AD119" s="17">
        <f t="shared" si="115"/>
        <v>36433</v>
      </c>
      <c r="AE119" s="1">
        <f t="shared" si="116"/>
        <v>0.17536793433511982</v>
      </c>
      <c r="AF119" s="1" t="e">
        <f t="shared" si="117"/>
        <v>#N/A</v>
      </c>
      <c r="AG119" s="1" t="e">
        <f t="shared" si="118"/>
        <v>#N/A</v>
      </c>
      <c r="AH119" s="1" t="e">
        <f t="shared" si="119"/>
        <v>#N/A</v>
      </c>
      <c r="AK119" s="1"/>
      <c r="AL119" s="1"/>
      <c r="AM119" s="1"/>
      <c r="AN119" s="1"/>
      <c r="AO119" s="17">
        <f t="shared" si="123"/>
        <v>36433</v>
      </c>
      <c r="AP119">
        <f t="shared" si="124"/>
        <v>3</v>
      </c>
      <c r="AQ119">
        <f t="shared" si="125"/>
        <v>3</v>
      </c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7" t="e">
        <f t="shared" ref="BL119" si="174">#REF!</f>
        <v>#REF!</v>
      </c>
      <c r="BM119">
        <f t="shared" si="111"/>
        <v>3</v>
      </c>
      <c r="BN119">
        <f t="shared" si="112"/>
        <v>1</v>
      </c>
    </row>
    <row r="120" spans="1:66">
      <c r="A120" s="7">
        <v>36464</v>
      </c>
      <c r="B120" s="8">
        <v>0.103533</v>
      </c>
      <c r="C120" s="8">
        <f t="shared" si="99"/>
        <v>0.1395814010957214</v>
      </c>
      <c r="D120" s="9">
        <f t="shared" si="95"/>
        <v>0.69790700547860696</v>
      </c>
      <c r="E120" s="8">
        <v>3.3</v>
      </c>
      <c r="F120" s="8">
        <f t="shared" si="100"/>
        <v>1.9416846742061589</v>
      </c>
      <c r="G120" s="9">
        <f t="shared" si="96"/>
        <v>0.17651678856419625</v>
      </c>
      <c r="H120" s="8">
        <v>0.91739999999999999</v>
      </c>
      <c r="I120" s="8">
        <f t="shared" si="101"/>
        <v>0.38837044517652591</v>
      </c>
      <c r="J120" s="9">
        <f t="shared" si="102"/>
        <v>0.58837044517652592</v>
      </c>
      <c r="K120" s="8">
        <v>-0.97799999999999998</v>
      </c>
      <c r="L120" s="8">
        <f t="shared" si="103"/>
        <v>-0.48495798772375259</v>
      </c>
      <c r="M120" s="9">
        <f t="shared" si="97"/>
        <v>-0.2424789938618763</v>
      </c>
      <c r="O120" s="11">
        <f t="shared" si="104"/>
        <v>0.21174699827688342</v>
      </c>
      <c r="P120" s="15" t="str">
        <f t="shared" si="113"/>
        <v>E</v>
      </c>
      <c r="Q120" t="str">
        <f t="shared" si="122"/>
        <v>SD</v>
      </c>
      <c r="R120" s="18">
        <f t="shared" si="114"/>
        <v>0.23252410979533139</v>
      </c>
      <c r="S120" t="str">
        <f t="shared" si="138"/>
        <v>E</v>
      </c>
      <c r="T120">
        <v>0</v>
      </c>
      <c r="V120" s="17">
        <f t="shared" si="105"/>
        <v>36464</v>
      </c>
      <c r="W120" s="1">
        <f t="shared" si="106"/>
        <v>0.21174699827688342</v>
      </c>
      <c r="X120" s="1" t="e">
        <f t="shared" si="107"/>
        <v>#N/A</v>
      </c>
      <c r="Y120" s="1" t="e">
        <f t="shared" si="108"/>
        <v>#N/A</v>
      </c>
      <c r="Z120" s="1" t="e">
        <f t="shared" si="109"/>
        <v>#N/A</v>
      </c>
      <c r="AA120">
        <v>0</v>
      </c>
      <c r="AB120" s="1" t="s">
        <v>19</v>
      </c>
      <c r="AD120" s="17">
        <f t="shared" si="115"/>
        <v>36464</v>
      </c>
      <c r="AE120" s="1">
        <f t="shared" si="116"/>
        <v>0.21174699827688342</v>
      </c>
      <c r="AF120" s="1" t="e">
        <f t="shared" si="117"/>
        <v>#N/A</v>
      </c>
      <c r="AG120" s="1" t="e">
        <f t="shared" si="118"/>
        <v>#N/A</v>
      </c>
      <c r="AH120" s="1" t="e">
        <f t="shared" si="119"/>
        <v>#N/A</v>
      </c>
      <c r="AK120" s="1"/>
      <c r="AL120" s="1"/>
      <c r="AM120" s="1"/>
      <c r="AN120" s="1"/>
      <c r="AO120" s="17">
        <f t="shared" si="123"/>
        <v>36464</v>
      </c>
      <c r="AP120">
        <f t="shared" si="124"/>
        <v>4</v>
      </c>
      <c r="AQ120">
        <f t="shared" si="125"/>
        <v>3</v>
      </c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7" t="e">
        <f t="shared" ref="BL120" si="175">#REF!</f>
        <v>#REF!</v>
      </c>
      <c r="BM120">
        <f t="shared" si="111"/>
        <v>3</v>
      </c>
      <c r="BN120">
        <f t="shared" si="112"/>
        <v>1</v>
      </c>
    </row>
    <row r="121" spans="1:66">
      <c r="A121" s="7">
        <v>36494</v>
      </c>
      <c r="B121" s="8">
        <v>0.214785</v>
      </c>
      <c r="C121" s="8">
        <f t="shared" si="99"/>
        <v>0.1610144267834408</v>
      </c>
      <c r="D121" s="9">
        <f t="shared" si="95"/>
        <v>0.805072133917204</v>
      </c>
      <c r="E121" s="8">
        <v>3.7</v>
      </c>
      <c r="F121" s="8">
        <f t="shared" si="100"/>
        <v>2.442804542057404</v>
      </c>
      <c r="G121" s="9">
        <f t="shared" si="96"/>
        <v>0.22207314018703672</v>
      </c>
      <c r="H121" s="8">
        <v>0.71</v>
      </c>
      <c r="I121" s="8">
        <f t="shared" si="101"/>
        <v>0.480034868301216</v>
      </c>
      <c r="J121" s="9">
        <f t="shared" si="102"/>
        <v>0.68003486830121607</v>
      </c>
      <c r="K121" s="8">
        <v>-0.30599999999999999</v>
      </c>
      <c r="L121" s="8">
        <f t="shared" si="103"/>
        <v>-0.43395496122248312</v>
      </c>
      <c r="M121" s="9">
        <f t="shared" si="97"/>
        <v>-0.21697748061124156</v>
      </c>
      <c r="O121" s="11">
        <f t="shared" si="104"/>
        <v>0.2723794662679716</v>
      </c>
      <c r="P121" s="15" t="str">
        <f t="shared" si="113"/>
        <v>E</v>
      </c>
      <c r="Q121" t="str">
        <f t="shared" si="122"/>
        <v>E</v>
      </c>
      <c r="R121" s="18">
        <f t="shared" si="114"/>
        <v>0.23252410979533139</v>
      </c>
      <c r="S121" t="str">
        <f t="shared" si="138"/>
        <v>E</v>
      </c>
      <c r="T121">
        <v>0</v>
      </c>
      <c r="V121" s="17">
        <f t="shared" si="105"/>
        <v>36494</v>
      </c>
      <c r="W121" s="1">
        <f t="shared" si="106"/>
        <v>0.2723794662679716</v>
      </c>
      <c r="X121" s="1" t="e">
        <f t="shared" si="107"/>
        <v>#N/A</v>
      </c>
      <c r="Y121" s="1" t="e">
        <f t="shared" si="108"/>
        <v>#N/A</v>
      </c>
      <c r="Z121" s="1" t="e">
        <f t="shared" si="109"/>
        <v>#N/A</v>
      </c>
      <c r="AA121">
        <v>0</v>
      </c>
      <c r="AB121" s="1" t="s">
        <v>19</v>
      </c>
      <c r="AD121" s="17">
        <f t="shared" si="115"/>
        <v>36494</v>
      </c>
      <c r="AE121" s="1">
        <f t="shared" si="116"/>
        <v>0.2723794662679716</v>
      </c>
      <c r="AF121" s="1" t="e">
        <f t="shared" si="117"/>
        <v>#N/A</v>
      </c>
      <c r="AG121" s="1" t="e">
        <f t="shared" si="118"/>
        <v>#N/A</v>
      </c>
      <c r="AH121" s="1" t="e">
        <f t="shared" si="119"/>
        <v>#N/A</v>
      </c>
      <c r="AK121" s="1"/>
      <c r="AL121" s="1"/>
      <c r="AM121" s="1"/>
      <c r="AN121" s="1"/>
      <c r="AO121" s="17">
        <f t="shared" si="123"/>
        <v>36494</v>
      </c>
      <c r="AP121">
        <f t="shared" si="124"/>
        <v>4</v>
      </c>
      <c r="AQ121">
        <f t="shared" si="125"/>
        <v>4</v>
      </c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7" t="e">
        <f t="shared" ref="BL121" si="176">#REF!</f>
        <v>#REF!</v>
      </c>
      <c r="BM121">
        <f t="shared" si="111"/>
        <v>4</v>
      </c>
      <c r="BN121">
        <f t="shared" si="112"/>
        <v>1</v>
      </c>
    </row>
    <row r="122" spans="1:66">
      <c r="A122" s="7">
        <v>36525</v>
      </c>
      <c r="B122" s="8">
        <v>0.253633</v>
      </c>
      <c r="C122" s="8">
        <f t="shared" si="99"/>
        <v>0.18741072015016019</v>
      </c>
      <c r="D122" s="9">
        <f t="shared" si="95"/>
        <v>0.93705360075080091</v>
      </c>
      <c r="E122" s="8">
        <v>4.4000000000000004</v>
      </c>
      <c r="F122" s="8">
        <f t="shared" si="100"/>
        <v>3.0006052475710439</v>
      </c>
      <c r="G122" s="9">
        <f t="shared" si="96"/>
        <v>0.27278229523373126</v>
      </c>
      <c r="H122" s="8">
        <v>0.58989999999999998</v>
      </c>
      <c r="I122" s="8">
        <f t="shared" si="101"/>
        <v>0.51134643083536946</v>
      </c>
      <c r="J122" s="9">
        <f t="shared" si="102"/>
        <v>0.71134643083536941</v>
      </c>
      <c r="K122" s="8">
        <v>0.183</v>
      </c>
      <c r="L122" s="8">
        <f t="shared" si="103"/>
        <v>-0.25812279727407539</v>
      </c>
      <c r="M122" s="9">
        <f t="shared" si="97"/>
        <v>-0.12906139863703769</v>
      </c>
      <c r="O122" s="11">
        <f t="shared" si="104"/>
        <v>0.33501281179069065</v>
      </c>
      <c r="P122" s="15" t="str">
        <f t="shared" si="113"/>
        <v>E</v>
      </c>
      <c r="Q122" t="str">
        <f t="shared" si="122"/>
        <v>E</v>
      </c>
      <c r="R122" s="18">
        <f t="shared" si="114"/>
        <v>0.23252410979533139</v>
      </c>
      <c r="S122" t="str">
        <f t="shared" si="138"/>
        <v>E</v>
      </c>
      <c r="T122">
        <v>0</v>
      </c>
      <c r="V122" s="17">
        <f t="shared" si="105"/>
        <v>36525</v>
      </c>
      <c r="W122" s="1">
        <f t="shared" si="106"/>
        <v>0.33501281179069065</v>
      </c>
      <c r="X122" s="1" t="e">
        <f t="shared" si="107"/>
        <v>#N/A</v>
      </c>
      <c r="Y122" s="1" t="e">
        <f t="shared" si="108"/>
        <v>#N/A</v>
      </c>
      <c r="Z122" s="1" t="e">
        <f t="shared" si="109"/>
        <v>#N/A</v>
      </c>
      <c r="AA122">
        <v>0</v>
      </c>
      <c r="AB122" s="1" t="s">
        <v>19</v>
      </c>
      <c r="AD122" s="17">
        <f t="shared" si="115"/>
        <v>36525</v>
      </c>
      <c r="AE122" s="1">
        <f t="shared" si="116"/>
        <v>0.33501281179069065</v>
      </c>
      <c r="AF122" s="1" t="e">
        <f t="shared" si="117"/>
        <v>#N/A</v>
      </c>
      <c r="AG122" s="1" t="e">
        <f t="shared" si="118"/>
        <v>#N/A</v>
      </c>
      <c r="AH122" s="1" t="e">
        <f t="shared" si="119"/>
        <v>#N/A</v>
      </c>
      <c r="AK122" s="1"/>
      <c r="AL122" s="1"/>
      <c r="AM122" s="1"/>
      <c r="AN122" s="1"/>
      <c r="AO122" s="17">
        <f t="shared" si="123"/>
        <v>36525</v>
      </c>
      <c r="AP122">
        <f t="shared" si="124"/>
        <v>4</v>
      </c>
      <c r="AQ122">
        <f t="shared" si="125"/>
        <v>4</v>
      </c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7" t="e">
        <f t="shared" ref="BL122" si="177">#REF!</f>
        <v>#REF!</v>
      </c>
      <c r="BM122">
        <f t="shared" si="111"/>
        <v>4</v>
      </c>
      <c r="BN122">
        <f t="shared" si="112"/>
        <v>1</v>
      </c>
    </row>
    <row r="123" spans="1:66">
      <c r="A123" s="7">
        <v>36556</v>
      </c>
      <c r="B123" s="8">
        <v>0.31434600000000001</v>
      </c>
      <c r="C123" s="8">
        <f t="shared" si="99"/>
        <v>0.22358727490736455</v>
      </c>
      <c r="D123" s="9">
        <f t="shared" si="95"/>
        <v>1.1179363745368227</v>
      </c>
      <c r="E123" s="8">
        <v>5.3</v>
      </c>
      <c r="F123" s="8">
        <f t="shared" si="100"/>
        <v>3.655932752013296</v>
      </c>
      <c r="G123" s="9">
        <f t="shared" si="96"/>
        <v>0.33235752291029963</v>
      </c>
      <c r="H123" s="8">
        <v>-3.3700000000000001E-2</v>
      </c>
      <c r="I123" s="8">
        <f t="shared" si="101"/>
        <v>0.35600819804728911</v>
      </c>
      <c r="J123" s="9">
        <f t="shared" si="102"/>
        <v>0.55600819804728907</v>
      </c>
      <c r="K123" s="8">
        <v>0.45300000000000001</v>
      </c>
      <c r="L123" s="8">
        <f t="shared" si="103"/>
        <v>-5.5452800050963869E-2</v>
      </c>
      <c r="M123" s="9">
        <f t="shared" si="97"/>
        <v>-2.7726400025481934E-2</v>
      </c>
      <c r="O123" s="11">
        <f t="shared" si="104"/>
        <v>0.35211286543034376</v>
      </c>
      <c r="P123" s="15" t="str">
        <f t="shared" si="113"/>
        <v>E</v>
      </c>
      <c r="Q123" t="str">
        <f t="shared" si="122"/>
        <v>E</v>
      </c>
      <c r="R123" s="18">
        <f t="shared" si="114"/>
        <v>0.23252410979533139</v>
      </c>
      <c r="S123" t="str">
        <f t="shared" si="138"/>
        <v>E</v>
      </c>
      <c r="T123">
        <v>0</v>
      </c>
      <c r="V123" s="17">
        <f t="shared" si="105"/>
        <v>36556</v>
      </c>
      <c r="W123" s="1">
        <f t="shared" si="106"/>
        <v>0.35211286543034376</v>
      </c>
      <c r="X123" s="1">
        <f t="shared" si="107"/>
        <v>0.35211286543034376</v>
      </c>
      <c r="Y123" s="1" t="e">
        <f t="shared" si="108"/>
        <v>#N/A</v>
      </c>
      <c r="Z123" s="1" t="e">
        <f t="shared" si="109"/>
        <v>#N/A</v>
      </c>
      <c r="AA123">
        <v>0</v>
      </c>
      <c r="AB123" s="1" t="s">
        <v>19</v>
      </c>
      <c r="AD123" s="17">
        <f t="shared" si="115"/>
        <v>36556</v>
      </c>
      <c r="AE123" s="1">
        <f t="shared" si="116"/>
        <v>0.35211286543034376</v>
      </c>
      <c r="AF123" s="1" t="e">
        <f t="shared" si="117"/>
        <v>#N/A</v>
      </c>
      <c r="AG123" s="1" t="e">
        <f t="shared" si="118"/>
        <v>#N/A</v>
      </c>
      <c r="AH123" s="1" t="e">
        <f t="shared" si="119"/>
        <v>#N/A</v>
      </c>
      <c r="AK123" s="1"/>
      <c r="AL123" s="1"/>
      <c r="AM123" s="1"/>
      <c r="AN123" s="1"/>
      <c r="AO123" s="17">
        <f t="shared" si="123"/>
        <v>36556</v>
      </c>
      <c r="AP123">
        <f t="shared" si="124"/>
        <v>4</v>
      </c>
      <c r="AQ123">
        <f t="shared" si="125"/>
        <v>4</v>
      </c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7" t="e">
        <f t="shared" ref="BL123" si="178">#REF!</f>
        <v>#REF!</v>
      </c>
      <c r="BM123">
        <f t="shared" si="111"/>
        <v>4</v>
      </c>
      <c r="BN123">
        <f t="shared" si="112"/>
        <v>1</v>
      </c>
    </row>
    <row r="124" spans="1:66">
      <c r="A124" s="7">
        <v>36585</v>
      </c>
      <c r="B124" s="8">
        <v>0.24140600000000001</v>
      </c>
      <c r="C124" s="8">
        <f t="shared" si="99"/>
        <v>0.22866561155876566</v>
      </c>
      <c r="D124" s="9">
        <f t="shared" si="95"/>
        <v>1.1433280577938283</v>
      </c>
      <c r="E124" s="8">
        <v>4.2</v>
      </c>
      <c r="F124" s="8">
        <f t="shared" si="100"/>
        <v>3.8109919176895071</v>
      </c>
      <c r="G124" s="9">
        <f t="shared" si="96"/>
        <v>0.34645381069904607</v>
      </c>
      <c r="H124" s="8">
        <v>-0.2465</v>
      </c>
      <c r="I124" s="8">
        <f t="shared" si="101"/>
        <v>0.18429336160381171</v>
      </c>
      <c r="J124" s="9">
        <f t="shared" si="102"/>
        <v>0.38429336160381172</v>
      </c>
      <c r="K124" s="8">
        <v>0.376</v>
      </c>
      <c r="L124" s="8">
        <f t="shared" si="103"/>
        <v>6.7511247963560839E-2</v>
      </c>
      <c r="M124" s="9">
        <f t="shared" si="97"/>
        <v>6.7511247963560839E-2</v>
      </c>
      <c r="O124" s="11">
        <f t="shared" si="104"/>
        <v>0.34958144552268444</v>
      </c>
      <c r="P124" s="15" t="str">
        <f t="shared" si="113"/>
        <v>SD</v>
      </c>
      <c r="Q124" t="str">
        <f t="shared" si="122"/>
        <v>E</v>
      </c>
      <c r="R124" s="18">
        <f t="shared" si="114"/>
        <v>0.23252410979533139</v>
      </c>
      <c r="S124" t="str">
        <f t="shared" si="138"/>
        <v>E</v>
      </c>
      <c r="T124">
        <v>0</v>
      </c>
      <c r="V124" s="17">
        <f t="shared" si="105"/>
        <v>36585</v>
      </c>
      <c r="W124" s="1">
        <f t="shared" si="106"/>
        <v>0.34958144552268444</v>
      </c>
      <c r="X124" s="1">
        <f t="shared" si="107"/>
        <v>0.34958144552268444</v>
      </c>
      <c r="Y124" s="1" t="e">
        <f t="shared" si="108"/>
        <v>#N/A</v>
      </c>
      <c r="Z124" s="1" t="e">
        <f t="shared" si="109"/>
        <v>#N/A</v>
      </c>
      <c r="AA124">
        <v>0</v>
      </c>
      <c r="AB124" s="1" t="s">
        <v>19</v>
      </c>
      <c r="AD124" s="17">
        <f t="shared" si="115"/>
        <v>36585</v>
      </c>
      <c r="AE124" s="1">
        <f t="shared" si="116"/>
        <v>0.34958144552268444</v>
      </c>
      <c r="AF124" s="1" t="e">
        <f t="shared" si="117"/>
        <v>#N/A</v>
      </c>
      <c r="AG124" s="1" t="e">
        <f t="shared" si="118"/>
        <v>#N/A</v>
      </c>
      <c r="AH124" s="1" t="e">
        <f t="shared" si="119"/>
        <v>#N/A</v>
      </c>
      <c r="AK124" s="1"/>
      <c r="AL124" s="1"/>
      <c r="AM124" s="1"/>
      <c r="AN124" s="1"/>
      <c r="AO124" s="17">
        <f t="shared" si="123"/>
        <v>36585</v>
      </c>
      <c r="AP124">
        <f t="shared" si="124"/>
        <v>3</v>
      </c>
      <c r="AQ124">
        <f t="shared" si="125"/>
        <v>4</v>
      </c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7" t="e">
        <f t="shared" ref="BL124" si="179">#REF!</f>
        <v>#REF!</v>
      </c>
      <c r="BM124">
        <f t="shared" si="111"/>
        <v>4</v>
      </c>
      <c r="BN124">
        <f t="shared" si="112"/>
        <v>1</v>
      </c>
    </row>
    <row r="125" spans="1:66">
      <c r="A125" s="7">
        <v>36616</v>
      </c>
      <c r="B125" s="8">
        <v>0.220833</v>
      </c>
      <c r="C125" s="8">
        <f t="shared" si="99"/>
        <v>0.22643331726451743</v>
      </c>
      <c r="D125" s="9">
        <f t="shared" si="95"/>
        <v>1.1321665863225872</v>
      </c>
      <c r="E125" s="8">
        <v>5.3</v>
      </c>
      <c r="F125" s="8">
        <f t="shared" si="100"/>
        <v>4.2353592211479976</v>
      </c>
      <c r="G125" s="9">
        <f t="shared" si="96"/>
        <v>0.38503265646799978</v>
      </c>
      <c r="H125" s="8">
        <v>0.52139999999999997</v>
      </c>
      <c r="I125" s="8">
        <f t="shared" si="101"/>
        <v>0.28036875354672541</v>
      </c>
      <c r="J125" s="9">
        <f t="shared" si="102"/>
        <v>0.48036875354672542</v>
      </c>
      <c r="K125" s="8">
        <v>3.1E-2</v>
      </c>
      <c r="L125" s="8">
        <f t="shared" si="103"/>
        <v>5.7105542293946002E-2</v>
      </c>
      <c r="M125" s="9">
        <f t="shared" si="97"/>
        <v>5.7105542293946002E-2</v>
      </c>
      <c r="O125" s="11">
        <f t="shared" si="104"/>
        <v>0.37839509059417398</v>
      </c>
      <c r="P125" s="15" t="str">
        <f t="shared" si="113"/>
        <v>E</v>
      </c>
      <c r="Q125" t="str">
        <f t="shared" si="122"/>
        <v>E</v>
      </c>
      <c r="R125" s="18">
        <f t="shared" si="114"/>
        <v>0.37839509059417398</v>
      </c>
      <c r="S125" t="str">
        <f t="shared" si="138"/>
        <v>E</v>
      </c>
      <c r="T125">
        <v>0</v>
      </c>
      <c r="V125" s="17">
        <f t="shared" si="105"/>
        <v>36616</v>
      </c>
      <c r="W125" s="1">
        <f t="shared" si="106"/>
        <v>0.37839509059417398</v>
      </c>
      <c r="X125" s="1">
        <f t="shared" si="107"/>
        <v>0.37839509059417398</v>
      </c>
      <c r="Y125" s="1" t="e">
        <f t="shared" si="108"/>
        <v>#N/A</v>
      </c>
      <c r="Z125" s="1" t="e">
        <f t="shared" si="109"/>
        <v>#N/A</v>
      </c>
      <c r="AA125">
        <v>0</v>
      </c>
      <c r="AB125" s="1" t="s">
        <v>19</v>
      </c>
      <c r="AD125" s="17">
        <f t="shared" si="115"/>
        <v>36616</v>
      </c>
      <c r="AE125" s="1">
        <f t="shared" si="116"/>
        <v>0.37839509059417398</v>
      </c>
      <c r="AF125" s="1" t="e">
        <f t="shared" si="117"/>
        <v>#N/A</v>
      </c>
      <c r="AG125" s="1" t="e">
        <f t="shared" si="118"/>
        <v>#N/A</v>
      </c>
      <c r="AH125" s="1" t="e">
        <f t="shared" si="119"/>
        <v>#N/A</v>
      </c>
      <c r="AK125" s="1"/>
      <c r="AL125" s="1"/>
      <c r="AM125" s="1"/>
      <c r="AN125" s="1"/>
      <c r="AO125" s="17">
        <f t="shared" si="123"/>
        <v>36616</v>
      </c>
      <c r="AP125">
        <f t="shared" si="124"/>
        <v>4</v>
      </c>
      <c r="AQ125">
        <f t="shared" si="125"/>
        <v>4</v>
      </c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7" t="e">
        <f t="shared" ref="BL125" si="180">#REF!</f>
        <v>#REF!</v>
      </c>
      <c r="BM125">
        <f t="shared" si="111"/>
        <v>4</v>
      </c>
      <c r="BN125">
        <f t="shared" si="112"/>
        <v>1</v>
      </c>
    </row>
    <row r="126" spans="1:66">
      <c r="A126" s="7">
        <v>36646</v>
      </c>
      <c r="B126" s="8">
        <v>0.145481</v>
      </c>
      <c r="C126" s="8">
        <f t="shared" si="99"/>
        <v>0.20336190684412997</v>
      </c>
      <c r="D126" s="9">
        <f t="shared" si="95"/>
        <v>1.0168095342206498</v>
      </c>
      <c r="E126" s="8">
        <v>5.4</v>
      </c>
      <c r="F126" s="8">
        <f t="shared" si="100"/>
        <v>4.5672818431208189</v>
      </c>
      <c r="G126" s="9">
        <f t="shared" si="96"/>
        <v>0.41520744028371082</v>
      </c>
      <c r="H126" s="8">
        <v>0.53469999999999995</v>
      </c>
      <c r="I126" s="8">
        <f t="shared" si="101"/>
        <v>0.35285315878590867</v>
      </c>
      <c r="J126" s="9">
        <f t="shared" si="102"/>
        <v>0.55285315878590868</v>
      </c>
      <c r="K126" s="8">
        <v>-0.505</v>
      </c>
      <c r="L126" s="8">
        <f t="shared" si="103"/>
        <v>-0.10309453725982864</v>
      </c>
      <c r="M126" s="9">
        <f t="shared" si="97"/>
        <v>-5.1547268629914322E-2</v>
      </c>
      <c r="O126" s="11">
        <f t="shared" si="104"/>
        <v>0.36758251740926318</v>
      </c>
      <c r="P126" s="15" t="str">
        <f t="shared" si="113"/>
        <v>SD</v>
      </c>
      <c r="Q126" t="str">
        <f t="shared" si="122"/>
        <v>E</v>
      </c>
      <c r="R126" s="18">
        <f t="shared" si="114"/>
        <v>0.37839509059417398</v>
      </c>
      <c r="S126" t="str">
        <f t="shared" si="138"/>
        <v>E</v>
      </c>
      <c r="T126">
        <v>0</v>
      </c>
      <c r="V126" s="17">
        <f t="shared" si="105"/>
        <v>36646</v>
      </c>
      <c r="W126" s="1" t="e">
        <f t="shared" si="106"/>
        <v>#N/A</v>
      </c>
      <c r="X126" s="1">
        <f t="shared" si="107"/>
        <v>0.36758251740926318</v>
      </c>
      <c r="Y126" s="1" t="e">
        <f t="shared" si="108"/>
        <v>#N/A</v>
      </c>
      <c r="Z126" s="1" t="e">
        <f t="shared" si="109"/>
        <v>#N/A</v>
      </c>
      <c r="AA126">
        <v>0</v>
      </c>
      <c r="AB126" s="1" t="s">
        <v>19</v>
      </c>
      <c r="AD126" s="17">
        <f t="shared" si="115"/>
        <v>36646</v>
      </c>
      <c r="AE126" s="1">
        <f t="shared" si="116"/>
        <v>0.36758251740926318</v>
      </c>
      <c r="AF126" s="1" t="e">
        <f t="shared" si="117"/>
        <v>#N/A</v>
      </c>
      <c r="AG126" s="1" t="e">
        <f t="shared" si="118"/>
        <v>#N/A</v>
      </c>
      <c r="AH126" s="1" t="e">
        <f t="shared" si="119"/>
        <v>#N/A</v>
      </c>
      <c r="AK126" s="1"/>
      <c r="AL126" s="1"/>
      <c r="AM126" s="1"/>
      <c r="AN126" s="1"/>
      <c r="AO126" s="17">
        <f t="shared" si="123"/>
        <v>36646</v>
      </c>
      <c r="AP126">
        <f t="shared" si="124"/>
        <v>3</v>
      </c>
      <c r="AQ126">
        <f t="shared" si="125"/>
        <v>4</v>
      </c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7" t="e">
        <f t="shared" ref="BL126" si="181">#REF!</f>
        <v>#REF!</v>
      </c>
      <c r="BM126">
        <f t="shared" si="111"/>
        <v>4</v>
      </c>
      <c r="BN126">
        <f t="shared" si="112"/>
        <v>1</v>
      </c>
    </row>
    <row r="127" spans="1:66">
      <c r="A127" s="7">
        <v>36677</v>
      </c>
      <c r="B127" s="8">
        <v>0.261382</v>
      </c>
      <c r="C127" s="8">
        <f t="shared" si="99"/>
        <v>0.21989763339355295</v>
      </c>
      <c r="D127" s="9">
        <f t="shared" si="95"/>
        <v>1.0994881669677647</v>
      </c>
      <c r="E127" s="8">
        <v>3.7</v>
      </c>
      <c r="F127" s="8">
        <f t="shared" si="100"/>
        <v>4.3201065178313858</v>
      </c>
      <c r="G127" s="9">
        <f t="shared" si="96"/>
        <v>0.39273695616648963</v>
      </c>
      <c r="H127" s="8">
        <v>2.46E-2</v>
      </c>
      <c r="I127" s="8">
        <f t="shared" si="101"/>
        <v>0.25930100853192467</v>
      </c>
      <c r="J127" s="9">
        <f t="shared" si="102"/>
        <v>0.45930100853192468</v>
      </c>
      <c r="K127" s="8">
        <v>-1.583</v>
      </c>
      <c r="L127" s="8">
        <f t="shared" si="103"/>
        <v>-0.52486759414077755</v>
      </c>
      <c r="M127" s="9">
        <f t="shared" si="97"/>
        <v>-0.26243379707038877</v>
      </c>
      <c r="O127" s="11">
        <f t="shared" si="104"/>
        <v>0.29357121222035049</v>
      </c>
      <c r="P127" s="15" t="str">
        <f t="shared" si="113"/>
        <v>SD</v>
      </c>
      <c r="Q127" t="str">
        <f t="shared" si="122"/>
        <v>SD</v>
      </c>
      <c r="R127" s="18">
        <f t="shared" si="114"/>
        <v>0.37839509059417398</v>
      </c>
      <c r="S127" t="str">
        <f t="shared" si="138"/>
        <v>E</v>
      </c>
      <c r="T127">
        <v>0</v>
      </c>
      <c r="V127" s="17">
        <f t="shared" si="105"/>
        <v>36677</v>
      </c>
      <c r="W127" s="1" t="e">
        <f t="shared" si="106"/>
        <v>#N/A</v>
      </c>
      <c r="X127" s="1">
        <f t="shared" si="107"/>
        <v>0.29357121222035049</v>
      </c>
      <c r="Y127" s="1" t="e">
        <f t="shared" si="108"/>
        <v>#N/A</v>
      </c>
      <c r="Z127" s="1" t="e">
        <f t="shared" si="109"/>
        <v>#N/A</v>
      </c>
      <c r="AA127">
        <v>0</v>
      </c>
      <c r="AB127" s="1" t="s">
        <v>19</v>
      </c>
      <c r="AD127" s="17">
        <f t="shared" si="115"/>
        <v>36677</v>
      </c>
      <c r="AE127" s="1">
        <f t="shared" si="116"/>
        <v>0.29357121222035049</v>
      </c>
      <c r="AF127" s="1">
        <f t="shared" si="117"/>
        <v>0.29357121222035049</v>
      </c>
      <c r="AG127" s="1" t="e">
        <f t="shared" si="118"/>
        <v>#N/A</v>
      </c>
      <c r="AH127" s="1" t="e">
        <f t="shared" si="119"/>
        <v>#N/A</v>
      </c>
      <c r="AK127" s="1"/>
      <c r="AL127" s="1"/>
      <c r="AM127" s="1"/>
      <c r="AN127" s="1"/>
      <c r="AO127" s="17">
        <f t="shared" si="123"/>
        <v>36677</v>
      </c>
      <c r="AP127">
        <f t="shared" si="124"/>
        <v>3</v>
      </c>
      <c r="AQ127">
        <f t="shared" si="125"/>
        <v>3</v>
      </c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7" t="e">
        <f t="shared" ref="BL127" si="182">#REF!</f>
        <v>#REF!</v>
      </c>
      <c r="BM127">
        <f t="shared" si="111"/>
        <v>3</v>
      </c>
      <c r="BN127">
        <f t="shared" si="112"/>
        <v>1</v>
      </c>
    </row>
    <row r="128" spans="1:66">
      <c r="A128" s="7">
        <v>36707</v>
      </c>
      <c r="B128" s="8">
        <v>0.20261699999999999</v>
      </c>
      <c r="C128" s="8">
        <f t="shared" si="99"/>
        <v>0.21497265287639034</v>
      </c>
      <c r="D128" s="9">
        <f t="shared" si="95"/>
        <v>1.0748632643819516</v>
      </c>
      <c r="E128" s="8">
        <v>3.8</v>
      </c>
      <c r="F128" s="8">
        <f t="shared" si="100"/>
        <v>4.1718761602494405</v>
      </c>
      <c r="G128" s="9">
        <f t="shared" si="96"/>
        <v>0.37926146911358549</v>
      </c>
      <c r="H128" s="8">
        <v>-0.1731</v>
      </c>
      <c r="I128" s="8">
        <f t="shared" si="101"/>
        <v>0.13606672110032614</v>
      </c>
      <c r="J128" s="9">
        <f t="shared" si="102"/>
        <v>0.33606672110032615</v>
      </c>
      <c r="K128" s="8">
        <v>-0.78600000000000003</v>
      </c>
      <c r="L128" s="8">
        <f t="shared" si="103"/>
        <v>-0.599290329810656</v>
      </c>
      <c r="M128" s="9">
        <f t="shared" si="97"/>
        <v>-0.299645164905328</v>
      </c>
      <c r="O128" s="11">
        <f t="shared" si="104"/>
        <v>0.23623388014664148</v>
      </c>
      <c r="P128" s="15" t="str">
        <f t="shared" si="113"/>
        <v>SD</v>
      </c>
      <c r="Q128" t="str">
        <f t="shared" si="122"/>
        <v>SD</v>
      </c>
      <c r="R128" s="18">
        <f t="shared" si="114"/>
        <v>0.37839509059417398</v>
      </c>
      <c r="S128" t="str">
        <f t="shared" si="138"/>
        <v>SD</v>
      </c>
      <c r="T128">
        <v>0</v>
      </c>
      <c r="V128" s="17">
        <f t="shared" si="105"/>
        <v>36707</v>
      </c>
      <c r="W128" s="1" t="e">
        <f t="shared" si="106"/>
        <v>#N/A</v>
      </c>
      <c r="X128" s="1">
        <f t="shared" si="107"/>
        <v>0.23623388014664148</v>
      </c>
      <c r="Y128" s="1" t="e">
        <f t="shared" si="108"/>
        <v>#N/A</v>
      </c>
      <c r="Z128" s="1" t="e">
        <f t="shared" si="109"/>
        <v>#N/A</v>
      </c>
      <c r="AA128">
        <v>0</v>
      </c>
      <c r="AB128" s="1" t="s">
        <v>19</v>
      </c>
      <c r="AD128" s="17">
        <f t="shared" si="115"/>
        <v>36707</v>
      </c>
      <c r="AE128" s="1" t="e">
        <f t="shared" si="116"/>
        <v>#N/A</v>
      </c>
      <c r="AF128" s="1">
        <f t="shared" si="117"/>
        <v>0.23623388014664148</v>
      </c>
      <c r="AG128" s="1" t="e">
        <f t="shared" si="118"/>
        <v>#N/A</v>
      </c>
      <c r="AH128" s="1" t="e">
        <f t="shared" si="119"/>
        <v>#N/A</v>
      </c>
      <c r="AK128" s="1"/>
      <c r="AL128" s="1"/>
      <c r="AM128" s="1"/>
      <c r="AN128" s="1"/>
      <c r="AO128" s="17">
        <f t="shared" si="123"/>
        <v>36707</v>
      </c>
      <c r="AP128">
        <f t="shared" si="124"/>
        <v>3</v>
      </c>
      <c r="AQ128">
        <f t="shared" si="125"/>
        <v>3</v>
      </c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7" t="e">
        <f t="shared" ref="BL128" si="183">#REF!</f>
        <v>#REF!</v>
      </c>
      <c r="BM128">
        <f t="shared" si="111"/>
        <v>3</v>
      </c>
      <c r="BN128">
        <f t="shared" si="112"/>
        <v>1</v>
      </c>
    </row>
    <row r="129" spans="1:66">
      <c r="A129" s="7">
        <v>36738</v>
      </c>
      <c r="B129" s="8">
        <v>0.233515</v>
      </c>
      <c r="C129" s="8">
        <f t="shared" si="99"/>
        <v>0.22025722180661908</v>
      </c>
      <c r="D129" s="9">
        <f t="shared" si="95"/>
        <v>1.1012861090330954</v>
      </c>
      <c r="E129" s="8">
        <v>2.8</v>
      </c>
      <c r="F129" s="8">
        <f t="shared" si="100"/>
        <v>3.7808914545783501</v>
      </c>
      <c r="G129" s="9">
        <f t="shared" si="96"/>
        <v>0.34371740496166819</v>
      </c>
      <c r="H129" s="8">
        <v>-0.4738</v>
      </c>
      <c r="I129" s="8">
        <f t="shared" si="101"/>
        <v>-3.7745294413266836E-2</v>
      </c>
      <c r="J129" s="9">
        <f t="shared" si="102"/>
        <v>0.16225470558673316</v>
      </c>
      <c r="K129" s="8">
        <v>-7.2999999999999995E-2</v>
      </c>
      <c r="L129" s="8">
        <f t="shared" si="103"/>
        <v>-0.44929758581461904</v>
      </c>
      <c r="M129" s="9">
        <f t="shared" si="97"/>
        <v>-0.22464879290730952</v>
      </c>
      <c r="O129" s="11">
        <f t="shared" si="104"/>
        <v>0.20518882544121228</v>
      </c>
      <c r="P129" s="15" t="str">
        <f t="shared" si="113"/>
        <v>SD</v>
      </c>
      <c r="Q129" t="str">
        <f t="shared" si="122"/>
        <v>SD</v>
      </c>
      <c r="R129" s="18">
        <f t="shared" si="114"/>
        <v>0.37839509059417398</v>
      </c>
      <c r="S129" t="str">
        <f t="shared" si="138"/>
        <v>SD</v>
      </c>
      <c r="T129">
        <v>0</v>
      </c>
      <c r="V129" s="17">
        <f t="shared" si="105"/>
        <v>36738</v>
      </c>
      <c r="W129" s="1">
        <f t="shared" si="106"/>
        <v>0.20518882544121228</v>
      </c>
      <c r="X129" s="1">
        <f t="shared" si="107"/>
        <v>0.20518882544121228</v>
      </c>
      <c r="Y129" s="1" t="e">
        <f t="shared" si="108"/>
        <v>#N/A</v>
      </c>
      <c r="Z129" s="1" t="e">
        <f t="shared" si="109"/>
        <v>#N/A</v>
      </c>
      <c r="AA129">
        <v>0</v>
      </c>
      <c r="AB129" s="1" t="s">
        <v>19</v>
      </c>
      <c r="AD129" s="17">
        <f t="shared" si="115"/>
        <v>36738</v>
      </c>
      <c r="AE129" s="1">
        <f t="shared" si="116"/>
        <v>0.20518882544121228</v>
      </c>
      <c r="AF129" s="1">
        <f t="shared" si="117"/>
        <v>0.20518882544121228</v>
      </c>
      <c r="AG129" s="1" t="e">
        <f t="shared" si="118"/>
        <v>#N/A</v>
      </c>
      <c r="AH129" s="1" t="e">
        <f t="shared" si="119"/>
        <v>#N/A</v>
      </c>
      <c r="AK129" s="1"/>
      <c r="AL129" s="1"/>
      <c r="AM129" s="1"/>
      <c r="AN129" s="1"/>
      <c r="AO129" s="17">
        <f t="shared" si="123"/>
        <v>36738</v>
      </c>
      <c r="AP129">
        <f t="shared" si="124"/>
        <v>3</v>
      </c>
      <c r="AQ129">
        <f t="shared" si="125"/>
        <v>3</v>
      </c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7" t="e">
        <f t="shared" ref="BL129" si="184">#REF!</f>
        <v>#REF!</v>
      </c>
      <c r="BM129">
        <f t="shared" si="111"/>
        <v>3</v>
      </c>
      <c r="BN129">
        <f t="shared" si="112"/>
        <v>1</v>
      </c>
    </row>
    <row r="130" spans="1:66">
      <c r="A130" s="7">
        <v>36769</v>
      </c>
      <c r="B130" s="8">
        <v>0.31188500000000002</v>
      </c>
      <c r="C130" s="8">
        <f t="shared" si="99"/>
        <v>0.24637113859173265</v>
      </c>
      <c r="D130" s="9">
        <f t="shared" si="95"/>
        <v>1.2318556929586633</v>
      </c>
      <c r="E130" s="8">
        <v>2.1</v>
      </c>
      <c r="F130" s="8">
        <f t="shared" si="100"/>
        <v>3.3018373900235201</v>
      </c>
      <c r="G130" s="9">
        <f t="shared" si="96"/>
        <v>0.30016703545668366</v>
      </c>
      <c r="H130" s="8">
        <v>-0.39700000000000002</v>
      </c>
      <c r="I130" s="8">
        <f t="shared" si="101"/>
        <v>-0.1401328855054858</v>
      </c>
      <c r="J130" s="9">
        <f t="shared" si="102"/>
        <v>5.9867114494514206E-2</v>
      </c>
      <c r="K130" s="8">
        <v>0.221</v>
      </c>
      <c r="L130" s="8">
        <f t="shared" si="103"/>
        <v>-0.25826277385745261</v>
      </c>
      <c r="M130" s="9">
        <f t="shared" si="97"/>
        <v>-0.1291313869287263</v>
      </c>
      <c r="O130" s="11">
        <f t="shared" si="104"/>
        <v>0.20552150905410316</v>
      </c>
      <c r="P130" s="15" t="str">
        <f t="shared" si="113"/>
        <v>E</v>
      </c>
      <c r="Q130" t="str">
        <f t="shared" si="122"/>
        <v>SD</v>
      </c>
      <c r="R130" s="18">
        <f t="shared" si="114"/>
        <v>0.37839509059417398</v>
      </c>
      <c r="S130" t="str">
        <f t="shared" si="138"/>
        <v>E</v>
      </c>
      <c r="T130">
        <v>0</v>
      </c>
      <c r="V130" s="17">
        <f t="shared" si="105"/>
        <v>36769</v>
      </c>
      <c r="W130" s="1">
        <f t="shared" si="106"/>
        <v>0.20552150905410316</v>
      </c>
      <c r="X130" s="1">
        <f t="shared" si="107"/>
        <v>0.20552150905410316</v>
      </c>
      <c r="Y130" s="1" t="e">
        <f t="shared" si="108"/>
        <v>#N/A</v>
      </c>
      <c r="Z130" s="1" t="e">
        <f t="shared" si="109"/>
        <v>#N/A</v>
      </c>
      <c r="AA130">
        <v>0</v>
      </c>
      <c r="AB130" s="1" t="s">
        <v>19</v>
      </c>
      <c r="AD130" s="17">
        <f t="shared" si="115"/>
        <v>36769</v>
      </c>
      <c r="AE130" s="1">
        <f t="shared" si="116"/>
        <v>0.20552150905410316</v>
      </c>
      <c r="AF130" s="1">
        <f t="shared" si="117"/>
        <v>0.20552150905410316</v>
      </c>
      <c r="AG130" s="1" t="e">
        <f t="shared" si="118"/>
        <v>#N/A</v>
      </c>
      <c r="AH130" s="1" t="e">
        <f t="shared" si="119"/>
        <v>#N/A</v>
      </c>
      <c r="AK130" s="1"/>
      <c r="AL130" s="1"/>
      <c r="AM130" s="1"/>
      <c r="AN130" s="1"/>
      <c r="AO130" s="17">
        <f t="shared" si="123"/>
        <v>36769</v>
      </c>
      <c r="AP130">
        <f t="shared" si="124"/>
        <v>4</v>
      </c>
      <c r="AQ130">
        <f t="shared" si="125"/>
        <v>3</v>
      </c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7" t="e">
        <f t="shared" ref="BL130" si="185">#REF!</f>
        <v>#REF!</v>
      </c>
      <c r="BM130">
        <f t="shared" si="111"/>
        <v>3</v>
      </c>
      <c r="BN130">
        <f t="shared" si="112"/>
        <v>1</v>
      </c>
    </row>
    <row r="131" spans="1:66">
      <c r="A131" s="7">
        <v>36799</v>
      </c>
      <c r="B131" s="8">
        <v>0.22758900000000001</v>
      </c>
      <c r="C131" s="8">
        <f t="shared" si="99"/>
        <v>0.24101822909308884</v>
      </c>
      <c r="D131" s="9">
        <f t="shared" si="95"/>
        <v>1.205091145465444</v>
      </c>
      <c r="E131" s="8">
        <v>2.4</v>
      </c>
      <c r="F131" s="8">
        <f t="shared" si="100"/>
        <v>3.0448137338668171</v>
      </c>
      <c r="G131" s="9">
        <f t="shared" si="96"/>
        <v>0.27680124853334703</v>
      </c>
      <c r="H131" s="8">
        <v>-5.1999999999999998E-2</v>
      </c>
      <c r="I131" s="8">
        <f t="shared" si="101"/>
        <v>-0.11501501313642234</v>
      </c>
      <c r="J131" s="9">
        <f t="shared" si="102"/>
        <v>8.4984986863577666E-2</v>
      </c>
      <c r="K131" s="8">
        <v>-0.38900000000000001</v>
      </c>
      <c r="L131" s="8">
        <f t="shared" si="103"/>
        <v>-0.29552288330807863</v>
      </c>
      <c r="M131" s="9">
        <f t="shared" si="97"/>
        <v>-0.14776144165403932</v>
      </c>
      <c r="O131" s="11">
        <f t="shared" si="104"/>
        <v>0.19172628874641101</v>
      </c>
      <c r="P131" s="15" t="str">
        <f t="shared" si="113"/>
        <v>SD</v>
      </c>
      <c r="Q131" t="str">
        <f t="shared" si="122"/>
        <v>SD</v>
      </c>
      <c r="R131" s="18">
        <f t="shared" si="114"/>
        <v>0.19172628874641101</v>
      </c>
      <c r="S131" t="str">
        <f t="shared" si="138"/>
        <v>SD</v>
      </c>
      <c r="T131">
        <v>0</v>
      </c>
      <c r="V131" s="17">
        <f t="shared" si="105"/>
        <v>36799</v>
      </c>
      <c r="W131" s="1" t="e">
        <f t="shared" si="106"/>
        <v>#N/A</v>
      </c>
      <c r="X131" s="1">
        <f t="shared" si="107"/>
        <v>0.19172628874641101</v>
      </c>
      <c r="Y131" s="1" t="e">
        <f t="shared" si="108"/>
        <v>#N/A</v>
      </c>
      <c r="Z131" s="1" t="e">
        <f t="shared" si="109"/>
        <v>#N/A</v>
      </c>
      <c r="AA131">
        <v>0</v>
      </c>
      <c r="AB131" s="1" t="s">
        <v>19</v>
      </c>
      <c r="AD131" s="17">
        <f t="shared" si="115"/>
        <v>36799</v>
      </c>
      <c r="AE131" s="1" t="e">
        <f t="shared" si="116"/>
        <v>#N/A</v>
      </c>
      <c r="AF131" s="1">
        <f t="shared" si="117"/>
        <v>0.19172628874641101</v>
      </c>
      <c r="AG131" s="1" t="e">
        <f t="shared" si="118"/>
        <v>#N/A</v>
      </c>
      <c r="AH131" s="1" t="e">
        <f t="shared" si="119"/>
        <v>#N/A</v>
      </c>
      <c r="AK131" s="1"/>
      <c r="AL131" s="1"/>
      <c r="AM131" s="1"/>
      <c r="AN131" s="1"/>
      <c r="AO131" s="17">
        <f t="shared" si="123"/>
        <v>36799</v>
      </c>
      <c r="AP131">
        <f t="shared" si="124"/>
        <v>3</v>
      </c>
      <c r="AQ131">
        <f t="shared" si="125"/>
        <v>3</v>
      </c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7" t="e">
        <f t="shared" ref="BL131" si="186">#REF!</f>
        <v>#REF!</v>
      </c>
      <c r="BM131">
        <f t="shared" si="111"/>
        <v>3</v>
      </c>
      <c r="BN131">
        <f t="shared" si="112"/>
        <v>1</v>
      </c>
    </row>
    <row r="132" spans="1:66">
      <c r="A132" s="7">
        <v>36830</v>
      </c>
      <c r="B132" s="8">
        <v>0.24265900000000001</v>
      </c>
      <c r="C132" s="8">
        <f t="shared" si="99"/>
        <v>0.24148584880155852</v>
      </c>
      <c r="D132" s="9">
        <f t="shared" ref="D132:D195" si="187">C132/0.2</f>
        <v>1.2074292440077925</v>
      </c>
      <c r="E132" s="8">
        <v>0.8</v>
      </c>
      <c r="F132" s="8">
        <f t="shared" si="100"/>
        <v>2.4050418197147745</v>
      </c>
      <c r="G132" s="9">
        <f t="shared" ref="G132:G195" si="188">F132/11</f>
        <v>0.21864016542861586</v>
      </c>
      <c r="H132" s="8">
        <v>-0.61529999999999996</v>
      </c>
      <c r="I132" s="8">
        <f t="shared" si="101"/>
        <v>-0.25759623439254198</v>
      </c>
      <c r="J132" s="9">
        <f t="shared" si="102"/>
        <v>-5.7596234392541967E-2</v>
      </c>
      <c r="K132" s="8">
        <v>-0.29199999999999998</v>
      </c>
      <c r="L132" s="8">
        <f t="shared" si="103"/>
        <v>-0.29451886156527624</v>
      </c>
      <c r="M132" s="9">
        <f t="shared" ref="M132:M195" si="189">IF(L132&lt;-1,-(-L132^(0.5)),IF(L132&lt;0,0.5*L132,L132))*1+0*IF(L132&gt;0,L132*6,L132)/6</f>
        <v>-0.14725943078263812</v>
      </c>
      <c r="O132" s="11">
        <f t="shared" si="104"/>
        <v>0.14232659940822934</v>
      </c>
      <c r="P132" s="15" t="str">
        <f t="shared" si="113"/>
        <v>SD</v>
      </c>
      <c r="Q132" t="str">
        <f t="shared" si="122"/>
        <v>SD</v>
      </c>
      <c r="R132" s="18">
        <f t="shared" si="114"/>
        <v>0.19172628874641101</v>
      </c>
      <c r="S132" t="str">
        <f t="shared" si="138"/>
        <v>SD</v>
      </c>
      <c r="T132">
        <v>0</v>
      </c>
      <c r="V132" s="17">
        <f t="shared" si="105"/>
        <v>36830</v>
      </c>
      <c r="W132" s="1" t="e">
        <f t="shared" si="106"/>
        <v>#N/A</v>
      </c>
      <c r="X132" s="1">
        <f t="shared" si="107"/>
        <v>0.14232659940822934</v>
      </c>
      <c r="Y132" s="1" t="e">
        <f t="shared" si="108"/>
        <v>#N/A</v>
      </c>
      <c r="Z132" s="1" t="e">
        <f t="shared" si="109"/>
        <v>#N/A</v>
      </c>
      <c r="AA132">
        <v>0</v>
      </c>
      <c r="AB132" s="1" t="s">
        <v>19</v>
      </c>
      <c r="AD132" s="17">
        <f t="shared" si="115"/>
        <v>36830</v>
      </c>
      <c r="AE132" s="1" t="e">
        <f t="shared" si="116"/>
        <v>#N/A</v>
      </c>
      <c r="AF132" s="1">
        <f t="shared" si="117"/>
        <v>0.14232659940822934</v>
      </c>
      <c r="AG132" s="1" t="e">
        <f t="shared" si="118"/>
        <v>#N/A</v>
      </c>
      <c r="AH132" s="1" t="e">
        <f t="shared" si="119"/>
        <v>#N/A</v>
      </c>
      <c r="AK132" s="1"/>
      <c r="AL132" s="1"/>
      <c r="AM132" s="1"/>
      <c r="AN132" s="1"/>
      <c r="AO132" s="17">
        <f t="shared" si="123"/>
        <v>36830</v>
      </c>
      <c r="AP132">
        <f t="shared" si="124"/>
        <v>3</v>
      </c>
      <c r="AQ132">
        <f t="shared" si="125"/>
        <v>3</v>
      </c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7" t="e">
        <f t="shared" ref="BL132" si="190">#REF!</f>
        <v>#REF!</v>
      </c>
      <c r="BM132">
        <f t="shared" si="111"/>
        <v>3</v>
      </c>
      <c r="BN132">
        <f t="shared" si="112"/>
        <v>1</v>
      </c>
    </row>
    <row r="133" spans="1:66">
      <c r="A133" s="7">
        <v>36860</v>
      </c>
      <c r="B133" s="8">
        <v>0.14328099999999999</v>
      </c>
      <c r="C133" s="8">
        <f t="shared" ref="C133:C196" si="191">C132*$V$1+(1-$V$1)*B133</f>
        <v>0.21349746689311433</v>
      </c>
      <c r="D133" s="9">
        <f t="shared" si="187"/>
        <v>1.0674873344655715</v>
      </c>
      <c r="E133" s="8">
        <v>-0.4</v>
      </c>
      <c r="F133" s="8">
        <f t="shared" ref="F133:F196" si="192">F132*$V$1+(1-$V$1)*E133</f>
        <v>1.6056049010960636</v>
      </c>
      <c r="G133" s="9">
        <f t="shared" si="188"/>
        <v>0.14596408191782395</v>
      </c>
      <c r="H133" s="8">
        <v>-0.47660000000000002</v>
      </c>
      <c r="I133" s="8">
        <f t="shared" ref="I133:I196" si="193">I132*$V$1+(1-$V$1)*H133</f>
        <v>-0.32001230759066757</v>
      </c>
      <c r="J133" s="9">
        <f t="shared" ref="J133:J196" si="194">MAX(IF(I133&lt;-1,-1*SQRT(-I133),IF(I133&gt;1,SQRT(I133),I133)),-2)+0.2</f>
        <v>-0.12001230759066756</v>
      </c>
      <c r="K133" s="8">
        <v>-1.1439999999999999</v>
      </c>
      <c r="L133" s="8">
        <f t="shared" ref="L133:L196" si="195">L132*$V$1+(1-$V$1)*K133</f>
        <v>-0.53662098601917252</v>
      </c>
      <c r="M133" s="9">
        <f t="shared" si="189"/>
        <v>-0.26831049300958626</v>
      </c>
      <c r="O133" s="11">
        <f t="shared" ref="O133:O196" si="196">0.3*M133+0.3*J133+0.3*G132+0.1*D133</f>
        <v>5.5843942895065779E-2</v>
      </c>
      <c r="P133" s="15" t="str">
        <f t="shared" si="113"/>
        <v>SD</v>
      </c>
      <c r="Q133" t="str">
        <f t="shared" si="122"/>
        <v>SD</v>
      </c>
      <c r="R133" s="18">
        <f t="shared" si="114"/>
        <v>0.19172628874641101</v>
      </c>
      <c r="S133" t="str">
        <f t="shared" si="138"/>
        <v>SD</v>
      </c>
      <c r="T133">
        <v>0</v>
      </c>
      <c r="V133" s="17">
        <f t="shared" ref="V133:V196" si="197">A133</f>
        <v>36860</v>
      </c>
      <c r="W133" s="1" t="e">
        <f t="shared" ref="W133:W196" si="198">IF(OR($P133=W$4,$P134=W$4),$O133,NA())</f>
        <v>#N/A</v>
      </c>
      <c r="X133" s="1">
        <f t="shared" ref="X133:X196" si="199">IF(OR($P133=X$4,$P134=X$4),$O133,NA())</f>
        <v>5.5843942895065779E-2</v>
      </c>
      <c r="Y133" s="1">
        <f t="shared" ref="Y133:Y196" si="200">IF(OR($P133=Y$4,$P134=Y$4),$O133,NA())</f>
        <v>5.5843942895065779E-2</v>
      </c>
      <c r="Z133" s="1" t="e">
        <f t="shared" ref="Z133:Z196" si="201">IF(OR($P133=Z$4,$P134=Z$4),$O133,NA())</f>
        <v>#N/A</v>
      </c>
      <c r="AA133">
        <v>0</v>
      </c>
      <c r="AB133" s="1" t="s">
        <v>19</v>
      </c>
      <c r="AD133" s="17">
        <f t="shared" si="115"/>
        <v>36860</v>
      </c>
      <c r="AE133" s="1" t="e">
        <f t="shared" si="116"/>
        <v>#N/A</v>
      </c>
      <c r="AF133" s="1">
        <f t="shared" si="117"/>
        <v>5.5843942895065779E-2</v>
      </c>
      <c r="AG133" s="1">
        <f t="shared" si="118"/>
        <v>5.5843942895065779E-2</v>
      </c>
      <c r="AH133" s="1" t="e">
        <f t="shared" si="119"/>
        <v>#N/A</v>
      </c>
      <c r="AK133" s="1"/>
      <c r="AL133" s="1"/>
      <c r="AM133" s="1"/>
      <c r="AN133" s="1"/>
      <c r="AO133" s="17">
        <f t="shared" si="123"/>
        <v>36860</v>
      </c>
      <c r="AP133">
        <f t="shared" si="124"/>
        <v>3</v>
      </c>
      <c r="AQ133">
        <f t="shared" si="125"/>
        <v>3</v>
      </c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7" t="e">
        <f t="shared" ref="BL133" si="202">#REF!</f>
        <v>#REF!</v>
      </c>
      <c r="BM133">
        <f t="shared" ref="BM133:BM196" si="203">IF($Q133="E",4,IF($Q133="R",2,IF($Q133="SD",3,1)))</f>
        <v>3</v>
      </c>
      <c r="BN133">
        <f t="shared" ref="BN133:BN196" si="204">IF($U133="E",4,IF($U133="R",2,IF($U133="SD",3,1)))</f>
        <v>1</v>
      </c>
    </row>
    <row r="134" spans="1:66">
      <c r="A134" s="7">
        <v>36891</v>
      </c>
      <c r="B134" s="8">
        <v>0.17605199999999999</v>
      </c>
      <c r="C134" s="8">
        <f t="shared" si="191"/>
        <v>0.20282550882857675</v>
      </c>
      <c r="D134" s="9">
        <f t="shared" si="187"/>
        <v>1.0141275441428836</v>
      </c>
      <c r="E134" s="8">
        <v>-3</v>
      </c>
      <c r="F134" s="8">
        <f t="shared" si="192"/>
        <v>0.29300750428368538</v>
      </c>
      <c r="G134" s="9">
        <f t="shared" si="188"/>
        <v>2.6637045843971398E-2</v>
      </c>
      <c r="H134" s="8">
        <v>-0.48849999999999999</v>
      </c>
      <c r="I134" s="8">
        <f t="shared" si="193"/>
        <v>-0.3680312999273273</v>
      </c>
      <c r="J134" s="9">
        <f t="shared" si="194"/>
        <v>-0.16803129992732729</v>
      </c>
      <c r="K134" s="8">
        <v>-1.155</v>
      </c>
      <c r="L134" s="8">
        <f t="shared" si="195"/>
        <v>-0.71285900500370847</v>
      </c>
      <c r="M134" s="9">
        <f t="shared" si="189"/>
        <v>-0.35642950250185423</v>
      </c>
      <c r="O134" s="11">
        <f t="shared" si="196"/>
        <v>-1.2136261739118914E-2</v>
      </c>
      <c r="P134" s="15" t="str">
        <f t="shared" ref="P134:P197" si="205">IF(O134-O133&gt;0,IF(O134&gt;=0,"E","R"),IF(O134&gt;=0,"SD","C"))</f>
        <v>C</v>
      </c>
      <c r="Q134" t="str">
        <f t="shared" si="122"/>
        <v>C</v>
      </c>
      <c r="R134" s="18">
        <f t="shared" ref="R134:R197" si="206">IF(Q134&lt;&gt;P133,O134,R133)</f>
        <v>-1.2136261739118914E-2</v>
      </c>
      <c r="S134" t="str">
        <f t="shared" si="138"/>
        <v>C</v>
      </c>
      <c r="T134">
        <v>0</v>
      </c>
      <c r="V134" s="17">
        <f t="shared" si="197"/>
        <v>36891</v>
      </c>
      <c r="W134" s="1" t="e">
        <f t="shared" si="198"/>
        <v>#N/A</v>
      </c>
      <c r="X134" s="1" t="e">
        <f t="shared" si="199"/>
        <v>#N/A</v>
      </c>
      <c r="Y134" s="1">
        <f t="shared" si="200"/>
        <v>-1.2136261739118914E-2</v>
      </c>
      <c r="Z134" s="1" t="e">
        <f t="shared" si="201"/>
        <v>#N/A</v>
      </c>
      <c r="AA134">
        <v>0</v>
      </c>
      <c r="AB134" s="1" t="s">
        <v>19</v>
      </c>
      <c r="AD134" s="17">
        <f t="shared" ref="AD134:AD197" si="207">A134</f>
        <v>36891</v>
      </c>
      <c r="AE134" s="1" t="e">
        <f t="shared" ref="AE134:AE197" si="208">IF(OR($S134=AE$4,$S135=AE$4),$O134,NA())</f>
        <v>#N/A</v>
      </c>
      <c r="AF134" s="1" t="e">
        <f t="shared" ref="AF134:AF197" si="209">IF(OR($S134=AF$4,$S135=AF$4),$O134,NA())</f>
        <v>#N/A</v>
      </c>
      <c r="AG134" s="1">
        <f t="shared" ref="AG134:AG197" si="210">IF(OR($S134=AG$4,$S135=AG$4),$O134,NA())</f>
        <v>-1.2136261739118914E-2</v>
      </c>
      <c r="AH134" s="1" t="e">
        <f t="shared" ref="AH134:AH197" si="211">IF(OR($S134=AH$4,$S135=AH$4),$O134,NA())</f>
        <v>#N/A</v>
      </c>
      <c r="AK134" s="1"/>
      <c r="AL134" s="1"/>
      <c r="AM134" s="1"/>
      <c r="AN134" s="1"/>
      <c r="AO134" s="17">
        <f t="shared" si="123"/>
        <v>36891</v>
      </c>
      <c r="AP134">
        <f t="shared" si="124"/>
        <v>1</v>
      </c>
      <c r="AQ134">
        <f t="shared" si="125"/>
        <v>1</v>
      </c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7" t="e">
        <f t="shared" ref="BL134" si="212">#REF!</f>
        <v>#REF!</v>
      </c>
      <c r="BM134">
        <f t="shared" si="203"/>
        <v>1</v>
      </c>
      <c r="BN134">
        <f t="shared" si="204"/>
        <v>1</v>
      </c>
    </row>
    <row r="135" spans="1:66">
      <c r="A135" s="7">
        <v>36922</v>
      </c>
      <c r="B135" s="8">
        <v>0.133634</v>
      </c>
      <c r="C135" s="8">
        <f t="shared" si="191"/>
        <v>0.18310592881243237</v>
      </c>
      <c r="D135" s="9">
        <f t="shared" si="187"/>
        <v>0.91552964406216186</v>
      </c>
      <c r="E135" s="8">
        <v>-4.5</v>
      </c>
      <c r="F135" s="8">
        <f t="shared" si="192"/>
        <v>-1.0729996344371651</v>
      </c>
      <c r="G135" s="9">
        <f t="shared" si="188"/>
        <v>-9.7545421312469557E-2</v>
      </c>
      <c r="H135" s="8">
        <v>-0.95309999999999995</v>
      </c>
      <c r="I135" s="8">
        <f t="shared" si="193"/>
        <v>-0.53477587944803906</v>
      </c>
      <c r="J135" s="9">
        <f t="shared" si="194"/>
        <v>-0.33477587944803905</v>
      </c>
      <c r="K135" s="8">
        <v>-0.59299999999999997</v>
      </c>
      <c r="L135" s="8">
        <f t="shared" si="195"/>
        <v>-0.67869918857765166</v>
      </c>
      <c r="M135" s="9">
        <f t="shared" si="189"/>
        <v>-0.33934959428882583</v>
      </c>
      <c r="O135" s="11">
        <f t="shared" si="196"/>
        <v>-0.10269356396165186</v>
      </c>
      <c r="P135" s="15" t="str">
        <f t="shared" si="205"/>
        <v>C</v>
      </c>
      <c r="Q135" t="str">
        <f t="shared" si="122"/>
        <v>C</v>
      </c>
      <c r="R135" s="18">
        <f t="shared" si="206"/>
        <v>-1.2136261739118914E-2</v>
      </c>
      <c r="S135" t="str">
        <f t="shared" si="138"/>
        <v>C</v>
      </c>
      <c r="T135">
        <v>0</v>
      </c>
      <c r="V135" s="17">
        <f t="shared" si="197"/>
        <v>36922</v>
      </c>
      <c r="W135" s="1" t="e">
        <f t="shared" si="198"/>
        <v>#N/A</v>
      </c>
      <c r="X135" s="1" t="e">
        <f t="shared" si="199"/>
        <v>#N/A</v>
      </c>
      <c r="Y135" s="1">
        <f t="shared" si="200"/>
        <v>-0.10269356396165186</v>
      </c>
      <c r="Z135" s="1" t="e">
        <f t="shared" si="201"/>
        <v>#N/A</v>
      </c>
      <c r="AA135">
        <v>0</v>
      </c>
      <c r="AB135" s="1" t="s">
        <v>19</v>
      </c>
      <c r="AD135" s="17">
        <f t="shared" si="207"/>
        <v>36922</v>
      </c>
      <c r="AE135" s="1" t="e">
        <f t="shared" si="208"/>
        <v>#N/A</v>
      </c>
      <c r="AF135" s="1" t="e">
        <f t="shared" si="209"/>
        <v>#N/A</v>
      </c>
      <c r="AG135" s="1">
        <f t="shared" si="210"/>
        <v>-0.10269356396165186</v>
      </c>
      <c r="AH135" s="1" t="e">
        <f t="shared" si="211"/>
        <v>#N/A</v>
      </c>
      <c r="AK135" s="1"/>
      <c r="AL135" s="1"/>
      <c r="AM135" s="1"/>
      <c r="AN135" s="1"/>
      <c r="AO135" s="17">
        <f t="shared" si="123"/>
        <v>36922</v>
      </c>
      <c r="AP135">
        <f t="shared" si="124"/>
        <v>1</v>
      </c>
      <c r="AQ135">
        <f t="shared" si="125"/>
        <v>1</v>
      </c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7" t="e">
        <f t="shared" ref="BL135" si="213">#REF!</f>
        <v>#REF!</v>
      </c>
      <c r="BM135">
        <f t="shared" si="203"/>
        <v>1</v>
      </c>
      <c r="BN135">
        <f t="shared" si="204"/>
        <v>1</v>
      </c>
    </row>
    <row r="136" spans="1:66">
      <c r="A136" s="7">
        <v>36950</v>
      </c>
      <c r="B136" s="8">
        <v>0.16056699999999999</v>
      </c>
      <c r="C136" s="8">
        <f t="shared" si="191"/>
        <v>0.17668233410088913</v>
      </c>
      <c r="D136" s="9">
        <f t="shared" si="187"/>
        <v>0.88341167050444558</v>
      </c>
      <c r="E136" s="8">
        <v>-5.2</v>
      </c>
      <c r="F136" s="8">
        <f t="shared" si="192"/>
        <v>-2.249194738622573</v>
      </c>
      <c r="G136" s="9">
        <f t="shared" si="188"/>
        <v>-0.20447224896568847</v>
      </c>
      <c r="H136" s="8">
        <v>-0.92500000000000004</v>
      </c>
      <c r="I136" s="8">
        <f t="shared" si="193"/>
        <v>-0.64598975380534795</v>
      </c>
      <c r="J136" s="9">
        <f t="shared" si="194"/>
        <v>-0.44598975380534794</v>
      </c>
      <c r="K136" s="8">
        <v>-0.74399999999999999</v>
      </c>
      <c r="L136" s="8">
        <f t="shared" si="195"/>
        <v>-0.69730991983302093</v>
      </c>
      <c r="M136" s="9">
        <f t="shared" si="189"/>
        <v>-0.34865495991651047</v>
      </c>
      <c r="O136" s="11">
        <f t="shared" si="196"/>
        <v>-0.17931587345985381</v>
      </c>
      <c r="P136" s="15" t="str">
        <f t="shared" si="205"/>
        <v>C</v>
      </c>
      <c r="Q136" t="str">
        <f t="shared" ref="Q136:Q199" si="214">IF(OR(ABS($O136-$O135)&gt;$V$2,O136*O135&lt;0),P136,Q135)</f>
        <v>C</v>
      </c>
      <c r="R136" s="18">
        <f t="shared" si="206"/>
        <v>-1.2136261739118914E-2</v>
      </c>
      <c r="S136" t="str">
        <f t="shared" si="138"/>
        <v>C</v>
      </c>
      <c r="T136">
        <v>0</v>
      </c>
      <c r="V136" s="17">
        <f t="shared" si="197"/>
        <v>36950</v>
      </c>
      <c r="W136" s="1" t="e">
        <f t="shared" si="198"/>
        <v>#N/A</v>
      </c>
      <c r="X136" s="1" t="e">
        <f t="shared" si="199"/>
        <v>#N/A</v>
      </c>
      <c r="Y136" s="1">
        <f t="shared" si="200"/>
        <v>-0.17931587345985381</v>
      </c>
      <c r="Z136" s="1" t="e">
        <f t="shared" si="201"/>
        <v>#N/A</v>
      </c>
      <c r="AA136">
        <v>0</v>
      </c>
      <c r="AB136" s="1" t="s">
        <v>19</v>
      </c>
      <c r="AD136" s="17">
        <f t="shared" si="207"/>
        <v>36950</v>
      </c>
      <c r="AE136" s="1" t="e">
        <f t="shared" si="208"/>
        <v>#N/A</v>
      </c>
      <c r="AF136" s="1" t="e">
        <f t="shared" si="209"/>
        <v>#N/A</v>
      </c>
      <c r="AG136" s="1">
        <f t="shared" si="210"/>
        <v>-0.17931587345985381</v>
      </c>
      <c r="AH136" s="1" t="e">
        <f t="shared" si="211"/>
        <v>#N/A</v>
      </c>
      <c r="AK136" s="1"/>
      <c r="AL136" s="1"/>
      <c r="AM136" s="1"/>
      <c r="AN136" s="1"/>
      <c r="AO136" s="17">
        <f t="shared" ref="AO136:AO199" si="215">A136</f>
        <v>36950</v>
      </c>
      <c r="AP136">
        <f t="shared" ref="AP136:AP199" si="216">IF($P136="E",4,IF($P136="R",2,IF($P136="SD",3,1)))</f>
        <v>1</v>
      </c>
      <c r="AQ136">
        <f t="shared" ref="AQ136:AQ199" si="217">IF($Q136="E",4,IF($Q136="R",2,IF($Q136="SD",3,1)))</f>
        <v>1</v>
      </c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7" t="e">
        <f t="shared" ref="BL136" si="218">#REF!</f>
        <v>#REF!</v>
      </c>
      <c r="BM136">
        <f t="shared" si="203"/>
        <v>1</v>
      </c>
      <c r="BN136">
        <f t="shared" si="204"/>
        <v>1</v>
      </c>
    </row>
    <row r="137" spans="1:66">
      <c r="A137" s="7">
        <v>36981</v>
      </c>
      <c r="B137" s="8">
        <v>4.2599999999999999E-3</v>
      </c>
      <c r="C137" s="8">
        <f t="shared" si="191"/>
        <v>0.1275419688821357</v>
      </c>
      <c r="D137" s="9">
        <f t="shared" si="187"/>
        <v>0.63770984441067846</v>
      </c>
      <c r="E137" s="8">
        <v>-7.6</v>
      </c>
      <c r="F137" s="8">
        <f t="shared" si="192"/>
        <v>-3.7741742381151395</v>
      </c>
      <c r="G137" s="9">
        <f t="shared" si="188"/>
        <v>-0.34310674891955811</v>
      </c>
      <c r="H137" s="8">
        <v>-1.0803</v>
      </c>
      <c r="I137" s="8">
        <f t="shared" si="193"/>
        <v>-0.76976817397082375</v>
      </c>
      <c r="J137" s="9">
        <f t="shared" si="194"/>
        <v>-0.5697681739708238</v>
      </c>
      <c r="K137" s="8">
        <v>-1.5209999999999999</v>
      </c>
      <c r="L137" s="8">
        <f t="shared" si="195"/>
        <v>-0.93206159268060995</v>
      </c>
      <c r="M137" s="9">
        <f t="shared" si="189"/>
        <v>-0.46603079634030498</v>
      </c>
      <c r="O137" s="11">
        <f t="shared" si="196"/>
        <v>-0.3083103813419773</v>
      </c>
      <c r="P137" s="15" t="str">
        <f t="shared" si="205"/>
        <v>C</v>
      </c>
      <c r="Q137" t="str">
        <f t="shared" si="214"/>
        <v>C</v>
      </c>
      <c r="R137" s="18">
        <f t="shared" si="206"/>
        <v>-1.2136261739118914E-2</v>
      </c>
      <c r="S137" t="str">
        <f t="shared" si="138"/>
        <v>C</v>
      </c>
      <c r="T137">
        <v>0</v>
      </c>
      <c r="V137" s="17">
        <f t="shared" si="197"/>
        <v>36981</v>
      </c>
      <c r="W137" s="1" t="e">
        <f t="shared" si="198"/>
        <v>#N/A</v>
      </c>
      <c r="X137" s="1" t="e">
        <f t="shared" si="199"/>
        <v>#N/A</v>
      </c>
      <c r="Y137" s="1">
        <f t="shared" si="200"/>
        <v>-0.3083103813419773</v>
      </c>
      <c r="Z137" s="1" t="e">
        <f t="shared" si="201"/>
        <v>#N/A</v>
      </c>
      <c r="AA137">
        <v>0</v>
      </c>
      <c r="AB137" s="1" t="s">
        <v>19</v>
      </c>
      <c r="AD137" s="17">
        <f t="shared" si="207"/>
        <v>36981</v>
      </c>
      <c r="AE137" s="1" t="e">
        <f t="shared" si="208"/>
        <v>#N/A</v>
      </c>
      <c r="AF137" s="1" t="e">
        <f t="shared" si="209"/>
        <v>#N/A</v>
      </c>
      <c r="AG137" s="1">
        <f t="shared" si="210"/>
        <v>-0.3083103813419773</v>
      </c>
      <c r="AH137" s="1" t="e">
        <f t="shared" si="211"/>
        <v>#N/A</v>
      </c>
      <c r="AK137" s="1"/>
      <c r="AL137" s="1"/>
      <c r="AM137" s="1"/>
      <c r="AN137" s="1"/>
      <c r="AO137" s="17">
        <f t="shared" si="215"/>
        <v>36981</v>
      </c>
      <c r="AP137">
        <f t="shared" si="216"/>
        <v>1</v>
      </c>
      <c r="AQ137">
        <f t="shared" si="217"/>
        <v>1</v>
      </c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7" t="e">
        <f t="shared" ref="BL137" si="219">#REF!</f>
        <v>#REF!</v>
      </c>
      <c r="BM137">
        <f t="shared" si="203"/>
        <v>1</v>
      </c>
      <c r="BN137">
        <f t="shared" si="204"/>
        <v>1</v>
      </c>
    </row>
    <row r="138" spans="1:66">
      <c r="A138" s="7">
        <v>37011</v>
      </c>
      <c r="B138" s="8">
        <v>0.14751700000000001</v>
      </c>
      <c r="C138" s="8">
        <f t="shared" si="191"/>
        <v>0.13323485275072705</v>
      </c>
      <c r="D138" s="9">
        <f t="shared" si="187"/>
        <v>0.6661742637536352</v>
      </c>
      <c r="E138" s="8">
        <v>-8.9</v>
      </c>
      <c r="F138" s="8">
        <f t="shared" si="192"/>
        <v>-5.235034580252325</v>
      </c>
      <c r="G138" s="9">
        <f t="shared" si="188"/>
        <v>-0.47591223456839321</v>
      </c>
      <c r="H138" s="8">
        <v>-1.1085</v>
      </c>
      <c r="I138" s="8">
        <f t="shared" si="193"/>
        <v>-0.86630674438913902</v>
      </c>
      <c r="J138" s="9">
        <f t="shared" si="194"/>
        <v>-0.66630674438913906</v>
      </c>
      <c r="K138" s="8">
        <v>-0.85099999999999998</v>
      </c>
      <c r="L138" s="8">
        <f t="shared" si="195"/>
        <v>-0.9089590387666362</v>
      </c>
      <c r="M138" s="9">
        <f t="shared" si="189"/>
        <v>-0.4544795193833181</v>
      </c>
      <c r="O138" s="11">
        <f t="shared" si="196"/>
        <v>-0.37255047743224101</v>
      </c>
      <c r="P138" s="15" t="str">
        <f t="shared" si="205"/>
        <v>C</v>
      </c>
      <c r="Q138" t="str">
        <f t="shared" si="214"/>
        <v>C</v>
      </c>
      <c r="R138" s="18">
        <f t="shared" si="206"/>
        <v>-1.2136261739118914E-2</v>
      </c>
      <c r="S138" t="str">
        <f t="shared" si="138"/>
        <v>C</v>
      </c>
      <c r="T138">
        <v>0</v>
      </c>
      <c r="V138" s="17">
        <f t="shared" si="197"/>
        <v>37011</v>
      </c>
      <c r="W138" s="1" t="e">
        <f t="shared" si="198"/>
        <v>#N/A</v>
      </c>
      <c r="X138" s="1" t="e">
        <f t="shared" si="199"/>
        <v>#N/A</v>
      </c>
      <c r="Y138" s="1">
        <f t="shared" si="200"/>
        <v>-0.37255047743224101</v>
      </c>
      <c r="Z138" s="1" t="e">
        <f t="shared" si="201"/>
        <v>#N/A</v>
      </c>
      <c r="AA138">
        <v>0</v>
      </c>
      <c r="AB138" s="1" t="s">
        <v>19</v>
      </c>
      <c r="AD138" s="17">
        <f t="shared" si="207"/>
        <v>37011</v>
      </c>
      <c r="AE138" s="1" t="e">
        <f t="shared" si="208"/>
        <v>#N/A</v>
      </c>
      <c r="AF138" s="1" t="e">
        <f t="shared" si="209"/>
        <v>#N/A</v>
      </c>
      <c r="AG138" s="1">
        <f t="shared" si="210"/>
        <v>-0.37255047743224101</v>
      </c>
      <c r="AH138" s="1" t="e">
        <f t="shared" si="211"/>
        <v>#N/A</v>
      </c>
      <c r="AK138" s="1"/>
      <c r="AL138" s="1"/>
      <c r="AM138" s="1"/>
      <c r="AN138" s="1"/>
      <c r="AO138" s="17">
        <f t="shared" si="215"/>
        <v>37011</v>
      </c>
      <c r="AP138">
        <f t="shared" si="216"/>
        <v>1</v>
      </c>
      <c r="AQ138">
        <f t="shared" si="217"/>
        <v>1</v>
      </c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7" t="e">
        <f t="shared" ref="BL138" si="220">#REF!</f>
        <v>#REF!</v>
      </c>
      <c r="BM138">
        <f t="shared" si="203"/>
        <v>1</v>
      </c>
      <c r="BN138">
        <f t="shared" si="204"/>
        <v>1</v>
      </c>
    </row>
    <row r="139" spans="1:66">
      <c r="A139" s="7">
        <v>37042</v>
      </c>
      <c r="B139" s="8">
        <v>0.19614799999999999</v>
      </c>
      <c r="C139" s="8">
        <f t="shared" si="191"/>
        <v>0.15116509971676984</v>
      </c>
      <c r="D139" s="9">
        <f t="shared" si="187"/>
        <v>0.75582549858384918</v>
      </c>
      <c r="E139" s="8">
        <v>-7.8</v>
      </c>
      <c r="F139" s="8">
        <f t="shared" si="192"/>
        <v>-5.9660497248804125</v>
      </c>
      <c r="G139" s="9">
        <f t="shared" si="188"/>
        <v>-0.54236815680731021</v>
      </c>
      <c r="H139" s="8">
        <v>-0.77559999999999996</v>
      </c>
      <c r="I139" s="8">
        <f t="shared" si="193"/>
        <v>-0.84045532223823449</v>
      </c>
      <c r="J139" s="9">
        <f t="shared" si="194"/>
        <v>-0.64045532223823454</v>
      </c>
      <c r="K139" s="8">
        <v>-0.52</v>
      </c>
      <c r="L139" s="8">
        <f t="shared" si="195"/>
        <v>-0.7981057127181449</v>
      </c>
      <c r="M139" s="9">
        <f t="shared" si="189"/>
        <v>-0.39905285635907245</v>
      </c>
      <c r="O139" s="11">
        <f t="shared" si="196"/>
        <v>-0.37904357409132511</v>
      </c>
      <c r="P139" s="15" t="str">
        <f t="shared" si="205"/>
        <v>C</v>
      </c>
      <c r="Q139" t="str">
        <f t="shared" si="214"/>
        <v>C</v>
      </c>
      <c r="R139" s="18">
        <f t="shared" si="206"/>
        <v>-1.2136261739118914E-2</v>
      </c>
      <c r="S139" t="str">
        <f t="shared" si="138"/>
        <v>C</v>
      </c>
      <c r="T139">
        <v>0</v>
      </c>
      <c r="V139" s="17">
        <f t="shared" si="197"/>
        <v>37042</v>
      </c>
      <c r="W139" s="1" t="e">
        <f t="shared" si="198"/>
        <v>#N/A</v>
      </c>
      <c r="X139" s="1" t="e">
        <f t="shared" si="199"/>
        <v>#N/A</v>
      </c>
      <c r="Y139" s="1">
        <f t="shared" si="200"/>
        <v>-0.37904357409132511</v>
      </c>
      <c r="Z139" s="1" t="e">
        <f t="shared" si="201"/>
        <v>#N/A</v>
      </c>
      <c r="AA139">
        <v>0</v>
      </c>
      <c r="AB139" s="1" t="s">
        <v>19</v>
      </c>
      <c r="AD139" s="17">
        <f t="shared" si="207"/>
        <v>37042</v>
      </c>
      <c r="AE139" s="1" t="e">
        <f t="shared" si="208"/>
        <v>#N/A</v>
      </c>
      <c r="AF139" s="1" t="e">
        <f t="shared" si="209"/>
        <v>#N/A</v>
      </c>
      <c r="AG139" s="1">
        <f t="shared" si="210"/>
        <v>-0.37904357409132511</v>
      </c>
      <c r="AH139" s="1" t="e">
        <f t="shared" si="211"/>
        <v>#N/A</v>
      </c>
      <c r="AK139" s="1"/>
      <c r="AL139" s="1"/>
      <c r="AM139" s="1"/>
      <c r="AN139" s="1"/>
      <c r="AO139" s="17">
        <f t="shared" si="215"/>
        <v>37042</v>
      </c>
      <c r="AP139">
        <f t="shared" si="216"/>
        <v>1</v>
      </c>
      <c r="AQ139">
        <f t="shared" si="217"/>
        <v>1</v>
      </c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7" t="e">
        <f t="shared" ref="BL139" si="221">#REF!</f>
        <v>#REF!</v>
      </c>
      <c r="BM139">
        <f t="shared" si="203"/>
        <v>1</v>
      </c>
      <c r="BN139">
        <f t="shared" si="204"/>
        <v>1</v>
      </c>
    </row>
    <row r="140" spans="1:66">
      <c r="A140" s="7">
        <v>37072</v>
      </c>
      <c r="B140" s="8">
        <v>6.2665999999999999E-2</v>
      </c>
      <c r="C140" s="8">
        <f t="shared" si="191"/>
        <v>0.12594285629749041</v>
      </c>
      <c r="D140" s="9">
        <f t="shared" si="187"/>
        <v>0.62971428148745201</v>
      </c>
      <c r="E140" s="8">
        <v>-8.8000000000000007</v>
      </c>
      <c r="F140" s="8">
        <f t="shared" si="192"/>
        <v>-6.7737255532894949</v>
      </c>
      <c r="G140" s="9">
        <f t="shared" si="188"/>
        <v>-0.61579323211722681</v>
      </c>
      <c r="H140" s="8">
        <v>-1.1241000000000001</v>
      </c>
      <c r="I140" s="8">
        <f t="shared" si="193"/>
        <v>-0.92129405540033771</v>
      </c>
      <c r="J140" s="9">
        <f t="shared" si="194"/>
        <v>-0.72129405540033775</v>
      </c>
      <c r="K140" s="8">
        <v>-8.2000000000000003E-2</v>
      </c>
      <c r="L140" s="8">
        <f t="shared" si="195"/>
        <v>-0.59401558459347359</v>
      </c>
      <c r="M140" s="9">
        <f t="shared" si="189"/>
        <v>-0.29700779229673679</v>
      </c>
      <c r="O140" s="11">
        <f t="shared" si="196"/>
        <v>-0.40522957320257025</v>
      </c>
      <c r="P140" s="15" t="str">
        <f t="shared" si="205"/>
        <v>C</v>
      </c>
      <c r="Q140" t="str">
        <f t="shared" si="214"/>
        <v>C</v>
      </c>
      <c r="R140" s="18">
        <f t="shared" si="206"/>
        <v>-1.2136261739118914E-2</v>
      </c>
      <c r="S140" t="str">
        <f t="shared" si="138"/>
        <v>C</v>
      </c>
      <c r="T140">
        <v>0</v>
      </c>
      <c r="V140" s="17">
        <f t="shared" si="197"/>
        <v>37072</v>
      </c>
      <c r="W140" s="1" t="e">
        <f t="shared" si="198"/>
        <v>#N/A</v>
      </c>
      <c r="X140" s="1" t="e">
        <f t="shared" si="199"/>
        <v>#N/A</v>
      </c>
      <c r="Y140" s="1">
        <f t="shared" si="200"/>
        <v>-0.40522957320257025</v>
      </c>
      <c r="Z140" s="1" t="e">
        <f t="shared" si="201"/>
        <v>#N/A</v>
      </c>
      <c r="AA140">
        <v>0</v>
      </c>
      <c r="AB140" s="1" t="s">
        <v>19</v>
      </c>
      <c r="AD140" s="17">
        <f t="shared" si="207"/>
        <v>37072</v>
      </c>
      <c r="AE140" s="1" t="e">
        <f t="shared" si="208"/>
        <v>#N/A</v>
      </c>
      <c r="AF140" s="1" t="e">
        <f t="shared" si="209"/>
        <v>#N/A</v>
      </c>
      <c r="AG140" s="1">
        <f t="shared" si="210"/>
        <v>-0.40522957320257025</v>
      </c>
      <c r="AH140" s="1" t="e">
        <f t="shared" si="211"/>
        <v>#N/A</v>
      </c>
      <c r="AK140" s="1"/>
      <c r="AL140" s="1"/>
      <c r="AM140" s="1"/>
      <c r="AN140" s="1"/>
      <c r="AO140" s="17">
        <f t="shared" si="215"/>
        <v>37072</v>
      </c>
      <c r="AP140">
        <f t="shared" si="216"/>
        <v>1</v>
      </c>
      <c r="AQ140">
        <f t="shared" si="217"/>
        <v>1</v>
      </c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7" t="e">
        <f t="shared" ref="BL140" si="222">#REF!</f>
        <v>#REF!</v>
      </c>
      <c r="BM140">
        <f t="shared" si="203"/>
        <v>1</v>
      </c>
      <c r="BN140">
        <f t="shared" si="204"/>
        <v>1</v>
      </c>
    </row>
    <row r="141" spans="1:66">
      <c r="A141" s="7">
        <v>37103</v>
      </c>
      <c r="B141" s="8">
        <v>4.0587999999999999E-2</v>
      </c>
      <c r="C141" s="8">
        <f t="shared" si="191"/>
        <v>0.10161672225270565</v>
      </c>
      <c r="D141" s="9">
        <f t="shared" si="187"/>
        <v>0.50808361126352819</v>
      </c>
      <c r="E141" s="8">
        <v>-8.8000000000000007</v>
      </c>
      <c r="F141" s="8">
        <f t="shared" si="192"/>
        <v>-7.3512137706019889</v>
      </c>
      <c r="G141" s="9">
        <f t="shared" si="188"/>
        <v>-0.66829216096381716</v>
      </c>
      <c r="H141" s="8">
        <v>-0.88180000000000003</v>
      </c>
      <c r="I141" s="8">
        <f t="shared" si="193"/>
        <v>-0.91003824961124147</v>
      </c>
      <c r="J141" s="9">
        <f t="shared" si="194"/>
        <v>-0.7100382496112414</v>
      </c>
      <c r="K141" s="8">
        <v>-0.30599999999999999</v>
      </c>
      <c r="L141" s="8">
        <f t="shared" si="195"/>
        <v>-0.51193114298433362</v>
      </c>
      <c r="M141" s="9">
        <f t="shared" si="189"/>
        <v>-0.25596557149216681</v>
      </c>
      <c r="O141" s="11">
        <f t="shared" si="196"/>
        <v>-0.42373075483983763</v>
      </c>
      <c r="P141" s="15" t="str">
        <f t="shared" si="205"/>
        <v>C</v>
      </c>
      <c r="Q141" t="str">
        <f t="shared" si="214"/>
        <v>C</v>
      </c>
      <c r="R141" s="18">
        <f t="shared" si="206"/>
        <v>-1.2136261739118914E-2</v>
      </c>
      <c r="S141" t="str">
        <f t="shared" si="138"/>
        <v>C</v>
      </c>
      <c r="T141">
        <v>0</v>
      </c>
      <c r="V141" s="17">
        <f t="shared" si="197"/>
        <v>37103</v>
      </c>
      <c r="W141" s="1" t="e">
        <f t="shared" si="198"/>
        <v>#N/A</v>
      </c>
      <c r="X141" s="1" t="e">
        <f t="shared" si="199"/>
        <v>#N/A</v>
      </c>
      <c r="Y141" s="1">
        <f t="shared" si="200"/>
        <v>-0.42373075483983763</v>
      </c>
      <c r="Z141" s="1" t="e">
        <f t="shared" si="201"/>
        <v>#N/A</v>
      </c>
      <c r="AA141">
        <v>0</v>
      </c>
      <c r="AB141" s="1" t="s">
        <v>19</v>
      </c>
      <c r="AD141" s="17">
        <f t="shared" si="207"/>
        <v>37103</v>
      </c>
      <c r="AE141" s="1" t="e">
        <f t="shared" si="208"/>
        <v>#N/A</v>
      </c>
      <c r="AF141" s="1" t="e">
        <f t="shared" si="209"/>
        <v>#N/A</v>
      </c>
      <c r="AG141" s="1">
        <f t="shared" si="210"/>
        <v>-0.42373075483983763</v>
      </c>
      <c r="AH141" s="1" t="e">
        <f t="shared" si="211"/>
        <v>#N/A</v>
      </c>
      <c r="AK141" s="1"/>
      <c r="AL141" s="1"/>
      <c r="AM141" s="1"/>
      <c r="AN141" s="1"/>
      <c r="AO141" s="17">
        <f t="shared" si="215"/>
        <v>37103</v>
      </c>
      <c r="AP141">
        <f t="shared" si="216"/>
        <v>1</v>
      </c>
      <c r="AQ141">
        <f t="shared" si="217"/>
        <v>1</v>
      </c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7" t="e">
        <f t="shared" ref="BL141" si="223">#REF!</f>
        <v>#REF!</v>
      </c>
      <c r="BM141">
        <f t="shared" si="203"/>
        <v>1</v>
      </c>
      <c r="BN141">
        <f t="shared" si="204"/>
        <v>1</v>
      </c>
    </row>
    <row r="142" spans="1:66">
      <c r="A142" s="7">
        <v>37134</v>
      </c>
      <c r="B142" s="8">
        <v>9.3869999999999995E-3</v>
      </c>
      <c r="C142" s="8">
        <f t="shared" si="191"/>
        <v>7.533125141068453E-2</v>
      </c>
      <c r="D142" s="9">
        <f t="shared" si="187"/>
        <v>0.37665625705342265</v>
      </c>
      <c r="E142" s="8">
        <v>-8.5</v>
      </c>
      <c r="F142" s="8">
        <f t="shared" si="192"/>
        <v>-7.6786178459804217</v>
      </c>
      <c r="G142" s="9">
        <f t="shared" si="188"/>
        <v>-0.69805616781640201</v>
      </c>
      <c r="H142" s="8">
        <v>-0.82450000000000001</v>
      </c>
      <c r="I142" s="8">
        <f t="shared" si="193"/>
        <v>-0.88565984847203771</v>
      </c>
      <c r="J142" s="9">
        <f t="shared" si="194"/>
        <v>-0.68565984847203776</v>
      </c>
      <c r="K142" s="8">
        <v>-0.47</v>
      </c>
      <c r="L142" s="8">
        <f t="shared" si="195"/>
        <v>-0.49998076723379853</v>
      </c>
      <c r="M142" s="9">
        <f t="shared" si="189"/>
        <v>-0.24999038361689926</v>
      </c>
      <c r="O142" s="11">
        <f t="shared" si="196"/>
        <v>-0.44351709221048397</v>
      </c>
      <c r="P142" s="15" t="str">
        <f t="shared" si="205"/>
        <v>C</v>
      </c>
      <c r="Q142" t="str">
        <f t="shared" si="214"/>
        <v>C</v>
      </c>
      <c r="R142" s="18">
        <f t="shared" si="206"/>
        <v>-1.2136261739118914E-2</v>
      </c>
      <c r="S142" t="str">
        <f t="shared" si="138"/>
        <v>C</v>
      </c>
      <c r="T142">
        <v>0</v>
      </c>
      <c r="V142" s="17">
        <f t="shared" si="197"/>
        <v>37134</v>
      </c>
      <c r="W142" s="1" t="e">
        <f t="shared" si="198"/>
        <v>#N/A</v>
      </c>
      <c r="X142" s="1" t="e">
        <f t="shared" si="199"/>
        <v>#N/A</v>
      </c>
      <c r="Y142" s="1">
        <f t="shared" si="200"/>
        <v>-0.44351709221048397</v>
      </c>
      <c r="Z142" s="1" t="e">
        <f t="shared" si="201"/>
        <v>#N/A</v>
      </c>
      <c r="AA142">
        <v>0</v>
      </c>
      <c r="AB142" s="1" t="s">
        <v>19</v>
      </c>
      <c r="AD142" s="17">
        <f t="shared" si="207"/>
        <v>37134</v>
      </c>
      <c r="AE142" s="1" t="e">
        <f t="shared" si="208"/>
        <v>#N/A</v>
      </c>
      <c r="AF142" s="1" t="e">
        <f t="shared" si="209"/>
        <v>#N/A</v>
      </c>
      <c r="AG142" s="1">
        <f t="shared" si="210"/>
        <v>-0.44351709221048397</v>
      </c>
      <c r="AH142" s="1" t="e">
        <f t="shared" si="211"/>
        <v>#N/A</v>
      </c>
      <c r="AK142" s="1"/>
      <c r="AL142" s="1"/>
      <c r="AM142" s="1"/>
      <c r="AN142" s="1"/>
      <c r="AO142" s="17">
        <f t="shared" si="215"/>
        <v>37134</v>
      </c>
      <c r="AP142">
        <f t="shared" si="216"/>
        <v>1</v>
      </c>
      <c r="AQ142">
        <f t="shared" si="217"/>
        <v>1</v>
      </c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7" t="e">
        <f t="shared" ref="BL142" si="224">#REF!</f>
        <v>#REF!</v>
      </c>
      <c r="BM142">
        <f t="shared" si="203"/>
        <v>1</v>
      </c>
      <c r="BN142">
        <f t="shared" si="204"/>
        <v>1</v>
      </c>
    </row>
    <row r="143" spans="1:66">
      <c r="A143" s="7">
        <v>37164</v>
      </c>
      <c r="B143" s="8">
        <v>-0.254332</v>
      </c>
      <c r="C143" s="8">
        <f t="shared" si="191"/>
        <v>-1.8622775241360578E-2</v>
      </c>
      <c r="D143" s="9">
        <f t="shared" si="187"/>
        <v>-9.3113876206802892E-2</v>
      </c>
      <c r="E143" s="8">
        <v>-10.4</v>
      </c>
      <c r="F143" s="8">
        <f t="shared" si="192"/>
        <v>-8.4542117598760029</v>
      </c>
      <c r="G143" s="9">
        <f t="shared" si="188"/>
        <v>-0.76856470544327304</v>
      </c>
      <c r="H143" s="8">
        <v>-1.42</v>
      </c>
      <c r="I143" s="8">
        <f t="shared" si="193"/>
        <v>-1.0379467916575069</v>
      </c>
      <c r="J143" s="9">
        <f t="shared" si="194"/>
        <v>-0.81879673716473356</v>
      </c>
      <c r="K143" s="8">
        <v>-1.4810000000000001</v>
      </c>
      <c r="L143" s="8">
        <f t="shared" si="195"/>
        <v>-0.77957124857216598</v>
      </c>
      <c r="M143" s="9">
        <f t="shared" si="189"/>
        <v>-0.38978562428608299</v>
      </c>
      <c r="O143" s="11">
        <f t="shared" si="196"/>
        <v>-0.58130294640084579</v>
      </c>
      <c r="P143" s="15" t="str">
        <f t="shared" si="205"/>
        <v>C</v>
      </c>
      <c r="Q143" t="str">
        <f t="shared" si="214"/>
        <v>C</v>
      </c>
      <c r="R143" s="18">
        <f t="shared" si="206"/>
        <v>-1.2136261739118914E-2</v>
      </c>
      <c r="S143" t="str">
        <f t="shared" si="138"/>
        <v>C</v>
      </c>
      <c r="T143">
        <v>0</v>
      </c>
      <c r="V143" s="17">
        <f t="shared" si="197"/>
        <v>37164</v>
      </c>
      <c r="W143" s="1" t="e">
        <f t="shared" si="198"/>
        <v>#N/A</v>
      </c>
      <c r="X143" s="1" t="e">
        <f t="shared" si="199"/>
        <v>#N/A</v>
      </c>
      <c r="Y143" s="1">
        <f t="shared" si="200"/>
        <v>-0.58130294640084579</v>
      </c>
      <c r="Z143" s="1" t="e">
        <f t="shared" si="201"/>
        <v>#N/A</v>
      </c>
      <c r="AA143">
        <v>0</v>
      </c>
      <c r="AB143" s="1" t="s">
        <v>19</v>
      </c>
      <c r="AD143" s="17">
        <f t="shared" si="207"/>
        <v>37164</v>
      </c>
      <c r="AE143" s="1" t="e">
        <f t="shared" si="208"/>
        <v>#N/A</v>
      </c>
      <c r="AF143" s="1" t="e">
        <f t="shared" si="209"/>
        <v>#N/A</v>
      </c>
      <c r="AG143" s="1">
        <f t="shared" si="210"/>
        <v>-0.58130294640084579</v>
      </c>
      <c r="AH143" s="1" t="e">
        <f t="shared" si="211"/>
        <v>#N/A</v>
      </c>
      <c r="AK143" s="1"/>
      <c r="AL143" s="1"/>
      <c r="AM143" s="1"/>
      <c r="AN143" s="1"/>
      <c r="AO143" s="17">
        <f t="shared" si="215"/>
        <v>37164</v>
      </c>
      <c r="AP143">
        <f t="shared" si="216"/>
        <v>1</v>
      </c>
      <c r="AQ143">
        <f t="shared" si="217"/>
        <v>1</v>
      </c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7" t="e">
        <f t="shared" ref="BL143" si="225">#REF!</f>
        <v>#REF!</v>
      </c>
      <c r="BM143">
        <f t="shared" si="203"/>
        <v>1</v>
      </c>
      <c r="BN143">
        <f t="shared" si="204"/>
        <v>1</v>
      </c>
    </row>
    <row r="144" spans="1:66">
      <c r="A144" s="7">
        <v>37195</v>
      </c>
      <c r="B144" s="8">
        <v>-0.36055999999999999</v>
      </c>
      <c r="C144" s="8">
        <f t="shared" si="191"/>
        <v>-0.11607488429757282</v>
      </c>
      <c r="D144" s="9">
        <f t="shared" si="187"/>
        <v>-0.580374421487864</v>
      </c>
      <c r="E144" s="8">
        <v>-10.1</v>
      </c>
      <c r="F144" s="8">
        <f t="shared" si="192"/>
        <v>-8.9232614083113422</v>
      </c>
      <c r="G144" s="9">
        <f t="shared" si="188"/>
        <v>-0.81120558257375841</v>
      </c>
      <c r="H144" s="8">
        <v>-0.56720000000000004</v>
      </c>
      <c r="I144" s="8">
        <f t="shared" si="193"/>
        <v>-0.90378395603511741</v>
      </c>
      <c r="J144" s="9">
        <f t="shared" si="194"/>
        <v>-0.70378395603511734</v>
      </c>
      <c r="K144" s="8">
        <v>-1.5409999999999999</v>
      </c>
      <c r="L144" s="8">
        <f t="shared" si="195"/>
        <v>-0.99657844272909868</v>
      </c>
      <c r="M144" s="9">
        <f t="shared" si="189"/>
        <v>-0.49828922136454934</v>
      </c>
      <c r="O144" s="11">
        <f t="shared" si="196"/>
        <v>-0.6492288070016683</v>
      </c>
      <c r="P144" s="15" t="str">
        <f t="shared" si="205"/>
        <v>C</v>
      </c>
      <c r="Q144" t="str">
        <f t="shared" si="214"/>
        <v>C</v>
      </c>
      <c r="R144" s="18">
        <f t="shared" si="206"/>
        <v>-1.2136261739118914E-2</v>
      </c>
      <c r="S144" t="str">
        <f t="shared" si="138"/>
        <v>C</v>
      </c>
      <c r="T144">
        <v>0</v>
      </c>
      <c r="V144" s="17">
        <f t="shared" si="197"/>
        <v>37195</v>
      </c>
      <c r="W144" s="1" t="e">
        <f t="shared" si="198"/>
        <v>#N/A</v>
      </c>
      <c r="X144" s="1" t="e">
        <f t="shared" si="199"/>
        <v>#N/A</v>
      </c>
      <c r="Y144" s="1">
        <f t="shared" si="200"/>
        <v>-0.6492288070016683</v>
      </c>
      <c r="Z144" s="1" t="e">
        <f t="shared" si="201"/>
        <v>#N/A</v>
      </c>
      <c r="AA144">
        <v>0</v>
      </c>
      <c r="AB144" s="1" t="s">
        <v>19</v>
      </c>
      <c r="AD144" s="17">
        <f t="shared" si="207"/>
        <v>37195</v>
      </c>
      <c r="AE144" s="1" t="e">
        <f t="shared" si="208"/>
        <v>#N/A</v>
      </c>
      <c r="AF144" s="1" t="e">
        <f t="shared" si="209"/>
        <v>#N/A</v>
      </c>
      <c r="AG144" s="1">
        <f t="shared" si="210"/>
        <v>-0.6492288070016683</v>
      </c>
      <c r="AH144" s="1" t="e">
        <f t="shared" si="211"/>
        <v>#N/A</v>
      </c>
      <c r="AK144" s="1"/>
      <c r="AL144" s="1"/>
      <c r="AM144" s="1"/>
      <c r="AN144" s="1"/>
      <c r="AO144" s="17">
        <f t="shared" si="215"/>
        <v>37195</v>
      </c>
      <c r="AP144">
        <f t="shared" si="216"/>
        <v>1</v>
      </c>
      <c r="AQ144">
        <f t="shared" si="217"/>
        <v>1</v>
      </c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7" t="e">
        <f t="shared" ref="BL144" si="226">#REF!</f>
        <v>#REF!</v>
      </c>
      <c r="BM144">
        <f t="shared" si="203"/>
        <v>1</v>
      </c>
      <c r="BN144">
        <f t="shared" si="204"/>
        <v>1</v>
      </c>
    </row>
    <row r="145" spans="1:66">
      <c r="A145" s="7">
        <v>37225</v>
      </c>
      <c r="B145" s="8">
        <v>-0.14529600000000001</v>
      </c>
      <c r="C145" s="8">
        <f t="shared" si="191"/>
        <v>-0.12440290227276457</v>
      </c>
      <c r="D145" s="9">
        <f t="shared" si="187"/>
        <v>-0.6220145113638228</v>
      </c>
      <c r="E145" s="8">
        <v>-9.1</v>
      </c>
      <c r="F145" s="8">
        <f t="shared" si="192"/>
        <v>-8.9736319069426091</v>
      </c>
      <c r="G145" s="9">
        <f t="shared" si="188"/>
        <v>-0.81578471881296444</v>
      </c>
      <c r="H145" s="8">
        <v>-0.84640000000000004</v>
      </c>
      <c r="I145" s="8">
        <f t="shared" si="193"/>
        <v>-0.88742952856510904</v>
      </c>
      <c r="J145" s="9">
        <f t="shared" si="194"/>
        <v>-0.68742952856510908</v>
      </c>
      <c r="K145" s="8">
        <v>-0.97699999999999998</v>
      </c>
      <c r="L145" s="8">
        <f t="shared" si="195"/>
        <v>-0.99099858655130557</v>
      </c>
      <c r="M145" s="9">
        <f t="shared" si="189"/>
        <v>-0.49549929327565279</v>
      </c>
      <c r="O145" s="11">
        <f t="shared" si="196"/>
        <v>-0.66044177246073843</v>
      </c>
      <c r="P145" s="15" t="str">
        <f t="shared" si="205"/>
        <v>C</v>
      </c>
      <c r="Q145" t="str">
        <f t="shared" si="214"/>
        <v>C</v>
      </c>
      <c r="R145" s="18">
        <f t="shared" si="206"/>
        <v>-1.2136261739118914E-2</v>
      </c>
      <c r="S145" t="str">
        <f t="shared" si="138"/>
        <v>C</v>
      </c>
      <c r="T145">
        <v>0</v>
      </c>
      <c r="V145" s="17">
        <f t="shared" si="197"/>
        <v>37225</v>
      </c>
      <c r="W145" s="1" t="e">
        <f t="shared" si="198"/>
        <v>#N/A</v>
      </c>
      <c r="X145" s="1" t="e">
        <f t="shared" si="199"/>
        <v>#N/A</v>
      </c>
      <c r="Y145" s="1">
        <f t="shared" si="200"/>
        <v>-0.66044177246073843</v>
      </c>
      <c r="Z145" s="1">
        <f t="shared" si="201"/>
        <v>-0.66044177246073843</v>
      </c>
      <c r="AA145">
        <v>0</v>
      </c>
      <c r="AB145" s="1" t="s">
        <v>19</v>
      </c>
      <c r="AD145" s="17">
        <f t="shared" si="207"/>
        <v>37225</v>
      </c>
      <c r="AE145" s="1" t="e">
        <f t="shared" si="208"/>
        <v>#N/A</v>
      </c>
      <c r="AF145" s="1" t="e">
        <f t="shared" si="209"/>
        <v>#N/A</v>
      </c>
      <c r="AG145" s="1">
        <f t="shared" si="210"/>
        <v>-0.66044177246073843</v>
      </c>
      <c r="AH145" s="1">
        <f t="shared" si="211"/>
        <v>-0.66044177246073843</v>
      </c>
      <c r="AK145" s="1"/>
      <c r="AL145" s="1"/>
      <c r="AM145" s="1"/>
      <c r="AN145" s="1"/>
      <c r="AO145" s="17">
        <f t="shared" si="215"/>
        <v>37225</v>
      </c>
      <c r="AP145">
        <f t="shared" si="216"/>
        <v>1</v>
      </c>
      <c r="AQ145">
        <f t="shared" si="217"/>
        <v>1</v>
      </c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7" t="e">
        <f t="shared" ref="BL145" si="227">#REF!</f>
        <v>#REF!</v>
      </c>
      <c r="BM145">
        <f t="shared" si="203"/>
        <v>1</v>
      </c>
      <c r="BN145">
        <f t="shared" si="204"/>
        <v>1</v>
      </c>
    </row>
    <row r="146" spans="1:66">
      <c r="A146" s="7">
        <v>37256</v>
      </c>
      <c r="B146" s="8">
        <v>-0.18626400000000001</v>
      </c>
      <c r="C146" s="8">
        <f t="shared" si="191"/>
        <v>-0.14203331512502668</v>
      </c>
      <c r="D146" s="9">
        <f t="shared" si="187"/>
        <v>-0.7101665756251333</v>
      </c>
      <c r="E146" s="8">
        <v>-7.4</v>
      </c>
      <c r="F146" s="8">
        <f t="shared" si="192"/>
        <v>-8.5251468134639659</v>
      </c>
      <c r="G146" s="9">
        <f t="shared" si="188"/>
        <v>-0.77501334667854238</v>
      </c>
      <c r="H146" s="8">
        <v>-0.48699999999999999</v>
      </c>
      <c r="I146" s="8">
        <f t="shared" si="193"/>
        <v>-0.77330711292405296</v>
      </c>
      <c r="J146" s="9">
        <f t="shared" si="194"/>
        <v>-0.57330711292405301</v>
      </c>
      <c r="K146" s="8">
        <v>-0.75800000000000001</v>
      </c>
      <c r="L146" s="8">
        <f t="shared" si="195"/>
        <v>-0.92459398938418347</v>
      </c>
      <c r="M146" s="9">
        <f t="shared" si="189"/>
        <v>-0.46229699469209173</v>
      </c>
      <c r="O146" s="11">
        <f t="shared" si="196"/>
        <v>-0.6264333054912461</v>
      </c>
      <c r="P146" s="15" t="str">
        <f t="shared" si="205"/>
        <v>R</v>
      </c>
      <c r="Q146" t="str">
        <f t="shared" si="214"/>
        <v>C</v>
      </c>
      <c r="R146" s="18">
        <f t="shared" si="206"/>
        <v>-1.2136261739118914E-2</v>
      </c>
      <c r="S146" t="str">
        <f t="shared" si="138"/>
        <v>R</v>
      </c>
      <c r="T146">
        <v>0</v>
      </c>
      <c r="V146" s="17">
        <f t="shared" si="197"/>
        <v>37256</v>
      </c>
      <c r="W146" s="1" t="e">
        <f t="shared" si="198"/>
        <v>#N/A</v>
      </c>
      <c r="X146" s="1" t="e">
        <f t="shared" si="199"/>
        <v>#N/A</v>
      </c>
      <c r="Y146" s="1" t="e">
        <f t="shared" si="200"/>
        <v>#N/A</v>
      </c>
      <c r="Z146" s="1">
        <f t="shared" si="201"/>
        <v>-0.6264333054912461</v>
      </c>
      <c r="AA146">
        <v>0</v>
      </c>
      <c r="AB146" s="1" t="s">
        <v>19</v>
      </c>
      <c r="AD146" s="17">
        <f t="shared" si="207"/>
        <v>37256</v>
      </c>
      <c r="AE146" s="1" t="e">
        <f t="shared" si="208"/>
        <v>#N/A</v>
      </c>
      <c r="AF146" s="1" t="e">
        <f t="shared" si="209"/>
        <v>#N/A</v>
      </c>
      <c r="AG146" s="1" t="e">
        <f t="shared" si="210"/>
        <v>#N/A</v>
      </c>
      <c r="AH146" s="1">
        <f t="shared" si="211"/>
        <v>-0.6264333054912461</v>
      </c>
      <c r="AK146" s="1"/>
      <c r="AL146" s="1"/>
      <c r="AM146" s="1"/>
      <c r="AN146" s="1"/>
      <c r="AO146" s="17">
        <f t="shared" si="215"/>
        <v>37256</v>
      </c>
      <c r="AP146">
        <f t="shared" si="216"/>
        <v>2</v>
      </c>
      <c r="AQ146">
        <f t="shared" si="217"/>
        <v>1</v>
      </c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7" t="e">
        <f t="shared" ref="BL146" si="228">#REF!</f>
        <v>#REF!</v>
      </c>
      <c r="BM146">
        <f t="shared" si="203"/>
        <v>1</v>
      </c>
      <c r="BN146">
        <f t="shared" si="204"/>
        <v>1</v>
      </c>
    </row>
    <row r="147" spans="1:66">
      <c r="A147" s="7">
        <v>37287</v>
      </c>
      <c r="B147" s="8">
        <v>-8.9506000000000002E-2</v>
      </c>
      <c r="C147" s="8">
        <f t="shared" si="191"/>
        <v>-0.12706303031439409</v>
      </c>
      <c r="D147" s="9">
        <f t="shared" si="187"/>
        <v>-0.63531515157197038</v>
      </c>
      <c r="E147" s="8">
        <v>-6.5</v>
      </c>
      <c r="F147" s="8">
        <f t="shared" si="192"/>
        <v>-7.9479799716267356</v>
      </c>
      <c r="G147" s="9">
        <f t="shared" si="188"/>
        <v>-0.72254363378424868</v>
      </c>
      <c r="H147" s="8">
        <v>-0.1636</v>
      </c>
      <c r="I147" s="8">
        <f t="shared" si="193"/>
        <v>-0.59954058574069791</v>
      </c>
      <c r="J147" s="9">
        <f t="shared" si="194"/>
        <v>-0.3995405857406979</v>
      </c>
      <c r="K147" s="8">
        <v>-0.51600000000000001</v>
      </c>
      <c r="L147" s="8">
        <f t="shared" si="195"/>
        <v>-0.80814470240969127</v>
      </c>
      <c r="M147" s="9">
        <f t="shared" si="189"/>
        <v>-0.40407235120484564</v>
      </c>
      <c r="O147" s="11">
        <f t="shared" si="196"/>
        <v>-0.53711940024442273</v>
      </c>
      <c r="P147" s="15" t="str">
        <f t="shared" si="205"/>
        <v>R</v>
      </c>
      <c r="Q147" t="str">
        <f t="shared" si="214"/>
        <v>R</v>
      </c>
      <c r="R147" s="18">
        <f t="shared" si="206"/>
        <v>-1.2136261739118914E-2</v>
      </c>
      <c r="S147" t="str">
        <f t="shared" si="138"/>
        <v>R</v>
      </c>
      <c r="T147">
        <v>0</v>
      </c>
      <c r="V147" s="17">
        <f t="shared" si="197"/>
        <v>37287</v>
      </c>
      <c r="W147" s="1" t="e">
        <f t="shared" si="198"/>
        <v>#N/A</v>
      </c>
      <c r="X147" s="1" t="e">
        <f t="shared" si="199"/>
        <v>#N/A</v>
      </c>
      <c r="Y147" s="1" t="e">
        <f t="shared" si="200"/>
        <v>#N/A</v>
      </c>
      <c r="Z147" s="1">
        <f t="shared" si="201"/>
        <v>-0.53711940024442273</v>
      </c>
      <c r="AA147">
        <v>0</v>
      </c>
      <c r="AB147" s="1" t="s">
        <v>19</v>
      </c>
      <c r="AD147" s="17">
        <f t="shared" si="207"/>
        <v>37287</v>
      </c>
      <c r="AE147" s="1" t="e">
        <f t="shared" si="208"/>
        <v>#N/A</v>
      </c>
      <c r="AF147" s="1" t="e">
        <f t="shared" si="209"/>
        <v>#N/A</v>
      </c>
      <c r="AG147" s="1" t="e">
        <f t="shared" si="210"/>
        <v>#N/A</v>
      </c>
      <c r="AH147" s="1">
        <f t="shared" si="211"/>
        <v>-0.53711940024442273</v>
      </c>
      <c r="AK147" s="1"/>
      <c r="AL147" s="1"/>
      <c r="AM147" s="1"/>
      <c r="AN147" s="1"/>
      <c r="AO147" s="17">
        <f t="shared" si="215"/>
        <v>37287</v>
      </c>
      <c r="AP147">
        <f t="shared" si="216"/>
        <v>2</v>
      </c>
      <c r="AQ147">
        <f t="shared" si="217"/>
        <v>2</v>
      </c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7" t="e">
        <f t="shared" ref="BL147" si="229">#REF!</f>
        <v>#REF!</v>
      </c>
      <c r="BM147">
        <f t="shared" si="203"/>
        <v>2</v>
      </c>
      <c r="BN147">
        <f t="shared" si="204"/>
        <v>1</v>
      </c>
    </row>
    <row r="148" spans="1:66">
      <c r="A148" s="7">
        <v>37315</v>
      </c>
      <c r="B148" s="8">
        <v>-8.9837E-2</v>
      </c>
      <c r="C148" s="8">
        <f t="shared" si="191"/>
        <v>-0.11645361167479178</v>
      </c>
      <c r="D148" s="9">
        <f t="shared" si="187"/>
        <v>-0.5822680583739589</v>
      </c>
      <c r="E148" s="8">
        <v>-4.5999999999999996</v>
      </c>
      <c r="F148" s="8">
        <f t="shared" si="192"/>
        <v>-6.9938056797131161</v>
      </c>
      <c r="G148" s="9">
        <f t="shared" si="188"/>
        <v>-0.63580051633755597</v>
      </c>
      <c r="H148" s="8">
        <v>-0.26440000000000002</v>
      </c>
      <c r="I148" s="8">
        <f t="shared" si="193"/>
        <v>-0.504025518804599</v>
      </c>
      <c r="J148" s="9">
        <f t="shared" si="194"/>
        <v>-0.30402551880459899</v>
      </c>
      <c r="K148" s="8">
        <v>-0.63300000000000001</v>
      </c>
      <c r="L148" s="8">
        <f t="shared" si="195"/>
        <v>-0.75822846222292928</v>
      </c>
      <c r="M148" s="9">
        <f t="shared" si="189"/>
        <v>-0.37911423111146464</v>
      </c>
      <c r="O148" s="11">
        <f t="shared" si="196"/>
        <v>-0.47993182094748954</v>
      </c>
      <c r="P148" s="15" t="str">
        <f t="shared" si="205"/>
        <v>R</v>
      </c>
      <c r="Q148" t="str">
        <f t="shared" si="214"/>
        <v>R</v>
      </c>
      <c r="R148" s="18">
        <f t="shared" si="206"/>
        <v>-1.2136261739118914E-2</v>
      </c>
      <c r="S148" t="str">
        <f t="shared" ref="S148:S211" si="230">IF(OR(ABS($R148-$R147)&gt;$V$2,R148*R147&lt;0,ABS(O148-MAX(O137:O147))&gt;$AJ$2),P148,S147)</f>
        <v>R</v>
      </c>
      <c r="T148">
        <v>0</v>
      </c>
      <c r="V148" s="17">
        <f t="shared" si="197"/>
        <v>37315</v>
      </c>
      <c r="W148" s="1" t="e">
        <f t="shared" si="198"/>
        <v>#N/A</v>
      </c>
      <c r="X148" s="1" t="e">
        <f t="shared" si="199"/>
        <v>#N/A</v>
      </c>
      <c r="Y148" s="1" t="e">
        <f t="shared" si="200"/>
        <v>#N/A</v>
      </c>
      <c r="Z148" s="1">
        <f t="shared" si="201"/>
        <v>-0.47993182094748954</v>
      </c>
      <c r="AA148">
        <v>0</v>
      </c>
      <c r="AB148" s="1" t="s">
        <v>19</v>
      </c>
      <c r="AD148" s="17">
        <f t="shared" si="207"/>
        <v>37315</v>
      </c>
      <c r="AE148" s="1" t="e">
        <f t="shared" si="208"/>
        <v>#N/A</v>
      </c>
      <c r="AF148" s="1" t="e">
        <f t="shared" si="209"/>
        <v>#N/A</v>
      </c>
      <c r="AG148" s="1" t="e">
        <f t="shared" si="210"/>
        <v>#N/A</v>
      </c>
      <c r="AH148" s="1">
        <f t="shared" si="211"/>
        <v>-0.47993182094748954</v>
      </c>
      <c r="AK148" s="1"/>
      <c r="AL148" s="1"/>
      <c r="AM148" s="1"/>
      <c r="AN148" s="1"/>
      <c r="AO148" s="17">
        <f t="shared" si="215"/>
        <v>37315</v>
      </c>
      <c r="AP148">
        <f t="shared" si="216"/>
        <v>2</v>
      </c>
      <c r="AQ148">
        <f t="shared" si="217"/>
        <v>2</v>
      </c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7" t="e">
        <f t="shared" ref="BL148" si="231">#REF!</f>
        <v>#REF!</v>
      </c>
      <c r="BM148">
        <f t="shared" si="203"/>
        <v>2</v>
      </c>
      <c r="BN148">
        <f t="shared" si="204"/>
        <v>1</v>
      </c>
    </row>
    <row r="149" spans="1:66">
      <c r="A149" s="7">
        <v>37346</v>
      </c>
      <c r="B149" s="8">
        <v>-4.8212999999999999E-2</v>
      </c>
      <c r="C149" s="8">
        <f t="shared" si="191"/>
        <v>-9.700503734747612E-2</v>
      </c>
      <c r="D149" s="9">
        <f t="shared" si="187"/>
        <v>-0.4850251867373806</v>
      </c>
      <c r="E149" s="8">
        <v>-2.5</v>
      </c>
      <c r="F149" s="8">
        <f t="shared" si="192"/>
        <v>-5.7130710609948778</v>
      </c>
      <c r="G149" s="9">
        <f t="shared" si="188"/>
        <v>-0.51937009645407983</v>
      </c>
      <c r="H149" s="8">
        <v>-0.14169999999999999</v>
      </c>
      <c r="I149" s="8">
        <f t="shared" si="193"/>
        <v>-0.40076274594528827</v>
      </c>
      <c r="J149" s="9">
        <f t="shared" si="194"/>
        <v>-0.20076274594528826</v>
      </c>
      <c r="K149" s="8">
        <v>-0.36</v>
      </c>
      <c r="L149" s="8">
        <f t="shared" si="195"/>
        <v>-0.6447333504893944</v>
      </c>
      <c r="M149" s="9">
        <f t="shared" si="189"/>
        <v>-0.3223666752446972</v>
      </c>
      <c r="O149" s="11">
        <f t="shared" si="196"/>
        <v>-0.39618149993200047</v>
      </c>
      <c r="P149" s="15" t="str">
        <f t="shared" si="205"/>
        <v>R</v>
      </c>
      <c r="Q149" t="str">
        <f t="shared" si="214"/>
        <v>R</v>
      </c>
      <c r="R149" s="18">
        <f t="shared" si="206"/>
        <v>-1.2136261739118914E-2</v>
      </c>
      <c r="S149" t="str">
        <f t="shared" si="230"/>
        <v>R</v>
      </c>
      <c r="T149">
        <v>0</v>
      </c>
      <c r="V149" s="17">
        <f t="shared" si="197"/>
        <v>37346</v>
      </c>
      <c r="W149" s="1" t="e">
        <f t="shared" si="198"/>
        <v>#N/A</v>
      </c>
      <c r="X149" s="1" t="e">
        <f t="shared" si="199"/>
        <v>#N/A</v>
      </c>
      <c r="Y149" s="1" t="e">
        <f t="shared" si="200"/>
        <v>#N/A</v>
      </c>
      <c r="Z149" s="1">
        <f t="shared" si="201"/>
        <v>-0.39618149993200047</v>
      </c>
      <c r="AA149">
        <v>0</v>
      </c>
      <c r="AB149" s="1" t="s">
        <v>19</v>
      </c>
      <c r="AD149" s="17">
        <f t="shared" si="207"/>
        <v>37346</v>
      </c>
      <c r="AE149" s="1" t="e">
        <f t="shared" si="208"/>
        <v>#N/A</v>
      </c>
      <c r="AF149" s="1" t="e">
        <f t="shared" si="209"/>
        <v>#N/A</v>
      </c>
      <c r="AG149" s="1" t="e">
        <f t="shared" si="210"/>
        <v>#N/A</v>
      </c>
      <c r="AH149" s="1">
        <f t="shared" si="211"/>
        <v>-0.39618149993200047</v>
      </c>
      <c r="AK149" s="1"/>
      <c r="AL149" s="1"/>
      <c r="AM149" s="1"/>
      <c r="AN149" s="1"/>
      <c r="AO149" s="17">
        <f t="shared" si="215"/>
        <v>37346</v>
      </c>
      <c r="AP149">
        <f t="shared" si="216"/>
        <v>2</v>
      </c>
      <c r="AQ149">
        <f t="shared" si="217"/>
        <v>2</v>
      </c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7" t="e">
        <f t="shared" ref="BL149" si="232">#REF!</f>
        <v>#REF!</v>
      </c>
      <c r="BM149">
        <f t="shared" si="203"/>
        <v>2</v>
      </c>
      <c r="BN149">
        <f t="shared" si="204"/>
        <v>1</v>
      </c>
    </row>
    <row r="150" spans="1:66">
      <c r="A150" s="7">
        <v>37376</v>
      </c>
      <c r="B150" s="8">
        <v>-9.9211999999999995E-2</v>
      </c>
      <c r="C150" s="8">
        <f t="shared" si="191"/>
        <v>-9.7634021703445428E-2</v>
      </c>
      <c r="D150" s="9">
        <f t="shared" si="187"/>
        <v>-0.48817010851722714</v>
      </c>
      <c r="E150" s="8">
        <v>-0.5</v>
      </c>
      <c r="F150" s="8">
        <f t="shared" si="192"/>
        <v>-4.2273458086113376</v>
      </c>
      <c r="G150" s="9">
        <f t="shared" si="188"/>
        <v>-0.3843041644192125</v>
      </c>
      <c r="H150" s="8">
        <v>7.8200000000000006E-2</v>
      </c>
      <c r="I150" s="8">
        <f t="shared" si="193"/>
        <v>-0.2642583633508811</v>
      </c>
      <c r="J150" s="9">
        <f t="shared" si="194"/>
        <v>-6.4258363350881087E-2</v>
      </c>
      <c r="K150" s="8">
        <v>-0.49399999999999999</v>
      </c>
      <c r="L150" s="8">
        <f t="shared" si="195"/>
        <v>-0.60177434559991694</v>
      </c>
      <c r="M150" s="9">
        <f t="shared" si="189"/>
        <v>-0.30088717279995847</v>
      </c>
      <c r="O150" s="11">
        <f t="shared" si="196"/>
        <v>-0.31417170063319855</v>
      </c>
      <c r="P150" s="15" t="str">
        <f t="shared" si="205"/>
        <v>R</v>
      </c>
      <c r="Q150" t="str">
        <f t="shared" si="214"/>
        <v>R</v>
      </c>
      <c r="R150" s="18">
        <f t="shared" si="206"/>
        <v>-1.2136261739118914E-2</v>
      </c>
      <c r="S150" t="str">
        <f t="shared" si="230"/>
        <v>R</v>
      </c>
      <c r="T150">
        <v>0</v>
      </c>
      <c r="V150" s="17">
        <f t="shared" si="197"/>
        <v>37376</v>
      </c>
      <c r="W150" s="1" t="e">
        <f t="shared" si="198"/>
        <v>#N/A</v>
      </c>
      <c r="X150" s="1" t="e">
        <f t="shared" si="199"/>
        <v>#N/A</v>
      </c>
      <c r="Y150" s="1" t="e">
        <f t="shared" si="200"/>
        <v>#N/A</v>
      </c>
      <c r="Z150" s="1">
        <f t="shared" si="201"/>
        <v>-0.31417170063319855</v>
      </c>
      <c r="AA150">
        <v>0</v>
      </c>
      <c r="AB150" s="1" t="s">
        <v>19</v>
      </c>
      <c r="AD150" s="17">
        <f t="shared" si="207"/>
        <v>37376</v>
      </c>
      <c r="AE150" s="1" t="e">
        <f t="shared" si="208"/>
        <v>#N/A</v>
      </c>
      <c r="AF150" s="1" t="e">
        <f t="shared" si="209"/>
        <v>#N/A</v>
      </c>
      <c r="AG150" s="1" t="e">
        <f t="shared" si="210"/>
        <v>#N/A</v>
      </c>
      <c r="AH150" s="1">
        <f t="shared" si="211"/>
        <v>-0.31417170063319855</v>
      </c>
      <c r="AK150" s="1"/>
      <c r="AL150" s="1"/>
      <c r="AM150" s="1"/>
      <c r="AN150" s="1"/>
      <c r="AO150" s="17">
        <f t="shared" si="215"/>
        <v>37376</v>
      </c>
      <c r="AP150">
        <f t="shared" si="216"/>
        <v>2</v>
      </c>
      <c r="AQ150">
        <f t="shared" si="217"/>
        <v>2</v>
      </c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7" t="e">
        <f t="shared" ref="BL150" si="233">#REF!</f>
        <v>#REF!</v>
      </c>
      <c r="BM150">
        <f t="shared" si="203"/>
        <v>2</v>
      </c>
      <c r="BN150">
        <f t="shared" si="204"/>
        <v>1</v>
      </c>
    </row>
    <row r="151" spans="1:66">
      <c r="A151" s="7">
        <v>37407</v>
      </c>
      <c r="B151" s="8">
        <v>-8.3432000000000006E-2</v>
      </c>
      <c r="C151" s="8">
        <f t="shared" si="191"/>
        <v>-9.3586445517963482E-2</v>
      </c>
      <c r="D151" s="9">
        <f t="shared" si="187"/>
        <v>-0.4679322275898174</v>
      </c>
      <c r="E151" s="8">
        <v>0</v>
      </c>
      <c r="F151" s="8">
        <f t="shared" si="192"/>
        <v>-3.0225522531571061</v>
      </c>
      <c r="G151" s="9">
        <f t="shared" si="188"/>
        <v>-0.27477747755973692</v>
      </c>
      <c r="H151" s="8">
        <v>0.17430000000000001</v>
      </c>
      <c r="I151" s="8">
        <f t="shared" si="193"/>
        <v>-0.13926922979587997</v>
      </c>
      <c r="J151" s="9">
        <f t="shared" si="194"/>
        <v>6.0730770204120044E-2</v>
      </c>
      <c r="K151" s="8">
        <v>-0.5</v>
      </c>
      <c r="L151" s="8">
        <f t="shared" si="195"/>
        <v>-0.57276865710394054</v>
      </c>
      <c r="M151" s="9">
        <f t="shared" si="189"/>
        <v>-0.28638432855197027</v>
      </c>
      <c r="O151" s="11">
        <f t="shared" si="196"/>
        <v>-0.22978053958910055</v>
      </c>
      <c r="P151" s="15" t="str">
        <f t="shared" si="205"/>
        <v>R</v>
      </c>
      <c r="Q151" t="str">
        <f t="shared" si="214"/>
        <v>R</v>
      </c>
      <c r="R151" s="18">
        <f t="shared" si="206"/>
        <v>-1.2136261739118914E-2</v>
      </c>
      <c r="S151" t="str">
        <f t="shared" si="230"/>
        <v>R</v>
      </c>
      <c r="T151">
        <v>0</v>
      </c>
      <c r="V151" s="17">
        <f t="shared" si="197"/>
        <v>37407</v>
      </c>
      <c r="W151" s="1" t="e">
        <f t="shared" si="198"/>
        <v>#N/A</v>
      </c>
      <c r="X151" s="1" t="e">
        <f t="shared" si="199"/>
        <v>#N/A</v>
      </c>
      <c r="Y151" s="1" t="e">
        <f t="shared" si="200"/>
        <v>#N/A</v>
      </c>
      <c r="Z151" s="1">
        <f t="shared" si="201"/>
        <v>-0.22978053958910055</v>
      </c>
      <c r="AA151">
        <v>0</v>
      </c>
      <c r="AB151" s="1" t="s">
        <v>19</v>
      </c>
      <c r="AD151" s="17">
        <f t="shared" si="207"/>
        <v>37407</v>
      </c>
      <c r="AE151" s="1" t="e">
        <f t="shared" si="208"/>
        <v>#N/A</v>
      </c>
      <c r="AF151" s="1" t="e">
        <f t="shared" si="209"/>
        <v>#N/A</v>
      </c>
      <c r="AG151" s="1" t="e">
        <f t="shared" si="210"/>
        <v>#N/A</v>
      </c>
      <c r="AH151" s="1">
        <f t="shared" si="211"/>
        <v>-0.22978053958910055</v>
      </c>
      <c r="AK151" s="1"/>
      <c r="AL151" s="1"/>
      <c r="AM151" s="1"/>
      <c r="AN151" s="1"/>
      <c r="AO151" s="17">
        <f t="shared" si="215"/>
        <v>37407</v>
      </c>
      <c r="AP151">
        <f t="shared" si="216"/>
        <v>2</v>
      </c>
      <c r="AQ151">
        <f t="shared" si="217"/>
        <v>2</v>
      </c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7" t="e">
        <f t="shared" ref="BL151" si="234">#REF!</f>
        <v>#REF!</v>
      </c>
      <c r="BM151">
        <f t="shared" si="203"/>
        <v>2</v>
      </c>
      <c r="BN151">
        <f t="shared" si="204"/>
        <v>1</v>
      </c>
    </row>
    <row r="152" spans="1:66">
      <c r="A152" s="7">
        <v>37437</v>
      </c>
      <c r="B152" s="8">
        <v>-0.110433</v>
      </c>
      <c r="C152" s="8">
        <f t="shared" si="191"/>
        <v>-9.8387713545343897E-2</v>
      </c>
      <c r="D152" s="9">
        <f t="shared" si="187"/>
        <v>-0.49193856772671946</v>
      </c>
      <c r="E152" s="8">
        <v>1</v>
      </c>
      <c r="F152" s="8">
        <f t="shared" si="192"/>
        <v>-1.8761248610073307</v>
      </c>
      <c r="G152" s="9">
        <f t="shared" si="188"/>
        <v>-0.17055680554612096</v>
      </c>
      <c r="H152" s="8">
        <v>4.3099999999999999E-2</v>
      </c>
      <c r="I152" s="8">
        <f t="shared" si="193"/>
        <v>-8.7293999304054168E-2</v>
      </c>
      <c r="J152" s="9">
        <f t="shared" si="194"/>
        <v>0.11270600069594584</v>
      </c>
      <c r="K152" s="8">
        <v>-0.95599999999999996</v>
      </c>
      <c r="L152" s="8">
        <f t="shared" si="195"/>
        <v>-0.68198958982931757</v>
      </c>
      <c r="M152" s="9">
        <f t="shared" si="189"/>
        <v>-0.34099479491465878</v>
      </c>
      <c r="O152" s="11">
        <f t="shared" si="196"/>
        <v>-0.20011373830620693</v>
      </c>
      <c r="P152" s="15" t="str">
        <f t="shared" si="205"/>
        <v>R</v>
      </c>
      <c r="Q152" t="str">
        <f t="shared" si="214"/>
        <v>R</v>
      </c>
      <c r="R152" s="18">
        <f t="shared" si="206"/>
        <v>-1.2136261739118914E-2</v>
      </c>
      <c r="S152" t="str">
        <f t="shared" si="230"/>
        <v>R</v>
      </c>
      <c r="T152">
        <v>0</v>
      </c>
      <c r="V152" s="17">
        <f t="shared" si="197"/>
        <v>37437</v>
      </c>
      <c r="W152" s="1" t="e">
        <f t="shared" si="198"/>
        <v>#N/A</v>
      </c>
      <c r="X152" s="1" t="e">
        <f t="shared" si="199"/>
        <v>#N/A</v>
      </c>
      <c r="Y152" s="1">
        <f t="shared" si="200"/>
        <v>-0.20011373830620693</v>
      </c>
      <c r="Z152" s="1">
        <f t="shared" si="201"/>
        <v>-0.20011373830620693</v>
      </c>
      <c r="AA152">
        <v>0</v>
      </c>
      <c r="AB152" s="1" t="s">
        <v>19</v>
      </c>
      <c r="AD152" s="17">
        <f t="shared" si="207"/>
        <v>37437</v>
      </c>
      <c r="AE152" s="1" t="e">
        <f t="shared" si="208"/>
        <v>#N/A</v>
      </c>
      <c r="AF152" s="1" t="e">
        <f t="shared" si="209"/>
        <v>#N/A</v>
      </c>
      <c r="AG152" s="1" t="e">
        <f t="shared" si="210"/>
        <v>#N/A</v>
      </c>
      <c r="AH152" s="1">
        <f t="shared" si="211"/>
        <v>-0.20011373830620693</v>
      </c>
      <c r="AK152" s="1"/>
      <c r="AL152" s="1"/>
      <c r="AM152" s="1"/>
      <c r="AN152" s="1"/>
      <c r="AO152" s="17">
        <f t="shared" si="215"/>
        <v>37437</v>
      </c>
      <c r="AP152">
        <f t="shared" si="216"/>
        <v>2</v>
      </c>
      <c r="AQ152">
        <f t="shared" si="217"/>
        <v>2</v>
      </c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7" t="e">
        <f t="shared" ref="BL152" si="235">#REF!</f>
        <v>#REF!</v>
      </c>
      <c r="BM152">
        <f t="shared" si="203"/>
        <v>2</v>
      </c>
      <c r="BN152">
        <f t="shared" si="204"/>
        <v>1</v>
      </c>
    </row>
    <row r="153" spans="1:66">
      <c r="A153" s="7">
        <v>37468</v>
      </c>
      <c r="B153" s="8">
        <v>-0.16231300000000001</v>
      </c>
      <c r="C153" s="8">
        <f t="shared" si="191"/>
        <v>-0.1166064201849209</v>
      </c>
      <c r="D153" s="9">
        <f t="shared" si="187"/>
        <v>-0.58303210092460445</v>
      </c>
      <c r="E153" s="8">
        <v>0.8</v>
      </c>
      <c r="F153" s="8">
        <f t="shared" si="192"/>
        <v>-1.1134292756202413</v>
      </c>
      <c r="G153" s="9">
        <f t="shared" si="188"/>
        <v>-0.10122084323820375</v>
      </c>
      <c r="H153" s="8">
        <v>-0.49619999999999997</v>
      </c>
      <c r="I153" s="8">
        <f t="shared" si="193"/>
        <v>-0.20383220950239875</v>
      </c>
      <c r="J153" s="9">
        <f t="shared" si="194"/>
        <v>-3.8322095023987368E-3</v>
      </c>
      <c r="K153" s="8">
        <v>-1.472</v>
      </c>
      <c r="L153" s="8">
        <f t="shared" si="195"/>
        <v>-0.90714255672796207</v>
      </c>
      <c r="M153" s="9">
        <f t="shared" si="189"/>
        <v>-0.45357127836398103</v>
      </c>
      <c r="O153" s="11">
        <f t="shared" si="196"/>
        <v>-0.24669129811621068</v>
      </c>
      <c r="P153" s="15" t="str">
        <f t="shared" si="205"/>
        <v>C</v>
      </c>
      <c r="Q153" t="str">
        <f t="shared" si="214"/>
        <v>R</v>
      </c>
      <c r="R153" s="18">
        <f t="shared" si="206"/>
        <v>-1.2136261739118914E-2</v>
      </c>
      <c r="S153" t="str">
        <f t="shared" si="230"/>
        <v>R</v>
      </c>
      <c r="T153">
        <v>0</v>
      </c>
      <c r="V153" s="17">
        <f t="shared" si="197"/>
        <v>37468</v>
      </c>
      <c r="W153" s="1" t="e">
        <f t="shared" si="198"/>
        <v>#N/A</v>
      </c>
      <c r="X153" s="1" t="e">
        <f t="shared" si="199"/>
        <v>#N/A</v>
      </c>
      <c r="Y153" s="1">
        <f t="shared" si="200"/>
        <v>-0.24669129811621068</v>
      </c>
      <c r="Z153" s="1" t="e">
        <f t="shared" si="201"/>
        <v>#N/A</v>
      </c>
      <c r="AA153">
        <v>0</v>
      </c>
      <c r="AB153" s="1" t="s">
        <v>19</v>
      </c>
      <c r="AD153" s="17">
        <f t="shared" si="207"/>
        <v>37468</v>
      </c>
      <c r="AE153" s="1" t="e">
        <f t="shared" si="208"/>
        <v>#N/A</v>
      </c>
      <c r="AF153" s="1" t="e">
        <f t="shared" si="209"/>
        <v>#N/A</v>
      </c>
      <c r="AG153" s="1">
        <f t="shared" si="210"/>
        <v>-0.24669129811621068</v>
      </c>
      <c r="AH153" s="1">
        <f t="shared" si="211"/>
        <v>-0.24669129811621068</v>
      </c>
      <c r="AK153" s="1"/>
      <c r="AL153" s="1"/>
      <c r="AM153" s="1"/>
      <c r="AN153" s="1"/>
      <c r="AO153" s="17">
        <f t="shared" si="215"/>
        <v>37468</v>
      </c>
      <c r="AP153">
        <f t="shared" si="216"/>
        <v>1</v>
      </c>
      <c r="AQ153">
        <f t="shared" si="217"/>
        <v>2</v>
      </c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7" t="e">
        <f t="shared" ref="BL153" si="236">#REF!</f>
        <v>#REF!</v>
      </c>
      <c r="BM153">
        <f t="shared" si="203"/>
        <v>2</v>
      </c>
      <c r="BN153">
        <f t="shared" si="204"/>
        <v>1</v>
      </c>
    </row>
    <row r="154" spans="1:66">
      <c r="A154" s="7">
        <v>37499</v>
      </c>
      <c r="B154" s="8">
        <v>-8.8942999999999994E-2</v>
      </c>
      <c r="C154" s="8">
        <f t="shared" si="191"/>
        <v>-0.10872234543221844</v>
      </c>
      <c r="D154" s="9">
        <f t="shared" si="187"/>
        <v>-0.54361172716109218</v>
      </c>
      <c r="E154" s="8">
        <v>1.3</v>
      </c>
      <c r="F154" s="8">
        <f t="shared" si="192"/>
        <v>-0.42560193206847241</v>
      </c>
      <c r="G154" s="9">
        <f t="shared" si="188"/>
        <v>-3.8691084733497492E-2</v>
      </c>
      <c r="H154" s="8">
        <v>-0.39219999999999999</v>
      </c>
      <c r="I154" s="8">
        <f t="shared" si="193"/>
        <v>-0.25751702979421509</v>
      </c>
      <c r="J154" s="9">
        <f t="shared" si="194"/>
        <v>-5.751702979421508E-2</v>
      </c>
      <c r="K154" s="8">
        <v>-1.605</v>
      </c>
      <c r="L154" s="8">
        <f t="shared" si="195"/>
        <v>-1.1060319280604929</v>
      </c>
      <c r="M154" s="9">
        <f t="shared" si="189"/>
        <v>-1.0516805256638029</v>
      </c>
      <c r="O154" s="11">
        <f t="shared" si="196"/>
        <v>-0.41748669232497576</v>
      </c>
      <c r="P154" s="15" t="str">
        <f t="shared" si="205"/>
        <v>C</v>
      </c>
      <c r="Q154" t="str">
        <f t="shared" si="214"/>
        <v>C</v>
      </c>
      <c r="R154" s="18">
        <f t="shared" si="206"/>
        <v>-1.2136261739118914E-2</v>
      </c>
      <c r="S154" t="str">
        <f t="shared" si="230"/>
        <v>C</v>
      </c>
      <c r="T154">
        <v>0</v>
      </c>
      <c r="V154" s="17">
        <f t="shared" si="197"/>
        <v>37499</v>
      </c>
      <c r="W154" s="1" t="e">
        <f t="shared" si="198"/>
        <v>#N/A</v>
      </c>
      <c r="X154" s="1" t="e">
        <f t="shared" si="199"/>
        <v>#N/A</v>
      </c>
      <c r="Y154" s="1">
        <f t="shared" si="200"/>
        <v>-0.41748669232497576</v>
      </c>
      <c r="Z154" s="1" t="e">
        <f t="shared" si="201"/>
        <v>#N/A</v>
      </c>
      <c r="AA154">
        <v>0</v>
      </c>
      <c r="AB154" s="1" t="s">
        <v>19</v>
      </c>
      <c r="AD154" s="17">
        <f t="shared" si="207"/>
        <v>37499</v>
      </c>
      <c r="AE154" s="1" t="e">
        <f t="shared" si="208"/>
        <v>#N/A</v>
      </c>
      <c r="AF154" s="1" t="e">
        <f t="shared" si="209"/>
        <v>#N/A</v>
      </c>
      <c r="AG154" s="1">
        <f t="shared" si="210"/>
        <v>-0.41748669232497576</v>
      </c>
      <c r="AH154" s="1" t="e">
        <f t="shared" si="211"/>
        <v>#N/A</v>
      </c>
      <c r="AK154" s="1"/>
      <c r="AL154" s="1"/>
      <c r="AM154" s="1"/>
      <c r="AN154" s="1"/>
      <c r="AO154" s="17">
        <f t="shared" si="215"/>
        <v>37499</v>
      </c>
      <c r="AP154">
        <f t="shared" si="216"/>
        <v>1</v>
      </c>
      <c r="AQ154">
        <f t="shared" si="217"/>
        <v>1</v>
      </c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7" t="e">
        <f t="shared" ref="BL154" si="237">#REF!</f>
        <v>#REF!</v>
      </c>
      <c r="BM154">
        <f t="shared" si="203"/>
        <v>1</v>
      </c>
      <c r="BN154">
        <f t="shared" si="204"/>
        <v>1</v>
      </c>
    </row>
    <row r="155" spans="1:66">
      <c r="A155" s="7">
        <v>37529</v>
      </c>
      <c r="B155" s="8">
        <v>-0.12601899999999999</v>
      </c>
      <c r="C155" s="8">
        <f t="shared" si="191"/>
        <v>-0.11365189198403619</v>
      </c>
      <c r="D155" s="9">
        <f t="shared" si="187"/>
        <v>-0.5682594599201809</v>
      </c>
      <c r="E155" s="8">
        <v>2.7</v>
      </c>
      <c r="F155" s="8">
        <f t="shared" si="192"/>
        <v>0.46519461857104244</v>
      </c>
      <c r="G155" s="9">
        <f t="shared" si="188"/>
        <v>4.229041987009477E-2</v>
      </c>
      <c r="H155" s="8">
        <v>-0.6391</v>
      </c>
      <c r="I155" s="8">
        <f t="shared" si="193"/>
        <v>-0.36626817630286379</v>
      </c>
      <c r="J155" s="9">
        <f t="shared" si="194"/>
        <v>-0.16626817630286378</v>
      </c>
      <c r="K155" s="8">
        <v>-2.5470000000000002</v>
      </c>
      <c r="L155" s="8">
        <f t="shared" si="195"/>
        <v>-1.5167078285632525</v>
      </c>
      <c r="M155" s="9">
        <f t="shared" si="189"/>
        <v>-1.2315469250350359</v>
      </c>
      <c r="O155" s="11">
        <f t="shared" si="196"/>
        <v>-0.48777780181343722</v>
      </c>
      <c r="P155" s="15" t="str">
        <f t="shared" si="205"/>
        <v>C</v>
      </c>
      <c r="Q155" t="str">
        <f t="shared" si="214"/>
        <v>C</v>
      </c>
      <c r="R155" s="18">
        <f t="shared" si="206"/>
        <v>-1.2136261739118914E-2</v>
      </c>
      <c r="S155" t="str">
        <f t="shared" si="230"/>
        <v>C</v>
      </c>
      <c r="T155">
        <v>0</v>
      </c>
      <c r="V155" s="17">
        <f t="shared" si="197"/>
        <v>37529</v>
      </c>
      <c r="W155" s="1" t="e">
        <f t="shared" si="198"/>
        <v>#N/A</v>
      </c>
      <c r="X155" s="1" t="e">
        <f t="shared" si="199"/>
        <v>#N/A</v>
      </c>
      <c r="Y155" s="1">
        <f t="shared" si="200"/>
        <v>-0.48777780181343722</v>
      </c>
      <c r="Z155" s="1" t="e">
        <f t="shared" si="201"/>
        <v>#N/A</v>
      </c>
      <c r="AA155">
        <v>0</v>
      </c>
      <c r="AB155" s="1" t="s">
        <v>19</v>
      </c>
      <c r="AD155" s="17">
        <f t="shared" si="207"/>
        <v>37529</v>
      </c>
      <c r="AE155" s="1" t="e">
        <f t="shared" si="208"/>
        <v>#N/A</v>
      </c>
      <c r="AF155" s="1" t="e">
        <f t="shared" si="209"/>
        <v>#N/A</v>
      </c>
      <c r="AG155" s="1">
        <f t="shared" si="210"/>
        <v>-0.48777780181343722</v>
      </c>
      <c r="AH155" s="1" t="e">
        <f t="shared" si="211"/>
        <v>#N/A</v>
      </c>
      <c r="AK155" s="1"/>
      <c r="AL155" s="1"/>
      <c r="AM155" s="1"/>
      <c r="AN155" s="1"/>
      <c r="AO155" s="17">
        <f t="shared" si="215"/>
        <v>37529</v>
      </c>
      <c r="AP155">
        <f t="shared" si="216"/>
        <v>1</v>
      </c>
      <c r="AQ155">
        <f t="shared" si="217"/>
        <v>1</v>
      </c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7" t="e">
        <f t="shared" ref="BL155" si="238">#REF!</f>
        <v>#REF!</v>
      </c>
      <c r="BM155">
        <f t="shared" si="203"/>
        <v>1</v>
      </c>
      <c r="BN155">
        <f t="shared" si="204"/>
        <v>1</v>
      </c>
    </row>
    <row r="156" spans="1:66">
      <c r="A156" s="7">
        <v>37560</v>
      </c>
      <c r="B156" s="8">
        <v>-0.112859</v>
      </c>
      <c r="C156" s="8">
        <f t="shared" si="191"/>
        <v>-0.11342591776858588</v>
      </c>
      <c r="D156" s="9">
        <f t="shared" si="187"/>
        <v>-0.5671295888429293</v>
      </c>
      <c r="E156" s="8">
        <v>3.3</v>
      </c>
      <c r="F156" s="8">
        <f t="shared" si="192"/>
        <v>1.2731141522782954</v>
      </c>
      <c r="G156" s="9">
        <f t="shared" si="188"/>
        <v>0.11573765020711776</v>
      </c>
      <c r="H156" s="8">
        <v>-0.44940000000000002</v>
      </c>
      <c r="I156" s="8">
        <f t="shared" si="193"/>
        <v>-0.38996074605654762</v>
      </c>
      <c r="J156" s="9">
        <f t="shared" si="194"/>
        <v>-0.18996074605654761</v>
      </c>
      <c r="K156" s="8">
        <v>-2.1459999999999999</v>
      </c>
      <c r="L156" s="8">
        <f t="shared" si="195"/>
        <v>-1.6960560974227255</v>
      </c>
      <c r="M156" s="9">
        <f t="shared" si="189"/>
        <v>-1.3023271852429117</v>
      </c>
      <c r="O156" s="11">
        <f t="shared" si="196"/>
        <v>-0.4917122123131023</v>
      </c>
      <c r="P156" s="15" t="str">
        <f t="shared" si="205"/>
        <v>C</v>
      </c>
      <c r="Q156" t="str">
        <f t="shared" si="214"/>
        <v>C</v>
      </c>
      <c r="R156" s="18">
        <f t="shared" si="206"/>
        <v>-1.2136261739118914E-2</v>
      </c>
      <c r="S156" t="str">
        <f t="shared" si="230"/>
        <v>C</v>
      </c>
      <c r="T156">
        <v>0</v>
      </c>
      <c r="V156" s="17">
        <f t="shared" si="197"/>
        <v>37560</v>
      </c>
      <c r="W156" s="1" t="e">
        <f t="shared" si="198"/>
        <v>#N/A</v>
      </c>
      <c r="X156" s="1" t="e">
        <f t="shared" si="199"/>
        <v>#N/A</v>
      </c>
      <c r="Y156" s="1">
        <f t="shared" si="200"/>
        <v>-0.4917122123131023</v>
      </c>
      <c r="Z156" s="1">
        <f t="shared" si="201"/>
        <v>-0.4917122123131023</v>
      </c>
      <c r="AA156">
        <v>0</v>
      </c>
      <c r="AB156" s="1" t="s">
        <v>19</v>
      </c>
      <c r="AD156" s="17">
        <f t="shared" si="207"/>
        <v>37560</v>
      </c>
      <c r="AE156" s="1" t="e">
        <f t="shared" si="208"/>
        <v>#N/A</v>
      </c>
      <c r="AF156" s="1" t="e">
        <f t="shared" si="209"/>
        <v>#N/A</v>
      </c>
      <c r="AG156" s="1">
        <f t="shared" si="210"/>
        <v>-0.4917122123131023</v>
      </c>
      <c r="AH156" s="1">
        <f t="shared" si="211"/>
        <v>-0.4917122123131023</v>
      </c>
      <c r="AK156" s="1"/>
      <c r="AL156" s="1"/>
      <c r="AM156" s="1"/>
      <c r="AN156" s="1"/>
      <c r="AO156" s="17">
        <f t="shared" si="215"/>
        <v>37560</v>
      </c>
      <c r="AP156">
        <f t="shared" si="216"/>
        <v>1</v>
      </c>
      <c r="AQ156">
        <f t="shared" si="217"/>
        <v>1</v>
      </c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7" t="e">
        <f t="shared" ref="BL156" si="239">#REF!</f>
        <v>#REF!</v>
      </c>
      <c r="BM156">
        <f t="shared" si="203"/>
        <v>1</v>
      </c>
      <c r="BN156">
        <f t="shared" si="204"/>
        <v>1</v>
      </c>
    </row>
    <row r="157" spans="1:66">
      <c r="A157" s="7">
        <v>37590</v>
      </c>
      <c r="B157" s="8">
        <v>-6.3783999999999993E-2</v>
      </c>
      <c r="C157" s="8">
        <f t="shared" si="191"/>
        <v>-9.9277971204538906E-2</v>
      </c>
      <c r="D157" s="9">
        <f t="shared" si="187"/>
        <v>-0.49638985602269453</v>
      </c>
      <c r="E157" s="8">
        <v>3.3</v>
      </c>
      <c r="F157" s="8">
        <f t="shared" si="192"/>
        <v>1.8507766188789812</v>
      </c>
      <c r="G157" s="9">
        <f t="shared" si="188"/>
        <v>0.1682524198980892</v>
      </c>
      <c r="H157" s="8">
        <v>-0.25359999999999999</v>
      </c>
      <c r="I157" s="8">
        <f t="shared" si="193"/>
        <v>-0.35109793343043155</v>
      </c>
      <c r="J157" s="9">
        <f t="shared" si="194"/>
        <v>-0.15109793343043154</v>
      </c>
      <c r="K157" s="8">
        <v>-1.53</v>
      </c>
      <c r="L157" s="8">
        <f t="shared" si="195"/>
        <v>-1.6487301096572486</v>
      </c>
      <c r="M157" s="9">
        <f t="shared" si="189"/>
        <v>-1.2840288585764918</v>
      </c>
      <c r="O157" s="11">
        <f t="shared" si="196"/>
        <v>-0.44545572814221113</v>
      </c>
      <c r="P157" s="15" t="str">
        <f t="shared" si="205"/>
        <v>R</v>
      </c>
      <c r="Q157" t="str">
        <f t="shared" si="214"/>
        <v>C</v>
      </c>
      <c r="R157" s="18">
        <f t="shared" si="206"/>
        <v>-1.2136261739118914E-2</v>
      </c>
      <c r="S157" t="str">
        <f t="shared" si="230"/>
        <v>R</v>
      </c>
      <c r="T157">
        <v>0</v>
      </c>
      <c r="V157" s="17">
        <f t="shared" si="197"/>
        <v>37590</v>
      </c>
      <c r="W157" s="1" t="e">
        <f t="shared" si="198"/>
        <v>#N/A</v>
      </c>
      <c r="X157" s="1" t="e">
        <f t="shared" si="199"/>
        <v>#N/A</v>
      </c>
      <c r="Y157" s="1">
        <f t="shared" si="200"/>
        <v>-0.44545572814221113</v>
      </c>
      <c r="Z157" s="1">
        <f t="shared" si="201"/>
        <v>-0.44545572814221113</v>
      </c>
      <c r="AA157">
        <v>0</v>
      </c>
      <c r="AB157" s="1" t="s">
        <v>19</v>
      </c>
      <c r="AD157" s="17">
        <f t="shared" si="207"/>
        <v>37590</v>
      </c>
      <c r="AE157" s="1" t="e">
        <f t="shared" si="208"/>
        <v>#N/A</v>
      </c>
      <c r="AF157" s="1" t="e">
        <f t="shared" si="209"/>
        <v>#N/A</v>
      </c>
      <c r="AG157" s="1">
        <f t="shared" si="210"/>
        <v>-0.44545572814221113</v>
      </c>
      <c r="AH157" s="1">
        <f t="shared" si="211"/>
        <v>-0.44545572814221113</v>
      </c>
      <c r="AK157" s="1"/>
      <c r="AL157" s="1"/>
      <c r="AM157" s="1"/>
      <c r="AN157" s="1"/>
      <c r="AO157" s="17">
        <f t="shared" si="215"/>
        <v>37590</v>
      </c>
      <c r="AP157">
        <f t="shared" si="216"/>
        <v>2</v>
      </c>
      <c r="AQ157">
        <f t="shared" si="217"/>
        <v>1</v>
      </c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7" t="e">
        <f t="shared" ref="BL157" si="240">#REF!</f>
        <v>#REF!</v>
      </c>
      <c r="BM157">
        <f t="shared" si="203"/>
        <v>1</v>
      </c>
      <c r="BN157">
        <f t="shared" si="204"/>
        <v>1</v>
      </c>
    </row>
    <row r="158" spans="1:66">
      <c r="A158" s="7">
        <v>37621</v>
      </c>
      <c r="B158" s="8">
        <v>-6.7338999999999996E-2</v>
      </c>
      <c r="C158" s="8">
        <f t="shared" si="191"/>
        <v>-9.0175364411245323E-2</v>
      </c>
      <c r="D158" s="9">
        <f t="shared" si="187"/>
        <v>-0.45087682205622659</v>
      </c>
      <c r="E158" s="8">
        <v>3.1</v>
      </c>
      <c r="F158" s="8">
        <f t="shared" si="192"/>
        <v>2.2068052824984719</v>
      </c>
      <c r="G158" s="9">
        <f t="shared" si="188"/>
        <v>0.20061866204531562</v>
      </c>
      <c r="H158" s="8">
        <v>-0.6149</v>
      </c>
      <c r="I158" s="8">
        <f t="shared" si="193"/>
        <v>-0.42628152240275857</v>
      </c>
      <c r="J158" s="9">
        <f t="shared" si="194"/>
        <v>-0.22628152240275856</v>
      </c>
      <c r="K158" s="8">
        <v>-1.7050000000000001</v>
      </c>
      <c r="L158" s="8">
        <f t="shared" si="195"/>
        <v>-1.664767028404933</v>
      </c>
      <c r="M158" s="9">
        <f t="shared" si="189"/>
        <v>-1.2902585122388974</v>
      </c>
      <c r="O158" s="11">
        <f t="shared" si="196"/>
        <v>-0.44957396662869265</v>
      </c>
      <c r="P158" s="15" t="str">
        <f t="shared" si="205"/>
        <v>C</v>
      </c>
      <c r="Q158" t="str">
        <f t="shared" si="214"/>
        <v>C</v>
      </c>
      <c r="R158" s="18">
        <f t="shared" si="206"/>
        <v>-0.44957396662869265</v>
      </c>
      <c r="S158" t="str">
        <f t="shared" si="230"/>
        <v>C</v>
      </c>
      <c r="T158">
        <v>0</v>
      </c>
      <c r="V158" s="17">
        <f t="shared" si="197"/>
        <v>37621</v>
      </c>
      <c r="W158" s="1" t="e">
        <f t="shared" si="198"/>
        <v>#N/A</v>
      </c>
      <c r="X158" s="1" t="e">
        <f t="shared" si="199"/>
        <v>#N/A</v>
      </c>
      <c r="Y158" s="1">
        <f t="shared" si="200"/>
        <v>-0.44957396662869265</v>
      </c>
      <c r="Z158" s="1">
        <f t="shared" si="201"/>
        <v>-0.44957396662869265</v>
      </c>
      <c r="AA158">
        <v>0</v>
      </c>
      <c r="AB158" s="1" t="s">
        <v>19</v>
      </c>
      <c r="AD158" s="17">
        <f t="shared" si="207"/>
        <v>37621</v>
      </c>
      <c r="AE158" s="1" t="e">
        <f t="shared" si="208"/>
        <v>#N/A</v>
      </c>
      <c r="AF158" s="1" t="e">
        <f t="shared" si="209"/>
        <v>#N/A</v>
      </c>
      <c r="AG158" s="1">
        <f t="shared" si="210"/>
        <v>-0.44957396662869265</v>
      </c>
      <c r="AH158" s="1">
        <f t="shared" si="211"/>
        <v>-0.44957396662869265</v>
      </c>
      <c r="AK158" s="1"/>
      <c r="AL158" s="1"/>
      <c r="AM158" s="1"/>
      <c r="AN158" s="1"/>
      <c r="AO158" s="17">
        <f t="shared" si="215"/>
        <v>37621</v>
      </c>
      <c r="AP158">
        <f t="shared" si="216"/>
        <v>1</v>
      </c>
      <c r="AQ158">
        <f t="shared" si="217"/>
        <v>1</v>
      </c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7" t="e">
        <f t="shared" ref="BL158" si="241">#REF!</f>
        <v>#REF!</v>
      </c>
      <c r="BM158">
        <f t="shared" si="203"/>
        <v>1</v>
      </c>
      <c r="BN158">
        <f t="shared" si="204"/>
        <v>1</v>
      </c>
    </row>
    <row r="159" spans="1:66">
      <c r="A159" s="7">
        <v>37652</v>
      </c>
      <c r="B159" s="8">
        <v>-4.3121E-2</v>
      </c>
      <c r="C159" s="8">
        <f t="shared" si="191"/>
        <v>-7.676487055404041E-2</v>
      </c>
      <c r="D159" s="9">
        <f t="shared" si="187"/>
        <v>-0.38382435277020205</v>
      </c>
      <c r="E159" s="8">
        <v>3.1</v>
      </c>
      <c r="F159" s="8">
        <f t="shared" si="192"/>
        <v>2.4613657769864075</v>
      </c>
      <c r="G159" s="9">
        <f t="shared" si="188"/>
        <v>0.22376052518058251</v>
      </c>
      <c r="H159" s="8">
        <v>-0.1525</v>
      </c>
      <c r="I159" s="8">
        <f t="shared" si="193"/>
        <v>-0.3482537885179724</v>
      </c>
      <c r="J159" s="9">
        <f t="shared" si="194"/>
        <v>-0.14825378851797238</v>
      </c>
      <c r="K159" s="8">
        <v>-1.6919999999999999</v>
      </c>
      <c r="L159" s="8">
        <f t="shared" si="195"/>
        <v>-1.6725284253095272</v>
      </c>
      <c r="M159" s="9">
        <f t="shared" si="189"/>
        <v>-1.2932627054506471</v>
      </c>
      <c r="O159" s="11">
        <f t="shared" si="196"/>
        <v>-0.41065178485401144</v>
      </c>
      <c r="P159" s="15" t="str">
        <f t="shared" si="205"/>
        <v>R</v>
      </c>
      <c r="Q159" t="str">
        <f t="shared" si="214"/>
        <v>C</v>
      </c>
      <c r="R159" s="18">
        <f t="shared" si="206"/>
        <v>-0.44957396662869265</v>
      </c>
      <c r="S159" t="str">
        <f t="shared" si="230"/>
        <v>R</v>
      </c>
      <c r="T159">
        <v>0</v>
      </c>
      <c r="V159" s="17">
        <f t="shared" si="197"/>
        <v>37652</v>
      </c>
      <c r="W159" s="1" t="e">
        <f t="shared" si="198"/>
        <v>#N/A</v>
      </c>
      <c r="X159" s="1" t="e">
        <f t="shared" si="199"/>
        <v>#N/A</v>
      </c>
      <c r="Y159" s="1">
        <f t="shared" si="200"/>
        <v>-0.41065178485401144</v>
      </c>
      <c r="Z159" s="1">
        <f t="shared" si="201"/>
        <v>-0.41065178485401144</v>
      </c>
      <c r="AA159">
        <v>0</v>
      </c>
      <c r="AB159" s="1">
        <v>-7.9</v>
      </c>
      <c r="AD159" s="17">
        <f t="shared" si="207"/>
        <v>37652</v>
      </c>
      <c r="AE159" s="1" t="e">
        <f t="shared" si="208"/>
        <v>#N/A</v>
      </c>
      <c r="AF159" s="1" t="e">
        <f t="shared" si="209"/>
        <v>#N/A</v>
      </c>
      <c r="AG159" s="1">
        <f t="shared" si="210"/>
        <v>-0.41065178485401144</v>
      </c>
      <c r="AH159" s="1">
        <f t="shared" si="211"/>
        <v>-0.41065178485401144</v>
      </c>
      <c r="AK159" s="1"/>
      <c r="AL159" s="1"/>
      <c r="AM159" s="1"/>
      <c r="AN159" s="1"/>
      <c r="AO159" s="17">
        <f t="shared" si="215"/>
        <v>37652</v>
      </c>
      <c r="AP159">
        <f t="shared" si="216"/>
        <v>2</v>
      </c>
      <c r="AQ159">
        <f t="shared" si="217"/>
        <v>1</v>
      </c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7" t="e">
        <f t="shared" ref="BL159" si="242">#REF!</f>
        <v>#REF!</v>
      </c>
      <c r="BM159">
        <f t="shared" si="203"/>
        <v>1</v>
      </c>
      <c r="BN159">
        <f t="shared" si="204"/>
        <v>1</v>
      </c>
    </row>
    <row r="160" spans="1:66">
      <c r="A160" s="7">
        <v>37680</v>
      </c>
      <c r="B160" s="8">
        <v>-7.3897000000000004E-2</v>
      </c>
      <c r="C160" s="8">
        <f t="shared" si="191"/>
        <v>-7.5947527446138891E-2</v>
      </c>
      <c r="D160" s="9">
        <f t="shared" si="187"/>
        <v>-0.37973763723069442</v>
      </c>
      <c r="E160" s="8">
        <v>2.1</v>
      </c>
      <c r="F160" s="8">
        <f t="shared" si="192"/>
        <v>2.3583765305452813</v>
      </c>
      <c r="G160" s="9">
        <f t="shared" si="188"/>
        <v>0.21439786641320738</v>
      </c>
      <c r="H160" s="8">
        <v>-0.74539999999999995</v>
      </c>
      <c r="I160" s="8">
        <f t="shared" si="193"/>
        <v>-0.46144045879035023</v>
      </c>
      <c r="J160" s="9">
        <f t="shared" si="194"/>
        <v>-0.26144045879035022</v>
      </c>
      <c r="K160" s="8">
        <v>-1.623</v>
      </c>
      <c r="L160" s="8">
        <f t="shared" si="195"/>
        <v>-1.6584128240963119</v>
      </c>
      <c r="M160" s="9">
        <f t="shared" si="189"/>
        <v>-1.2877937816654932</v>
      </c>
      <c r="O160" s="11">
        <f t="shared" si="196"/>
        <v>-0.43561587830564769</v>
      </c>
      <c r="P160" s="15" t="str">
        <f t="shared" si="205"/>
        <v>C</v>
      </c>
      <c r="Q160" t="str">
        <f t="shared" si="214"/>
        <v>C</v>
      </c>
      <c r="R160" s="18">
        <f t="shared" si="206"/>
        <v>-0.43561587830564769</v>
      </c>
      <c r="S160" t="str">
        <f t="shared" si="230"/>
        <v>C</v>
      </c>
      <c r="T160">
        <v>0</v>
      </c>
      <c r="V160" s="17">
        <f t="shared" si="197"/>
        <v>37680</v>
      </c>
      <c r="W160" s="1" t="e">
        <f t="shared" si="198"/>
        <v>#N/A</v>
      </c>
      <c r="X160" s="1" t="e">
        <f t="shared" si="199"/>
        <v>#N/A</v>
      </c>
      <c r="Y160" s="1">
        <f t="shared" si="200"/>
        <v>-0.43561587830564769</v>
      </c>
      <c r="Z160" s="1" t="e">
        <f t="shared" si="201"/>
        <v>#N/A</v>
      </c>
      <c r="AA160">
        <v>0</v>
      </c>
      <c r="AB160" s="1">
        <v>-37.5</v>
      </c>
      <c r="AD160" s="17">
        <f t="shared" si="207"/>
        <v>37680</v>
      </c>
      <c r="AE160" s="1" t="e">
        <f t="shared" si="208"/>
        <v>#N/A</v>
      </c>
      <c r="AF160" s="1" t="e">
        <f t="shared" si="209"/>
        <v>#N/A</v>
      </c>
      <c r="AG160" s="1">
        <f t="shared" si="210"/>
        <v>-0.43561587830564769</v>
      </c>
      <c r="AH160" s="1" t="e">
        <f t="shared" si="211"/>
        <v>#N/A</v>
      </c>
      <c r="AK160" s="1"/>
      <c r="AL160" s="1"/>
      <c r="AM160" s="1"/>
      <c r="AN160" s="1"/>
      <c r="AO160" s="17">
        <f t="shared" si="215"/>
        <v>37680</v>
      </c>
      <c r="AP160">
        <f t="shared" si="216"/>
        <v>1</v>
      </c>
      <c r="AQ160">
        <f t="shared" si="217"/>
        <v>1</v>
      </c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7" t="e">
        <f t="shared" ref="BL160" si="243">#REF!</f>
        <v>#REF!</v>
      </c>
      <c r="BM160">
        <f t="shared" si="203"/>
        <v>1</v>
      </c>
      <c r="BN160">
        <f t="shared" si="204"/>
        <v>1</v>
      </c>
    </row>
    <row r="161" spans="1:66">
      <c r="A161" s="7">
        <v>37711</v>
      </c>
      <c r="B161" s="8">
        <v>-0.214254</v>
      </c>
      <c r="C161" s="8">
        <f t="shared" si="191"/>
        <v>-0.11536487212398931</v>
      </c>
      <c r="D161" s="9">
        <f t="shared" si="187"/>
        <v>-0.57682436061994657</v>
      </c>
      <c r="E161" s="8">
        <v>1.3</v>
      </c>
      <c r="F161" s="8">
        <f t="shared" si="192"/>
        <v>2.0567392193398764</v>
      </c>
      <c r="G161" s="9">
        <f t="shared" si="188"/>
        <v>0.18697629266726148</v>
      </c>
      <c r="H161" s="8">
        <v>-0.66139999999999999</v>
      </c>
      <c r="I161" s="8">
        <f t="shared" si="193"/>
        <v>-0.51842892803510043</v>
      </c>
      <c r="J161" s="9">
        <f t="shared" si="194"/>
        <v>-0.31842892803510042</v>
      </c>
      <c r="K161" s="8">
        <v>-1.571</v>
      </c>
      <c r="L161" s="8">
        <f t="shared" si="195"/>
        <v>-1.6335001692288629</v>
      </c>
      <c r="M161" s="9">
        <f t="shared" si="189"/>
        <v>-1.2780845704525436</v>
      </c>
      <c r="O161" s="11">
        <f t="shared" si="196"/>
        <v>-0.47231712568432571</v>
      </c>
      <c r="P161" s="15" t="str">
        <f t="shared" si="205"/>
        <v>C</v>
      </c>
      <c r="Q161" t="str">
        <f t="shared" si="214"/>
        <v>C</v>
      </c>
      <c r="R161" s="18">
        <f t="shared" si="206"/>
        <v>-0.43561587830564769</v>
      </c>
      <c r="S161" t="str">
        <f t="shared" si="230"/>
        <v>C</v>
      </c>
      <c r="T161">
        <v>0</v>
      </c>
      <c r="V161" s="17">
        <f t="shared" si="197"/>
        <v>37711</v>
      </c>
      <c r="W161" s="1" t="e">
        <f t="shared" si="198"/>
        <v>#N/A</v>
      </c>
      <c r="X161" s="1" t="e">
        <f t="shared" si="199"/>
        <v>#N/A</v>
      </c>
      <c r="Y161" s="1">
        <f t="shared" si="200"/>
        <v>-0.47231712568432571</v>
      </c>
      <c r="Z161" s="1">
        <f t="shared" si="201"/>
        <v>-0.47231712568432571</v>
      </c>
      <c r="AA161">
        <v>0</v>
      </c>
      <c r="AB161" s="1">
        <v>-91.7</v>
      </c>
      <c r="AD161" s="17">
        <f t="shared" si="207"/>
        <v>37711</v>
      </c>
      <c r="AE161" s="1" t="e">
        <f t="shared" si="208"/>
        <v>#N/A</v>
      </c>
      <c r="AF161" s="1" t="e">
        <f t="shared" si="209"/>
        <v>#N/A</v>
      </c>
      <c r="AG161" s="1">
        <f t="shared" si="210"/>
        <v>-0.47231712568432571</v>
      </c>
      <c r="AH161" s="1">
        <f t="shared" si="211"/>
        <v>-0.47231712568432571</v>
      </c>
      <c r="AK161" s="1"/>
      <c r="AL161" s="1"/>
      <c r="AM161" s="1"/>
      <c r="AN161" s="1"/>
      <c r="AO161" s="17">
        <f t="shared" si="215"/>
        <v>37711</v>
      </c>
      <c r="AP161">
        <f t="shared" si="216"/>
        <v>1</v>
      </c>
      <c r="AQ161">
        <f t="shared" si="217"/>
        <v>1</v>
      </c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7" t="e">
        <f t="shared" ref="BL161" si="244">#REF!</f>
        <v>#REF!</v>
      </c>
      <c r="BM161">
        <f t="shared" si="203"/>
        <v>1</v>
      </c>
      <c r="BN161">
        <f t="shared" si="204"/>
        <v>1</v>
      </c>
    </row>
    <row r="162" spans="1:66">
      <c r="A162" s="7">
        <v>37741</v>
      </c>
      <c r="B162" s="8">
        <v>-0.13606599999999999</v>
      </c>
      <c r="C162" s="8">
        <f t="shared" si="191"/>
        <v>-0.12126469356865235</v>
      </c>
      <c r="D162" s="9">
        <f t="shared" si="187"/>
        <v>-0.60632346784326174</v>
      </c>
      <c r="E162" s="8">
        <v>0.2</v>
      </c>
      <c r="F162" s="8">
        <f t="shared" si="192"/>
        <v>1.5275685418280114</v>
      </c>
      <c r="G162" s="9">
        <f t="shared" si="188"/>
        <v>0.13886986743891014</v>
      </c>
      <c r="H162" s="8">
        <v>-0.54820000000000002</v>
      </c>
      <c r="I162" s="8">
        <f t="shared" si="193"/>
        <v>-0.52691368354509682</v>
      </c>
      <c r="J162" s="9">
        <f t="shared" si="194"/>
        <v>-0.32691368354509681</v>
      </c>
      <c r="K162" s="8">
        <v>-0.80400000000000005</v>
      </c>
      <c r="L162" s="8">
        <f t="shared" si="195"/>
        <v>-1.397092620998637</v>
      </c>
      <c r="M162" s="9">
        <f t="shared" si="189"/>
        <v>-1.1819867262362285</v>
      </c>
      <c r="O162" s="11">
        <f t="shared" si="196"/>
        <v>-0.45720958191854527</v>
      </c>
      <c r="P162" s="15" t="str">
        <f t="shared" si="205"/>
        <v>R</v>
      </c>
      <c r="Q162" t="str">
        <f t="shared" si="214"/>
        <v>C</v>
      </c>
      <c r="R162" s="18">
        <f t="shared" si="206"/>
        <v>-0.43561587830564769</v>
      </c>
      <c r="S162" t="str">
        <f t="shared" si="230"/>
        <v>R</v>
      </c>
      <c r="T162">
        <v>0</v>
      </c>
      <c r="V162" s="17">
        <f t="shared" si="197"/>
        <v>37741</v>
      </c>
      <c r="W162" s="1" t="e">
        <f t="shared" si="198"/>
        <v>#N/A</v>
      </c>
      <c r="X162" s="1" t="e">
        <f t="shared" si="199"/>
        <v>#N/A</v>
      </c>
      <c r="Y162" s="1" t="e">
        <f t="shared" si="200"/>
        <v>#N/A</v>
      </c>
      <c r="Z162" s="1">
        <f t="shared" si="201"/>
        <v>-0.45720958191854527</v>
      </c>
      <c r="AA162">
        <v>0</v>
      </c>
      <c r="AB162" s="1">
        <v>-41.9</v>
      </c>
      <c r="AD162" s="17">
        <f t="shared" si="207"/>
        <v>37741</v>
      </c>
      <c r="AE162" s="1" t="e">
        <f t="shared" si="208"/>
        <v>#N/A</v>
      </c>
      <c r="AF162" s="1" t="e">
        <f t="shared" si="209"/>
        <v>#N/A</v>
      </c>
      <c r="AG162" s="1" t="e">
        <f t="shared" si="210"/>
        <v>#N/A</v>
      </c>
      <c r="AH162" s="1">
        <f t="shared" si="211"/>
        <v>-0.45720958191854527</v>
      </c>
      <c r="AK162" s="1"/>
      <c r="AL162" s="1"/>
      <c r="AM162" s="1"/>
      <c r="AN162" s="1"/>
      <c r="AO162" s="17">
        <f t="shared" si="215"/>
        <v>37741</v>
      </c>
      <c r="AP162">
        <f t="shared" si="216"/>
        <v>2</v>
      </c>
      <c r="AQ162">
        <f t="shared" si="217"/>
        <v>1</v>
      </c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7" t="e">
        <f t="shared" ref="BL162" si="245">#REF!</f>
        <v>#REF!</v>
      </c>
      <c r="BM162">
        <f t="shared" si="203"/>
        <v>1</v>
      </c>
      <c r="BN162">
        <f t="shared" si="204"/>
        <v>1</v>
      </c>
    </row>
    <row r="163" spans="1:66">
      <c r="A163" s="7">
        <v>37772</v>
      </c>
      <c r="B163" s="8">
        <v>-7.2729000000000002E-2</v>
      </c>
      <c r="C163" s="8">
        <f t="shared" si="191"/>
        <v>-0.10743202090158643</v>
      </c>
      <c r="D163" s="9">
        <f t="shared" si="187"/>
        <v>-0.53716010450793217</v>
      </c>
      <c r="E163" s="8">
        <v>0.5</v>
      </c>
      <c r="F163" s="8">
        <f t="shared" si="192"/>
        <v>1.2347115074070281</v>
      </c>
      <c r="G163" s="9">
        <f t="shared" si="188"/>
        <v>0.11224650067336618</v>
      </c>
      <c r="H163" s="8">
        <v>-5.5599999999999997E-2</v>
      </c>
      <c r="I163" s="8">
        <f t="shared" si="193"/>
        <v>-0.39258928373474422</v>
      </c>
      <c r="J163" s="9">
        <f t="shared" si="194"/>
        <v>-0.19258928373474421</v>
      </c>
      <c r="K163" s="8">
        <v>-0.80500000000000005</v>
      </c>
      <c r="L163" s="8">
        <f t="shared" si="195"/>
        <v>-1.2283462240140255</v>
      </c>
      <c r="M163" s="9">
        <f t="shared" si="189"/>
        <v>-1.1083078200635532</v>
      </c>
      <c r="O163" s="11">
        <f t="shared" si="196"/>
        <v>-0.40232418135860942</v>
      </c>
      <c r="P163" s="15" t="str">
        <f t="shared" si="205"/>
        <v>R</v>
      </c>
      <c r="Q163" t="str">
        <f t="shared" si="214"/>
        <v>R</v>
      </c>
      <c r="R163" s="18">
        <f t="shared" si="206"/>
        <v>-0.43561587830564769</v>
      </c>
      <c r="S163" t="str">
        <f t="shared" si="230"/>
        <v>R</v>
      </c>
      <c r="T163">
        <v>0</v>
      </c>
      <c r="V163" s="17">
        <f t="shared" si="197"/>
        <v>37772</v>
      </c>
      <c r="W163" s="1" t="e">
        <f t="shared" si="198"/>
        <v>#N/A</v>
      </c>
      <c r="X163" s="1" t="e">
        <f t="shared" si="199"/>
        <v>#N/A</v>
      </c>
      <c r="Y163" s="1" t="e">
        <f t="shared" si="200"/>
        <v>#N/A</v>
      </c>
      <c r="Z163" s="1">
        <f t="shared" si="201"/>
        <v>-0.40232418135860942</v>
      </c>
      <c r="AA163">
        <v>0</v>
      </c>
      <c r="AB163" s="1">
        <v>-43.2</v>
      </c>
      <c r="AD163" s="17">
        <f t="shared" si="207"/>
        <v>37772</v>
      </c>
      <c r="AE163" s="1" t="e">
        <f t="shared" si="208"/>
        <v>#N/A</v>
      </c>
      <c r="AF163" s="1" t="e">
        <f t="shared" si="209"/>
        <v>#N/A</v>
      </c>
      <c r="AG163" s="1" t="e">
        <f t="shared" si="210"/>
        <v>#N/A</v>
      </c>
      <c r="AH163" s="1">
        <f t="shared" si="211"/>
        <v>-0.40232418135860942</v>
      </c>
      <c r="AK163" s="1"/>
      <c r="AL163" s="1"/>
      <c r="AM163" s="1"/>
      <c r="AN163" s="1"/>
      <c r="AO163" s="17">
        <f t="shared" si="215"/>
        <v>37772</v>
      </c>
      <c r="AP163">
        <f t="shared" si="216"/>
        <v>2</v>
      </c>
      <c r="AQ163">
        <f t="shared" si="217"/>
        <v>2</v>
      </c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7" t="e">
        <f t="shared" ref="BL163" si="246">#REF!</f>
        <v>#REF!</v>
      </c>
      <c r="BM163">
        <f t="shared" si="203"/>
        <v>2</v>
      </c>
      <c r="BN163">
        <f t="shared" si="204"/>
        <v>1</v>
      </c>
    </row>
    <row r="164" spans="1:66">
      <c r="A164" s="7">
        <v>37802</v>
      </c>
      <c r="B164" s="8">
        <v>-9.5259999999999997E-3</v>
      </c>
      <c r="C164" s="8">
        <f t="shared" si="191"/>
        <v>-7.9528804944634296E-2</v>
      </c>
      <c r="D164" s="9">
        <f t="shared" si="187"/>
        <v>-0.39764402472317145</v>
      </c>
      <c r="E164" s="8">
        <v>1.1000000000000001</v>
      </c>
      <c r="F164" s="8">
        <f t="shared" si="192"/>
        <v>1.196318727796025</v>
      </c>
      <c r="G164" s="9">
        <f t="shared" si="188"/>
        <v>0.10875624798145682</v>
      </c>
      <c r="H164" s="8">
        <v>0.14449999999999999</v>
      </c>
      <c r="I164" s="8">
        <f t="shared" si="193"/>
        <v>-0.23951883787034212</v>
      </c>
      <c r="J164" s="9">
        <f t="shared" si="194"/>
        <v>-3.9518837870342105E-2</v>
      </c>
      <c r="K164" s="8">
        <v>-0.84</v>
      </c>
      <c r="L164" s="8">
        <f t="shared" si="195"/>
        <v>-1.1176675501700282</v>
      </c>
      <c r="M164" s="9">
        <f t="shared" si="189"/>
        <v>-1.0571979711340862</v>
      </c>
      <c r="O164" s="11">
        <f t="shared" si="196"/>
        <v>-0.33510549497163578</v>
      </c>
      <c r="P164" s="15" t="str">
        <f t="shared" si="205"/>
        <v>R</v>
      </c>
      <c r="Q164" t="str">
        <f t="shared" si="214"/>
        <v>R</v>
      </c>
      <c r="R164" s="18">
        <f t="shared" si="206"/>
        <v>-0.43561587830564769</v>
      </c>
      <c r="S164" t="str">
        <f t="shared" si="230"/>
        <v>R</v>
      </c>
      <c r="T164">
        <v>0</v>
      </c>
      <c r="V164" s="17">
        <f t="shared" si="197"/>
        <v>37802</v>
      </c>
      <c r="W164" s="1" t="e">
        <f t="shared" si="198"/>
        <v>#N/A</v>
      </c>
      <c r="X164" s="1" t="e">
        <f t="shared" si="199"/>
        <v>#N/A</v>
      </c>
      <c r="Y164" s="1" t="e">
        <f t="shared" si="200"/>
        <v>#N/A</v>
      </c>
      <c r="Z164" s="1">
        <f t="shared" si="201"/>
        <v>-0.33510549497163578</v>
      </c>
      <c r="AA164">
        <v>0</v>
      </c>
      <c r="AB164" s="1">
        <v>17.899999999999999</v>
      </c>
      <c r="AD164" s="17">
        <f t="shared" si="207"/>
        <v>37802</v>
      </c>
      <c r="AE164" s="1" t="e">
        <f t="shared" si="208"/>
        <v>#N/A</v>
      </c>
      <c r="AF164" s="1" t="e">
        <f t="shared" si="209"/>
        <v>#N/A</v>
      </c>
      <c r="AG164" s="1" t="e">
        <f t="shared" si="210"/>
        <v>#N/A</v>
      </c>
      <c r="AH164" s="1">
        <f t="shared" si="211"/>
        <v>-0.33510549497163578</v>
      </c>
      <c r="AK164" s="1"/>
      <c r="AL164" s="1"/>
      <c r="AM164" s="1"/>
      <c r="AN164" s="1"/>
      <c r="AO164" s="17">
        <f t="shared" si="215"/>
        <v>37802</v>
      </c>
      <c r="AP164">
        <f t="shared" si="216"/>
        <v>2</v>
      </c>
      <c r="AQ164">
        <f t="shared" si="217"/>
        <v>2</v>
      </c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7" t="e">
        <f t="shared" ref="BL164" si="247">#REF!</f>
        <v>#REF!</v>
      </c>
      <c r="BM164">
        <f t="shared" si="203"/>
        <v>2</v>
      </c>
      <c r="BN164">
        <f t="shared" si="204"/>
        <v>1</v>
      </c>
    </row>
    <row r="165" spans="1:66">
      <c r="A165" s="7">
        <v>37833</v>
      </c>
      <c r="B165" s="8">
        <v>5.0123000000000001E-2</v>
      </c>
      <c r="C165" s="8">
        <f t="shared" si="191"/>
        <v>-4.2578040535413517E-2</v>
      </c>
      <c r="D165" s="9">
        <f t="shared" si="187"/>
        <v>-0.21289020267706757</v>
      </c>
      <c r="E165" s="8">
        <v>1.9</v>
      </c>
      <c r="F165" s="8">
        <f t="shared" si="192"/>
        <v>1.3968678903741578</v>
      </c>
      <c r="G165" s="9">
        <f t="shared" si="188"/>
        <v>0.12698799003401434</v>
      </c>
      <c r="H165" s="8">
        <v>0.15229999999999999</v>
      </c>
      <c r="I165" s="8">
        <f t="shared" si="193"/>
        <v>-0.12785046907729458</v>
      </c>
      <c r="J165" s="9">
        <f t="shared" si="194"/>
        <v>7.2149530922705429E-2</v>
      </c>
      <c r="K165" s="8">
        <v>-0.53300000000000003</v>
      </c>
      <c r="L165" s="8">
        <f t="shared" si="195"/>
        <v>-0.95103729837157003</v>
      </c>
      <c r="M165" s="9">
        <f t="shared" si="189"/>
        <v>-0.47551864918578501</v>
      </c>
      <c r="O165" s="11">
        <f t="shared" si="196"/>
        <v>-0.10967288135219358</v>
      </c>
      <c r="P165" s="15" t="str">
        <f t="shared" si="205"/>
        <v>R</v>
      </c>
      <c r="Q165" t="str">
        <f t="shared" si="214"/>
        <v>R</v>
      </c>
      <c r="R165" s="18">
        <f t="shared" si="206"/>
        <v>-0.43561587830564769</v>
      </c>
      <c r="S165" t="str">
        <f t="shared" si="230"/>
        <v>R</v>
      </c>
      <c r="T165">
        <v>0</v>
      </c>
      <c r="V165" s="17">
        <f t="shared" si="197"/>
        <v>37833</v>
      </c>
      <c r="W165" s="1" t="e">
        <f t="shared" si="198"/>
        <v>#N/A</v>
      </c>
      <c r="X165" s="1" t="e">
        <f t="shared" si="199"/>
        <v>#N/A</v>
      </c>
      <c r="Y165" s="1" t="e">
        <f t="shared" si="200"/>
        <v>#N/A</v>
      </c>
      <c r="Z165" s="1">
        <f t="shared" si="201"/>
        <v>-0.10967288135219358</v>
      </c>
      <c r="AA165">
        <v>0</v>
      </c>
      <c r="AB165" s="1">
        <v>16.100000000000001</v>
      </c>
      <c r="AD165" s="17">
        <f t="shared" si="207"/>
        <v>37833</v>
      </c>
      <c r="AE165" s="1" t="e">
        <f t="shared" si="208"/>
        <v>#N/A</v>
      </c>
      <c r="AF165" s="1" t="e">
        <f t="shared" si="209"/>
        <v>#N/A</v>
      </c>
      <c r="AG165" s="1" t="e">
        <f t="shared" si="210"/>
        <v>#N/A</v>
      </c>
      <c r="AH165" s="1">
        <f t="shared" si="211"/>
        <v>-0.10967288135219358</v>
      </c>
      <c r="AK165" s="1"/>
      <c r="AL165" s="1"/>
      <c r="AM165" s="1"/>
      <c r="AN165" s="1"/>
      <c r="AO165" s="17">
        <f t="shared" si="215"/>
        <v>37833</v>
      </c>
      <c r="AP165">
        <f t="shared" si="216"/>
        <v>2</v>
      </c>
      <c r="AQ165">
        <f t="shared" si="217"/>
        <v>2</v>
      </c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7" t="e">
        <f t="shared" ref="BL165" si="248">#REF!</f>
        <v>#REF!</v>
      </c>
      <c r="BM165">
        <f t="shared" si="203"/>
        <v>2</v>
      </c>
      <c r="BN165">
        <f t="shared" si="204"/>
        <v>1</v>
      </c>
    </row>
    <row r="166" spans="1:66">
      <c r="A166" s="7">
        <v>37864</v>
      </c>
      <c r="B166" s="8">
        <v>0.193328</v>
      </c>
      <c r="C166" s="8">
        <f t="shared" si="191"/>
        <v>2.4655181017179343E-2</v>
      </c>
      <c r="D166" s="9">
        <f t="shared" si="187"/>
        <v>0.12327590508589671</v>
      </c>
      <c r="E166" s="8">
        <v>2.4</v>
      </c>
      <c r="F166" s="8">
        <f t="shared" si="192"/>
        <v>1.6827605416175229</v>
      </c>
      <c r="G166" s="9">
        <f t="shared" si="188"/>
        <v>0.15297823105613845</v>
      </c>
      <c r="H166" s="8">
        <v>-0.15509999999999999</v>
      </c>
      <c r="I166" s="8">
        <f t="shared" si="193"/>
        <v>-0.13561658539026561</v>
      </c>
      <c r="J166" s="9">
        <f t="shared" si="194"/>
        <v>6.4383414609734402E-2</v>
      </c>
      <c r="K166" s="8">
        <v>-0.372</v>
      </c>
      <c r="L166" s="8">
        <f t="shared" si="195"/>
        <v>-0.7860116683356726</v>
      </c>
      <c r="M166" s="9">
        <f t="shared" si="189"/>
        <v>-0.3930058341678363</v>
      </c>
      <c r="O166" s="11">
        <f t="shared" si="196"/>
        <v>-4.8162738348636588E-2</v>
      </c>
      <c r="P166" s="15" t="str">
        <f t="shared" si="205"/>
        <v>R</v>
      </c>
      <c r="Q166" t="str">
        <f t="shared" si="214"/>
        <v>R</v>
      </c>
      <c r="R166" s="18">
        <f t="shared" si="206"/>
        <v>-0.43561587830564769</v>
      </c>
      <c r="S166" t="str">
        <f t="shared" si="230"/>
        <v>R</v>
      </c>
      <c r="T166">
        <v>0</v>
      </c>
      <c r="V166" s="17">
        <f t="shared" si="197"/>
        <v>37864</v>
      </c>
      <c r="W166" s="1">
        <f t="shared" si="198"/>
        <v>-4.8162738348636588E-2</v>
      </c>
      <c r="X166" s="1" t="e">
        <f t="shared" si="199"/>
        <v>#N/A</v>
      </c>
      <c r="Y166" s="1" t="e">
        <f t="shared" si="200"/>
        <v>#N/A</v>
      </c>
      <c r="Z166" s="1">
        <f t="shared" si="201"/>
        <v>-4.8162738348636588E-2</v>
      </c>
      <c r="AA166">
        <v>0</v>
      </c>
      <c r="AB166" s="1">
        <v>68.3</v>
      </c>
      <c r="AD166" s="17">
        <f t="shared" si="207"/>
        <v>37864</v>
      </c>
      <c r="AE166" s="1">
        <f t="shared" si="208"/>
        <v>-4.8162738348636588E-2</v>
      </c>
      <c r="AF166" s="1" t="e">
        <f t="shared" si="209"/>
        <v>#N/A</v>
      </c>
      <c r="AG166" s="1" t="e">
        <f t="shared" si="210"/>
        <v>#N/A</v>
      </c>
      <c r="AH166" s="1">
        <f t="shared" si="211"/>
        <v>-4.8162738348636588E-2</v>
      </c>
      <c r="AK166" s="1"/>
      <c r="AL166" s="1"/>
      <c r="AM166" s="1"/>
      <c r="AN166" s="1"/>
      <c r="AO166" s="17">
        <f t="shared" si="215"/>
        <v>37864</v>
      </c>
      <c r="AP166">
        <f t="shared" si="216"/>
        <v>2</v>
      </c>
      <c r="AQ166">
        <f t="shared" si="217"/>
        <v>2</v>
      </c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7" t="e">
        <f t="shared" ref="BL166" si="249">#REF!</f>
        <v>#REF!</v>
      </c>
      <c r="BM166">
        <f t="shared" si="203"/>
        <v>2</v>
      </c>
      <c r="BN166">
        <f t="shared" si="204"/>
        <v>1</v>
      </c>
    </row>
    <row r="167" spans="1:66">
      <c r="A167" s="7">
        <v>37894</v>
      </c>
      <c r="B167" s="8">
        <v>0.13469200000000001</v>
      </c>
      <c r="C167" s="8">
        <f t="shared" si="191"/>
        <v>5.6015674427283238E-2</v>
      </c>
      <c r="D167" s="9">
        <f t="shared" si="187"/>
        <v>0.28007837213641618</v>
      </c>
      <c r="E167" s="8">
        <v>4.0999999999999996</v>
      </c>
      <c r="F167" s="8">
        <f t="shared" si="192"/>
        <v>2.3716737872565288</v>
      </c>
      <c r="G167" s="9">
        <f t="shared" si="188"/>
        <v>0.21560670793241171</v>
      </c>
      <c r="H167" s="8">
        <v>0.25640000000000002</v>
      </c>
      <c r="I167" s="8">
        <f t="shared" si="193"/>
        <v>-2.3891858554039899E-2</v>
      </c>
      <c r="J167" s="9">
        <f t="shared" si="194"/>
        <v>0.1761081414459601</v>
      </c>
      <c r="K167" s="8">
        <v>-0.73499999999999999</v>
      </c>
      <c r="L167" s="8">
        <f t="shared" si="195"/>
        <v>-0.7714733428600058</v>
      </c>
      <c r="M167" s="9">
        <f t="shared" si="189"/>
        <v>-0.3857366714300029</v>
      </c>
      <c r="O167" s="11">
        <f t="shared" si="196"/>
        <v>1.1012747535270311E-2</v>
      </c>
      <c r="P167" s="15" t="str">
        <f t="shared" si="205"/>
        <v>E</v>
      </c>
      <c r="Q167" t="str">
        <f t="shared" si="214"/>
        <v>E</v>
      </c>
      <c r="R167" s="18">
        <f t="shared" si="206"/>
        <v>1.1012747535270311E-2</v>
      </c>
      <c r="S167" t="str">
        <f t="shared" si="230"/>
        <v>E</v>
      </c>
      <c r="T167">
        <v>0</v>
      </c>
      <c r="V167" s="17">
        <f t="shared" si="197"/>
        <v>37894</v>
      </c>
      <c r="W167" s="1">
        <f t="shared" si="198"/>
        <v>1.1012747535270311E-2</v>
      </c>
      <c r="X167" s="1" t="e">
        <f t="shared" si="199"/>
        <v>#N/A</v>
      </c>
      <c r="Y167" s="1" t="e">
        <f t="shared" si="200"/>
        <v>#N/A</v>
      </c>
      <c r="Z167" s="1" t="e">
        <f t="shared" si="201"/>
        <v>#N/A</v>
      </c>
      <c r="AA167">
        <v>0</v>
      </c>
      <c r="AB167" s="1">
        <v>29.5</v>
      </c>
      <c r="AD167" s="17">
        <f t="shared" si="207"/>
        <v>37894</v>
      </c>
      <c r="AE167" s="1">
        <f t="shared" si="208"/>
        <v>1.1012747535270311E-2</v>
      </c>
      <c r="AF167" s="1" t="e">
        <f t="shared" si="209"/>
        <v>#N/A</v>
      </c>
      <c r="AG167" s="1" t="e">
        <f t="shared" si="210"/>
        <v>#N/A</v>
      </c>
      <c r="AH167" s="1" t="e">
        <f t="shared" si="211"/>
        <v>#N/A</v>
      </c>
      <c r="AK167" s="1"/>
      <c r="AL167" s="1"/>
      <c r="AM167" s="1"/>
      <c r="AN167" s="1"/>
      <c r="AO167" s="17">
        <f t="shared" si="215"/>
        <v>37894</v>
      </c>
      <c r="AP167">
        <f t="shared" si="216"/>
        <v>4</v>
      </c>
      <c r="AQ167">
        <f t="shared" si="217"/>
        <v>4</v>
      </c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7" t="e">
        <f t="shared" ref="BL167" si="250">#REF!</f>
        <v>#REF!</v>
      </c>
      <c r="BM167">
        <f t="shared" si="203"/>
        <v>4</v>
      </c>
      <c r="BN167">
        <f t="shared" si="204"/>
        <v>1</v>
      </c>
    </row>
    <row r="168" spans="1:66">
      <c r="A168" s="7">
        <v>37925</v>
      </c>
      <c r="B168" s="8">
        <v>0.19222600000000001</v>
      </c>
      <c r="C168" s="8">
        <f t="shared" si="191"/>
        <v>9.4835617215507512E-2</v>
      </c>
      <c r="D168" s="9">
        <f t="shared" si="187"/>
        <v>0.47417808607753753</v>
      </c>
      <c r="E168" s="8">
        <v>5.3</v>
      </c>
      <c r="F168" s="8">
        <f t="shared" si="192"/>
        <v>3.206246757888418</v>
      </c>
      <c r="G168" s="9">
        <f t="shared" si="188"/>
        <v>0.29147697798985617</v>
      </c>
      <c r="H168" s="8">
        <v>0.2109</v>
      </c>
      <c r="I168" s="8">
        <f t="shared" si="193"/>
        <v>4.3023821133861481E-2</v>
      </c>
      <c r="J168" s="9">
        <f t="shared" si="194"/>
        <v>0.24302382113386151</v>
      </c>
      <c r="K168" s="8">
        <v>-0.157</v>
      </c>
      <c r="L168" s="8">
        <f t="shared" si="195"/>
        <v>-0.59634844014490418</v>
      </c>
      <c r="M168" s="9">
        <f t="shared" si="189"/>
        <v>-0.29817422007245209</v>
      </c>
      <c r="O168" s="11">
        <f t="shared" si="196"/>
        <v>9.5554701305900089E-2</v>
      </c>
      <c r="P168" s="15" t="str">
        <f t="shared" si="205"/>
        <v>E</v>
      </c>
      <c r="Q168" t="str">
        <f t="shared" si="214"/>
        <v>E</v>
      </c>
      <c r="R168" s="18">
        <f t="shared" si="206"/>
        <v>1.1012747535270311E-2</v>
      </c>
      <c r="S168" t="str">
        <f t="shared" si="230"/>
        <v>E</v>
      </c>
      <c r="T168">
        <v>0</v>
      </c>
      <c r="V168" s="17">
        <f t="shared" si="197"/>
        <v>37925</v>
      </c>
      <c r="W168" s="1">
        <f t="shared" si="198"/>
        <v>9.5554701305900089E-2</v>
      </c>
      <c r="X168" s="1" t="e">
        <f t="shared" si="199"/>
        <v>#N/A</v>
      </c>
      <c r="Y168" s="1" t="e">
        <f t="shared" si="200"/>
        <v>#N/A</v>
      </c>
      <c r="Z168" s="1" t="e">
        <f t="shared" si="201"/>
        <v>#N/A</v>
      </c>
      <c r="AA168">
        <v>0</v>
      </c>
      <c r="AB168" s="1">
        <v>62.1</v>
      </c>
      <c r="AD168" s="17">
        <f t="shared" si="207"/>
        <v>37925</v>
      </c>
      <c r="AE168" s="1">
        <f t="shared" si="208"/>
        <v>9.5554701305900089E-2</v>
      </c>
      <c r="AF168" s="1" t="e">
        <f t="shared" si="209"/>
        <v>#N/A</v>
      </c>
      <c r="AG168" s="1" t="e">
        <f t="shared" si="210"/>
        <v>#N/A</v>
      </c>
      <c r="AH168" s="1" t="e">
        <f t="shared" si="211"/>
        <v>#N/A</v>
      </c>
      <c r="AK168" s="1"/>
      <c r="AL168" s="1"/>
      <c r="AM168" s="1"/>
      <c r="AN168" s="1"/>
      <c r="AO168" s="17">
        <f t="shared" si="215"/>
        <v>37925</v>
      </c>
      <c r="AP168">
        <f t="shared" si="216"/>
        <v>4</v>
      </c>
      <c r="AQ168">
        <f t="shared" si="217"/>
        <v>4</v>
      </c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7" t="e">
        <f t="shared" ref="BL168" si="251">#REF!</f>
        <v>#REF!</v>
      </c>
      <c r="BM168">
        <f t="shared" si="203"/>
        <v>4</v>
      </c>
      <c r="BN168">
        <f t="shared" si="204"/>
        <v>1</v>
      </c>
    </row>
    <row r="169" spans="1:66">
      <c r="A169" s="7">
        <v>37955</v>
      </c>
      <c r="B169" s="8">
        <v>0.267011</v>
      </c>
      <c r="C169" s="8">
        <f t="shared" si="191"/>
        <v>0.14390560130908786</v>
      </c>
      <c r="D169" s="9">
        <f t="shared" si="187"/>
        <v>0.71952800654543925</v>
      </c>
      <c r="E169" s="8">
        <v>5.9</v>
      </c>
      <c r="F169" s="8">
        <f t="shared" si="192"/>
        <v>3.973966431890219</v>
      </c>
      <c r="G169" s="9">
        <f t="shared" si="188"/>
        <v>0.36126967562638357</v>
      </c>
      <c r="H169" s="8">
        <v>0.17680000000000001</v>
      </c>
      <c r="I169" s="8">
        <f t="shared" si="193"/>
        <v>8.1150032110710965E-2</v>
      </c>
      <c r="J169" s="9">
        <f t="shared" si="194"/>
        <v>0.28115003211071099</v>
      </c>
      <c r="K169" s="8">
        <v>-5.3999999999999999E-2</v>
      </c>
      <c r="L169" s="8">
        <f t="shared" si="195"/>
        <v>-0.44177913470360647</v>
      </c>
      <c r="M169" s="9">
        <f t="shared" si="189"/>
        <v>-0.22088956735180323</v>
      </c>
      <c r="O169" s="11">
        <f t="shared" si="196"/>
        <v>0.17747403347917312</v>
      </c>
      <c r="P169" s="15" t="str">
        <f t="shared" si="205"/>
        <v>E</v>
      </c>
      <c r="Q169" t="str">
        <f t="shared" si="214"/>
        <v>E</v>
      </c>
      <c r="R169" s="18">
        <f t="shared" si="206"/>
        <v>1.1012747535270311E-2</v>
      </c>
      <c r="S169" t="str">
        <f t="shared" si="230"/>
        <v>E</v>
      </c>
      <c r="T169">
        <v>0</v>
      </c>
      <c r="V169" s="17">
        <f t="shared" si="197"/>
        <v>37955</v>
      </c>
      <c r="W169" s="1">
        <f t="shared" si="198"/>
        <v>0.17747403347917312</v>
      </c>
      <c r="X169" s="1" t="e">
        <f t="shared" si="199"/>
        <v>#N/A</v>
      </c>
      <c r="Y169" s="1" t="e">
        <f t="shared" si="200"/>
        <v>#N/A</v>
      </c>
      <c r="Z169" s="1" t="e">
        <f t="shared" si="201"/>
        <v>#N/A</v>
      </c>
      <c r="AA169">
        <v>0</v>
      </c>
      <c r="AB169" s="1">
        <v>79.5</v>
      </c>
      <c r="AD169" s="17">
        <f t="shared" si="207"/>
        <v>37955</v>
      </c>
      <c r="AE169" s="1">
        <f t="shared" si="208"/>
        <v>0.17747403347917312</v>
      </c>
      <c r="AF169" s="1" t="e">
        <f t="shared" si="209"/>
        <v>#N/A</v>
      </c>
      <c r="AG169" s="1" t="e">
        <f t="shared" si="210"/>
        <v>#N/A</v>
      </c>
      <c r="AH169" s="1" t="e">
        <f t="shared" si="211"/>
        <v>#N/A</v>
      </c>
      <c r="AK169" s="1"/>
      <c r="AL169" s="1"/>
      <c r="AM169" s="1"/>
      <c r="AN169" s="1"/>
      <c r="AO169" s="17">
        <f t="shared" si="215"/>
        <v>37955</v>
      </c>
      <c r="AP169">
        <f t="shared" si="216"/>
        <v>4</v>
      </c>
      <c r="AQ169">
        <f t="shared" si="217"/>
        <v>4</v>
      </c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7" t="e">
        <f t="shared" ref="BL169" si="252">#REF!</f>
        <v>#REF!</v>
      </c>
      <c r="BM169">
        <f t="shared" si="203"/>
        <v>4</v>
      </c>
      <c r="BN169">
        <f t="shared" si="204"/>
        <v>1</v>
      </c>
    </row>
    <row r="170" spans="1:66">
      <c r="A170" s="7">
        <v>37986</v>
      </c>
      <c r="B170" s="8">
        <v>0.28695599999999999</v>
      </c>
      <c r="C170" s="8">
        <f t="shared" si="191"/>
        <v>0.18467496493599783</v>
      </c>
      <c r="D170" s="9">
        <f t="shared" si="187"/>
        <v>0.9233748246799891</v>
      </c>
      <c r="E170" s="8">
        <v>6.9</v>
      </c>
      <c r="F170" s="8">
        <f t="shared" si="192"/>
        <v>4.807885998801507</v>
      </c>
      <c r="G170" s="9">
        <f t="shared" si="188"/>
        <v>0.43708054534559154</v>
      </c>
      <c r="H170" s="8">
        <v>-0.26690000000000003</v>
      </c>
      <c r="I170" s="8">
        <f t="shared" si="193"/>
        <v>-1.8044227040841673E-2</v>
      </c>
      <c r="J170" s="9">
        <f t="shared" si="194"/>
        <v>0.18195577295915832</v>
      </c>
      <c r="K170" s="8">
        <v>-0.113</v>
      </c>
      <c r="L170" s="8">
        <f t="shared" si="195"/>
        <v>-0.34807708131307857</v>
      </c>
      <c r="M170" s="9">
        <f t="shared" si="189"/>
        <v>-0.17403854065653929</v>
      </c>
      <c r="O170" s="11">
        <f t="shared" si="196"/>
        <v>0.20309355484669969</v>
      </c>
      <c r="P170" s="15" t="str">
        <f t="shared" si="205"/>
        <v>E</v>
      </c>
      <c r="Q170" t="str">
        <f t="shared" si="214"/>
        <v>E</v>
      </c>
      <c r="R170" s="18">
        <f t="shared" si="206"/>
        <v>1.1012747535270311E-2</v>
      </c>
      <c r="S170" t="str">
        <f t="shared" si="230"/>
        <v>E</v>
      </c>
      <c r="T170">
        <v>0</v>
      </c>
      <c r="V170" s="17">
        <f t="shared" si="197"/>
        <v>37986</v>
      </c>
      <c r="W170" s="1">
        <f t="shared" si="198"/>
        <v>0.20309355484669969</v>
      </c>
      <c r="X170" s="1" t="e">
        <f t="shared" si="199"/>
        <v>#N/A</v>
      </c>
      <c r="Y170" s="1" t="e">
        <f t="shared" si="200"/>
        <v>#N/A</v>
      </c>
      <c r="Z170" s="1" t="e">
        <f t="shared" si="201"/>
        <v>#N/A</v>
      </c>
      <c r="AA170">
        <v>0</v>
      </c>
      <c r="AB170" s="1">
        <v>62</v>
      </c>
      <c r="AD170" s="17">
        <f t="shared" si="207"/>
        <v>37986</v>
      </c>
      <c r="AE170" s="1">
        <f t="shared" si="208"/>
        <v>0.20309355484669969</v>
      </c>
      <c r="AF170" s="1" t="e">
        <f t="shared" si="209"/>
        <v>#N/A</v>
      </c>
      <c r="AG170" s="1" t="e">
        <f t="shared" si="210"/>
        <v>#N/A</v>
      </c>
      <c r="AH170" s="1" t="e">
        <f t="shared" si="211"/>
        <v>#N/A</v>
      </c>
      <c r="AK170" s="1"/>
      <c r="AL170" s="1"/>
      <c r="AM170" s="1"/>
      <c r="AN170" s="1"/>
      <c r="AO170" s="17">
        <f t="shared" si="215"/>
        <v>37986</v>
      </c>
      <c r="AP170">
        <f t="shared" si="216"/>
        <v>4</v>
      </c>
      <c r="AQ170">
        <f t="shared" si="217"/>
        <v>4</v>
      </c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7" t="e">
        <f t="shared" ref="BL170" si="253">#REF!</f>
        <v>#REF!</v>
      </c>
      <c r="BM170">
        <f t="shared" si="203"/>
        <v>4</v>
      </c>
      <c r="BN170">
        <f t="shared" si="204"/>
        <v>1</v>
      </c>
    </row>
    <row r="171" spans="1:66">
      <c r="A171" s="7">
        <v>38017</v>
      </c>
      <c r="B171" s="8">
        <v>0.28087499999999999</v>
      </c>
      <c r="C171" s="8">
        <f t="shared" si="191"/>
        <v>0.21209197492923845</v>
      </c>
      <c r="D171" s="9">
        <f t="shared" si="187"/>
        <v>1.0604598746461922</v>
      </c>
      <c r="E171" s="8">
        <v>7.8</v>
      </c>
      <c r="F171" s="8">
        <f t="shared" si="192"/>
        <v>5.6606384891430777</v>
      </c>
      <c r="G171" s="9">
        <f t="shared" si="188"/>
        <v>0.51460349901300706</v>
      </c>
      <c r="H171" s="8">
        <v>-0.31919999999999998</v>
      </c>
      <c r="I171" s="8">
        <f t="shared" si="193"/>
        <v>-0.1038736223342018</v>
      </c>
      <c r="J171" s="9">
        <f t="shared" si="194"/>
        <v>9.6126377665798207E-2</v>
      </c>
      <c r="K171" s="8">
        <v>4.8000000000000001E-2</v>
      </c>
      <c r="L171" s="8">
        <f t="shared" si="195"/>
        <v>-0.23519511313885116</v>
      </c>
      <c r="M171" s="9">
        <f t="shared" si="189"/>
        <v>-0.11759755656942558</v>
      </c>
      <c r="O171" s="11">
        <f t="shared" si="196"/>
        <v>0.23072879739720847</v>
      </c>
      <c r="P171" s="15" t="str">
        <f t="shared" si="205"/>
        <v>E</v>
      </c>
      <c r="Q171" t="str">
        <f t="shared" si="214"/>
        <v>E</v>
      </c>
      <c r="R171" s="18">
        <f t="shared" si="206"/>
        <v>1.1012747535270311E-2</v>
      </c>
      <c r="S171" t="str">
        <f t="shared" si="230"/>
        <v>E</v>
      </c>
      <c r="T171">
        <v>0</v>
      </c>
      <c r="V171" s="17">
        <f t="shared" si="197"/>
        <v>38017</v>
      </c>
      <c r="W171" s="1">
        <f t="shared" si="198"/>
        <v>0.23072879739720847</v>
      </c>
      <c r="X171" s="1" t="e">
        <f t="shared" si="199"/>
        <v>#N/A</v>
      </c>
      <c r="Y171" s="1" t="e">
        <f t="shared" si="200"/>
        <v>#N/A</v>
      </c>
      <c r="Z171" s="1" t="e">
        <f t="shared" si="201"/>
        <v>#N/A</v>
      </c>
      <c r="AA171">
        <v>0</v>
      </c>
      <c r="AB171" s="1">
        <v>37.1</v>
      </c>
      <c r="AD171" s="17">
        <f t="shared" si="207"/>
        <v>38017</v>
      </c>
      <c r="AE171" s="1">
        <f t="shared" si="208"/>
        <v>0.23072879739720847</v>
      </c>
      <c r="AF171" s="1" t="e">
        <f t="shared" si="209"/>
        <v>#N/A</v>
      </c>
      <c r="AG171" s="1" t="e">
        <f t="shared" si="210"/>
        <v>#N/A</v>
      </c>
      <c r="AH171" s="1" t="e">
        <f t="shared" si="211"/>
        <v>#N/A</v>
      </c>
      <c r="AK171" s="1"/>
      <c r="AL171" s="1"/>
      <c r="AM171" s="1"/>
      <c r="AN171" s="1"/>
      <c r="AO171" s="17">
        <f t="shared" si="215"/>
        <v>38017</v>
      </c>
      <c r="AP171">
        <f t="shared" si="216"/>
        <v>4</v>
      </c>
      <c r="AQ171">
        <f t="shared" si="217"/>
        <v>4</v>
      </c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7" t="e">
        <f t="shared" ref="BL171" si="254">#REF!</f>
        <v>#REF!</v>
      </c>
      <c r="BM171">
        <f t="shared" si="203"/>
        <v>4</v>
      </c>
      <c r="BN171">
        <f t="shared" si="204"/>
        <v>1</v>
      </c>
    </row>
    <row r="172" spans="1:66">
      <c r="A172" s="7">
        <v>38046</v>
      </c>
      <c r="B172" s="8">
        <v>0.24091499999999999</v>
      </c>
      <c r="C172" s="8">
        <f t="shared" si="191"/>
        <v>0.22030653707440551</v>
      </c>
      <c r="D172" s="9">
        <f t="shared" si="187"/>
        <v>1.1015326853720275</v>
      </c>
      <c r="E172" s="8">
        <v>9.1</v>
      </c>
      <c r="F172" s="8">
        <f t="shared" si="192"/>
        <v>6.6408565197372997</v>
      </c>
      <c r="G172" s="9">
        <f t="shared" si="188"/>
        <v>0.60371422906702721</v>
      </c>
      <c r="H172" s="8">
        <v>0.1983</v>
      </c>
      <c r="I172" s="8">
        <f t="shared" si="193"/>
        <v>-1.775413996895428E-2</v>
      </c>
      <c r="J172" s="9">
        <f t="shared" si="194"/>
        <v>0.18224586003104573</v>
      </c>
      <c r="K172" s="8">
        <v>0.153</v>
      </c>
      <c r="L172" s="8">
        <f t="shared" si="195"/>
        <v>-0.12455950589427858</v>
      </c>
      <c r="M172" s="9">
        <f t="shared" si="189"/>
        <v>-6.2279752947139291E-2</v>
      </c>
      <c r="O172" s="11">
        <f t="shared" si="196"/>
        <v>0.30052415036627678</v>
      </c>
      <c r="P172" s="15" t="str">
        <f t="shared" si="205"/>
        <v>E</v>
      </c>
      <c r="Q172" t="str">
        <f t="shared" si="214"/>
        <v>E</v>
      </c>
      <c r="R172" s="18">
        <f t="shared" si="206"/>
        <v>1.1012747535270311E-2</v>
      </c>
      <c r="S172" t="str">
        <f t="shared" si="230"/>
        <v>E</v>
      </c>
      <c r="T172">
        <v>0</v>
      </c>
      <c r="V172" s="17">
        <f t="shared" si="197"/>
        <v>38046</v>
      </c>
      <c r="W172" s="1">
        <f t="shared" si="198"/>
        <v>0.30052415036627678</v>
      </c>
      <c r="X172" s="1" t="e">
        <f t="shared" si="199"/>
        <v>#N/A</v>
      </c>
      <c r="Y172" s="1" t="e">
        <f t="shared" si="200"/>
        <v>#N/A</v>
      </c>
      <c r="Z172" s="1" t="e">
        <f t="shared" si="201"/>
        <v>#N/A</v>
      </c>
      <c r="AA172">
        <v>0</v>
      </c>
      <c r="AB172" s="1">
        <v>-17</v>
      </c>
      <c r="AD172" s="17">
        <f t="shared" si="207"/>
        <v>38046</v>
      </c>
      <c r="AE172" s="1">
        <f t="shared" si="208"/>
        <v>0.30052415036627678</v>
      </c>
      <c r="AF172" s="1" t="e">
        <f t="shared" si="209"/>
        <v>#N/A</v>
      </c>
      <c r="AG172" s="1" t="e">
        <f t="shared" si="210"/>
        <v>#N/A</v>
      </c>
      <c r="AH172" s="1" t="e">
        <f t="shared" si="211"/>
        <v>#N/A</v>
      </c>
      <c r="AK172" s="1"/>
      <c r="AL172" s="1"/>
      <c r="AM172" s="1"/>
      <c r="AN172" s="1"/>
      <c r="AO172" s="17">
        <f t="shared" si="215"/>
        <v>38046</v>
      </c>
      <c r="AP172">
        <f t="shared" si="216"/>
        <v>4</v>
      </c>
      <c r="AQ172">
        <f t="shared" si="217"/>
        <v>4</v>
      </c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7" t="e">
        <f t="shared" ref="BL172" si="255">#REF!</f>
        <v>#REF!</v>
      </c>
      <c r="BM172">
        <f t="shared" si="203"/>
        <v>4</v>
      </c>
      <c r="BN172">
        <f t="shared" si="204"/>
        <v>1</v>
      </c>
    </row>
    <row r="173" spans="1:66">
      <c r="A173" s="7">
        <v>38077</v>
      </c>
      <c r="B173" s="8">
        <v>0.110453</v>
      </c>
      <c r="C173" s="8">
        <f t="shared" si="191"/>
        <v>0.18899827900819993</v>
      </c>
      <c r="D173" s="9">
        <f t="shared" si="187"/>
        <v>0.9449913950409996</v>
      </c>
      <c r="E173" s="8">
        <v>10.8</v>
      </c>
      <c r="F173" s="8">
        <f t="shared" si="192"/>
        <v>7.8262124116121701</v>
      </c>
      <c r="G173" s="9">
        <f t="shared" si="188"/>
        <v>0.71147385560110632</v>
      </c>
      <c r="H173" s="8">
        <v>0.32229999999999998</v>
      </c>
      <c r="I173" s="8">
        <f t="shared" si="193"/>
        <v>7.9161289922197703E-2</v>
      </c>
      <c r="J173" s="9">
        <f t="shared" si="194"/>
        <v>0.27916128992219769</v>
      </c>
      <c r="K173" s="8">
        <v>-5.0000000000000001E-3</v>
      </c>
      <c r="L173" s="8">
        <f t="shared" si="195"/>
        <v>-9.0485046714409184E-2</v>
      </c>
      <c r="M173" s="9">
        <f t="shared" si="189"/>
        <v>-4.5242523357204592E-2</v>
      </c>
      <c r="O173" s="11">
        <f t="shared" si="196"/>
        <v>0.3457890381937061</v>
      </c>
      <c r="P173" s="15" t="str">
        <f t="shared" si="205"/>
        <v>E</v>
      </c>
      <c r="Q173" t="str">
        <f t="shared" si="214"/>
        <v>E</v>
      </c>
      <c r="R173" s="18">
        <f t="shared" si="206"/>
        <v>1.1012747535270311E-2</v>
      </c>
      <c r="S173" t="str">
        <f t="shared" si="230"/>
        <v>E</v>
      </c>
      <c r="T173">
        <v>0</v>
      </c>
      <c r="V173" s="17">
        <f t="shared" si="197"/>
        <v>38077</v>
      </c>
      <c r="W173" s="1">
        <f t="shared" si="198"/>
        <v>0.3457890381937061</v>
      </c>
      <c r="X173" s="1" t="e">
        <f t="shared" si="199"/>
        <v>#N/A</v>
      </c>
      <c r="Y173" s="1" t="e">
        <f t="shared" si="200"/>
        <v>#N/A</v>
      </c>
      <c r="Z173" s="1" t="e">
        <f t="shared" si="201"/>
        <v>#N/A</v>
      </c>
      <c r="AA173">
        <v>0</v>
      </c>
      <c r="AB173" s="1">
        <v>-44.7</v>
      </c>
      <c r="AD173" s="17">
        <f t="shared" si="207"/>
        <v>38077</v>
      </c>
      <c r="AE173" s="1">
        <f t="shared" si="208"/>
        <v>0.3457890381937061</v>
      </c>
      <c r="AF173" s="1" t="e">
        <f t="shared" si="209"/>
        <v>#N/A</v>
      </c>
      <c r="AG173" s="1" t="e">
        <f t="shared" si="210"/>
        <v>#N/A</v>
      </c>
      <c r="AH173" s="1" t="e">
        <f t="shared" si="211"/>
        <v>#N/A</v>
      </c>
      <c r="AK173" s="1"/>
      <c r="AL173" s="1"/>
      <c r="AM173" s="1"/>
      <c r="AN173" s="1"/>
      <c r="AO173" s="17">
        <f t="shared" si="215"/>
        <v>38077</v>
      </c>
      <c r="AP173">
        <f t="shared" si="216"/>
        <v>4</v>
      </c>
      <c r="AQ173">
        <f t="shared" si="217"/>
        <v>4</v>
      </c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7" t="e">
        <f t="shared" ref="BL173" si="256">#REF!</f>
        <v>#REF!</v>
      </c>
      <c r="BM173">
        <f t="shared" si="203"/>
        <v>4</v>
      </c>
      <c r="BN173">
        <f t="shared" si="204"/>
        <v>1</v>
      </c>
    </row>
    <row r="174" spans="1:66">
      <c r="A174" s="7">
        <v>38107</v>
      </c>
      <c r="B174" s="8">
        <v>0.22054799999999999</v>
      </c>
      <c r="C174" s="8">
        <f t="shared" si="191"/>
        <v>0.19798994949086296</v>
      </c>
      <c r="D174" s="9">
        <f t="shared" si="187"/>
        <v>0.98994974745431474</v>
      </c>
      <c r="E174" s="8">
        <v>11.3</v>
      </c>
      <c r="F174" s="8">
        <f t="shared" si="192"/>
        <v>8.8162418743027011</v>
      </c>
      <c r="G174" s="9">
        <f t="shared" si="188"/>
        <v>0.80147653402751828</v>
      </c>
      <c r="H174" s="8">
        <v>0.1502</v>
      </c>
      <c r="I174" s="8">
        <f t="shared" si="193"/>
        <v>9.9407322294371353E-2</v>
      </c>
      <c r="J174" s="9">
        <f t="shared" si="194"/>
        <v>0.29940732229437139</v>
      </c>
      <c r="K174" s="8">
        <v>5.7000000000000002E-2</v>
      </c>
      <c r="L174" s="8">
        <f t="shared" si="195"/>
        <v>-4.8451808400802564E-2</v>
      </c>
      <c r="M174" s="9">
        <f t="shared" si="189"/>
        <v>-2.4225904200401282E-2</v>
      </c>
      <c r="O174" s="11">
        <f t="shared" si="196"/>
        <v>0.39499155685395437</v>
      </c>
      <c r="P174" s="15" t="str">
        <f t="shared" si="205"/>
        <v>E</v>
      </c>
      <c r="Q174" t="str">
        <f t="shared" si="214"/>
        <v>E</v>
      </c>
      <c r="R174" s="18">
        <f t="shared" si="206"/>
        <v>1.1012747535270311E-2</v>
      </c>
      <c r="S174" t="str">
        <f t="shared" si="230"/>
        <v>E</v>
      </c>
      <c r="T174">
        <v>0</v>
      </c>
      <c r="V174" s="17">
        <f t="shared" si="197"/>
        <v>38107</v>
      </c>
      <c r="W174" s="1">
        <f t="shared" si="198"/>
        <v>0.39499155685395437</v>
      </c>
      <c r="X174" s="1" t="e">
        <f t="shared" si="199"/>
        <v>#N/A</v>
      </c>
      <c r="Y174" s="1" t="e">
        <f t="shared" si="200"/>
        <v>#N/A</v>
      </c>
      <c r="Z174" s="1" t="e">
        <f t="shared" si="201"/>
        <v>#N/A</v>
      </c>
      <c r="AA174">
        <v>0</v>
      </c>
      <c r="AB174" s="1">
        <v>30.7</v>
      </c>
      <c r="AD174" s="17">
        <f t="shared" si="207"/>
        <v>38107</v>
      </c>
      <c r="AE174" s="1">
        <f t="shared" si="208"/>
        <v>0.39499155685395437</v>
      </c>
      <c r="AF174" s="1" t="e">
        <f t="shared" si="209"/>
        <v>#N/A</v>
      </c>
      <c r="AG174" s="1" t="e">
        <f t="shared" si="210"/>
        <v>#N/A</v>
      </c>
      <c r="AH174" s="1" t="e">
        <f t="shared" si="211"/>
        <v>#N/A</v>
      </c>
      <c r="AK174" s="1"/>
      <c r="AL174" s="1"/>
      <c r="AM174" s="1"/>
      <c r="AN174" s="1"/>
      <c r="AO174" s="17">
        <f t="shared" si="215"/>
        <v>38107</v>
      </c>
      <c r="AP174">
        <f t="shared" si="216"/>
        <v>4</v>
      </c>
      <c r="AQ174">
        <f t="shared" si="217"/>
        <v>4</v>
      </c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7" t="e">
        <f t="shared" ref="BL174" si="257">#REF!</f>
        <v>#REF!</v>
      </c>
      <c r="BM174">
        <f t="shared" si="203"/>
        <v>4</v>
      </c>
      <c r="BN174">
        <f t="shared" si="204"/>
        <v>1</v>
      </c>
    </row>
    <row r="175" spans="1:66">
      <c r="A175" s="7">
        <v>38138</v>
      </c>
      <c r="B175" s="8">
        <v>0.28131099999999998</v>
      </c>
      <c r="C175" s="8">
        <f t="shared" si="191"/>
        <v>0.221736448885967</v>
      </c>
      <c r="D175" s="9">
        <f t="shared" si="187"/>
        <v>1.108682244429835</v>
      </c>
      <c r="E175" s="8">
        <v>11.3</v>
      </c>
      <c r="F175" s="8">
        <f t="shared" si="192"/>
        <v>9.5241129401264324</v>
      </c>
      <c r="G175" s="9">
        <f t="shared" si="188"/>
        <v>0.86582844910240297</v>
      </c>
      <c r="H175" s="8">
        <v>3.8300000000000001E-2</v>
      </c>
      <c r="I175" s="8">
        <f t="shared" si="193"/>
        <v>8.1991735440475527E-2</v>
      </c>
      <c r="J175" s="9">
        <f t="shared" si="194"/>
        <v>0.28199173544047551</v>
      </c>
      <c r="K175" s="8">
        <v>0.11700000000000001</v>
      </c>
      <c r="L175" s="8">
        <f t="shared" si="195"/>
        <v>-1.2980430065738235E-3</v>
      </c>
      <c r="M175" s="9">
        <f t="shared" si="189"/>
        <v>-6.4902150328691177E-4</v>
      </c>
      <c r="O175" s="11">
        <f t="shared" si="196"/>
        <v>0.43571399883239559</v>
      </c>
      <c r="P175" s="15" t="str">
        <f t="shared" si="205"/>
        <v>E</v>
      </c>
      <c r="Q175" t="str">
        <f t="shared" si="214"/>
        <v>E</v>
      </c>
      <c r="R175" s="18">
        <f t="shared" si="206"/>
        <v>1.1012747535270311E-2</v>
      </c>
      <c r="S175" t="str">
        <f t="shared" si="230"/>
        <v>E</v>
      </c>
      <c r="T175">
        <v>0</v>
      </c>
      <c r="V175" s="17">
        <f t="shared" si="197"/>
        <v>38138</v>
      </c>
      <c r="W175" s="1">
        <f t="shared" si="198"/>
        <v>0.43571399883239559</v>
      </c>
      <c r="X175" s="1">
        <f t="shared" si="199"/>
        <v>0.43571399883239559</v>
      </c>
      <c r="Y175" s="1" t="e">
        <f t="shared" si="200"/>
        <v>#N/A</v>
      </c>
      <c r="Z175" s="1" t="e">
        <f t="shared" si="201"/>
        <v>#N/A</v>
      </c>
      <c r="AA175">
        <v>0</v>
      </c>
      <c r="AB175" s="1">
        <v>43.5</v>
      </c>
      <c r="AD175" s="17">
        <f t="shared" si="207"/>
        <v>38138</v>
      </c>
      <c r="AE175" s="1">
        <f t="shared" si="208"/>
        <v>0.43571399883239559</v>
      </c>
      <c r="AF175" s="1" t="e">
        <f t="shared" si="209"/>
        <v>#N/A</v>
      </c>
      <c r="AG175" s="1" t="e">
        <f t="shared" si="210"/>
        <v>#N/A</v>
      </c>
      <c r="AH175" s="1" t="e">
        <f t="shared" si="211"/>
        <v>#N/A</v>
      </c>
      <c r="AK175" s="1"/>
      <c r="AL175" s="1"/>
      <c r="AM175" s="1"/>
      <c r="AN175" s="1"/>
      <c r="AO175" s="17">
        <f t="shared" si="215"/>
        <v>38138</v>
      </c>
      <c r="AP175">
        <f t="shared" si="216"/>
        <v>4</v>
      </c>
      <c r="AQ175">
        <f t="shared" si="217"/>
        <v>4</v>
      </c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7" t="e">
        <f t="shared" ref="BL175" si="258">#REF!</f>
        <v>#REF!</v>
      </c>
      <c r="BM175">
        <f t="shared" si="203"/>
        <v>4</v>
      </c>
      <c r="BN175">
        <f t="shared" si="204"/>
        <v>1</v>
      </c>
    </row>
    <row r="176" spans="1:66">
      <c r="A176" s="7">
        <v>38168</v>
      </c>
      <c r="B176" s="8">
        <v>0.33228799999999997</v>
      </c>
      <c r="C176" s="8">
        <f t="shared" si="191"/>
        <v>0.25324364095346641</v>
      </c>
      <c r="D176" s="9">
        <f t="shared" si="187"/>
        <v>1.266218204767332</v>
      </c>
      <c r="E176" s="8">
        <v>11.1</v>
      </c>
      <c r="F176" s="8">
        <f t="shared" si="192"/>
        <v>9.9732407521903994</v>
      </c>
      <c r="G176" s="9">
        <f t="shared" si="188"/>
        <v>0.90665825019912727</v>
      </c>
      <c r="H176" s="8">
        <v>-0.47210000000000002</v>
      </c>
      <c r="I176" s="8">
        <f t="shared" si="193"/>
        <v>-7.5924409160060019E-2</v>
      </c>
      <c r="J176" s="9">
        <f t="shared" si="194"/>
        <v>0.12407559083993999</v>
      </c>
      <c r="K176" s="8">
        <v>8.9999999999999993E-3</v>
      </c>
      <c r="L176" s="8">
        <f t="shared" si="195"/>
        <v>1.6368992502997161E-3</v>
      </c>
      <c r="M176" s="9">
        <f t="shared" si="189"/>
        <v>1.6368992502997161E-3</v>
      </c>
      <c r="O176" s="11">
        <f t="shared" si="196"/>
        <v>0.42408410223452603</v>
      </c>
      <c r="P176" s="15" t="str">
        <f t="shared" si="205"/>
        <v>SD</v>
      </c>
      <c r="Q176" t="str">
        <f t="shared" si="214"/>
        <v>E</v>
      </c>
      <c r="R176" s="18">
        <f t="shared" si="206"/>
        <v>1.1012747535270311E-2</v>
      </c>
      <c r="S176" t="str">
        <f t="shared" si="230"/>
        <v>E</v>
      </c>
      <c r="T176">
        <v>0</v>
      </c>
      <c r="V176" s="17">
        <f t="shared" si="197"/>
        <v>38168</v>
      </c>
      <c r="W176" s="1">
        <f t="shared" si="198"/>
        <v>0.42408410223452603</v>
      </c>
      <c r="X176" s="1">
        <f t="shared" si="199"/>
        <v>0.42408410223452603</v>
      </c>
      <c r="Y176" s="1" t="e">
        <f t="shared" si="200"/>
        <v>#N/A</v>
      </c>
      <c r="Z176" s="1" t="e">
        <f t="shared" si="201"/>
        <v>#N/A</v>
      </c>
      <c r="AA176">
        <v>0</v>
      </c>
      <c r="AB176" s="1">
        <v>15.8</v>
      </c>
      <c r="AD176" s="17">
        <f t="shared" si="207"/>
        <v>38168</v>
      </c>
      <c r="AE176" s="1">
        <f t="shared" si="208"/>
        <v>0.42408410223452603</v>
      </c>
      <c r="AF176" s="1" t="e">
        <f t="shared" si="209"/>
        <v>#N/A</v>
      </c>
      <c r="AG176" s="1" t="e">
        <f t="shared" si="210"/>
        <v>#N/A</v>
      </c>
      <c r="AH176" s="1" t="e">
        <f t="shared" si="211"/>
        <v>#N/A</v>
      </c>
      <c r="AK176" s="1"/>
      <c r="AL176" s="1"/>
      <c r="AM176" s="1"/>
      <c r="AN176" s="1"/>
      <c r="AO176" s="17">
        <f t="shared" si="215"/>
        <v>38168</v>
      </c>
      <c r="AP176">
        <f t="shared" si="216"/>
        <v>3</v>
      </c>
      <c r="AQ176">
        <f t="shared" si="217"/>
        <v>4</v>
      </c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7" t="e">
        <f t="shared" ref="BL176" si="259">#REF!</f>
        <v>#REF!</v>
      </c>
      <c r="BM176">
        <f t="shared" si="203"/>
        <v>4</v>
      </c>
      <c r="BN176">
        <f t="shared" si="204"/>
        <v>1</v>
      </c>
    </row>
    <row r="177" spans="1:66">
      <c r="A177" s="7">
        <v>38199</v>
      </c>
      <c r="B177" s="8">
        <v>0.30475200000000002</v>
      </c>
      <c r="C177" s="8">
        <f t="shared" si="191"/>
        <v>0.26792352328172853</v>
      </c>
      <c r="D177" s="9">
        <f t="shared" si="187"/>
        <v>1.3396176164086426</v>
      </c>
      <c r="E177" s="8">
        <v>11.4</v>
      </c>
      <c r="F177" s="8">
        <f t="shared" si="192"/>
        <v>10.379867137816136</v>
      </c>
      <c r="G177" s="9">
        <f t="shared" si="188"/>
        <v>0.94362428525601239</v>
      </c>
      <c r="H177" s="8">
        <v>0.1074</v>
      </c>
      <c r="I177" s="8">
        <f t="shared" si="193"/>
        <v>-2.3676952549442912E-2</v>
      </c>
      <c r="J177" s="9">
        <f t="shared" si="194"/>
        <v>0.1763230474505571</v>
      </c>
      <c r="K177" s="8">
        <v>8.8999999999999996E-2</v>
      </c>
      <c r="L177" s="8">
        <f t="shared" si="195"/>
        <v>2.65353829639643E-2</v>
      </c>
      <c r="M177" s="9">
        <f t="shared" si="189"/>
        <v>2.65353829639643E-2</v>
      </c>
      <c r="O177" s="11">
        <f t="shared" si="196"/>
        <v>0.46681676582495885</v>
      </c>
      <c r="P177" s="15" t="str">
        <f t="shared" si="205"/>
        <v>E</v>
      </c>
      <c r="Q177" t="str">
        <f t="shared" si="214"/>
        <v>E</v>
      </c>
      <c r="R177" s="18">
        <f t="shared" si="206"/>
        <v>0.46681676582495885</v>
      </c>
      <c r="S177" t="str">
        <f t="shared" si="230"/>
        <v>E</v>
      </c>
      <c r="T177">
        <v>0</v>
      </c>
      <c r="V177" s="17">
        <f t="shared" si="197"/>
        <v>38199</v>
      </c>
      <c r="W177" s="1">
        <f t="shared" si="198"/>
        <v>0.46681676582495885</v>
      </c>
      <c r="X177" s="1" t="e">
        <f t="shared" si="199"/>
        <v>#N/A</v>
      </c>
      <c r="Y177" s="1" t="e">
        <f t="shared" si="200"/>
        <v>#N/A</v>
      </c>
      <c r="Z177" s="1" t="e">
        <f t="shared" si="201"/>
        <v>#N/A</v>
      </c>
      <c r="AA177">
        <v>0</v>
      </c>
      <c r="AB177" s="1">
        <v>-18.7</v>
      </c>
      <c r="AD177" s="17">
        <f t="shared" si="207"/>
        <v>38199</v>
      </c>
      <c r="AE177" s="1">
        <f t="shared" si="208"/>
        <v>0.46681676582495885</v>
      </c>
      <c r="AF177" s="1" t="e">
        <f t="shared" si="209"/>
        <v>#N/A</v>
      </c>
      <c r="AG177" s="1" t="e">
        <f t="shared" si="210"/>
        <v>#N/A</v>
      </c>
      <c r="AH177" s="1" t="e">
        <f t="shared" si="211"/>
        <v>#N/A</v>
      </c>
      <c r="AK177" s="1"/>
      <c r="AL177" s="1"/>
      <c r="AM177" s="1"/>
      <c r="AN177" s="1"/>
      <c r="AO177" s="17">
        <f t="shared" si="215"/>
        <v>38199</v>
      </c>
      <c r="AP177">
        <f t="shared" si="216"/>
        <v>4</v>
      </c>
      <c r="AQ177">
        <f t="shared" si="217"/>
        <v>4</v>
      </c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7" t="e">
        <f t="shared" ref="BL177" si="260">#REF!</f>
        <v>#REF!</v>
      </c>
      <c r="BM177">
        <f t="shared" si="203"/>
        <v>4</v>
      </c>
      <c r="BN177">
        <f t="shared" si="204"/>
        <v>1</v>
      </c>
    </row>
    <row r="178" spans="1:66">
      <c r="A178" s="7">
        <v>38230</v>
      </c>
      <c r="B178" s="8">
        <v>0.16378100000000001</v>
      </c>
      <c r="C178" s="8">
        <f t="shared" si="191"/>
        <v>0.2382429041464359</v>
      </c>
      <c r="D178" s="9">
        <f t="shared" si="187"/>
        <v>1.1912145207321794</v>
      </c>
      <c r="E178" s="8">
        <v>11.2</v>
      </c>
      <c r="F178" s="8">
        <f t="shared" si="192"/>
        <v>10.613605003538538</v>
      </c>
      <c r="G178" s="9">
        <f t="shared" si="188"/>
        <v>0.96487318213986706</v>
      </c>
      <c r="H178" s="8">
        <v>7.6899999999999996E-2</v>
      </c>
      <c r="I178" s="8">
        <f t="shared" si="193"/>
        <v>4.98747892714832E-3</v>
      </c>
      <c r="J178" s="9">
        <f t="shared" si="194"/>
        <v>0.20498747892714833</v>
      </c>
      <c r="K178" s="8">
        <v>9.0999999999999998E-2</v>
      </c>
      <c r="L178" s="8">
        <f t="shared" si="195"/>
        <v>4.4907798819234478E-2</v>
      </c>
      <c r="M178" s="9">
        <f t="shared" si="189"/>
        <v>4.4907798819234478E-2</v>
      </c>
      <c r="O178" s="11">
        <f t="shared" si="196"/>
        <v>0.47717732097393645</v>
      </c>
      <c r="P178" s="15" t="str">
        <f t="shared" si="205"/>
        <v>E</v>
      </c>
      <c r="Q178" t="str">
        <f t="shared" si="214"/>
        <v>E</v>
      </c>
      <c r="R178" s="18">
        <f t="shared" si="206"/>
        <v>0.46681676582495885</v>
      </c>
      <c r="S178" t="str">
        <f t="shared" si="230"/>
        <v>E</v>
      </c>
      <c r="T178">
        <v>0</v>
      </c>
      <c r="V178" s="17">
        <f t="shared" si="197"/>
        <v>38230</v>
      </c>
      <c r="W178" s="1">
        <f t="shared" si="198"/>
        <v>0.47717732097393645</v>
      </c>
      <c r="X178" s="1" t="e">
        <f t="shared" si="199"/>
        <v>#N/A</v>
      </c>
      <c r="Y178" s="1" t="e">
        <f t="shared" si="200"/>
        <v>#N/A</v>
      </c>
      <c r="Z178" s="1" t="e">
        <f t="shared" si="201"/>
        <v>#N/A</v>
      </c>
      <c r="AA178">
        <v>0</v>
      </c>
      <c r="AB178" s="1">
        <v>-102.1</v>
      </c>
      <c r="AD178" s="17">
        <f t="shared" si="207"/>
        <v>38230</v>
      </c>
      <c r="AE178" s="1">
        <f t="shared" si="208"/>
        <v>0.47717732097393645</v>
      </c>
      <c r="AF178" s="1" t="e">
        <f t="shared" si="209"/>
        <v>#N/A</v>
      </c>
      <c r="AG178" s="1" t="e">
        <f t="shared" si="210"/>
        <v>#N/A</v>
      </c>
      <c r="AH178" s="1" t="e">
        <f t="shared" si="211"/>
        <v>#N/A</v>
      </c>
      <c r="AK178" s="1"/>
      <c r="AL178" s="1"/>
      <c r="AM178" s="1"/>
      <c r="AN178" s="1"/>
      <c r="AO178" s="17">
        <f t="shared" si="215"/>
        <v>38230</v>
      </c>
      <c r="AP178">
        <f t="shared" si="216"/>
        <v>4</v>
      </c>
      <c r="AQ178">
        <f t="shared" si="217"/>
        <v>4</v>
      </c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7" t="e">
        <f t="shared" ref="BL178" si="261">#REF!</f>
        <v>#REF!</v>
      </c>
      <c r="BM178">
        <f t="shared" si="203"/>
        <v>4</v>
      </c>
      <c r="BN178">
        <f t="shared" si="204"/>
        <v>1</v>
      </c>
    </row>
    <row r="179" spans="1:66">
      <c r="A179" s="7">
        <v>38260</v>
      </c>
      <c r="B179" s="8">
        <v>0.22390699999999999</v>
      </c>
      <c r="C179" s="8">
        <f t="shared" si="191"/>
        <v>0.23415717146470166</v>
      </c>
      <c r="D179" s="9">
        <f t="shared" si="187"/>
        <v>1.1707858573235082</v>
      </c>
      <c r="E179" s="8">
        <v>10.9</v>
      </c>
      <c r="F179" s="8">
        <f t="shared" si="192"/>
        <v>10.695227577530055</v>
      </c>
      <c r="G179" s="9">
        <f t="shared" si="188"/>
        <v>0.97229341613909592</v>
      </c>
      <c r="H179" s="8">
        <v>0.16220000000000001</v>
      </c>
      <c r="I179" s="8">
        <f t="shared" si="193"/>
        <v>4.9793047432911061E-2</v>
      </c>
      <c r="J179" s="9">
        <f t="shared" si="194"/>
        <v>0.24979304743291109</v>
      </c>
      <c r="K179" s="8">
        <v>0.16200000000000001</v>
      </c>
      <c r="L179" s="8">
        <f t="shared" si="195"/>
        <v>7.8279076155752664E-2</v>
      </c>
      <c r="M179" s="9">
        <f t="shared" si="189"/>
        <v>7.8279076155752664E-2</v>
      </c>
      <c r="O179" s="11">
        <f t="shared" si="196"/>
        <v>0.5049621774509101</v>
      </c>
      <c r="P179" s="15" t="str">
        <f t="shared" si="205"/>
        <v>E</v>
      </c>
      <c r="Q179" t="str">
        <f t="shared" si="214"/>
        <v>E</v>
      </c>
      <c r="R179" s="18">
        <f t="shared" si="206"/>
        <v>0.46681676582495885</v>
      </c>
      <c r="S179" t="str">
        <f t="shared" si="230"/>
        <v>E</v>
      </c>
      <c r="T179">
        <v>0</v>
      </c>
      <c r="V179" s="17">
        <f t="shared" si="197"/>
        <v>38260</v>
      </c>
      <c r="W179" s="1">
        <f t="shared" si="198"/>
        <v>0.5049621774509101</v>
      </c>
      <c r="X179" s="1" t="e">
        <f t="shared" si="199"/>
        <v>#N/A</v>
      </c>
      <c r="Y179" s="1" t="e">
        <f t="shared" si="200"/>
        <v>#N/A</v>
      </c>
      <c r="Z179" s="1" t="e">
        <f t="shared" si="201"/>
        <v>#N/A</v>
      </c>
      <c r="AA179">
        <v>0</v>
      </c>
      <c r="AB179" s="1">
        <v>-81.3</v>
      </c>
      <c r="AD179" s="17">
        <f t="shared" si="207"/>
        <v>38260</v>
      </c>
      <c r="AE179" s="1">
        <f t="shared" si="208"/>
        <v>0.5049621774509101</v>
      </c>
      <c r="AF179" s="1" t="e">
        <f t="shared" si="209"/>
        <v>#N/A</v>
      </c>
      <c r="AG179" s="1" t="e">
        <f t="shared" si="210"/>
        <v>#N/A</v>
      </c>
      <c r="AH179" s="1" t="e">
        <f t="shared" si="211"/>
        <v>#N/A</v>
      </c>
      <c r="AK179" s="1"/>
      <c r="AL179" s="1"/>
      <c r="AM179" s="1"/>
      <c r="AN179" s="1"/>
      <c r="AO179" s="17">
        <f t="shared" si="215"/>
        <v>38260</v>
      </c>
      <c r="AP179">
        <f t="shared" si="216"/>
        <v>4</v>
      </c>
      <c r="AQ179">
        <f t="shared" si="217"/>
        <v>4</v>
      </c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7" t="e">
        <f t="shared" ref="BL179" si="262">#REF!</f>
        <v>#REF!</v>
      </c>
      <c r="BM179">
        <f t="shared" si="203"/>
        <v>4</v>
      </c>
      <c r="BN179">
        <f t="shared" si="204"/>
        <v>1</v>
      </c>
    </row>
    <row r="180" spans="1:66">
      <c r="A180" s="7">
        <v>38291</v>
      </c>
      <c r="B180" s="8">
        <v>0.18570999999999999</v>
      </c>
      <c r="C180" s="8">
        <f t="shared" si="191"/>
        <v>0.22034972759726171</v>
      </c>
      <c r="D180" s="9">
        <f t="shared" si="187"/>
        <v>1.1017486379863084</v>
      </c>
      <c r="E180" s="8">
        <v>10.1</v>
      </c>
      <c r="F180" s="8">
        <f t="shared" si="192"/>
        <v>10.525587717933989</v>
      </c>
      <c r="G180" s="9">
        <f t="shared" si="188"/>
        <v>0.9568716107212718</v>
      </c>
      <c r="H180" s="8">
        <v>0.30959999999999999</v>
      </c>
      <c r="I180" s="8">
        <f t="shared" si="193"/>
        <v>0.12383802891453141</v>
      </c>
      <c r="J180" s="9">
        <f t="shared" si="194"/>
        <v>0.3238380289145314</v>
      </c>
      <c r="K180" s="8">
        <v>6.0999999999999999E-2</v>
      </c>
      <c r="L180" s="8">
        <f t="shared" si="195"/>
        <v>7.3354539451363152E-2</v>
      </c>
      <c r="M180" s="9">
        <f t="shared" si="189"/>
        <v>7.3354539451363152E-2</v>
      </c>
      <c r="O180" s="11">
        <f t="shared" si="196"/>
        <v>0.52102065915012796</v>
      </c>
      <c r="P180" s="15" t="str">
        <f t="shared" si="205"/>
        <v>E</v>
      </c>
      <c r="Q180" t="str">
        <f t="shared" si="214"/>
        <v>E</v>
      </c>
      <c r="R180" s="18">
        <f t="shared" si="206"/>
        <v>0.46681676582495885</v>
      </c>
      <c r="S180" t="str">
        <f t="shared" si="230"/>
        <v>E</v>
      </c>
      <c r="T180">
        <v>0</v>
      </c>
      <c r="V180" s="17">
        <f t="shared" si="197"/>
        <v>38291</v>
      </c>
      <c r="W180" s="1">
        <f t="shared" si="198"/>
        <v>0.52102065915012796</v>
      </c>
      <c r="X180" s="1" t="e">
        <f t="shared" si="199"/>
        <v>#N/A</v>
      </c>
      <c r="Y180" s="1" t="e">
        <f t="shared" si="200"/>
        <v>#N/A</v>
      </c>
      <c r="Z180" s="1" t="e">
        <f t="shared" si="201"/>
        <v>#N/A</v>
      </c>
      <c r="AA180">
        <v>0</v>
      </c>
      <c r="AB180" s="1">
        <v>-69.8</v>
      </c>
      <c r="AD180" s="17">
        <f t="shared" si="207"/>
        <v>38291</v>
      </c>
      <c r="AE180" s="1">
        <f t="shared" si="208"/>
        <v>0.52102065915012796</v>
      </c>
      <c r="AF180" s="1" t="e">
        <f t="shared" si="209"/>
        <v>#N/A</v>
      </c>
      <c r="AG180" s="1" t="e">
        <f t="shared" si="210"/>
        <v>#N/A</v>
      </c>
      <c r="AH180" s="1" t="e">
        <f t="shared" si="211"/>
        <v>#N/A</v>
      </c>
      <c r="AK180" s="1"/>
      <c r="AL180" s="1"/>
      <c r="AM180" s="1"/>
      <c r="AN180" s="1"/>
      <c r="AO180" s="17">
        <f t="shared" si="215"/>
        <v>38291</v>
      </c>
      <c r="AP180">
        <f t="shared" si="216"/>
        <v>4</v>
      </c>
      <c r="AQ180">
        <f t="shared" si="217"/>
        <v>4</v>
      </c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7" t="e">
        <f t="shared" ref="BL180" si="263">#REF!</f>
        <v>#REF!</v>
      </c>
      <c r="BM180">
        <f t="shared" si="203"/>
        <v>4</v>
      </c>
      <c r="BN180">
        <f t="shared" si="204"/>
        <v>1</v>
      </c>
    </row>
    <row r="181" spans="1:66">
      <c r="A181" s="7">
        <v>38321</v>
      </c>
      <c r="B181" s="8">
        <v>0.203676</v>
      </c>
      <c r="C181" s="8">
        <f t="shared" si="191"/>
        <v>0.2155977152320421</v>
      </c>
      <c r="D181" s="9">
        <f t="shared" si="187"/>
        <v>1.0779885761602104</v>
      </c>
      <c r="E181" s="8">
        <v>9.8000000000000007</v>
      </c>
      <c r="F181" s="8">
        <f t="shared" si="192"/>
        <v>10.318795218322803</v>
      </c>
      <c r="G181" s="9">
        <f t="shared" si="188"/>
        <v>0.93807229257480029</v>
      </c>
      <c r="H181" s="8">
        <v>0.223</v>
      </c>
      <c r="I181" s="8">
        <f t="shared" si="193"/>
        <v>0.15209919067388997</v>
      </c>
      <c r="J181" s="9">
        <f t="shared" si="194"/>
        <v>0.35209919067388995</v>
      </c>
      <c r="K181" s="8">
        <v>0.50800000000000001</v>
      </c>
      <c r="L181" s="8">
        <f t="shared" si="195"/>
        <v>0.19722849570772466</v>
      </c>
      <c r="M181" s="9">
        <f t="shared" si="189"/>
        <v>0.19722849570772466</v>
      </c>
      <c r="O181" s="11">
        <f t="shared" si="196"/>
        <v>0.55965864674688692</v>
      </c>
      <c r="P181" s="15" t="str">
        <f t="shared" si="205"/>
        <v>E</v>
      </c>
      <c r="Q181" t="str">
        <f t="shared" si="214"/>
        <v>E</v>
      </c>
      <c r="R181" s="18">
        <f t="shared" si="206"/>
        <v>0.46681676582495885</v>
      </c>
      <c r="S181" t="str">
        <f t="shared" si="230"/>
        <v>E</v>
      </c>
      <c r="T181">
        <v>0</v>
      </c>
      <c r="V181" s="17">
        <f t="shared" si="197"/>
        <v>38321</v>
      </c>
      <c r="W181" s="1">
        <f t="shared" si="198"/>
        <v>0.55965864674688692</v>
      </c>
      <c r="X181" s="1" t="e">
        <f t="shared" si="199"/>
        <v>#N/A</v>
      </c>
      <c r="Y181" s="1" t="e">
        <f t="shared" si="200"/>
        <v>#N/A</v>
      </c>
      <c r="Z181" s="1" t="e">
        <f t="shared" si="201"/>
        <v>#N/A</v>
      </c>
      <c r="AA181">
        <v>0</v>
      </c>
      <c r="AB181" s="1">
        <v>23.2</v>
      </c>
      <c r="AD181" s="17">
        <f t="shared" si="207"/>
        <v>38321</v>
      </c>
      <c r="AE181" s="1">
        <f t="shared" si="208"/>
        <v>0.55965864674688692</v>
      </c>
      <c r="AF181" s="1" t="e">
        <f t="shared" si="209"/>
        <v>#N/A</v>
      </c>
      <c r="AG181" s="1" t="e">
        <f t="shared" si="210"/>
        <v>#N/A</v>
      </c>
      <c r="AH181" s="1" t="e">
        <f t="shared" si="211"/>
        <v>#N/A</v>
      </c>
      <c r="AK181" s="1"/>
      <c r="AL181" s="1"/>
      <c r="AM181" s="1"/>
      <c r="AN181" s="1"/>
      <c r="AO181" s="17">
        <f t="shared" si="215"/>
        <v>38321</v>
      </c>
      <c r="AP181">
        <f t="shared" si="216"/>
        <v>4</v>
      </c>
      <c r="AQ181">
        <f t="shared" si="217"/>
        <v>4</v>
      </c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7" t="e">
        <f t="shared" ref="BL181" si="264">#REF!</f>
        <v>#REF!</v>
      </c>
      <c r="BM181">
        <f t="shared" si="203"/>
        <v>4</v>
      </c>
      <c r="BN181">
        <f t="shared" si="204"/>
        <v>1</v>
      </c>
    </row>
    <row r="182" spans="1:66">
      <c r="A182" s="7">
        <v>38352</v>
      </c>
      <c r="B182" s="8">
        <v>0.31199300000000002</v>
      </c>
      <c r="C182" s="8">
        <f t="shared" si="191"/>
        <v>0.24307037139091012</v>
      </c>
      <c r="D182" s="9">
        <f t="shared" si="187"/>
        <v>1.2153518569545505</v>
      </c>
      <c r="E182" s="8">
        <v>9.9</v>
      </c>
      <c r="F182" s="8">
        <f t="shared" si="192"/>
        <v>10.199438581100804</v>
      </c>
      <c r="G182" s="9">
        <f t="shared" si="188"/>
        <v>0.92722168919098213</v>
      </c>
      <c r="H182" s="8">
        <v>0.78720000000000001</v>
      </c>
      <c r="I182" s="8">
        <f t="shared" si="193"/>
        <v>0.33310292133183134</v>
      </c>
      <c r="J182" s="9">
        <f t="shared" si="194"/>
        <v>0.53310292133183135</v>
      </c>
      <c r="K182" s="8">
        <v>0.40699999999999997</v>
      </c>
      <c r="L182" s="8">
        <f t="shared" si="195"/>
        <v>0.25701337443102312</v>
      </c>
      <c r="M182" s="9">
        <f t="shared" si="189"/>
        <v>0.25701337443102312</v>
      </c>
      <c r="O182" s="11">
        <f t="shared" si="196"/>
        <v>0.63999176219675147</v>
      </c>
      <c r="P182" s="15" t="str">
        <f t="shared" si="205"/>
        <v>E</v>
      </c>
      <c r="Q182" t="str">
        <f t="shared" si="214"/>
        <v>E</v>
      </c>
      <c r="R182" s="18">
        <f t="shared" si="206"/>
        <v>0.46681676582495885</v>
      </c>
      <c r="S182" t="str">
        <f t="shared" si="230"/>
        <v>E</v>
      </c>
      <c r="T182">
        <v>0</v>
      </c>
      <c r="V182" s="17">
        <f t="shared" si="197"/>
        <v>38352</v>
      </c>
      <c r="W182" s="1">
        <f t="shared" si="198"/>
        <v>0.63999176219675147</v>
      </c>
      <c r="X182" s="1" t="e">
        <f t="shared" si="199"/>
        <v>#N/A</v>
      </c>
      <c r="Y182" s="1" t="e">
        <f t="shared" si="200"/>
        <v>#N/A</v>
      </c>
      <c r="Z182" s="1" t="e">
        <f t="shared" si="201"/>
        <v>#N/A</v>
      </c>
      <c r="AA182">
        <v>0</v>
      </c>
      <c r="AB182" s="1">
        <v>19.8</v>
      </c>
      <c r="AD182" s="17">
        <f t="shared" si="207"/>
        <v>38352</v>
      </c>
      <c r="AE182" s="1">
        <f t="shared" si="208"/>
        <v>0.63999176219675147</v>
      </c>
      <c r="AF182" s="1" t="e">
        <f t="shared" si="209"/>
        <v>#N/A</v>
      </c>
      <c r="AG182" s="1" t="e">
        <f t="shared" si="210"/>
        <v>#N/A</v>
      </c>
      <c r="AH182" s="1" t="e">
        <f t="shared" si="211"/>
        <v>#N/A</v>
      </c>
      <c r="AK182" s="1"/>
      <c r="AL182" s="1"/>
      <c r="AM182" s="1"/>
      <c r="AN182" s="1"/>
      <c r="AO182" s="17">
        <f t="shared" si="215"/>
        <v>38352</v>
      </c>
      <c r="AP182">
        <f t="shared" si="216"/>
        <v>4</v>
      </c>
      <c r="AQ182">
        <f t="shared" si="217"/>
        <v>4</v>
      </c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7" t="e">
        <f t="shared" ref="BL182" si="265">#REF!</f>
        <v>#REF!</v>
      </c>
      <c r="BM182">
        <f t="shared" si="203"/>
        <v>4</v>
      </c>
      <c r="BN182">
        <f t="shared" si="204"/>
        <v>1</v>
      </c>
    </row>
    <row r="183" spans="1:66">
      <c r="A183" s="7">
        <v>38383</v>
      </c>
      <c r="B183" s="8">
        <v>0.38028400000000001</v>
      </c>
      <c r="C183" s="8">
        <f t="shared" si="191"/>
        <v>0.28217625554450076</v>
      </c>
      <c r="D183" s="9">
        <f t="shared" si="187"/>
        <v>1.4108812777225037</v>
      </c>
      <c r="E183" s="8">
        <v>9.5</v>
      </c>
      <c r="F183" s="8">
        <f t="shared" si="192"/>
        <v>10.000098585487075</v>
      </c>
      <c r="G183" s="9">
        <f t="shared" si="188"/>
        <v>0.90909987140791593</v>
      </c>
      <c r="H183" s="8">
        <v>-5.2400000000000002E-2</v>
      </c>
      <c r="I183" s="8">
        <f t="shared" si="193"/>
        <v>0.22323458875225941</v>
      </c>
      <c r="J183" s="9">
        <f t="shared" si="194"/>
        <v>0.42323458875225939</v>
      </c>
      <c r="K183" s="8">
        <v>0.45700000000000002</v>
      </c>
      <c r="L183" s="8">
        <f t="shared" si="195"/>
        <v>0.31400956271818159</v>
      </c>
      <c r="M183" s="9">
        <f t="shared" si="189"/>
        <v>0.31400956271818159</v>
      </c>
      <c r="O183" s="11">
        <f t="shared" si="196"/>
        <v>0.64042787997067729</v>
      </c>
      <c r="P183" s="15" t="str">
        <f t="shared" si="205"/>
        <v>E</v>
      </c>
      <c r="Q183" t="str">
        <f t="shared" si="214"/>
        <v>E</v>
      </c>
      <c r="R183" s="18">
        <f t="shared" si="206"/>
        <v>0.46681676582495885</v>
      </c>
      <c r="S183" t="str">
        <f t="shared" si="230"/>
        <v>E</v>
      </c>
      <c r="T183">
        <v>0</v>
      </c>
      <c r="V183" s="17">
        <f t="shared" si="197"/>
        <v>38383</v>
      </c>
      <c r="W183" s="1">
        <f t="shared" si="198"/>
        <v>0.64042787997067729</v>
      </c>
      <c r="X183" s="1" t="e">
        <f t="shared" si="199"/>
        <v>#N/A</v>
      </c>
      <c r="Y183" s="1" t="e">
        <f t="shared" si="200"/>
        <v>#N/A</v>
      </c>
      <c r="Z183" s="1" t="e">
        <f t="shared" si="201"/>
        <v>#N/A</v>
      </c>
      <c r="AA183">
        <v>0</v>
      </c>
      <c r="AB183" s="1">
        <v>-17.2</v>
      </c>
      <c r="AD183" s="17">
        <f t="shared" si="207"/>
        <v>38383</v>
      </c>
      <c r="AE183" s="1">
        <f t="shared" si="208"/>
        <v>0.64042787997067729</v>
      </c>
      <c r="AF183" s="1" t="e">
        <f t="shared" si="209"/>
        <v>#N/A</v>
      </c>
      <c r="AG183" s="1" t="e">
        <f t="shared" si="210"/>
        <v>#N/A</v>
      </c>
      <c r="AH183" s="1" t="e">
        <f t="shared" si="211"/>
        <v>#N/A</v>
      </c>
      <c r="AK183" s="1"/>
      <c r="AL183" s="1"/>
      <c r="AM183" s="1"/>
      <c r="AN183" s="1"/>
      <c r="AO183" s="17">
        <f t="shared" si="215"/>
        <v>38383</v>
      </c>
      <c r="AP183">
        <f t="shared" si="216"/>
        <v>4</v>
      </c>
      <c r="AQ183">
        <f t="shared" si="217"/>
        <v>4</v>
      </c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7" t="e">
        <f t="shared" ref="BL183" si="266">#REF!</f>
        <v>#REF!</v>
      </c>
      <c r="BM183">
        <f t="shared" si="203"/>
        <v>4</v>
      </c>
      <c r="BN183">
        <f t="shared" si="204"/>
        <v>1</v>
      </c>
    </row>
    <row r="184" spans="1:66">
      <c r="A184" s="7">
        <v>38411</v>
      </c>
      <c r="B184" s="8">
        <v>0.32161800000000001</v>
      </c>
      <c r="C184" s="8">
        <f t="shared" si="191"/>
        <v>0.29341715271431806</v>
      </c>
      <c r="D184" s="9">
        <f t="shared" si="187"/>
        <v>1.4670857635715902</v>
      </c>
      <c r="E184" s="8">
        <v>8.9</v>
      </c>
      <c r="F184" s="8">
        <f t="shared" si="192"/>
        <v>9.6865704886232589</v>
      </c>
      <c r="G184" s="9">
        <f t="shared" si="188"/>
        <v>0.88059731714756895</v>
      </c>
      <c r="H184" s="8">
        <v>1.9400000000000001E-2</v>
      </c>
      <c r="I184" s="8">
        <f t="shared" si="193"/>
        <v>0.16514173095786547</v>
      </c>
      <c r="J184" s="9">
        <f t="shared" si="194"/>
        <v>0.36514173095786551</v>
      </c>
      <c r="K184" s="8">
        <v>0.85399999999999998</v>
      </c>
      <c r="L184" s="8">
        <f t="shared" si="195"/>
        <v>0.46790683734349986</v>
      </c>
      <c r="M184" s="9">
        <f t="shared" si="189"/>
        <v>0.46790683734349986</v>
      </c>
      <c r="O184" s="11">
        <f t="shared" si="196"/>
        <v>0.66935310826994343</v>
      </c>
      <c r="P184" s="15" t="str">
        <f t="shared" si="205"/>
        <v>E</v>
      </c>
      <c r="Q184" t="str">
        <f t="shared" si="214"/>
        <v>E</v>
      </c>
      <c r="R184" s="18">
        <f t="shared" si="206"/>
        <v>0.46681676582495885</v>
      </c>
      <c r="S184" t="str">
        <f t="shared" si="230"/>
        <v>E</v>
      </c>
      <c r="T184">
        <v>0</v>
      </c>
      <c r="V184" s="17">
        <f t="shared" si="197"/>
        <v>38411</v>
      </c>
      <c r="W184" s="1">
        <f t="shared" si="198"/>
        <v>0.66935310826994343</v>
      </c>
      <c r="X184" s="1">
        <f t="shared" si="199"/>
        <v>0.66935310826994343</v>
      </c>
      <c r="Y184" s="1" t="e">
        <f t="shared" si="200"/>
        <v>#N/A</v>
      </c>
      <c r="Z184" s="1" t="e">
        <f t="shared" si="201"/>
        <v>#N/A</v>
      </c>
      <c r="AA184">
        <v>0</v>
      </c>
      <c r="AB184" s="1">
        <v>-20</v>
      </c>
      <c r="AD184" s="17">
        <f t="shared" si="207"/>
        <v>38411</v>
      </c>
      <c r="AE184" s="1">
        <f t="shared" si="208"/>
        <v>0.66935310826994343</v>
      </c>
      <c r="AF184" s="1">
        <f t="shared" si="209"/>
        <v>0.66935310826994343</v>
      </c>
      <c r="AG184" s="1" t="e">
        <f t="shared" si="210"/>
        <v>#N/A</v>
      </c>
      <c r="AH184" s="1" t="e">
        <f t="shared" si="211"/>
        <v>#N/A</v>
      </c>
      <c r="AK184" s="1"/>
      <c r="AL184" s="1"/>
      <c r="AM184" s="1"/>
      <c r="AN184" s="1"/>
      <c r="AO184" s="17">
        <f t="shared" si="215"/>
        <v>38411</v>
      </c>
      <c r="AP184">
        <f t="shared" si="216"/>
        <v>4</v>
      </c>
      <c r="AQ184">
        <f t="shared" si="217"/>
        <v>4</v>
      </c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7" t="e">
        <f t="shared" ref="BL184" si="267">#REF!</f>
        <v>#REF!</v>
      </c>
      <c r="BM184">
        <f t="shared" si="203"/>
        <v>4</v>
      </c>
      <c r="BN184">
        <f t="shared" si="204"/>
        <v>1</v>
      </c>
    </row>
    <row r="185" spans="1:66">
      <c r="A185" s="7">
        <v>38442</v>
      </c>
      <c r="B185" s="8">
        <v>0.231764</v>
      </c>
      <c r="C185" s="8">
        <f t="shared" si="191"/>
        <v>0.2758460041907374</v>
      </c>
      <c r="D185" s="9">
        <f t="shared" si="187"/>
        <v>1.379230020953687</v>
      </c>
      <c r="E185" s="8">
        <v>7.2</v>
      </c>
      <c r="F185" s="8">
        <f t="shared" si="192"/>
        <v>8.9778978993656295</v>
      </c>
      <c r="G185" s="9">
        <f t="shared" si="188"/>
        <v>0.81617253630596631</v>
      </c>
      <c r="H185" s="8">
        <v>-0.2041</v>
      </c>
      <c r="I185" s="8">
        <f t="shared" si="193"/>
        <v>5.9907837634873805E-2</v>
      </c>
      <c r="J185" s="9">
        <f t="shared" si="194"/>
        <v>0.2599078376348738</v>
      </c>
      <c r="K185" s="8">
        <v>0.33100000000000002</v>
      </c>
      <c r="L185" s="8">
        <f t="shared" si="195"/>
        <v>0.42888838870060236</v>
      </c>
      <c r="M185" s="9">
        <f t="shared" si="189"/>
        <v>0.42888838870060236</v>
      </c>
      <c r="O185" s="11">
        <f t="shared" si="196"/>
        <v>0.60874106514028226</v>
      </c>
      <c r="P185" s="15" t="str">
        <f t="shared" si="205"/>
        <v>SD</v>
      </c>
      <c r="Q185" t="str">
        <f t="shared" si="214"/>
        <v>SD</v>
      </c>
      <c r="R185" s="18">
        <f t="shared" si="206"/>
        <v>0.60874106514028226</v>
      </c>
      <c r="S185" t="str">
        <f t="shared" si="230"/>
        <v>SD</v>
      </c>
      <c r="T185">
        <v>0</v>
      </c>
      <c r="V185" s="17">
        <f t="shared" si="197"/>
        <v>38442</v>
      </c>
      <c r="W185" s="1" t="e">
        <f t="shared" si="198"/>
        <v>#N/A</v>
      </c>
      <c r="X185" s="1">
        <f t="shared" si="199"/>
        <v>0.60874106514028226</v>
      </c>
      <c r="Y185" s="1" t="e">
        <f t="shared" si="200"/>
        <v>#N/A</v>
      </c>
      <c r="Z185" s="1" t="e">
        <f t="shared" si="201"/>
        <v>#N/A</v>
      </c>
      <c r="AA185">
        <v>0</v>
      </c>
      <c r="AB185" s="1">
        <v>-7.8</v>
      </c>
      <c r="AD185" s="17">
        <f t="shared" si="207"/>
        <v>38442</v>
      </c>
      <c r="AE185" s="1" t="e">
        <f t="shared" si="208"/>
        <v>#N/A</v>
      </c>
      <c r="AF185" s="1">
        <f t="shared" si="209"/>
        <v>0.60874106514028226</v>
      </c>
      <c r="AG185" s="1" t="e">
        <f t="shared" si="210"/>
        <v>#N/A</v>
      </c>
      <c r="AH185" s="1" t="e">
        <f t="shared" si="211"/>
        <v>#N/A</v>
      </c>
      <c r="AK185" s="1"/>
      <c r="AL185" s="1"/>
      <c r="AM185" s="1"/>
      <c r="AN185" s="1"/>
      <c r="AO185" s="17">
        <f t="shared" si="215"/>
        <v>38442</v>
      </c>
      <c r="AP185">
        <f t="shared" si="216"/>
        <v>3</v>
      </c>
      <c r="AQ185">
        <f t="shared" si="217"/>
        <v>3</v>
      </c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7" t="e">
        <f t="shared" ref="BL185" si="268">#REF!</f>
        <v>#REF!</v>
      </c>
      <c r="BM185">
        <f t="shared" si="203"/>
        <v>3</v>
      </c>
      <c r="BN185">
        <f t="shared" si="204"/>
        <v>1</v>
      </c>
    </row>
    <row r="186" spans="1:66">
      <c r="A186" s="7">
        <v>38472</v>
      </c>
      <c r="B186" s="8">
        <v>0.18074999999999999</v>
      </c>
      <c r="C186" s="8">
        <f t="shared" si="191"/>
        <v>0.24874364299637725</v>
      </c>
      <c r="D186" s="9">
        <f t="shared" si="187"/>
        <v>1.2437182149818862</v>
      </c>
      <c r="E186" s="8">
        <v>7.5</v>
      </c>
      <c r="F186" s="8">
        <f t="shared" si="192"/>
        <v>8.5566969980464247</v>
      </c>
      <c r="G186" s="9">
        <f t="shared" si="188"/>
        <v>0.77788154527694775</v>
      </c>
      <c r="H186" s="8">
        <v>0.18859999999999999</v>
      </c>
      <c r="I186" s="8">
        <f t="shared" si="193"/>
        <v>9.6585103908934766E-2</v>
      </c>
      <c r="J186" s="9">
        <f t="shared" si="194"/>
        <v>0.29658510390893478</v>
      </c>
      <c r="K186" s="8">
        <v>0.214</v>
      </c>
      <c r="L186" s="8">
        <f t="shared" si="195"/>
        <v>0.36764519792093064</v>
      </c>
      <c r="M186" s="9">
        <f t="shared" si="189"/>
        <v>0.36764519792093064</v>
      </c>
      <c r="O186" s="11">
        <f t="shared" si="196"/>
        <v>0.56849267293893813</v>
      </c>
      <c r="P186" s="15" t="str">
        <f t="shared" si="205"/>
        <v>SD</v>
      </c>
      <c r="Q186" t="str">
        <f t="shared" si="214"/>
        <v>SD</v>
      </c>
      <c r="R186" s="18">
        <f t="shared" si="206"/>
        <v>0.60874106514028226</v>
      </c>
      <c r="S186" t="str">
        <f t="shared" si="230"/>
        <v>SD</v>
      </c>
      <c r="T186">
        <v>0</v>
      </c>
      <c r="V186" s="17">
        <f t="shared" si="197"/>
        <v>38472</v>
      </c>
      <c r="W186" s="1" t="e">
        <f t="shared" si="198"/>
        <v>#N/A</v>
      </c>
      <c r="X186" s="1">
        <f t="shared" si="199"/>
        <v>0.56849267293893813</v>
      </c>
      <c r="Y186" s="1" t="e">
        <f t="shared" si="200"/>
        <v>#N/A</v>
      </c>
      <c r="Z186" s="1" t="e">
        <f t="shared" si="201"/>
        <v>#N/A</v>
      </c>
      <c r="AA186">
        <v>0</v>
      </c>
      <c r="AB186" s="1">
        <v>10.4</v>
      </c>
      <c r="AD186" s="17">
        <f t="shared" si="207"/>
        <v>38472</v>
      </c>
      <c r="AE186" s="1" t="e">
        <f t="shared" si="208"/>
        <v>#N/A</v>
      </c>
      <c r="AF186" s="1">
        <f t="shared" si="209"/>
        <v>0.56849267293893813</v>
      </c>
      <c r="AG186" s="1" t="e">
        <f t="shared" si="210"/>
        <v>#N/A</v>
      </c>
      <c r="AH186" s="1" t="e">
        <f t="shared" si="211"/>
        <v>#N/A</v>
      </c>
      <c r="AK186" s="1"/>
      <c r="AL186" s="1"/>
      <c r="AM186" s="1"/>
      <c r="AN186" s="1"/>
      <c r="AO186" s="17">
        <f t="shared" si="215"/>
        <v>38472</v>
      </c>
      <c r="AP186">
        <f t="shared" si="216"/>
        <v>3</v>
      </c>
      <c r="AQ186">
        <f t="shared" si="217"/>
        <v>3</v>
      </c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7" t="e">
        <f t="shared" ref="BL186" si="269">#REF!</f>
        <v>#REF!</v>
      </c>
      <c r="BM186">
        <f t="shared" si="203"/>
        <v>3</v>
      </c>
      <c r="BN186">
        <f t="shared" si="204"/>
        <v>1</v>
      </c>
    </row>
    <row r="187" spans="1:66">
      <c r="A187" s="7">
        <v>38503</v>
      </c>
      <c r="B187" s="8">
        <v>0.243087</v>
      </c>
      <c r="C187" s="8">
        <f t="shared" si="191"/>
        <v>0.24713149974240972</v>
      </c>
      <c r="D187" s="9">
        <f t="shared" si="187"/>
        <v>1.2356574987120486</v>
      </c>
      <c r="E187" s="8">
        <v>6.4</v>
      </c>
      <c r="F187" s="8">
        <f t="shared" si="192"/>
        <v>7.9420383536031931</v>
      </c>
      <c r="G187" s="9">
        <f t="shared" si="188"/>
        <v>0.7220034866911994</v>
      </c>
      <c r="H187" s="8">
        <v>-0.01</v>
      </c>
      <c r="I187" s="8">
        <f t="shared" si="193"/>
        <v>6.620834929488835E-2</v>
      </c>
      <c r="J187" s="9">
        <f t="shared" si="194"/>
        <v>0.26620834929488835</v>
      </c>
      <c r="K187" s="8">
        <v>0.35799999999999998</v>
      </c>
      <c r="L187" s="8">
        <f t="shared" si="195"/>
        <v>0.36489631651346544</v>
      </c>
      <c r="M187" s="9">
        <f t="shared" si="189"/>
        <v>0.36489631651346544</v>
      </c>
      <c r="O187" s="11">
        <f t="shared" si="196"/>
        <v>0.54626161319679534</v>
      </c>
      <c r="P187" s="15" t="str">
        <f t="shared" si="205"/>
        <v>SD</v>
      </c>
      <c r="Q187" t="str">
        <f t="shared" si="214"/>
        <v>SD</v>
      </c>
      <c r="R187" s="18">
        <f t="shared" si="206"/>
        <v>0.60874106514028226</v>
      </c>
      <c r="S187" t="str">
        <f t="shared" si="230"/>
        <v>SD</v>
      </c>
      <c r="T187">
        <v>0</v>
      </c>
      <c r="V187" s="17">
        <f t="shared" si="197"/>
        <v>38503</v>
      </c>
      <c r="W187" s="1" t="e">
        <f t="shared" si="198"/>
        <v>#N/A</v>
      </c>
      <c r="X187" s="1">
        <f t="shared" si="199"/>
        <v>0.54626161319679534</v>
      </c>
      <c r="Y187" s="1" t="e">
        <f t="shared" si="200"/>
        <v>#N/A</v>
      </c>
      <c r="Z187" s="1" t="e">
        <f t="shared" si="201"/>
        <v>#N/A</v>
      </c>
      <c r="AA187">
        <v>0</v>
      </c>
      <c r="AB187" s="1">
        <v>17.2</v>
      </c>
      <c r="AD187" s="17">
        <f t="shared" si="207"/>
        <v>38503</v>
      </c>
      <c r="AE187" s="1" t="e">
        <f t="shared" si="208"/>
        <v>#N/A</v>
      </c>
      <c r="AF187" s="1">
        <f t="shared" si="209"/>
        <v>0.54626161319679534</v>
      </c>
      <c r="AG187" s="1" t="e">
        <f t="shared" si="210"/>
        <v>#N/A</v>
      </c>
      <c r="AH187" s="1" t="e">
        <f t="shared" si="211"/>
        <v>#N/A</v>
      </c>
      <c r="AK187" s="1"/>
      <c r="AL187" s="1"/>
      <c r="AM187" s="1"/>
      <c r="AN187" s="1"/>
      <c r="AO187" s="17">
        <f t="shared" si="215"/>
        <v>38503</v>
      </c>
      <c r="AP187">
        <f t="shared" si="216"/>
        <v>3</v>
      </c>
      <c r="AQ187">
        <f t="shared" si="217"/>
        <v>3</v>
      </c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7" t="e">
        <f t="shared" ref="BL187" si="270">#REF!</f>
        <v>#REF!</v>
      </c>
      <c r="BM187">
        <f t="shared" si="203"/>
        <v>3</v>
      </c>
      <c r="BN187">
        <f t="shared" si="204"/>
        <v>1</v>
      </c>
    </row>
    <row r="188" spans="1:66">
      <c r="A188" s="7">
        <v>38533</v>
      </c>
      <c r="B188" s="8">
        <v>0.24476300000000001</v>
      </c>
      <c r="C188" s="8">
        <f t="shared" si="191"/>
        <v>0.24645647731582293</v>
      </c>
      <c r="D188" s="9">
        <f t="shared" si="187"/>
        <v>1.2322823865791146</v>
      </c>
      <c r="E188" s="8">
        <v>6.5</v>
      </c>
      <c r="F188" s="8">
        <f t="shared" si="192"/>
        <v>7.531057422826283</v>
      </c>
      <c r="G188" s="9">
        <f t="shared" si="188"/>
        <v>0.68464158389329843</v>
      </c>
      <c r="H188" s="8">
        <v>0.19389999999999999</v>
      </c>
      <c r="I188" s="8">
        <f t="shared" si="193"/>
        <v>0.10260046974584516</v>
      </c>
      <c r="J188" s="9">
        <f t="shared" si="194"/>
        <v>0.3026004697458452</v>
      </c>
      <c r="K188" s="8">
        <v>0.41799999999999998</v>
      </c>
      <c r="L188" s="8">
        <f t="shared" si="195"/>
        <v>0.38003086630712779</v>
      </c>
      <c r="M188" s="9">
        <f t="shared" si="189"/>
        <v>0.38003086630712779</v>
      </c>
      <c r="O188" s="11">
        <f t="shared" si="196"/>
        <v>0.54461868548116321</v>
      </c>
      <c r="P188" s="15" t="str">
        <f t="shared" si="205"/>
        <v>SD</v>
      </c>
      <c r="Q188" t="str">
        <f t="shared" si="214"/>
        <v>SD</v>
      </c>
      <c r="R188" s="18">
        <f t="shared" si="206"/>
        <v>0.60874106514028226</v>
      </c>
      <c r="S188" t="str">
        <f t="shared" si="230"/>
        <v>SD</v>
      </c>
      <c r="T188">
        <v>0</v>
      </c>
      <c r="V188" s="17">
        <f t="shared" si="197"/>
        <v>38533</v>
      </c>
      <c r="W188" s="1">
        <f t="shared" si="198"/>
        <v>0.54461868548116321</v>
      </c>
      <c r="X188" s="1">
        <f t="shared" si="199"/>
        <v>0.54461868548116321</v>
      </c>
      <c r="Y188" s="1" t="e">
        <f t="shared" si="200"/>
        <v>#N/A</v>
      </c>
      <c r="Z188" s="1" t="e">
        <f t="shared" si="201"/>
        <v>#N/A</v>
      </c>
      <c r="AA188">
        <v>0</v>
      </c>
      <c r="AB188" s="1">
        <v>-7</v>
      </c>
      <c r="AD188" s="17">
        <f t="shared" si="207"/>
        <v>38533</v>
      </c>
      <c r="AE188" s="1">
        <f t="shared" si="208"/>
        <v>0.54461868548116321</v>
      </c>
      <c r="AF188" s="1">
        <f t="shared" si="209"/>
        <v>0.54461868548116321</v>
      </c>
      <c r="AG188" s="1" t="e">
        <f t="shared" si="210"/>
        <v>#N/A</v>
      </c>
      <c r="AH188" s="1" t="e">
        <f t="shared" si="211"/>
        <v>#N/A</v>
      </c>
      <c r="AK188" s="1"/>
      <c r="AL188" s="1"/>
      <c r="AM188" s="1"/>
      <c r="AN188" s="1"/>
      <c r="AO188" s="17">
        <f t="shared" si="215"/>
        <v>38533</v>
      </c>
      <c r="AP188">
        <f t="shared" si="216"/>
        <v>3</v>
      </c>
      <c r="AQ188">
        <f t="shared" si="217"/>
        <v>3</v>
      </c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7" t="e">
        <f t="shared" ref="BL188" si="271">#REF!</f>
        <v>#REF!</v>
      </c>
      <c r="BM188">
        <f t="shared" si="203"/>
        <v>3</v>
      </c>
      <c r="BN188">
        <f t="shared" si="204"/>
        <v>1</v>
      </c>
    </row>
    <row r="189" spans="1:66">
      <c r="A189" s="7">
        <v>38564</v>
      </c>
      <c r="B189" s="8">
        <v>0.29260700000000001</v>
      </c>
      <c r="C189" s="8">
        <f t="shared" si="191"/>
        <v>0.25960937628081338</v>
      </c>
      <c r="D189" s="9">
        <f t="shared" si="187"/>
        <v>1.2980468814040669</v>
      </c>
      <c r="E189" s="8">
        <v>6</v>
      </c>
      <c r="F189" s="8">
        <f t="shared" si="192"/>
        <v>7.0947060573207921</v>
      </c>
      <c r="G189" s="9">
        <f t="shared" si="188"/>
        <v>0.64497327793825387</v>
      </c>
      <c r="H189" s="8">
        <v>-2.1299999999999999E-2</v>
      </c>
      <c r="I189" s="8">
        <f t="shared" si="193"/>
        <v>6.7288835868279287E-2</v>
      </c>
      <c r="J189" s="9">
        <f t="shared" si="194"/>
        <v>0.26728883586827928</v>
      </c>
      <c r="K189" s="8">
        <v>0.73399999999999999</v>
      </c>
      <c r="L189" s="8">
        <f t="shared" si="195"/>
        <v>0.48091206940959641</v>
      </c>
      <c r="M189" s="9">
        <f t="shared" si="189"/>
        <v>0.48091206940959641</v>
      </c>
      <c r="O189" s="11">
        <f t="shared" si="196"/>
        <v>0.5596574348917589</v>
      </c>
      <c r="P189" s="15" t="str">
        <f t="shared" si="205"/>
        <v>E</v>
      </c>
      <c r="Q189" t="str">
        <f t="shared" si="214"/>
        <v>SD</v>
      </c>
      <c r="R189" s="18">
        <f t="shared" si="206"/>
        <v>0.60874106514028226</v>
      </c>
      <c r="S189" t="str">
        <f t="shared" si="230"/>
        <v>E</v>
      </c>
      <c r="T189">
        <v>0</v>
      </c>
      <c r="V189" s="17">
        <f t="shared" si="197"/>
        <v>38564</v>
      </c>
      <c r="W189" s="1">
        <f t="shared" si="198"/>
        <v>0.5596574348917589</v>
      </c>
      <c r="X189" s="1">
        <f t="shared" si="199"/>
        <v>0.5596574348917589</v>
      </c>
      <c r="Y189" s="1" t="e">
        <f t="shared" si="200"/>
        <v>#N/A</v>
      </c>
      <c r="Z189" s="1" t="e">
        <f t="shared" si="201"/>
        <v>#N/A</v>
      </c>
      <c r="AA189">
        <v>0</v>
      </c>
      <c r="AB189" s="1">
        <v>25</v>
      </c>
      <c r="AD189" s="17">
        <f t="shared" si="207"/>
        <v>38564</v>
      </c>
      <c r="AE189" s="1">
        <f t="shared" si="208"/>
        <v>0.5596574348917589</v>
      </c>
      <c r="AF189" s="1">
        <f t="shared" si="209"/>
        <v>0.5596574348917589</v>
      </c>
      <c r="AG189" s="1" t="e">
        <f t="shared" si="210"/>
        <v>#N/A</v>
      </c>
      <c r="AH189" s="1" t="e">
        <f t="shared" si="211"/>
        <v>#N/A</v>
      </c>
      <c r="AK189" s="1"/>
      <c r="AL189" s="1"/>
      <c r="AM189" s="1"/>
      <c r="AN189" s="1"/>
      <c r="AO189" s="17">
        <f t="shared" si="215"/>
        <v>38564</v>
      </c>
      <c r="AP189">
        <f t="shared" si="216"/>
        <v>4</v>
      </c>
      <c r="AQ189">
        <f t="shared" si="217"/>
        <v>3</v>
      </c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7" t="e">
        <f t="shared" ref="BL189" si="272">#REF!</f>
        <v>#REF!</v>
      </c>
      <c r="BM189">
        <f t="shared" si="203"/>
        <v>3</v>
      </c>
      <c r="BN189">
        <f t="shared" si="204"/>
        <v>1</v>
      </c>
    </row>
    <row r="190" spans="1:66">
      <c r="A190" s="7">
        <v>38595</v>
      </c>
      <c r="B190" s="8">
        <v>0.37029899999999999</v>
      </c>
      <c r="C190" s="8">
        <f t="shared" si="191"/>
        <v>0.29115591904078153</v>
      </c>
      <c r="D190" s="9">
        <f t="shared" si="187"/>
        <v>1.4557795952039077</v>
      </c>
      <c r="E190" s="8">
        <v>6.1</v>
      </c>
      <c r="F190" s="8">
        <f t="shared" si="192"/>
        <v>6.8112148309843663</v>
      </c>
      <c r="G190" s="9">
        <f t="shared" si="188"/>
        <v>0.61920134827130602</v>
      </c>
      <c r="H190" s="8">
        <v>-0.55689999999999995</v>
      </c>
      <c r="I190" s="8">
        <f t="shared" si="193"/>
        <v>-0.11060498235418031</v>
      </c>
      <c r="J190" s="9">
        <f t="shared" si="194"/>
        <v>8.9395017645819697E-2</v>
      </c>
      <c r="K190" s="8">
        <v>0.432</v>
      </c>
      <c r="L190" s="8">
        <f t="shared" si="195"/>
        <v>0.46697212962786144</v>
      </c>
      <c r="M190" s="9">
        <f t="shared" si="189"/>
        <v>0.46697212962786144</v>
      </c>
      <c r="O190" s="11">
        <f t="shared" si="196"/>
        <v>0.50598008708397124</v>
      </c>
      <c r="P190" s="15" t="str">
        <f t="shared" si="205"/>
        <v>SD</v>
      </c>
      <c r="Q190" t="str">
        <f t="shared" si="214"/>
        <v>SD</v>
      </c>
      <c r="R190" s="18">
        <f t="shared" si="206"/>
        <v>0.50598008708397124</v>
      </c>
      <c r="S190" t="str">
        <f t="shared" si="230"/>
        <v>SD</v>
      </c>
      <c r="T190">
        <v>0</v>
      </c>
      <c r="V190" s="17">
        <f t="shared" si="197"/>
        <v>38595</v>
      </c>
      <c r="W190" s="1" t="e">
        <f t="shared" si="198"/>
        <v>#N/A</v>
      </c>
      <c r="X190" s="1">
        <f t="shared" si="199"/>
        <v>0.50598008708397124</v>
      </c>
      <c r="Y190" s="1" t="e">
        <f t="shared" si="200"/>
        <v>#N/A</v>
      </c>
      <c r="Z190" s="1" t="e">
        <f t="shared" si="201"/>
        <v>#N/A</v>
      </c>
      <c r="AA190">
        <v>0</v>
      </c>
      <c r="AB190" s="1">
        <v>7.4</v>
      </c>
      <c r="AD190" s="17">
        <f t="shared" si="207"/>
        <v>38595</v>
      </c>
      <c r="AE190" s="1" t="e">
        <f t="shared" si="208"/>
        <v>#N/A</v>
      </c>
      <c r="AF190" s="1">
        <f t="shared" si="209"/>
        <v>0.50598008708397124</v>
      </c>
      <c r="AG190" s="1" t="e">
        <f t="shared" si="210"/>
        <v>#N/A</v>
      </c>
      <c r="AH190" s="1" t="e">
        <f t="shared" si="211"/>
        <v>#N/A</v>
      </c>
      <c r="AK190" s="1"/>
      <c r="AL190" s="1"/>
      <c r="AM190" s="1"/>
      <c r="AN190" s="1"/>
      <c r="AO190" s="17">
        <f t="shared" si="215"/>
        <v>38595</v>
      </c>
      <c r="AP190">
        <f t="shared" si="216"/>
        <v>3</v>
      </c>
      <c r="AQ190">
        <f t="shared" si="217"/>
        <v>3</v>
      </c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7" t="e">
        <f t="shared" ref="BL190" si="273">#REF!</f>
        <v>#REF!</v>
      </c>
      <c r="BM190">
        <f t="shared" si="203"/>
        <v>3</v>
      </c>
      <c r="BN190">
        <f t="shared" si="204"/>
        <v>1</v>
      </c>
    </row>
    <row r="191" spans="1:66">
      <c r="A191" s="7">
        <v>38625</v>
      </c>
      <c r="B191" s="8">
        <v>6.4918000000000003E-2</v>
      </c>
      <c r="C191" s="8">
        <f t="shared" si="191"/>
        <v>0.22667811211415878</v>
      </c>
      <c r="D191" s="9">
        <f t="shared" si="187"/>
        <v>1.1333905605707939</v>
      </c>
      <c r="E191" s="8">
        <v>5</v>
      </c>
      <c r="F191" s="8">
        <f t="shared" si="192"/>
        <v>6.2950186041538227</v>
      </c>
      <c r="G191" s="9">
        <f t="shared" si="188"/>
        <v>0.57227441855943839</v>
      </c>
      <c r="H191" s="8">
        <v>-1.0851999999999999</v>
      </c>
      <c r="I191" s="8">
        <f t="shared" si="193"/>
        <v>-0.38836456238323891</v>
      </c>
      <c r="J191" s="9">
        <f t="shared" si="194"/>
        <v>-0.1883645623832389</v>
      </c>
      <c r="K191" s="8">
        <v>0.39100000000000001</v>
      </c>
      <c r="L191" s="8">
        <f t="shared" si="195"/>
        <v>0.44532007268392093</v>
      </c>
      <c r="M191" s="9">
        <f t="shared" si="189"/>
        <v>0.44532007268392093</v>
      </c>
      <c r="O191" s="11">
        <f t="shared" si="196"/>
        <v>0.37618611362867582</v>
      </c>
      <c r="P191" s="15" t="str">
        <f t="shared" si="205"/>
        <v>SD</v>
      </c>
      <c r="Q191" t="str">
        <f t="shared" si="214"/>
        <v>SD</v>
      </c>
      <c r="R191" s="18">
        <f t="shared" si="206"/>
        <v>0.50598008708397124</v>
      </c>
      <c r="S191" t="str">
        <f t="shared" si="230"/>
        <v>SD</v>
      </c>
      <c r="T191">
        <v>0</v>
      </c>
      <c r="V191" s="17">
        <f t="shared" si="197"/>
        <v>38625</v>
      </c>
      <c r="W191" s="1">
        <f t="shared" si="198"/>
        <v>0.37618611362867582</v>
      </c>
      <c r="X191" s="1">
        <f t="shared" si="199"/>
        <v>0.37618611362867582</v>
      </c>
      <c r="Y191" s="1" t="e">
        <f t="shared" si="200"/>
        <v>#N/A</v>
      </c>
      <c r="Z191" s="1" t="e">
        <f t="shared" si="201"/>
        <v>#N/A</v>
      </c>
      <c r="AA191">
        <v>0</v>
      </c>
      <c r="AB191" s="1">
        <v>2.2999999999999998</v>
      </c>
      <c r="AD191" s="17">
        <f t="shared" si="207"/>
        <v>38625</v>
      </c>
      <c r="AE191" s="1">
        <f t="shared" si="208"/>
        <v>0.37618611362867582</v>
      </c>
      <c r="AF191" s="1">
        <f t="shared" si="209"/>
        <v>0.37618611362867582</v>
      </c>
      <c r="AG191" s="1" t="e">
        <f t="shared" si="210"/>
        <v>#N/A</v>
      </c>
      <c r="AH191" s="1" t="e">
        <f t="shared" si="211"/>
        <v>#N/A</v>
      </c>
      <c r="AK191" s="1"/>
      <c r="AL191" s="1"/>
      <c r="AM191" s="1"/>
      <c r="AN191" s="1"/>
      <c r="AO191" s="17">
        <f t="shared" si="215"/>
        <v>38625</v>
      </c>
      <c r="AP191">
        <f t="shared" si="216"/>
        <v>3</v>
      </c>
      <c r="AQ191">
        <f t="shared" si="217"/>
        <v>3</v>
      </c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7" t="e">
        <f t="shared" ref="BL191" si="274">#REF!</f>
        <v>#REF!</v>
      </c>
      <c r="BM191">
        <f t="shared" si="203"/>
        <v>3</v>
      </c>
      <c r="BN191">
        <f t="shared" si="204"/>
        <v>1</v>
      </c>
    </row>
    <row r="192" spans="1:66">
      <c r="A192" s="7">
        <v>38656</v>
      </c>
      <c r="B192" s="8">
        <v>0.136236</v>
      </c>
      <c r="C192" s="8">
        <f t="shared" si="191"/>
        <v>0.20090211016162351</v>
      </c>
      <c r="D192" s="9">
        <f t="shared" si="187"/>
        <v>1.0045105508081176</v>
      </c>
      <c r="E192" s="8">
        <v>4.8</v>
      </c>
      <c r="F192" s="8">
        <f t="shared" si="192"/>
        <v>5.8689383019699832</v>
      </c>
      <c r="G192" s="9">
        <f t="shared" si="188"/>
        <v>0.53353984563363488</v>
      </c>
      <c r="H192" s="8">
        <v>0.44429999999999997</v>
      </c>
      <c r="I192" s="8">
        <f t="shared" si="193"/>
        <v>-0.15105516210401582</v>
      </c>
      <c r="J192" s="9">
        <f t="shared" si="194"/>
        <v>4.8944837895984195E-2</v>
      </c>
      <c r="K192" s="8">
        <v>0.318</v>
      </c>
      <c r="L192" s="8">
        <f t="shared" si="195"/>
        <v>0.40903385196900344</v>
      </c>
      <c r="M192" s="9">
        <f t="shared" si="189"/>
        <v>0.40903385196900344</v>
      </c>
      <c r="O192" s="11">
        <f t="shared" si="196"/>
        <v>0.40952698760813955</v>
      </c>
      <c r="P192" s="15" t="str">
        <f t="shared" si="205"/>
        <v>E</v>
      </c>
      <c r="Q192" t="str">
        <f t="shared" si="214"/>
        <v>SD</v>
      </c>
      <c r="R192" s="18">
        <f t="shared" si="206"/>
        <v>0.50598008708397124</v>
      </c>
      <c r="S192" t="str">
        <f t="shared" si="230"/>
        <v>E</v>
      </c>
      <c r="T192">
        <v>0</v>
      </c>
      <c r="V192" s="17">
        <f t="shared" si="197"/>
        <v>38656</v>
      </c>
      <c r="W192" s="1">
        <f t="shared" si="198"/>
        <v>0.40952698760813955</v>
      </c>
      <c r="X192" s="1" t="e">
        <f t="shared" si="199"/>
        <v>#N/A</v>
      </c>
      <c r="Y192" s="1" t="e">
        <f t="shared" si="200"/>
        <v>#N/A</v>
      </c>
      <c r="Z192" s="1" t="e">
        <f t="shared" si="201"/>
        <v>#N/A</v>
      </c>
      <c r="AA192">
        <v>0</v>
      </c>
      <c r="AB192" s="1">
        <v>17.399999999999999</v>
      </c>
      <c r="AD192" s="17">
        <f t="shared" si="207"/>
        <v>38656</v>
      </c>
      <c r="AE192" s="1">
        <f t="shared" si="208"/>
        <v>0.40952698760813955</v>
      </c>
      <c r="AF192" s="1" t="e">
        <f t="shared" si="209"/>
        <v>#N/A</v>
      </c>
      <c r="AG192" s="1" t="e">
        <f t="shared" si="210"/>
        <v>#N/A</v>
      </c>
      <c r="AH192" s="1" t="e">
        <f t="shared" si="211"/>
        <v>#N/A</v>
      </c>
      <c r="AK192" s="1"/>
      <c r="AL192" s="1"/>
      <c r="AM192" s="1"/>
      <c r="AN192" s="1"/>
      <c r="AO192" s="17">
        <f t="shared" si="215"/>
        <v>38656</v>
      </c>
      <c r="AP192">
        <f t="shared" si="216"/>
        <v>4</v>
      </c>
      <c r="AQ192">
        <f t="shared" si="217"/>
        <v>3</v>
      </c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7" t="e">
        <f t="shared" ref="BL192" si="275">#REF!</f>
        <v>#REF!</v>
      </c>
      <c r="BM192">
        <f t="shared" si="203"/>
        <v>3</v>
      </c>
      <c r="BN192">
        <f t="shared" si="204"/>
        <v>1</v>
      </c>
    </row>
    <row r="193" spans="1:66">
      <c r="A193" s="7">
        <v>38686</v>
      </c>
      <c r="B193" s="8">
        <v>0.28021200000000002</v>
      </c>
      <c r="C193" s="8">
        <f t="shared" si="191"/>
        <v>0.22350542876556082</v>
      </c>
      <c r="D193" s="9">
        <f t="shared" si="187"/>
        <v>1.117527143827804</v>
      </c>
      <c r="E193" s="8">
        <v>4.5</v>
      </c>
      <c r="F193" s="8">
        <f t="shared" si="192"/>
        <v>5.4787908859085377</v>
      </c>
      <c r="G193" s="9">
        <f t="shared" si="188"/>
        <v>0.49807189871895796</v>
      </c>
      <c r="H193" s="8">
        <v>0.8891</v>
      </c>
      <c r="I193" s="8">
        <f t="shared" si="193"/>
        <v>0.14538905909562874</v>
      </c>
      <c r="J193" s="9">
        <f t="shared" si="194"/>
        <v>0.34538905909562878</v>
      </c>
      <c r="K193" s="8">
        <v>0.38600000000000001</v>
      </c>
      <c r="L193" s="8">
        <f t="shared" si="195"/>
        <v>0.40246920415783743</v>
      </c>
      <c r="M193" s="9">
        <f t="shared" si="189"/>
        <v>0.40246920415783743</v>
      </c>
      <c r="O193" s="11">
        <f t="shared" si="196"/>
        <v>0.49617214704891072</v>
      </c>
      <c r="P193" s="15" t="str">
        <f t="shared" si="205"/>
        <v>E</v>
      </c>
      <c r="Q193" t="str">
        <f t="shared" si="214"/>
        <v>E</v>
      </c>
      <c r="R193" s="18">
        <f t="shared" si="206"/>
        <v>0.50598008708397124</v>
      </c>
      <c r="S193" t="str">
        <f t="shared" si="230"/>
        <v>E</v>
      </c>
      <c r="T193">
        <v>0</v>
      </c>
      <c r="V193" s="17">
        <f t="shared" si="197"/>
        <v>38686</v>
      </c>
      <c r="W193" s="1">
        <f t="shared" si="198"/>
        <v>0.49617214704891072</v>
      </c>
      <c r="X193" s="1" t="e">
        <f t="shared" si="199"/>
        <v>#N/A</v>
      </c>
      <c r="Y193" s="1" t="e">
        <f t="shared" si="200"/>
        <v>#N/A</v>
      </c>
      <c r="Z193" s="1" t="e">
        <f t="shared" si="201"/>
        <v>#N/A</v>
      </c>
      <c r="AA193">
        <v>0</v>
      </c>
      <c r="AB193" s="1">
        <v>73.5</v>
      </c>
      <c r="AD193" s="17">
        <f t="shared" si="207"/>
        <v>38686</v>
      </c>
      <c r="AE193" s="1">
        <f t="shared" si="208"/>
        <v>0.49617214704891072</v>
      </c>
      <c r="AF193" s="1" t="e">
        <f t="shared" si="209"/>
        <v>#N/A</v>
      </c>
      <c r="AG193" s="1" t="e">
        <f t="shared" si="210"/>
        <v>#N/A</v>
      </c>
      <c r="AH193" s="1" t="e">
        <f t="shared" si="211"/>
        <v>#N/A</v>
      </c>
      <c r="AK193" s="1"/>
      <c r="AL193" s="1"/>
      <c r="AM193" s="1"/>
      <c r="AN193" s="1"/>
      <c r="AO193" s="17">
        <f t="shared" si="215"/>
        <v>38686</v>
      </c>
      <c r="AP193">
        <f t="shared" si="216"/>
        <v>4</v>
      </c>
      <c r="AQ193">
        <f t="shared" si="217"/>
        <v>4</v>
      </c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7" t="e">
        <f t="shared" ref="BL193" si="276">#REF!</f>
        <v>#REF!</v>
      </c>
      <c r="BM193">
        <f t="shared" si="203"/>
        <v>4</v>
      </c>
      <c r="BN193">
        <f t="shared" si="204"/>
        <v>1</v>
      </c>
    </row>
    <row r="194" spans="1:66">
      <c r="A194" s="7">
        <v>38717</v>
      </c>
      <c r="B194" s="8">
        <v>0.35413800000000001</v>
      </c>
      <c r="C194" s="8">
        <f t="shared" si="191"/>
        <v>0.26073571156737596</v>
      </c>
      <c r="D194" s="9">
        <f t="shared" si="187"/>
        <v>1.3036785578368797</v>
      </c>
      <c r="E194" s="8">
        <v>3.4</v>
      </c>
      <c r="F194" s="8">
        <f t="shared" si="192"/>
        <v>4.8863354834246042</v>
      </c>
      <c r="G194" s="9">
        <f t="shared" si="188"/>
        <v>0.44421231667496403</v>
      </c>
      <c r="H194" s="8">
        <v>0.40089999999999998</v>
      </c>
      <c r="I194" s="8">
        <f t="shared" si="193"/>
        <v>0.21820967725337456</v>
      </c>
      <c r="J194" s="9">
        <f t="shared" si="194"/>
        <v>0.41820967725337455</v>
      </c>
      <c r="K194" s="8">
        <v>0.441</v>
      </c>
      <c r="L194" s="8">
        <f t="shared" si="195"/>
        <v>0.41345048097285375</v>
      </c>
      <c r="M194" s="9">
        <f t="shared" si="189"/>
        <v>0.41345048097285375</v>
      </c>
      <c r="O194" s="11">
        <f t="shared" si="196"/>
        <v>0.52928747286724387</v>
      </c>
      <c r="P194" s="15" t="str">
        <f t="shared" si="205"/>
        <v>E</v>
      </c>
      <c r="Q194" t="str">
        <f t="shared" si="214"/>
        <v>E</v>
      </c>
      <c r="R194" s="18">
        <f t="shared" si="206"/>
        <v>0.50598008708397124</v>
      </c>
      <c r="S194" t="str">
        <f t="shared" si="230"/>
        <v>E</v>
      </c>
      <c r="T194">
        <v>0</v>
      </c>
      <c r="V194" s="17">
        <f t="shared" si="197"/>
        <v>38717</v>
      </c>
      <c r="W194" s="1">
        <f t="shared" si="198"/>
        <v>0.52928747286724387</v>
      </c>
      <c r="X194" s="1" t="e">
        <f t="shared" si="199"/>
        <v>#N/A</v>
      </c>
      <c r="Y194" s="1" t="e">
        <f t="shared" si="200"/>
        <v>#N/A</v>
      </c>
      <c r="Z194" s="1" t="e">
        <f t="shared" si="201"/>
        <v>#N/A</v>
      </c>
      <c r="AA194">
        <v>0</v>
      </c>
      <c r="AB194" s="1">
        <v>44.9</v>
      </c>
      <c r="AD194" s="17">
        <f t="shared" si="207"/>
        <v>38717</v>
      </c>
      <c r="AE194" s="1">
        <f t="shared" si="208"/>
        <v>0.52928747286724387</v>
      </c>
      <c r="AF194" s="1" t="e">
        <f t="shared" si="209"/>
        <v>#N/A</v>
      </c>
      <c r="AG194" s="1" t="e">
        <f t="shared" si="210"/>
        <v>#N/A</v>
      </c>
      <c r="AH194" s="1" t="e">
        <f t="shared" si="211"/>
        <v>#N/A</v>
      </c>
      <c r="AK194" s="1"/>
      <c r="AL194" s="1"/>
      <c r="AM194" s="1"/>
      <c r="AN194" s="1"/>
      <c r="AO194" s="17">
        <f t="shared" si="215"/>
        <v>38717</v>
      </c>
      <c r="AP194">
        <f t="shared" si="216"/>
        <v>4</v>
      </c>
      <c r="AQ194">
        <f t="shared" si="217"/>
        <v>4</v>
      </c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7" t="e">
        <f t="shared" ref="BL194" si="277">#REF!</f>
        <v>#REF!</v>
      </c>
      <c r="BM194">
        <f t="shared" si="203"/>
        <v>4</v>
      </c>
      <c r="BN194">
        <f t="shared" si="204"/>
        <v>1</v>
      </c>
    </row>
    <row r="195" spans="1:66">
      <c r="A195" s="7">
        <v>38748</v>
      </c>
      <c r="B195" s="8">
        <v>0.41821199999999997</v>
      </c>
      <c r="C195" s="8">
        <f t="shared" si="191"/>
        <v>0.30561645377067381</v>
      </c>
      <c r="D195" s="9">
        <f t="shared" si="187"/>
        <v>1.5280822688533691</v>
      </c>
      <c r="E195" s="8">
        <v>3.5</v>
      </c>
      <c r="F195" s="8">
        <f t="shared" si="192"/>
        <v>4.491229870648592</v>
      </c>
      <c r="G195" s="9">
        <f t="shared" si="188"/>
        <v>0.40829362460441748</v>
      </c>
      <c r="H195" s="8">
        <v>0.35370000000000001</v>
      </c>
      <c r="I195" s="8">
        <f t="shared" si="193"/>
        <v>0.25682441923616284</v>
      </c>
      <c r="J195" s="9">
        <f t="shared" si="194"/>
        <v>0.45682441923616285</v>
      </c>
      <c r="K195" s="8">
        <v>0.89100000000000001</v>
      </c>
      <c r="L195" s="8">
        <f t="shared" si="195"/>
        <v>0.54955209389559045</v>
      </c>
      <c r="M195" s="9">
        <f t="shared" si="189"/>
        <v>0.54955209389559045</v>
      </c>
      <c r="O195" s="11">
        <f t="shared" si="196"/>
        <v>0.58798487582735204</v>
      </c>
      <c r="P195" s="15" t="str">
        <f t="shared" si="205"/>
        <v>E</v>
      </c>
      <c r="Q195" t="str">
        <f t="shared" si="214"/>
        <v>E</v>
      </c>
      <c r="R195" s="18">
        <f t="shared" si="206"/>
        <v>0.50598008708397124</v>
      </c>
      <c r="S195" t="str">
        <f t="shared" si="230"/>
        <v>E</v>
      </c>
      <c r="T195">
        <v>0</v>
      </c>
      <c r="V195" s="17">
        <f t="shared" si="197"/>
        <v>38748</v>
      </c>
      <c r="W195" s="1">
        <f t="shared" si="198"/>
        <v>0.58798487582735204</v>
      </c>
      <c r="X195" s="1" t="e">
        <f t="shared" si="199"/>
        <v>#N/A</v>
      </c>
      <c r="Y195" s="1" t="e">
        <f t="shared" si="200"/>
        <v>#N/A</v>
      </c>
      <c r="Z195" s="1" t="e">
        <f t="shared" si="201"/>
        <v>#N/A</v>
      </c>
      <c r="AA195">
        <v>0</v>
      </c>
      <c r="AB195" s="1">
        <v>-23</v>
      </c>
      <c r="AD195" s="17">
        <f t="shared" si="207"/>
        <v>38748</v>
      </c>
      <c r="AE195" s="1">
        <f t="shared" si="208"/>
        <v>0.58798487582735204</v>
      </c>
      <c r="AF195" s="1" t="e">
        <f t="shared" si="209"/>
        <v>#N/A</v>
      </c>
      <c r="AG195" s="1" t="e">
        <f t="shared" si="210"/>
        <v>#N/A</v>
      </c>
      <c r="AH195" s="1" t="e">
        <f t="shared" si="211"/>
        <v>#N/A</v>
      </c>
      <c r="AK195" s="1"/>
      <c r="AL195" s="1"/>
      <c r="AM195" s="1"/>
      <c r="AN195" s="1"/>
      <c r="AO195" s="17">
        <f t="shared" si="215"/>
        <v>38748</v>
      </c>
      <c r="AP195">
        <f t="shared" si="216"/>
        <v>4</v>
      </c>
      <c r="AQ195">
        <f t="shared" si="217"/>
        <v>4</v>
      </c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7" t="e">
        <f t="shared" ref="BL195" si="278">#REF!</f>
        <v>#REF!</v>
      </c>
      <c r="BM195">
        <f t="shared" si="203"/>
        <v>4</v>
      </c>
      <c r="BN195">
        <f t="shared" si="204"/>
        <v>1</v>
      </c>
    </row>
    <row r="196" spans="1:66">
      <c r="A196" s="7">
        <v>38776</v>
      </c>
      <c r="B196" s="8">
        <v>0.323125</v>
      </c>
      <c r="C196" s="8">
        <f t="shared" si="191"/>
        <v>0.31060638944603181</v>
      </c>
      <c r="D196" s="9">
        <f t="shared" ref="D196:D259" si="279">C196/0.2</f>
        <v>1.553031947230159</v>
      </c>
      <c r="E196" s="8">
        <v>3.1</v>
      </c>
      <c r="F196" s="8">
        <f t="shared" si="192"/>
        <v>4.0947293575137431</v>
      </c>
      <c r="G196" s="9">
        <f t="shared" ref="G196:G259" si="280">F196/11</f>
        <v>0.3722481234103403</v>
      </c>
      <c r="H196" s="8">
        <v>0.1996</v>
      </c>
      <c r="I196" s="8">
        <f t="shared" si="193"/>
        <v>0.24051545975385641</v>
      </c>
      <c r="J196" s="9">
        <f t="shared" si="194"/>
        <v>0.44051545975385642</v>
      </c>
      <c r="K196" s="8">
        <v>1.05</v>
      </c>
      <c r="L196" s="8">
        <f t="shared" si="195"/>
        <v>0.69217974713534725</v>
      </c>
      <c r="M196" s="9">
        <f t="shared" ref="M196:M259" si="281">IF(L196&lt;-1,-(-L196^(0.5)),IF(L196&lt;0,0.5*L196,L196))*1+0*IF(L196&gt;0,L196*6,L196)/6</f>
        <v>0.69217974713534725</v>
      </c>
      <c r="O196" s="11">
        <f t="shared" si="196"/>
        <v>0.61759984417110225</v>
      </c>
      <c r="P196" s="15" t="str">
        <f t="shared" si="205"/>
        <v>E</v>
      </c>
      <c r="Q196" t="str">
        <f t="shared" si="214"/>
        <v>E</v>
      </c>
      <c r="R196" s="18">
        <f t="shared" si="206"/>
        <v>0.50598008708397124</v>
      </c>
      <c r="S196" t="str">
        <f t="shared" si="230"/>
        <v>E</v>
      </c>
      <c r="T196">
        <v>0</v>
      </c>
      <c r="V196" s="17">
        <f t="shared" si="197"/>
        <v>38776</v>
      </c>
      <c r="W196" s="1">
        <f t="shared" si="198"/>
        <v>0.61759984417110225</v>
      </c>
      <c r="X196" s="1">
        <f t="shared" si="199"/>
        <v>0.61759984417110225</v>
      </c>
      <c r="Y196" s="1" t="e">
        <f t="shared" si="200"/>
        <v>#N/A</v>
      </c>
      <c r="Z196" s="1" t="e">
        <f t="shared" si="201"/>
        <v>#N/A</v>
      </c>
      <c r="AA196">
        <v>0</v>
      </c>
      <c r="AB196" s="1">
        <v>-55.4</v>
      </c>
      <c r="AD196" s="17">
        <f t="shared" si="207"/>
        <v>38776</v>
      </c>
      <c r="AE196" s="1">
        <f t="shared" si="208"/>
        <v>0.61759984417110225</v>
      </c>
      <c r="AF196" s="1" t="e">
        <f t="shared" si="209"/>
        <v>#N/A</v>
      </c>
      <c r="AG196" s="1" t="e">
        <f t="shared" si="210"/>
        <v>#N/A</v>
      </c>
      <c r="AH196" s="1" t="e">
        <f t="shared" si="211"/>
        <v>#N/A</v>
      </c>
      <c r="AK196" s="1"/>
      <c r="AL196" s="1"/>
      <c r="AM196" s="1"/>
      <c r="AN196" s="1"/>
      <c r="AO196" s="17">
        <f t="shared" si="215"/>
        <v>38776</v>
      </c>
      <c r="AP196">
        <f t="shared" si="216"/>
        <v>4</v>
      </c>
      <c r="AQ196">
        <f t="shared" si="217"/>
        <v>4</v>
      </c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7" t="e">
        <f t="shared" ref="BL196" si="282">#REF!</f>
        <v>#REF!</v>
      </c>
      <c r="BM196">
        <f t="shared" si="203"/>
        <v>4</v>
      </c>
      <c r="BN196">
        <f t="shared" si="204"/>
        <v>1</v>
      </c>
    </row>
    <row r="197" spans="1:66">
      <c r="A197" s="7">
        <v>38807</v>
      </c>
      <c r="B197" s="8">
        <v>0.25034000000000001</v>
      </c>
      <c r="C197" s="8">
        <f t="shared" ref="C197:C260" si="283">C196*$V$1+(1-$V$1)*B197</f>
        <v>0.29343046845391274</v>
      </c>
      <c r="D197" s="9">
        <f t="shared" si="279"/>
        <v>1.4671523422695636</v>
      </c>
      <c r="E197" s="8">
        <v>3.6</v>
      </c>
      <c r="F197" s="8">
        <f t="shared" ref="F197:F260" si="284">F196*$V$1+(1-$V$1)*E197</f>
        <v>3.9537314906223266</v>
      </c>
      <c r="G197" s="9">
        <f t="shared" si="280"/>
        <v>0.35943013551112063</v>
      </c>
      <c r="H197" s="8">
        <v>2.9499999999999998E-2</v>
      </c>
      <c r="I197" s="8">
        <f t="shared" ref="I197:I260" si="285">I196*$V$1+(1-$V$1)*H197</f>
        <v>0.18037605372400733</v>
      </c>
      <c r="J197" s="9">
        <f t="shared" ref="J197:J260" si="286">MAX(IF(I197&lt;-1,-1*SQRT(-I197),IF(I197&gt;1,SQRT(I197),I197)),-2)+0.2</f>
        <v>0.38037605372400735</v>
      </c>
      <c r="K197" s="8">
        <v>0.80400000000000005</v>
      </c>
      <c r="L197" s="8">
        <f t="shared" ref="L197:L260" si="287">L196*$V$1+(1-$V$1)*K197</f>
        <v>0.72404851920177327</v>
      </c>
      <c r="M197" s="9">
        <f t="shared" si="281"/>
        <v>0.72404851920177327</v>
      </c>
      <c r="O197" s="11">
        <f t="shared" ref="O197:O260" si="288">0.3*M197+0.3*J197+0.3*G196+0.1*D197</f>
        <v>0.58971704312779272</v>
      </c>
      <c r="P197" s="15" t="str">
        <f t="shared" si="205"/>
        <v>SD</v>
      </c>
      <c r="Q197" t="str">
        <f t="shared" si="214"/>
        <v>E</v>
      </c>
      <c r="R197" s="18">
        <f t="shared" si="206"/>
        <v>0.50598008708397124</v>
      </c>
      <c r="S197" t="str">
        <f t="shared" si="230"/>
        <v>E</v>
      </c>
      <c r="T197">
        <v>0</v>
      </c>
      <c r="V197" s="17">
        <f t="shared" ref="V197:V214" si="289">A197</f>
        <v>38807</v>
      </c>
      <c r="W197" s="1" t="e">
        <f t="shared" ref="W197:W260" si="290">IF(OR($P197=W$4,$P198=W$4),$O197,NA())</f>
        <v>#N/A</v>
      </c>
      <c r="X197" s="1">
        <f t="shared" ref="X197:X260" si="291">IF(OR($P197=X$4,$P198=X$4),$O197,NA())</f>
        <v>0.58971704312779272</v>
      </c>
      <c r="Y197" s="1" t="e">
        <f t="shared" ref="Y197:Y260" si="292">IF(OR($P197=Y$4,$P198=Y$4),$O197,NA())</f>
        <v>#N/A</v>
      </c>
      <c r="Z197" s="1" t="e">
        <f t="shared" ref="Z197:Z260" si="293">IF(OR($P197=Z$4,$P198=Z$4),$O197,NA())</f>
        <v>#N/A</v>
      </c>
      <c r="AA197">
        <v>0</v>
      </c>
      <c r="AB197" s="1">
        <v>-25.9</v>
      </c>
      <c r="AD197" s="17">
        <f t="shared" si="207"/>
        <v>38807</v>
      </c>
      <c r="AE197" s="1">
        <f t="shared" si="208"/>
        <v>0.58971704312779272</v>
      </c>
      <c r="AF197" s="1" t="e">
        <f t="shared" si="209"/>
        <v>#N/A</v>
      </c>
      <c r="AG197" s="1" t="e">
        <f t="shared" si="210"/>
        <v>#N/A</v>
      </c>
      <c r="AH197" s="1" t="e">
        <f t="shared" si="211"/>
        <v>#N/A</v>
      </c>
      <c r="AK197" s="1"/>
      <c r="AL197" s="1"/>
      <c r="AM197" s="1"/>
      <c r="AN197" s="1"/>
      <c r="AO197" s="17">
        <f t="shared" si="215"/>
        <v>38807</v>
      </c>
      <c r="AP197">
        <f t="shared" si="216"/>
        <v>3</v>
      </c>
      <c r="AQ197">
        <f t="shared" si="217"/>
        <v>4</v>
      </c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7" t="e">
        <f t="shared" ref="BL197" si="294">#REF!</f>
        <v>#REF!</v>
      </c>
      <c r="BM197">
        <f t="shared" ref="BM197:BM260" si="295">IF($Q197="E",4,IF($Q197="R",2,IF($Q197="SD",3,1)))</f>
        <v>4</v>
      </c>
      <c r="BN197">
        <f t="shared" ref="BN197:BN260" si="296">IF($U197="E",4,IF($U197="R",2,IF($U197="SD",3,1)))</f>
        <v>1</v>
      </c>
    </row>
    <row r="198" spans="1:66">
      <c r="A198" s="7">
        <v>38837</v>
      </c>
      <c r="B198" s="8">
        <v>0.26237500000000002</v>
      </c>
      <c r="C198" s="8">
        <f t="shared" si="283"/>
        <v>0.28457965994454759</v>
      </c>
      <c r="D198" s="9">
        <f t="shared" si="279"/>
        <v>1.422898299722738</v>
      </c>
      <c r="E198" s="8">
        <v>2.6</v>
      </c>
      <c r="F198" s="8">
        <f t="shared" si="284"/>
        <v>3.5679180157949637</v>
      </c>
      <c r="G198" s="9">
        <f t="shared" si="280"/>
        <v>0.3243561832540876</v>
      </c>
      <c r="H198" s="8">
        <v>-0.41880000000000001</v>
      </c>
      <c r="I198" s="8">
        <f t="shared" si="285"/>
        <v>9.6108784126652247E-3</v>
      </c>
      <c r="J198" s="9">
        <f t="shared" si="286"/>
        <v>0.20961087841266524</v>
      </c>
      <c r="K198" s="8">
        <v>0.91800000000000004</v>
      </c>
      <c r="L198" s="8">
        <f t="shared" si="287"/>
        <v>0.77932469122926784</v>
      </c>
      <c r="M198" s="9">
        <f t="shared" si="281"/>
        <v>0.77932469122926784</v>
      </c>
      <c r="O198" s="11">
        <f t="shared" si="288"/>
        <v>0.54679954151818988</v>
      </c>
      <c r="P198" s="15" t="str">
        <f t="shared" ref="P198:P261" si="297">IF(O198-O197&gt;0,IF(O198&gt;=0,"E","R"),IF(O198&gt;=0,"SD","C"))</f>
        <v>SD</v>
      </c>
      <c r="Q198" t="str">
        <f t="shared" si="214"/>
        <v>E</v>
      </c>
      <c r="R198" s="18">
        <f t="shared" ref="R198:R261" si="298">IF(Q198&lt;&gt;P197,O198,R197)</f>
        <v>0.54679954151818988</v>
      </c>
      <c r="S198" t="str">
        <f t="shared" si="230"/>
        <v>E</v>
      </c>
      <c r="T198">
        <v>0</v>
      </c>
      <c r="V198" s="17">
        <f t="shared" si="289"/>
        <v>38837</v>
      </c>
      <c r="W198" s="1" t="e">
        <f t="shared" si="290"/>
        <v>#N/A</v>
      </c>
      <c r="X198" s="1">
        <f t="shared" si="291"/>
        <v>0.54679954151818988</v>
      </c>
      <c r="Y198" s="1" t="e">
        <f t="shared" si="292"/>
        <v>#N/A</v>
      </c>
      <c r="Z198" s="1" t="e">
        <f t="shared" si="293"/>
        <v>#N/A</v>
      </c>
      <c r="AA198">
        <v>0</v>
      </c>
      <c r="AB198" s="1">
        <v>37.200000000000003</v>
      </c>
      <c r="AD198" s="17">
        <f t="shared" ref="AD198:AD261" si="299">A198</f>
        <v>38837</v>
      </c>
      <c r="AE198" s="1">
        <f t="shared" ref="AE198:AE261" si="300">IF(OR($S198=AE$4,$S199=AE$4),$O198,NA())</f>
        <v>0.54679954151818988</v>
      </c>
      <c r="AF198" s="1">
        <f t="shared" ref="AF198:AF261" si="301">IF(OR($S198=AF$4,$S199=AF$4),$O198,NA())</f>
        <v>0.54679954151818988</v>
      </c>
      <c r="AG198" s="1" t="e">
        <f t="shared" ref="AG198:AG261" si="302">IF(OR($S198=AG$4,$S199=AG$4),$O198,NA())</f>
        <v>#N/A</v>
      </c>
      <c r="AH198" s="1" t="e">
        <f t="shared" ref="AH198:AH261" si="303">IF(OR($S198=AH$4,$S199=AH$4),$O198,NA())</f>
        <v>#N/A</v>
      </c>
      <c r="AK198" s="1"/>
      <c r="AL198" s="1"/>
      <c r="AM198" s="1"/>
      <c r="AN198" s="1"/>
      <c r="AO198" s="17">
        <f t="shared" si="215"/>
        <v>38837</v>
      </c>
      <c r="AP198">
        <f t="shared" si="216"/>
        <v>3</v>
      </c>
      <c r="AQ198">
        <f t="shared" si="217"/>
        <v>4</v>
      </c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7" t="e">
        <f t="shared" ref="BL198" si="304">#REF!</f>
        <v>#REF!</v>
      </c>
      <c r="BM198">
        <f t="shared" si="295"/>
        <v>4</v>
      </c>
      <c r="BN198">
        <f t="shared" si="296"/>
        <v>1</v>
      </c>
    </row>
    <row r="199" spans="1:66">
      <c r="A199" s="7">
        <v>38868</v>
      </c>
      <c r="B199" s="8">
        <v>0.29757699999999998</v>
      </c>
      <c r="C199" s="8">
        <f t="shared" si="283"/>
        <v>0.28828390186035152</v>
      </c>
      <c r="D199" s="9">
        <f t="shared" si="279"/>
        <v>1.4414195093017574</v>
      </c>
      <c r="E199" s="8">
        <v>2.2999999999999998</v>
      </c>
      <c r="F199" s="8">
        <f t="shared" si="284"/>
        <v>3.2065613812933988</v>
      </c>
      <c r="G199" s="9">
        <f t="shared" si="280"/>
        <v>0.29150558011758171</v>
      </c>
      <c r="H199" s="8">
        <v>-0.25530000000000003</v>
      </c>
      <c r="I199" s="8">
        <f t="shared" si="285"/>
        <v>-6.5888721934944383E-2</v>
      </c>
      <c r="J199" s="9">
        <f t="shared" si="286"/>
        <v>0.13411127806505563</v>
      </c>
      <c r="K199" s="8">
        <v>0.70299999999999996</v>
      </c>
      <c r="L199" s="8">
        <f t="shared" si="287"/>
        <v>0.75757215422892643</v>
      </c>
      <c r="M199" s="9">
        <f t="shared" si="281"/>
        <v>0.75757215422892643</v>
      </c>
      <c r="O199" s="11">
        <f t="shared" si="288"/>
        <v>0.50895383559459662</v>
      </c>
      <c r="P199" s="15" t="str">
        <f t="shared" si="297"/>
        <v>SD</v>
      </c>
      <c r="Q199" t="str">
        <f t="shared" si="214"/>
        <v>E</v>
      </c>
      <c r="R199" s="18">
        <f t="shared" si="298"/>
        <v>0.50895383559459662</v>
      </c>
      <c r="S199" t="str">
        <f t="shared" si="230"/>
        <v>SD</v>
      </c>
      <c r="T199">
        <v>0</v>
      </c>
      <c r="V199" s="17">
        <f t="shared" si="289"/>
        <v>38868</v>
      </c>
      <c r="W199" s="1" t="e">
        <f t="shared" si="290"/>
        <v>#N/A</v>
      </c>
      <c r="X199" s="1">
        <f t="shared" si="291"/>
        <v>0.50895383559459662</v>
      </c>
      <c r="Y199" s="1" t="e">
        <f t="shared" si="292"/>
        <v>#N/A</v>
      </c>
      <c r="Z199" s="1" t="e">
        <f t="shared" si="293"/>
        <v>#N/A</v>
      </c>
      <c r="AA199">
        <v>0</v>
      </c>
      <c r="AB199" s="1">
        <v>52.4</v>
      </c>
      <c r="AD199" s="17">
        <f t="shared" si="299"/>
        <v>38868</v>
      </c>
      <c r="AE199" s="1" t="e">
        <f t="shared" si="300"/>
        <v>#N/A</v>
      </c>
      <c r="AF199" s="1">
        <f t="shared" si="301"/>
        <v>0.50895383559459662</v>
      </c>
      <c r="AG199" s="1" t="e">
        <f t="shared" si="302"/>
        <v>#N/A</v>
      </c>
      <c r="AH199" s="1" t="e">
        <f t="shared" si="303"/>
        <v>#N/A</v>
      </c>
      <c r="AK199" s="1"/>
      <c r="AL199" s="1"/>
      <c r="AM199" s="1"/>
      <c r="AN199" s="1"/>
      <c r="AO199" s="17">
        <f t="shared" si="215"/>
        <v>38868</v>
      </c>
      <c r="AP199">
        <f t="shared" si="216"/>
        <v>3</v>
      </c>
      <c r="AQ199">
        <f t="shared" si="217"/>
        <v>4</v>
      </c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7" t="e">
        <f t="shared" ref="BL199" si="305">#REF!</f>
        <v>#REF!</v>
      </c>
      <c r="BM199">
        <f t="shared" si="295"/>
        <v>4</v>
      </c>
      <c r="BN199">
        <f t="shared" si="296"/>
        <v>1</v>
      </c>
    </row>
    <row r="200" spans="1:66">
      <c r="A200" s="7">
        <v>38898</v>
      </c>
      <c r="B200" s="8">
        <v>0.24746599999999999</v>
      </c>
      <c r="C200" s="8">
        <f t="shared" si="283"/>
        <v>0.27665079983015134</v>
      </c>
      <c r="D200" s="9">
        <f t="shared" si="279"/>
        <v>1.3832539991507566</v>
      </c>
      <c r="E200" s="8">
        <v>1.2</v>
      </c>
      <c r="F200" s="8">
        <f t="shared" si="284"/>
        <v>2.6346913876247799</v>
      </c>
      <c r="G200" s="9">
        <f t="shared" si="280"/>
        <v>0.23951739887498</v>
      </c>
      <c r="H200" s="8">
        <v>-0.30170000000000002</v>
      </c>
      <c r="I200" s="8">
        <f t="shared" si="285"/>
        <v>-0.13309493618348525</v>
      </c>
      <c r="J200" s="9">
        <f t="shared" si="286"/>
        <v>6.6905063816514759E-2</v>
      </c>
      <c r="K200" s="8">
        <v>0.63700000000000001</v>
      </c>
      <c r="L200" s="8">
        <f t="shared" si="287"/>
        <v>0.7232090902736823</v>
      </c>
      <c r="M200" s="9">
        <f t="shared" si="281"/>
        <v>0.7232090902736823</v>
      </c>
      <c r="O200" s="11">
        <f t="shared" si="288"/>
        <v>0.46281132017740922</v>
      </c>
      <c r="P200" s="15" t="str">
        <f t="shared" si="297"/>
        <v>SD</v>
      </c>
      <c r="Q200" t="str">
        <f t="shared" ref="Q200:Q263" si="306">IF(OR(ABS($O200-$O199)&gt;$V$2,O200*O199&lt;0),P200,Q199)</f>
        <v>E</v>
      </c>
      <c r="R200" s="18">
        <f t="shared" si="298"/>
        <v>0.46281132017740922</v>
      </c>
      <c r="S200" t="str">
        <f t="shared" si="230"/>
        <v>SD</v>
      </c>
      <c r="T200">
        <v>0</v>
      </c>
      <c r="V200" s="17">
        <f t="shared" si="289"/>
        <v>38898</v>
      </c>
      <c r="W200" s="1" t="e">
        <f t="shared" si="290"/>
        <v>#N/A</v>
      </c>
      <c r="X200" s="1">
        <f t="shared" si="291"/>
        <v>0.46281132017740922</v>
      </c>
      <c r="Y200" s="1" t="e">
        <f t="shared" si="292"/>
        <v>#N/A</v>
      </c>
      <c r="Z200" s="1" t="e">
        <f t="shared" si="293"/>
        <v>#N/A</v>
      </c>
      <c r="AA200">
        <v>0</v>
      </c>
      <c r="AB200" s="1">
        <v>43.8</v>
      </c>
      <c r="AD200" s="17">
        <f t="shared" si="299"/>
        <v>38898</v>
      </c>
      <c r="AE200" s="1" t="e">
        <f t="shared" si="300"/>
        <v>#N/A</v>
      </c>
      <c r="AF200" s="1">
        <f t="shared" si="301"/>
        <v>0.46281132017740922</v>
      </c>
      <c r="AG200" s="1" t="e">
        <f t="shared" si="302"/>
        <v>#N/A</v>
      </c>
      <c r="AH200" s="1" t="e">
        <f t="shared" si="303"/>
        <v>#N/A</v>
      </c>
      <c r="AK200" s="1"/>
      <c r="AL200" s="1"/>
      <c r="AM200" s="1"/>
      <c r="AN200" s="1"/>
      <c r="AO200" s="17">
        <f t="shared" ref="AO200:AO263" si="307">A200</f>
        <v>38898</v>
      </c>
      <c r="AP200">
        <f t="shared" ref="AP200:AP263" si="308">IF($P200="E",4,IF($P200="R",2,IF($P200="SD",3,1)))</f>
        <v>3</v>
      </c>
      <c r="AQ200">
        <f t="shared" ref="AQ200:AQ263" si="309">IF($Q200="E",4,IF($Q200="R",2,IF($Q200="SD",3,1)))</f>
        <v>4</v>
      </c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7" t="e">
        <f t="shared" ref="BL200" si="310">#REF!</f>
        <v>#REF!</v>
      </c>
      <c r="BM200">
        <f t="shared" si="295"/>
        <v>4</v>
      </c>
      <c r="BN200">
        <f t="shared" si="296"/>
        <v>1</v>
      </c>
    </row>
    <row r="201" spans="1:66">
      <c r="A201" s="7">
        <v>38929</v>
      </c>
      <c r="B201" s="8">
        <v>0.218581</v>
      </c>
      <c r="C201" s="8">
        <f t="shared" si="283"/>
        <v>0.26010090687855819</v>
      </c>
      <c r="D201" s="9">
        <f t="shared" si="279"/>
        <v>1.3005045343927908</v>
      </c>
      <c r="E201" s="8">
        <v>0.8</v>
      </c>
      <c r="F201" s="8">
        <f t="shared" si="284"/>
        <v>2.1118043421517179</v>
      </c>
      <c r="G201" s="9">
        <f t="shared" si="280"/>
        <v>0.19198221292288345</v>
      </c>
      <c r="H201" s="8">
        <v>-0.3569</v>
      </c>
      <c r="I201" s="8">
        <f t="shared" si="285"/>
        <v>-0.19687937937119196</v>
      </c>
      <c r="J201" s="9">
        <f t="shared" si="286"/>
        <v>3.1206206288080518E-3</v>
      </c>
      <c r="K201" s="8">
        <v>0.66400000000000003</v>
      </c>
      <c r="L201" s="8">
        <f t="shared" si="287"/>
        <v>0.70633449954568284</v>
      </c>
      <c r="M201" s="9">
        <f t="shared" si="281"/>
        <v>0.70633449954568284</v>
      </c>
      <c r="O201" s="11">
        <f t="shared" si="288"/>
        <v>0.41474220915412041</v>
      </c>
      <c r="P201" s="15" t="str">
        <f t="shared" si="297"/>
        <v>SD</v>
      </c>
      <c r="Q201" t="str">
        <f t="shared" si="306"/>
        <v>E</v>
      </c>
      <c r="R201" s="18">
        <f t="shared" si="298"/>
        <v>0.41474220915412041</v>
      </c>
      <c r="S201" t="str">
        <f t="shared" si="230"/>
        <v>SD</v>
      </c>
      <c r="T201">
        <v>0</v>
      </c>
      <c r="V201" s="17">
        <f t="shared" si="289"/>
        <v>38929</v>
      </c>
      <c r="W201" s="1">
        <f t="shared" si="290"/>
        <v>0.41474220915412041</v>
      </c>
      <c r="X201" s="1">
        <f t="shared" si="291"/>
        <v>0.41474220915412041</v>
      </c>
      <c r="Y201" s="1" t="e">
        <f t="shared" si="292"/>
        <v>#N/A</v>
      </c>
      <c r="Z201" s="1" t="e">
        <f t="shared" si="293"/>
        <v>#N/A</v>
      </c>
      <c r="AA201">
        <v>0</v>
      </c>
      <c r="AB201" s="1">
        <v>-2.2000000000000002</v>
      </c>
      <c r="AD201" s="17">
        <f t="shared" si="299"/>
        <v>38929</v>
      </c>
      <c r="AE201" s="1">
        <f t="shared" si="300"/>
        <v>0.41474220915412041</v>
      </c>
      <c r="AF201" s="1">
        <f t="shared" si="301"/>
        <v>0.41474220915412041</v>
      </c>
      <c r="AG201" s="1" t="e">
        <f t="shared" si="302"/>
        <v>#N/A</v>
      </c>
      <c r="AH201" s="1" t="e">
        <f t="shared" si="303"/>
        <v>#N/A</v>
      </c>
      <c r="AK201" s="1"/>
      <c r="AL201" s="1"/>
      <c r="AM201" s="1"/>
      <c r="AN201" s="1"/>
      <c r="AO201" s="17">
        <f t="shared" si="307"/>
        <v>38929</v>
      </c>
      <c r="AP201">
        <f t="shared" si="308"/>
        <v>3</v>
      </c>
      <c r="AQ201">
        <f t="shared" si="309"/>
        <v>4</v>
      </c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7" t="e">
        <f t="shared" ref="BL201" si="311">#REF!</f>
        <v>#REF!</v>
      </c>
      <c r="BM201">
        <f t="shared" si="295"/>
        <v>4</v>
      </c>
      <c r="BN201">
        <f t="shared" si="296"/>
        <v>1</v>
      </c>
    </row>
    <row r="202" spans="1:66">
      <c r="A202" s="7">
        <v>38960</v>
      </c>
      <c r="B202" s="8">
        <v>0.209115</v>
      </c>
      <c r="C202" s="8">
        <f t="shared" si="283"/>
        <v>0.24556992341816908</v>
      </c>
      <c r="D202" s="9">
        <f t="shared" si="279"/>
        <v>1.2278496170908453</v>
      </c>
      <c r="E202" s="8">
        <v>-0.2</v>
      </c>
      <c r="F202" s="8">
        <f t="shared" si="284"/>
        <v>1.4529401046384782</v>
      </c>
      <c r="G202" s="9">
        <f t="shared" si="280"/>
        <v>0.13208546405804347</v>
      </c>
      <c r="H202" s="8">
        <v>-0.13009999999999999</v>
      </c>
      <c r="I202" s="8">
        <f t="shared" si="285"/>
        <v>-0.17784725625040226</v>
      </c>
      <c r="J202" s="9">
        <f t="shared" si="286"/>
        <v>2.2152743749597748E-2</v>
      </c>
      <c r="K202" s="8">
        <v>0.94599999999999995</v>
      </c>
      <c r="L202" s="8">
        <f t="shared" si="287"/>
        <v>0.77463916717516323</v>
      </c>
      <c r="M202" s="9">
        <f t="shared" si="281"/>
        <v>0.77463916717516323</v>
      </c>
      <c r="O202" s="11">
        <f t="shared" si="288"/>
        <v>0.41941719886337786</v>
      </c>
      <c r="P202" s="15" t="str">
        <f t="shared" si="297"/>
        <v>E</v>
      </c>
      <c r="Q202" t="str">
        <f t="shared" si="306"/>
        <v>E</v>
      </c>
      <c r="R202" s="18">
        <f t="shared" si="298"/>
        <v>0.41941719886337786</v>
      </c>
      <c r="S202" t="str">
        <f t="shared" si="230"/>
        <v>E</v>
      </c>
      <c r="T202">
        <v>0</v>
      </c>
      <c r="V202" s="17">
        <f t="shared" si="289"/>
        <v>38960</v>
      </c>
      <c r="W202" s="1">
        <f t="shared" si="290"/>
        <v>0.41941719886337786</v>
      </c>
      <c r="X202" s="1">
        <f t="shared" si="291"/>
        <v>0.41941719886337786</v>
      </c>
      <c r="Y202" s="1" t="e">
        <f t="shared" si="292"/>
        <v>#N/A</v>
      </c>
      <c r="Z202" s="1" t="e">
        <f t="shared" si="293"/>
        <v>#N/A</v>
      </c>
      <c r="AA202">
        <v>0</v>
      </c>
      <c r="AB202" s="1">
        <v>-7.6</v>
      </c>
      <c r="AD202" s="17">
        <f t="shared" si="299"/>
        <v>38960</v>
      </c>
      <c r="AE202" s="1">
        <f t="shared" si="300"/>
        <v>0.41941719886337786</v>
      </c>
      <c r="AF202" s="1">
        <f t="shared" si="301"/>
        <v>0.41941719886337786</v>
      </c>
      <c r="AG202" s="1" t="e">
        <f t="shared" si="302"/>
        <v>#N/A</v>
      </c>
      <c r="AH202" s="1" t="e">
        <f t="shared" si="303"/>
        <v>#N/A</v>
      </c>
      <c r="AK202" s="1"/>
      <c r="AL202" s="1"/>
      <c r="AM202" s="1"/>
      <c r="AN202" s="1"/>
      <c r="AO202" s="17">
        <f t="shared" si="307"/>
        <v>38960</v>
      </c>
      <c r="AP202">
        <f t="shared" si="308"/>
        <v>4</v>
      </c>
      <c r="AQ202">
        <f t="shared" si="309"/>
        <v>4</v>
      </c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7" t="e">
        <f t="shared" ref="BL202" si="312">#REF!</f>
        <v>#REF!</v>
      </c>
      <c r="BM202">
        <f t="shared" si="295"/>
        <v>4</v>
      </c>
      <c r="BN202">
        <f t="shared" si="296"/>
        <v>1</v>
      </c>
    </row>
    <row r="203" spans="1:66">
      <c r="A203" s="7">
        <v>38990</v>
      </c>
      <c r="B203" s="8">
        <v>0.142619</v>
      </c>
      <c r="C203" s="8">
        <f t="shared" si="283"/>
        <v>0.21622891024399088</v>
      </c>
      <c r="D203" s="9">
        <f t="shared" si="279"/>
        <v>1.0811445512199542</v>
      </c>
      <c r="E203" s="8">
        <v>0</v>
      </c>
      <c r="F203" s="8">
        <f t="shared" si="284"/>
        <v>1.0388521748165118</v>
      </c>
      <c r="G203" s="9">
        <f t="shared" si="280"/>
        <v>9.4441106801501071E-2</v>
      </c>
      <c r="H203" s="8">
        <v>-0.2969</v>
      </c>
      <c r="I203" s="8">
        <f t="shared" si="285"/>
        <v>-0.21177728821903763</v>
      </c>
      <c r="J203" s="9">
        <f t="shared" si="286"/>
        <v>-1.1777288219037618E-2</v>
      </c>
      <c r="K203" s="8">
        <v>0.73199999999999998</v>
      </c>
      <c r="L203" s="8">
        <f t="shared" si="287"/>
        <v>0.76248700453024176</v>
      </c>
      <c r="M203" s="9">
        <f t="shared" si="281"/>
        <v>0.76248700453024176</v>
      </c>
      <c r="O203" s="11">
        <f t="shared" si="288"/>
        <v>0.37295300923276969</v>
      </c>
      <c r="P203" s="15" t="str">
        <f t="shared" si="297"/>
        <v>SD</v>
      </c>
      <c r="Q203" t="str">
        <f t="shared" si="306"/>
        <v>E</v>
      </c>
      <c r="R203" s="18">
        <f t="shared" si="298"/>
        <v>0.41941719886337786</v>
      </c>
      <c r="S203" t="str">
        <f t="shared" si="230"/>
        <v>SD</v>
      </c>
      <c r="T203">
        <v>0</v>
      </c>
      <c r="V203" s="17">
        <f t="shared" si="289"/>
        <v>38990</v>
      </c>
      <c r="W203" s="1">
        <f t="shared" si="290"/>
        <v>0.37295300923276969</v>
      </c>
      <c r="X203" s="1">
        <f t="shared" si="291"/>
        <v>0.37295300923276969</v>
      </c>
      <c r="Y203" s="1" t="e">
        <f t="shared" si="292"/>
        <v>#N/A</v>
      </c>
      <c r="Z203" s="1" t="e">
        <f t="shared" si="293"/>
        <v>#N/A</v>
      </c>
      <c r="AA203">
        <v>0</v>
      </c>
      <c r="AB203" s="1">
        <v>-42.7</v>
      </c>
      <c r="AD203" s="17">
        <f t="shared" si="299"/>
        <v>38990</v>
      </c>
      <c r="AE203" s="1">
        <f t="shared" si="300"/>
        <v>0.37295300923276969</v>
      </c>
      <c r="AF203" s="1">
        <f t="shared" si="301"/>
        <v>0.37295300923276969</v>
      </c>
      <c r="AG203" s="1" t="e">
        <f t="shared" si="302"/>
        <v>#N/A</v>
      </c>
      <c r="AH203" s="1" t="e">
        <f t="shared" si="303"/>
        <v>#N/A</v>
      </c>
      <c r="AK203" s="1"/>
      <c r="AL203" s="1"/>
      <c r="AM203" s="1"/>
      <c r="AN203" s="1"/>
      <c r="AO203" s="17">
        <f t="shared" si="307"/>
        <v>38990</v>
      </c>
      <c r="AP203">
        <f t="shared" si="308"/>
        <v>3</v>
      </c>
      <c r="AQ203">
        <f t="shared" si="309"/>
        <v>4</v>
      </c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7" t="e">
        <f t="shared" ref="BL203" si="313">#REF!</f>
        <v>#REF!</v>
      </c>
      <c r="BM203">
        <f t="shared" si="295"/>
        <v>4</v>
      </c>
      <c r="BN203">
        <f t="shared" si="296"/>
        <v>1</v>
      </c>
    </row>
    <row r="204" spans="1:66">
      <c r="A204" s="7">
        <v>39021</v>
      </c>
      <c r="B204" s="8">
        <v>0.26569999999999999</v>
      </c>
      <c r="C204" s="8">
        <f t="shared" si="283"/>
        <v>0.23032817082445348</v>
      </c>
      <c r="D204" s="9">
        <f t="shared" si="279"/>
        <v>1.1516408541222674</v>
      </c>
      <c r="E204" s="8">
        <v>-0.3</v>
      </c>
      <c r="F204" s="8">
        <f t="shared" si="284"/>
        <v>0.65727930499380594</v>
      </c>
      <c r="G204" s="9">
        <f t="shared" si="280"/>
        <v>5.9752664090345992E-2</v>
      </c>
      <c r="H204" s="8">
        <v>-0.30349999999999999</v>
      </c>
      <c r="I204" s="8">
        <f t="shared" si="285"/>
        <v>-0.2379182610766119</v>
      </c>
      <c r="J204" s="9">
        <f t="shared" si="286"/>
        <v>-3.7918261076611892E-2</v>
      </c>
      <c r="K204" s="8">
        <v>1.036</v>
      </c>
      <c r="L204" s="8">
        <f t="shared" si="287"/>
        <v>0.84043820823912285</v>
      </c>
      <c r="M204" s="9">
        <f t="shared" si="281"/>
        <v>0.84043820823912285</v>
      </c>
      <c r="O204" s="11">
        <f t="shared" si="288"/>
        <v>0.38425240160143032</v>
      </c>
      <c r="P204" s="15" t="str">
        <f t="shared" si="297"/>
        <v>E</v>
      </c>
      <c r="Q204" t="str">
        <f t="shared" si="306"/>
        <v>E</v>
      </c>
      <c r="R204" s="18">
        <f t="shared" si="298"/>
        <v>0.38425240160143032</v>
      </c>
      <c r="S204" t="str">
        <f t="shared" si="230"/>
        <v>E</v>
      </c>
      <c r="T204">
        <v>0</v>
      </c>
      <c r="V204" s="17">
        <f t="shared" si="289"/>
        <v>39021</v>
      </c>
      <c r="W204" s="1">
        <f t="shared" si="290"/>
        <v>0.38425240160143032</v>
      </c>
      <c r="X204" s="1" t="e">
        <f t="shared" si="291"/>
        <v>#N/A</v>
      </c>
      <c r="Y204" s="1" t="e">
        <f t="shared" si="292"/>
        <v>#N/A</v>
      </c>
      <c r="Z204" s="1" t="e">
        <f t="shared" si="293"/>
        <v>#N/A</v>
      </c>
      <c r="AA204">
        <v>0</v>
      </c>
      <c r="AB204" s="1">
        <v>-52.6</v>
      </c>
      <c r="AD204" s="17">
        <f t="shared" si="299"/>
        <v>39021</v>
      </c>
      <c r="AE204" s="1">
        <f t="shared" si="300"/>
        <v>0.38425240160143032</v>
      </c>
      <c r="AF204" s="1" t="e">
        <f t="shared" si="301"/>
        <v>#N/A</v>
      </c>
      <c r="AG204" s="1" t="e">
        <f t="shared" si="302"/>
        <v>#N/A</v>
      </c>
      <c r="AH204" s="1" t="e">
        <f t="shared" si="303"/>
        <v>#N/A</v>
      </c>
      <c r="AK204" s="1"/>
      <c r="AL204" s="1"/>
      <c r="AM204" s="1"/>
      <c r="AN204" s="1"/>
      <c r="AO204" s="17">
        <f t="shared" si="307"/>
        <v>39021</v>
      </c>
      <c r="AP204">
        <f t="shared" si="308"/>
        <v>4</v>
      </c>
      <c r="AQ204">
        <f t="shared" si="309"/>
        <v>4</v>
      </c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7" t="e">
        <f t="shared" ref="BL204" si="314">#REF!</f>
        <v>#REF!</v>
      </c>
      <c r="BM204">
        <f t="shared" si="295"/>
        <v>4</v>
      </c>
      <c r="BN204">
        <f t="shared" si="296"/>
        <v>1</v>
      </c>
    </row>
    <row r="205" spans="1:66">
      <c r="A205" s="7">
        <v>39051</v>
      </c>
      <c r="B205" s="8">
        <v>0.28909699999999999</v>
      </c>
      <c r="C205" s="8">
        <f t="shared" si="283"/>
        <v>0.24707728713948424</v>
      </c>
      <c r="D205" s="9">
        <f t="shared" si="279"/>
        <v>1.2353864356974211</v>
      </c>
      <c r="E205" s="8">
        <v>-1</v>
      </c>
      <c r="F205" s="8">
        <f t="shared" si="284"/>
        <v>0.18495470307057121</v>
      </c>
      <c r="G205" s="9">
        <f t="shared" si="280"/>
        <v>1.6814063915506473E-2</v>
      </c>
      <c r="H205" s="8">
        <v>0.1391</v>
      </c>
      <c r="I205" s="8">
        <f t="shared" si="285"/>
        <v>-0.13046805666977751</v>
      </c>
      <c r="J205" s="9">
        <f t="shared" si="286"/>
        <v>6.9531943330222501E-2</v>
      </c>
      <c r="K205" s="8">
        <v>0.96099999999999997</v>
      </c>
      <c r="L205" s="8">
        <f t="shared" si="287"/>
        <v>0.87479831889097281</v>
      </c>
      <c r="M205" s="9">
        <f t="shared" si="281"/>
        <v>0.87479831889097281</v>
      </c>
      <c r="O205" s="11">
        <f t="shared" si="288"/>
        <v>0.42476352146320451</v>
      </c>
      <c r="P205" s="15" t="str">
        <f t="shared" si="297"/>
        <v>E</v>
      </c>
      <c r="Q205" t="str">
        <f t="shared" si="306"/>
        <v>E</v>
      </c>
      <c r="R205" s="18">
        <f t="shared" si="298"/>
        <v>0.38425240160143032</v>
      </c>
      <c r="S205" t="str">
        <f t="shared" si="230"/>
        <v>E</v>
      </c>
      <c r="T205">
        <v>0</v>
      </c>
      <c r="V205" s="17">
        <f t="shared" si="289"/>
        <v>39051</v>
      </c>
      <c r="W205" s="1">
        <f t="shared" si="290"/>
        <v>0.42476352146320451</v>
      </c>
      <c r="X205" s="1" t="e">
        <f t="shared" si="291"/>
        <v>#N/A</v>
      </c>
      <c r="Y205" s="1" t="e">
        <f t="shared" si="292"/>
        <v>#N/A</v>
      </c>
      <c r="Z205" s="1" t="e">
        <f t="shared" si="293"/>
        <v>#N/A</v>
      </c>
      <c r="AA205">
        <v>0</v>
      </c>
      <c r="AB205" s="1">
        <v>-54.9</v>
      </c>
      <c r="AD205" s="17">
        <f t="shared" si="299"/>
        <v>39051</v>
      </c>
      <c r="AE205" s="1">
        <f t="shared" si="300"/>
        <v>0.42476352146320451</v>
      </c>
      <c r="AF205" s="1" t="e">
        <f t="shared" si="301"/>
        <v>#N/A</v>
      </c>
      <c r="AG205" s="1" t="e">
        <f t="shared" si="302"/>
        <v>#N/A</v>
      </c>
      <c r="AH205" s="1" t="e">
        <f t="shared" si="303"/>
        <v>#N/A</v>
      </c>
      <c r="AK205" s="1"/>
      <c r="AL205" s="1"/>
      <c r="AM205" s="1"/>
      <c r="AN205" s="1"/>
      <c r="AO205" s="17">
        <f t="shared" si="307"/>
        <v>39051</v>
      </c>
      <c r="AP205">
        <f t="shared" si="308"/>
        <v>4</v>
      </c>
      <c r="AQ205">
        <f t="shared" si="309"/>
        <v>4</v>
      </c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7" t="e">
        <f t="shared" ref="BL205" si="315">#REF!</f>
        <v>#REF!</v>
      </c>
      <c r="BM205">
        <f t="shared" si="295"/>
        <v>4</v>
      </c>
      <c r="BN205">
        <f t="shared" si="296"/>
        <v>1</v>
      </c>
    </row>
    <row r="206" spans="1:66">
      <c r="A206" s="7">
        <v>39082</v>
      </c>
      <c r="B206" s="8">
        <v>0.25309300000000001</v>
      </c>
      <c r="C206" s="8">
        <f t="shared" si="283"/>
        <v>0.24879176530473124</v>
      </c>
      <c r="D206" s="9">
        <f t="shared" si="279"/>
        <v>1.2439588265236561</v>
      </c>
      <c r="E206" s="8">
        <v>-0.8</v>
      </c>
      <c r="F206" s="8">
        <f t="shared" si="284"/>
        <v>-9.5757387304541614E-2</v>
      </c>
      <c r="G206" s="9">
        <f t="shared" si="280"/>
        <v>-8.7052170276856015E-3</v>
      </c>
      <c r="H206" s="8">
        <v>0.45729999999999998</v>
      </c>
      <c r="I206" s="8">
        <f t="shared" si="285"/>
        <v>3.7045839481109094E-2</v>
      </c>
      <c r="J206" s="9">
        <f t="shared" si="286"/>
        <v>0.23704583948110911</v>
      </c>
      <c r="K206" s="8">
        <v>1.0389999999999999</v>
      </c>
      <c r="L206" s="8">
        <f t="shared" si="287"/>
        <v>0.92159579800704561</v>
      </c>
      <c r="M206" s="9">
        <f t="shared" si="281"/>
        <v>0.92159579800704561</v>
      </c>
      <c r="O206" s="11">
        <f t="shared" si="288"/>
        <v>0.47703259307346391</v>
      </c>
      <c r="P206" s="15" t="str">
        <f t="shared" si="297"/>
        <v>E</v>
      </c>
      <c r="Q206" t="str">
        <f t="shared" si="306"/>
        <v>E</v>
      </c>
      <c r="R206" s="18">
        <f t="shared" si="298"/>
        <v>0.38425240160143032</v>
      </c>
      <c r="S206" t="str">
        <f t="shared" si="230"/>
        <v>E</v>
      </c>
      <c r="T206">
        <v>0</v>
      </c>
      <c r="V206" s="17">
        <f t="shared" si="289"/>
        <v>39082</v>
      </c>
      <c r="W206" s="1">
        <f t="shared" si="290"/>
        <v>0.47703259307346391</v>
      </c>
      <c r="X206" s="1" t="e">
        <f t="shared" si="291"/>
        <v>#N/A</v>
      </c>
      <c r="Y206" s="1" t="e">
        <f t="shared" si="292"/>
        <v>#N/A</v>
      </c>
      <c r="Z206" s="1" t="e">
        <f t="shared" si="293"/>
        <v>#N/A</v>
      </c>
      <c r="AA206">
        <v>0</v>
      </c>
      <c r="AB206" s="1">
        <v>22</v>
      </c>
      <c r="AD206" s="17">
        <f t="shared" si="299"/>
        <v>39082</v>
      </c>
      <c r="AE206" s="1">
        <f t="shared" si="300"/>
        <v>0.47703259307346391</v>
      </c>
      <c r="AF206" s="1" t="e">
        <f t="shared" si="301"/>
        <v>#N/A</v>
      </c>
      <c r="AG206" s="1" t="e">
        <f t="shared" si="302"/>
        <v>#N/A</v>
      </c>
      <c r="AH206" s="1" t="e">
        <f t="shared" si="303"/>
        <v>#N/A</v>
      </c>
      <c r="AK206" s="1"/>
      <c r="AL206" s="1"/>
      <c r="AM206" s="1"/>
      <c r="AN206" s="1"/>
      <c r="AO206" s="17">
        <f t="shared" si="307"/>
        <v>39082</v>
      </c>
      <c r="AP206">
        <f t="shared" si="308"/>
        <v>4</v>
      </c>
      <c r="AQ206">
        <f t="shared" si="309"/>
        <v>4</v>
      </c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7" t="e">
        <f t="shared" ref="BL206" si="316">#REF!</f>
        <v>#REF!</v>
      </c>
      <c r="BM206">
        <f t="shared" si="295"/>
        <v>4</v>
      </c>
      <c r="BN206">
        <f t="shared" si="296"/>
        <v>1</v>
      </c>
    </row>
    <row r="207" spans="1:66">
      <c r="A207" s="7">
        <v>39113</v>
      </c>
      <c r="B207" s="8">
        <v>0.31684099999999998</v>
      </c>
      <c r="C207" s="8">
        <f t="shared" si="283"/>
        <v>0.26818579719288282</v>
      </c>
      <c r="D207" s="9">
        <f t="shared" si="279"/>
        <v>1.340928985964414</v>
      </c>
      <c r="E207" s="8">
        <v>-1.7</v>
      </c>
      <c r="F207" s="8">
        <f t="shared" si="284"/>
        <v>-0.55296653192274725</v>
      </c>
      <c r="G207" s="9">
        <f t="shared" si="280"/>
        <v>-5.0269684720249751E-2</v>
      </c>
      <c r="H207" s="8">
        <v>-0.2341</v>
      </c>
      <c r="I207" s="8">
        <f t="shared" si="285"/>
        <v>-4.0230724771007018E-2</v>
      </c>
      <c r="J207" s="9">
        <f t="shared" si="286"/>
        <v>0.15976927522899298</v>
      </c>
      <c r="K207" s="8">
        <v>1.244</v>
      </c>
      <c r="L207" s="8">
        <f t="shared" si="287"/>
        <v>1.0134809955750377</v>
      </c>
      <c r="M207" s="9">
        <f t="shared" si="281"/>
        <v>1.0134809955750377</v>
      </c>
      <c r="O207" s="11">
        <f t="shared" si="288"/>
        <v>0.48345641472934492</v>
      </c>
      <c r="P207" s="15" t="str">
        <f t="shared" si="297"/>
        <v>E</v>
      </c>
      <c r="Q207" t="str">
        <f t="shared" si="306"/>
        <v>E</v>
      </c>
      <c r="R207" s="18">
        <f t="shared" si="298"/>
        <v>0.38425240160143032</v>
      </c>
      <c r="S207" t="str">
        <f t="shared" si="230"/>
        <v>E</v>
      </c>
      <c r="T207">
        <v>0</v>
      </c>
      <c r="V207" s="17">
        <f t="shared" si="289"/>
        <v>39113</v>
      </c>
      <c r="W207" s="1">
        <f t="shared" si="290"/>
        <v>0.48345641472934492</v>
      </c>
      <c r="X207" s="1" t="e">
        <f t="shared" si="291"/>
        <v>#N/A</v>
      </c>
      <c r="Y207" s="1" t="e">
        <f t="shared" si="292"/>
        <v>#N/A</v>
      </c>
      <c r="Z207" s="1" t="e">
        <f t="shared" si="293"/>
        <v>#N/A</v>
      </c>
      <c r="AA207">
        <v>0</v>
      </c>
      <c r="AB207" s="1">
        <v>73.099999999999994</v>
      </c>
      <c r="AD207" s="17">
        <f t="shared" si="299"/>
        <v>39113</v>
      </c>
      <c r="AE207" s="1">
        <f t="shared" si="300"/>
        <v>0.48345641472934492</v>
      </c>
      <c r="AF207" s="1" t="e">
        <f t="shared" si="301"/>
        <v>#N/A</v>
      </c>
      <c r="AG207" s="1" t="e">
        <f t="shared" si="302"/>
        <v>#N/A</v>
      </c>
      <c r="AH207" s="1" t="e">
        <f t="shared" si="303"/>
        <v>#N/A</v>
      </c>
      <c r="AK207" s="1"/>
      <c r="AL207" s="1"/>
      <c r="AM207" s="1"/>
      <c r="AN207" s="1"/>
      <c r="AO207" s="17">
        <f t="shared" si="307"/>
        <v>39113</v>
      </c>
      <c r="AP207">
        <f t="shared" si="308"/>
        <v>4</v>
      </c>
      <c r="AQ207">
        <f t="shared" si="309"/>
        <v>4</v>
      </c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7" t="e">
        <f t="shared" ref="BL207" si="317">#REF!</f>
        <v>#REF!</v>
      </c>
      <c r="BM207">
        <f t="shared" si="295"/>
        <v>4</v>
      </c>
      <c r="BN207">
        <f t="shared" si="296"/>
        <v>1</v>
      </c>
    </row>
    <row r="208" spans="1:66">
      <c r="A208" s="7">
        <v>39141</v>
      </c>
      <c r="B208" s="8">
        <v>0.298545</v>
      </c>
      <c r="C208" s="8">
        <f t="shared" si="283"/>
        <v>0.27683816999291122</v>
      </c>
      <c r="D208" s="9">
        <f t="shared" si="279"/>
        <v>1.3841908499645561</v>
      </c>
      <c r="E208" s="8">
        <v>-1.9</v>
      </c>
      <c r="F208" s="8">
        <f t="shared" si="284"/>
        <v>-0.93687107032476424</v>
      </c>
      <c r="G208" s="9">
        <f t="shared" si="280"/>
        <v>-8.5170097302251294E-2</v>
      </c>
      <c r="H208" s="8">
        <v>0.18290000000000001</v>
      </c>
      <c r="I208" s="8">
        <f t="shared" si="285"/>
        <v>2.3361531788729989E-2</v>
      </c>
      <c r="J208" s="9">
        <f t="shared" si="286"/>
        <v>0.22336153178873</v>
      </c>
      <c r="K208" s="8">
        <v>0.93200000000000005</v>
      </c>
      <c r="L208" s="8">
        <f t="shared" si="287"/>
        <v>0.990258911836152</v>
      </c>
      <c r="M208" s="9">
        <f t="shared" si="281"/>
        <v>0.990258911836152</v>
      </c>
      <c r="O208" s="11">
        <f t="shared" si="288"/>
        <v>0.48742431266784525</v>
      </c>
      <c r="P208" s="15" t="str">
        <f t="shared" si="297"/>
        <v>E</v>
      </c>
      <c r="Q208" t="str">
        <f t="shared" si="306"/>
        <v>E</v>
      </c>
      <c r="R208" s="18">
        <f t="shared" si="298"/>
        <v>0.38425240160143032</v>
      </c>
      <c r="S208" t="str">
        <f t="shared" si="230"/>
        <v>E</v>
      </c>
      <c r="T208">
        <v>0</v>
      </c>
      <c r="V208" s="17">
        <f t="shared" si="289"/>
        <v>39141</v>
      </c>
      <c r="W208" s="1">
        <f t="shared" si="290"/>
        <v>0.48742431266784525</v>
      </c>
      <c r="X208" s="1">
        <f t="shared" si="291"/>
        <v>0.48742431266784525</v>
      </c>
      <c r="Y208" s="1" t="e">
        <f t="shared" si="292"/>
        <v>#N/A</v>
      </c>
      <c r="Z208" s="1" t="e">
        <f t="shared" si="293"/>
        <v>#N/A</v>
      </c>
      <c r="AA208">
        <v>0</v>
      </c>
      <c r="AB208" s="1">
        <v>25.5</v>
      </c>
      <c r="AD208" s="17">
        <f t="shared" si="299"/>
        <v>39141</v>
      </c>
      <c r="AE208" s="1">
        <f t="shared" si="300"/>
        <v>0.48742431266784525</v>
      </c>
      <c r="AF208" s="1">
        <f t="shared" si="301"/>
        <v>0.48742431266784525</v>
      </c>
      <c r="AG208" s="1" t="e">
        <f t="shared" si="302"/>
        <v>#N/A</v>
      </c>
      <c r="AH208" s="1" t="e">
        <f t="shared" si="303"/>
        <v>#N/A</v>
      </c>
      <c r="AK208" s="1"/>
      <c r="AL208" s="1"/>
      <c r="AM208" s="1"/>
      <c r="AN208" s="1"/>
      <c r="AO208" s="17">
        <f t="shared" si="307"/>
        <v>39141</v>
      </c>
      <c r="AP208">
        <f t="shared" si="308"/>
        <v>4</v>
      </c>
      <c r="AQ208">
        <f t="shared" si="309"/>
        <v>4</v>
      </c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7" t="e">
        <f t="shared" ref="BL208" si="318">#REF!</f>
        <v>#REF!</v>
      </c>
      <c r="BM208">
        <f t="shared" si="295"/>
        <v>4</v>
      </c>
      <c r="BN208">
        <f t="shared" si="296"/>
        <v>1</v>
      </c>
    </row>
    <row r="209" spans="1:66">
      <c r="A209" s="7">
        <v>39172</v>
      </c>
      <c r="B209" s="8">
        <v>8.4082000000000004E-2</v>
      </c>
      <c r="C209" s="8">
        <f t="shared" si="283"/>
        <v>0.22190266154493152</v>
      </c>
      <c r="D209" s="9">
        <f t="shared" si="279"/>
        <v>1.1095133077246575</v>
      </c>
      <c r="E209" s="8">
        <v>-1.8</v>
      </c>
      <c r="F209" s="8">
        <f t="shared" si="284"/>
        <v>-1.1828628152822065</v>
      </c>
      <c r="G209" s="9">
        <f t="shared" si="280"/>
        <v>-0.10753298320747331</v>
      </c>
      <c r="H209" s="8">
        <v>5.6500000000000002E-2</v>
      </c>
      <c r="I209" s="8">
        <f t="shared" si="285"/>
        <v>3.2805995228941939E-2</v>
      </c>
      <c r="J209" s="9">
        <f t="shared" si="286"/>
        <v>0.23280599522894196</v>
      </c>
      <c r="K209" s="8">
        <v>0.88200000000000001</v>
      </c>
      <c r="L209" s="8">
        <f t="shared" si="287"/>
        <v>0.95940512196284877</v>
      </c>
      <c r="M209" s="9">
        <f t="shared" si="281"/>
        <v>0.95940512196284877</v>
      </c>
      <c r="O209" s="11">
        <f t="shared" si="288"/>
        <v>0.44306363673932764</v>
      </c>
      <c r="P209" s="15" t="str">
        <f t="shared" si="297"/>
        <v>SD</v>
      </c>
      <c r="Q209" t="str">
        <f t="shared" si="306"/>
        <v>E</v>
      </c>
      <c r="R209" s="18">
        <f t="shared" si="298"/>
        <v>0.38425240160143032</v>
      </c>
      <c r="S209" t="str">
        <f t="shared" si="230"/>
        <v>SD</v>
      </c>
      <c r="T209">
        <v>0</v>
      </c>
      <c r="V209" s="17">
        <f t="shared" si="289"/>
        <v>39172</v>
      </c>
      <c r="W209" s="1" t="e">
        <f t="shared" si="290"/>
        <v>#N/A</v>
      </c>
      <c r="X209" s="1">
        <f t="shared" si="291"/>
        <v>0.44306363673932764</v>
      </c>
      <c r="Y209" s="1" t="e">
        <f t="shared" si="292"/>
        <v>#N/A</v>
      </c>
      <c r="Z209" s="1" t="e">
        <f t="shared" si="293"/>
        <v>#N/A</v>
      </c>
      <c r="AA209">
        <v>0</v>
      </c>
      <c r="AB209" s="1">
        <v>-14.1</v>
      </c>
      <c r="AD209" s="17">
        <f t="shared" si="299"/>
        <v>39172</v>
      </c>
      <c r="AE209" s="1" t="e">
        <f t="shared" si="300"/>
        <v>#N/A</v>
      </c>
      <c r="AF209" s="1">
        <f t="shared" si="301"/>
        <v>0.44306363673932764</v>
      </c>
      <c r="AG209" s="1" t="e">
        <f t="shared" si="302"/>
        <v>#N/A</v>
      </c>
      <c r="AH209" s="1" t="e">
        <f t="shared" si="303"/>
        <v>#N/A</v>
      </c>
      <c r="AK209" s="1"/>
      <c r="AL209" s="1"/>
      <c r="AM209" s="1"/>
      <c r="AN209" s="1"/>
      <c r="AO209" s="17">
        <f t="shared" si="307"/>
        <v>39172</v>
      </c>
      <c r="AP209">
        <f t="shared" si="308"/>
        <v>3</v>
      </c>
      <c r="AQ209">
        <f t="shared" si="309"/>
        <v>4</v>
      </c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7" t="e">
        <f t="shared" ref="BL209" si="319">#REF!</f>
        <v>#REF!</v>
      </c>
      <c r="BM209">
        <f t="shared" si="295"/>
        <v>4</v>
      </c>
      <c r="BN209">
        <f t="shared" si="296"/>
        <v>1</v>
      </c>
    </row>
    <row r="210" spans="1:66">
      <c r="A210" s="7">
        <v>39202</v>
      </c>
      <c r="B210" s="8">
        <v>0.157692</v>
      </c>
      <c r="C210" s="8">
        <f t="shared" si="283"/>
        <v>0.20360262300462603</v>
      </c>
      <c r="D210" s="9">
        <f t="shared" si="279"/>
        <v>1.0180131150231302</v>
      </c>
      <c r="E210" s="8">
        <v>-1.7</v>
      </c>
      <c r="F210" s="8">
        <f t="shared" si="284"/>
        <v>-1.3302469129267775</v>
      </c>
      <c r="G210" s="9">
        <f t="shared" si="280"/>
        <v>-0.12093153753879796</v>
      </c>
      <c r="H210" s="8">
        <v>5.4399999999999997E-2</v>
      </c>
      <c r="I210" s="8">
        <f t="shared" si="285"/>
        <v>3.8960286588693487E-2</v>
      </c>
      <c r="J210" s="9">
        <f t="shared" si="286"/>
        <v>0.2389602865886935</v>
      </c>
      <c r="K210" s="8">
        <v>0.79600000000000004</v>
      </c>
      <c r="L210" s="8">
        <f t="shared" si="287"/>
        <v>0.9128346622034369</v>
      </c>
      <c r="M210" s="9">
        <f t="shared" si="281"/>
        <v>0.9128346622034369</v>
      </c>
      <c r="O210" s="11">
        <f t="shared" si="288"/>
        <v>0.41507990117771015</v>
      </c>
      <c r="P210" s="15" t="str">
        <f t="shared" si="297"/>
        <v>SD</v>
      </c>
      <c r="Q210" t="str">
        <f t="shared" si="306"/>
        <v>E</v>
      </c>
      <c r="R210" s="18">
        <f t="shared" si="298"/>
        <v>0.41507990117771015</v>
      </c>
      <c r="S210" t="str">
        <f t="shared" si="230"/>
        <v>SD</v>
      </c>
      <c r="T210">
        <v>0</v>
      </c>
      <c r="V210" s="17">
        <f t="shared" si="289"/>
        <v>39202</v>
      </c>
      <c r="W210" s="1" t="e">
        <f t="shared" si="290"/>
        <v>#N/A</v>
      </c>
      <c r="X210" s="1">
        <f t="shared" si="291"/>
        <v>0.41507990117771015</v>
      </c>
      <c r="Y210" s="1" t="e">
        <f t="shared" si="292"/>
        <v>#N/A</v>
      </c>
      <c r="Z210" s="1" t="e">
        <f t="shared" si="293"/>
        <v>#N/A</v>
      </c>
      <c r="AA210">
        <v>0</v>
      </c>
      <c r="AB210" s="1">
        <v>-26.8</v>
      </c>
      <c r="AD210" s="17">
        <f t="shared" si="299"/>
        <v>39202</v>
      </c>
      <c r="AE210" s="1" t="e">
        <f t="shared" si="300"/>
        <v>#N/A</v>
      </c>
      <c r="AF210" s="1">
        <f t="shared" si="301"/>
        <v>0.41507990117771015</v>
      </c>
      <c r="AG210" s="1" t="e">
        <f t="shared" si="302"/>
        <v>#N/A</v>
      </c>
      <c r="AH210" s="1" t="e">
        <f t="shared" si="303"/>
        <v>#N/A</v>
      </c>
      <c r="AK210" s="1"/>
      <c r="AL210" s="1"/>
      <c r="AM210" s="1"/>
      <c r="AN210" s="1"/>
      <c r="AO210" s="17">
        <f t="shared" si="307"/>
        <v>39202</v>
      </c>
      <c r="AP210">
        <f t="shared" si="308"/>
        <v>3</v>
      </c>
      <c r="AQ210">
        <f t="shared" si="309"/>
        <v>4</v>
      </c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7" t="e">
        <f t="shared" ref="BL210" si="320">#REF!</f>
        <v>#REF!</v>
      </c>
      <c r="BM210">
        <f t="shared" si="295"/>
        <v>4</v>
      </c>
      <c r="BN210">
        <f t="shared" si="296"/>
        <v>1</v>
      </c>
    </row>
    <row r="211" spans="1:66">
      <c r="A211" s="7">
        <v>39233</v>
      </c>
      <c r="B211" s="8">
        <v>0.118705</v>
      </c>
      <c r="C211" s="8">
        <f t="shared" si="283"/>
        <v>0.17940680044830762</v>
      </c>
      <c r="D211" s="9">
        <f t="shared" si="279"/>
        <v>0.89703400224153806</v>
      </c>
      <c r="E211" s="8">
        <v>-1.4</v>
      </c>
      <c r="F211" s="8">
        <f t="shared" si="284"/>
        <v>-1.3501265427426459</v>
      </c>
      <c r="G211" s="9">
        <f t="shared" si="280"/>
        <v>-0.12273877661296781</v>
      </c>
      <c r="H211" s="8">
        <v>-0.1295</v>
      </c>
      <c r="I211" s="8">
        <f t="shared" si="285"/>
        <v>-9.05089508908416E-3</v>
      </c>
      <c r="J211" s="9">
        <f t="shared" si="286"/>
        <v>0.19094910491091585</v>
      </c>
      <c r="K211" s="8">
        <v>0.83199999999999996</v>
      </c>
      <c r="L211" s="8">
        <f t="shared" si="287"/>
        <v>0.88979678347545732</v>
      </c>
      <c r="M211" s="9">
        <f t="shared" si="281"/>
        <v>0.88979678347545732</v>
      </c>
      <c r="O211" s="11">
        <f t="shared" si="288"/>
        <v>0.3776477054784263</v>
      </c>
      <c r="P211" s="15" t="str">
        <f t="shared" si="297"/>
        <v>SD</v>
      </c>
      <c r="Q211" t="str">
        <f t="shared" si="306"/>
        <v>E</v>
      </c>
      <c r="R211" s="18">
        <f t="shared" si="298"/>
        <v>0.3776477054784263</v>
      </c>
      <c r="S211" t="str">
        <f t="shared" si="230"/>
        <v>SD</v>
      </c>
      <c r="T211">
        <v>0</v>
      </c>
      <c r="V211" s="17">
        <f t="shared" si="289"/>
        <v>39233</v>
      </c>
      <c r="W211" s="1" t="e">
        <f t="shared" si="290"/>
        <v>#N/A</v>
      </c>
      <c r="X211" s="1">
        <f t="shared" si="291"/>
        <v>0.3776477054784263</v>
      </c>
      <c r="Y211" s="1" t="e">
        <f t="shared" si="292"/>
        <v>#N/A</v>
      </c>
      <c r="Z211" s="1" t="e">
        <f t="shared" si="293"/>
        <v>#N/A</v>
      </c>
      <c r="AA211">
        <v>0</v>
      </c>
      <c r="AB211" s="1">
        <v>3.1</v>
      </c>
      <c r="AD211" s="17">
        <f t="shared" si="299"/>
        <v>39233</v>
      </c>
      <c r="AE211" s="1" t="e">
        <f t="shared" si="300"/>
        <v>#N/A</v>
      </c>
      <c r="AF211" s="1">
        <f t="shared" si="301"/>
        <v>0.3776477054784263</v>
      </c>
      <c r="AG211" s="1" t="e">
        <f t="shared" si="302"/>
        <v>#N/A</v>
      </c>
      <c r="AH211" s="1" t="e">
        <f t="shared" si="303"/>
        <v>#N/A</v>
      </c>
      <c r="AK211" s="1"/>
      <c r="AL211" s="1"/>
      <c r="AM211" s="1"/>
      <c r="AN211" s="1"/>
      <c r="AO211" s="17">
        <f t="shared" si="307"/>
        <v>39233</v>
      </c>
      <c r="AP211">
        <f t="shared" si="308"/>
        <v>3</v>
      </c>
      <c r="AQ211">
        <f t="shared" si="309"/>
        <v>4</v>
      </c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7" t="e">
        <f t="shared" ref="BL211" si="321">#REF!</f>
        <v>#REF!</v>
      </c>
      <c r="BM211">
        <f t="shared" si="295"/>
        <v>4</v>
      </c>
      <c r="BN211">
        <f t="shared" si="296"/>
        <v>1</v>
      </c>
    </row>
    <row r="212" spans="1:66">
      <c r="A212" s="7">
        <v>39263</v>
      </c>
      <c r="B212" s="8">
        <v>0.17215900000000001</v>
      </c>
      <c r="C212" s="8">
        <f t="shared" si="283"/>
        <v>0.17734117732053994</v>
      </c>
      <c r="D212" s="9">
        <f t="shared" si="279"/>
        <v>0.88670588660269967</v>
      </c>
      <c r="E212" s="8">
        <v>-1.4</v>
      </c>
      <c r="F212" s="8">
        <f t="shared" si="284"/>
        <v>-1.3643404780609918</v>
      </c>
      <c r="G212" s="9">
        <f t="shared" si="280"/>
        <v>-0.12403095255099926</v>
      </c>
      <c r="H212" s="8">
        <v>-0.45279999999999998</v>
      </c>
      <c r="I212" s="8">
        <f t="shared" si="285"/>
        <v>-0.13551938998869517</v>
      </c>
      <c r="J212" s="9">
        <f t="shared" si="286"/>
        <v>6.448061001130484E-2</v>
      </c>
      <c r="K212" s="8">
        <v>0.58899999999999997</v>
      </c>
      <c r="L212" s="8">
        <f t="shared" si="287"/>
        <v>0.80406970018495205</v>
      </c>
      <c r="M212" s="9">
        <f t="shared" si="281"/>
        <v>0.80406970018495205</v>
      </c>
      <c r="O212" s="11">
        <f t="shared" si="288"/>
        <v>0.31241404873525669</v>
      </c>
      <c r="P212" s="15" t="str">
        <f t="shared" si="297"/>
        <v>SD</v>
      </c>
      <c r="Q212" t="str">
        <f t="shared" si="306"/>
        <v>SD</v>
      </c>
      <c r="R212" s="18">
        <f t="shared" si="298"/>
        <v>0.3776477054784263</v>
      </c>
      <c r="S212" t="str">
        <f t="shared" ref="S212:S275" si="322">IF(OR(ABS($R212-$R211)&gt;$V$2,R212*R211&lt;0,ABS(O212-MAX(O201:O211))&gt;$AJ$2),P212,S211)</f>
        <v>SD</v>
      </c>
      <c r="T212">
        <v>0</v>
      </c>
      <c r="V212" s="17">
        <f t="shared" si="289"/>
        <v>39263</v>
      </c>
      <c r="W212" s="1" t="e">
        <f t="shared" si="290"/>
        <v>#N/A</v>
      </c>
      <c r="X212" s="1">
        <f t="shared" si="291"/>
        <v>0.31241404873525669</v>
      </c>
      <c r="Y212" s="1" t="e">
        <f t="shared" si="292"/>
        <v>#N/A</v>
      </c>
      <c r="Z212" s="1" t="e">
        <f t="shared" si="293"/>
        <v>#N/A</v>
      </c>
      <c r="AA212">
        <v>0</v>
      </c>
      <c r="AB212" s="1">
        <v>38.799999999999997</v>
      </c>
      <c r="AD212" s="17">
        <f t="shared" si="299"/>
        <v>39263</v>
      </c>
      <c r="AE212" s="1" t="e">
        <f t="shared" si="300"/>
        <v>#N/A</v>
      </c>
      <c r="AF212" s="1">
        <f t="shared" si="301"/>
        <v>0.31241404873525669</v>
      </c>
      <c r="AG212" s="1" t="e">
        <f t="shared" si="302"/>
        <v>#N/A</v>
      </c>
      <c r="AH212" s="1" t="e">
        <f t="shared" si="303"/>
        <v>#N/A</v>
      </c>
      <c r="AK212" s="1"/>
      <c r="AL212" s="1"/>
      <c r="AM212" s="1"/>
      <c r="AN212" s="1"/>
      <c r="AO212" s="17">
        <f t="shared" si="307"/>
        <v>39263</v>
      </c>
      <c r="AP212">
        <f t="shared" si="308"/>
        <v>3</v>
      </c>
      <c r="AQ212">
        <f t="shared" si="309"/>
        <v>3</v>
      </c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7" t="e">
        <f t="shared" ref="BL212" si="323">#REF!</f>
        <v>#REF!</v>
      </c>
      <c r="BM212">
        <f t="shared" si="295"/>
        <v>3</v>
      </c>
      <c r="BN212">
        <f t="shared" si="296"/>
        <v>1</v>
      </c>
    </row>
    <row r="213" spans="1:66">
      <c r="A213" s="7">
        <v>39294</v>
      </c>
      <c r="B213" s="8">
        <v>4.462E-2</v>
      </c>
      <c r="C213" s="8">
        <f t="shared" si="283"/>
        <v>0.13951564178418605</v>
      </c>
      <c r="D213" s="9">
        <f t="shared" si="279"/>
        <v>0.69757820892093014</v>
      </c>
      <c r="E213" s="8">
        <v>-1.3</v>
      </c>
      <c r="F213" s="8">
        <f t="shared" si="284"/>
        <v>-1.3460034418136091</v>
      </c>
      <c r="G213" s="9">
        <f t="shared" si="280"/>
        <v>-0.12236394925578264</v>
      </c>
      <c r="H213" s="8">
        <v>-0.5413</v>
      </c>
      <c r="I213" s="8">
        <f t="shared" si="285"/>
        <v>-0.25116686384191705</v>
      </c>
      <c r="J213" s="9">
        <f t="shared" si="286"/>
        <v>-5.1166863841917043E-2</v>
      </c>
      <c r="K213" s="8">
        <v>0.105</v>
      </c>
      <c r="L213" s="8">
        <f t="shared" si="287"/>
        <v>0.60483483563224072</v>
      </c>
      <c r="M213" s="9">
        <f t="shared" si="281"/>
        <v>0.60483483563224072</v>
      </c>
      <c r="O213" s="11">
        <f t="shared" si="288"/>
        <v>0.19864892666389034</v>
      </c>
      <c r="P213" s="15" t="str">
        <f t="shared" si="297"/>
        <v>SD</v>
      </c>
      <c r="Q213" t="str">
        <f t="shared" si="306"/>
        <v>SD</v>
      </c>
      <c r="R213" s="18">
        <f t="shared" si="298"/>
        <v>0.3776477054784263</v>
      </c>
      <c r="S213" t="str">
        <f t="shared" si="322"/>
        <v>SD</v>
      </c>
      <c r="T213">
        <v>0</v>
      </c>
      <c r="V213" s="17">
        <f t="shared" si="289"/>
        <v>39294</v>
      </c>
      <c r="W213" s="1" t="e">
        <f t="shared" si="290"/>
        <v>#N/A</v>
      </c>
      <c r="X213" s="1">
        <f t="shared" si="291"/>
        <v>0.19864892666389034</v>
      </c>
      <c r="Y213" s="1">
        <f t="shared" si="292"/>
        <v>0.19864892666389034</v>
      </c>
      <c r="Z213" s="1" t="e">
        <f t="shared" si="293"/>
        <v>#N/A</v>
      </c>
      <c r="AA213">
        <v>0</v>
      </c>
      <c r="AB213" s="1">
        <v>66.5</v>
      </c>
      <c r="AD213" s="17">
        <f t="shared" si="299"/>
        <v>39294</v>
      </c>
      <c r="AE213" s="1" t="e">
        <f t="shared" si="300"/>
        <v>#N/A</v>
      </c>
      <c r="AF213" s="1">
        <f t="shared" si="301"/>
        <v>0.19864892666389034</v>
      </c>
      <c r="AG213" s="1">
        <f t="shared" si="302"/>
        <v>0.19864892666389034</v>
      </c>
      <c r="AH213" s="1" t="e">
        <f t="shared" si="303"/>
        <v>#N/A</v>
      </c>
      <c r="AK213" s="1"/>
      <c r="AL213" s="1"/>
      <c r="AM213" s="1"/>
      <c r="AN213" s="1"/>
      <c r="AO213" s="17">
        <f t="shared" si="307"/>
        <v>39294</v>
      </c>
      <c r="AP213">
        <f t="shared" si="308"/>
        <v>3</v>
      </c>
      <c r="AQ213">
        <f t="shared" si="309"/>
        <v>3</v>
      </c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7" t="e">
        <f t="shared" ref="BL213" si="324">#REF!</f>
        <v>#REF!</v>
      </c>
      <c r="BM213">
        <f t="shared" si="295"/>
        <v>3</v>
      </c>
      <c r="BN213">
        <f t="shared" si="296"/>
        <v>1</v>
      </c>
    </row>
    <row r="214" spans="1:66">
      <c r="A214" s="7">
        <v>39325</v>
      </c>
      <c r="B214" s="8">
        <v>-3.1175999999999999E-2</v>
      </c>
      <c r="C214" s="8">
        <f t="shared" si="283"/>
        <v>9.0868523875693011E-2</v>
      </c>
      <c r="D214" s="9">
        <f t="shared" si="279"/>
        <v>0.45434261937846504</v>
      </c>
      <c r="E214" s="8">
        <v>-1.5</v>
      </c>
      <c r="F214" s="8">
        <f t="shared" si="284"/>
        <v>-1.3898924608967305</v>
      </c>
      <c r="G214" s="9">
        <f t="shared" si="280"/>
        <v>-0.12635386008152094</v>
      </c>
      <c r="H214" s="8">
        <v>-7.6999999999999999E-2</v>
      </c>
      <c r="I214" s="8">
        <f t="shared" si="285"/>
        <v>-0.20152930764697069</v>
      </c>
      <c r="J214" s="9">
        <f t="shared" si="286"/>
        <v>-1.529307646970679E-3</v>
      </c>
      <c r="K214" s="8">
        <v>-1.778</v>
      </c>
      <c r="L214" s="8">
        <f t="shared" si="287"/>
        <v>-7.4273092522947892E-2</v>
      </c>
      <c r="M214" s="9">
        <f t="shared" si="281"/>
        <v>-3.7136546261473946E-2</v>
      </c>
      <c r="O214" s="11">
        <f t="shared" si="288"/>
        <v>-2.8746790114216741E-3</v>
      </c>
      <c r="P214" s="15" t="str">
        <f t="shared" si="297"/>
        <v>C</v>
      </c>
      <c r="Q214" t="str">
        <f t="shared" si="306"/>
        <v>C</v>
      </c>
      <c r="R214" s="18">
        <f t="shared" si="298"/>
        <v>-2.8746790114216741E-3</v>
      </c>
      <c r="S214" t="str">
        <f t="shared" si="322"/>
        <v>C</v>
      </c>
      <c r="T214">
        <v>0</v>
      </c>
      <c r="V214" s="17">
        <f t="shared" si="289"/>
        <v>39325</v>
      </c>
      <c r="W214" s="1" t="e">
        <f t="shared" si="290"/>
        <v>#N/A</v>
      </c>
      <c r="X214" s="1" t="e">
        <f t="shared" si="291"/>
        <v>#N/A</v>
      </c>
      <c r="Y214" s="1">
        <f t="shared" si="292"/>
        <v>-2.8746790114216741E-3</v>
      </c>
      <c r="Z214" s="1" t="e">
        <f t="shared" si="293"/>
        <v>#N/A</v>
      </c>
      <c r="AA214">
        <v>0</v>
      </c>
      <c r="AB214" s="1">
        <v>59.1</v>
      </c>
      <c r="AD214" s="17">
        <f t="shared" si="299"/>
        <v>39325</v>
      </c>
      <c r="AE214" s="1" t="e">
        <f t="shared" si="300"/>
        <v>#N/A</v>
      </c>
      <c r="AF214" s="1" t="e">
        <f t="shared" si="301"/>
        <v>#N/A</v>
      </c>
      <c r="AG214" s="1">
        <f t="shared" si="302"/>
        <v>-2.8746790114216741E-3</v>
      </c>
      <c r="AH214" s="1" t="e">
        <f t="shared" si="303"/>
        <v>#N/A</v>
      </c>
      <c r="AK214" s="1"/>
      <c r="AL214" s="1"/>
      <c r="AM214" s="1"/>
      <c r="AN214" s="1"/>
      <c r="AO214" s="17">
        <f t="shared" si="307"/>
        <v>39325</v>
      </c>
      <c r="AP214">
        <f t="shared" si="308"/>
        <v>1</v>
      </c>
      <c r="AQ214">
        <f t="shared" si="309"/>
        <v>1</v>
      </c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7" t="e">
        <f t="shared" ref="BL214" si="325">#REF!</f>
        <v>#REF!</v>
      </c>
      <c r="BM214">
        <f t="shared" si="295"/>
        <v>1</v>
      </c>
      <c r="BN214">
        <f t="shared" si="296"/>
        <v>1</v>
      </c>
    </row>
    <row r="215" spans="1:66">
      <c r="A215" s="7">
        <v>39355</v>
      </c>
      <c r="B215" s="8">
        <v>-0.178451</v>
      </c>
      <c r="C215" s="8">
        <f t="shared" si="283"/>
        <v>1.4112459571120499E-2</v>
      </c>
      <c r="D215" s="9">
        <f t="shared" si="279"/>
        <v>7.0562297855602488E-2</v>
      </c>
      <c r="E215" s="8">
        <v>-2</v>
      </c>
      <c r="F215" s="8">
        <f t="shared" si="284"/>
        <v>-1.5637731095411622</v>
      </c>
      <c r="G215" s="9">
        <f t="shared" si="280"/>
        <v>-0.1421611917764693</v>
      </c>
      <c r="H215" s="8">
        <v>-0.13869999999999999</v>
      </c>
      <c r="I215" s="8">
        <f t="shared" si="285"/>
        <v>-0.18362295496758405</v>
      </c>
      <c r="J215" s="9">
        <f t="shared" si="286"/>
        <v>1.6377045032415966E-2</v>
      </c>
      <c r="K215" s="8">
        <v>-1.32</v>
      </c>
      <c r="L215" s="8">
        <f t="shared" si="287"/>
        <v>-0.42930526115390777</v>
      </c>
      <c r="M215" s="9">
        <f t="shared" si="281"/>
        <v>-0.21465263057695388</v>
      </c>
      <c r="O215" s="11">
        <f t="shared" si="288"/>
        <v>-9.0332603902257405E-2</v>
      </c>
      <c r="P215" s="15" t="str">
        <f t="shared" si="297"/>
        <v>C</v>
      </c>
      <c r="Q215" t="str">
        <f t="shared" si="306"/>
        <v>C</v>
      </c>
      <c r="R215" s="18">
        <f t="shared" si="298"/>
        <v>-2.8746790114216741E-3</v>
      </c>
      <c r="S215" t="str">
        <f t="shared" si="322"/>
        <v>C</v>
      </c>
      <c r="T215">
        <v>0</v>
      </c>
      <c r="V215" s="17">
        <f>A215-1</f>
        <v>39354</v>
      </c>
      <c r="W215" s="1" t="e">
        <f t="shared" si="290"/>
        <v>#N/A</v>
      </c>
      <c r="X215" s="1" t="e">
        <f t="shared" si="291"/>
        <v>#N/A</v>
      </c>
      <c r="Y215" s="1">
        <f t="shared" si="292"/>
        <v>-9.0332603902257405E-2</v>
      </c>
      <c r="Z215" s="1" t="e">
        <f t="shared" si="293"/>
        <v>#N/A</v>
      </c>
      <c r="AA215">
        <v>0</v>
      </c>
      <c r="AB215" s="1">
        <v>-12.6</v>
      </c>
      <c r="AD215" s="17">
        <f t="shared" si="299"/>
        <v>39355</v>
      </c>
      <c r="AE215" s="1" t="e">
        <f t="shared" si="300"/>
        <v>#N/A</v>
      </c>
      <c r="AF215" s="1" t="e">
        <f t="shared" si="301"/>
        <v>#N/A</v>
      </c>
      <c r="AG215" s="1">
        <f t="shared" si="302"/>
        <v>-9.0332603902257405E-2</v>
      </c>
      <c r="AH215" s="1" t="e">
        <f t="shared" si="303"/>
        <v>#N/A</v>
      </c>
      <c r="AK215" s="1"/>
      <c r="AL215" s="1"/>
      <c r="AM215" s="1"/>
      <c r="AN215" s="1"/>
      <c r="AO215" s="17">
        <f t="shared" si="307"/>
        <v>39355</v>
      </c>
      <c r="AP215">
        <f t="shared" si="308"/>
        <v>1</v>
      </c>
      <c r="AQ215">
        <f t="shared" si="309"/>
        <v>1</v>
      </c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7" t="e">
        <f t="shared" ref="BL215" si="326">#REF!</f>
        <v>#REF!</v>
      </c>
      <c r="BM215">
        <f t="shared" si="295"/>
        <v>1</v>
      </c>
      <c r="BN215">
        <f t="shared" si="296"/>
        <v>1</v>
      </c>
    </row>
    <row r="216" spans="1:66">
      <c r="A216" s="7">
        <v>39386</v>
      </c>
      <c r="B216" s="8">
        <v>7.3429999999999997E-3</v>
      </c>
      <c r="C216" s="8">
        <f t="shared" si="283"/>
        <v>1.2183163593351157E-2</v>
      </c>
      <c r="D216" s="9">
        <f t="shared" si="279"/>
        <v>6.0915817966755784E-2</v>
      </c>
      <c r="E216" s="8">
        <v>-2.5</v>
      </c>
      <c r="F216" s="8">
        <f t="shared" si="284"/>
        <v>-1.830597773321931</v>
      </c>
      <c r="G216" s="9">
        <f t="shared" si="280"/>
        <v>-0.16641797939290282</v>
      </c>
      <c r="H216" s="8">
        <v>-0.29409999999999997</v>
      </c>
      <c r="I216" s="8">
        <f t="shared" si="285"/>
        <v>-0.21510891280182259</v>
      </c>
      <c r="J216" s="9">
        <f t="shared" si="286"/>
        <v>-1.5108912801822583E-2</v>
      </c>
      <c r="K216" s="8">
        <v>-0.56599999999999995</v>
      </c>
      <c r="L216" s="8">
        <f t="shared" si="287"/>
        <v>-0.46826326172504407</v>
      </c>
      <c r="M216" s="9">
        <f t="shared" si="281"/>
        <v>-0.23413163086252203</v>
      </c>
      <c r="O216" s="11">
        <f t="shared" si="288"/>
        <v>-0.11132893883556857</v>
      </c>
      <c r="P216" s="15" t="str">
        <f t="shared" si="297"/>
        <v>C</v>
      </c>
      <c r="Q216" t="str">
        <f t="shared" si="306"/>
        <v>C</v>
      </c>
      <c r="R216" s="18">
        <f t="shared" si="298"/>
        <v>-2.8746790114216741E-3</v>
      </c>
      <c r="S216" t="str">
        <f t="shared" si="322"/>
        <v>C</v>
      </c>
      <c r="T216">
        <v>0</v>
      </c>
      <c r="V216" s="17">
        <f t="shared" ref="V216:V225" si="327">A216</f>
        <v>39386</v>
      </c>
      <c r="W216" s="1" t="e">
        <f t="shared" si="290"/>
        <v>#N/A</v>
      </c>
      <c r="X216" s="1" t="e">
        <f t="shared" si="291"/>
        <v>#N/A</v>
      </c>
      <c r="Y216" s="1">
        <f t="shared" si="292"/>
        <v>-0.11132893883556857</v>
      </c>
      <c r="Z216" s="1" t="e">
        <f t="shared" si="293"/>
        <v>#N/A</v>
      </c>
      <c r="AA216">
        <v>0</v>
      </c>
      <c r="AB216" s="1">
        <v>-36.6</v>
      </c>
      <c r="AD216" s="17">
        <f t="shared" si="299"/>
        <v>39386</v>
      </c>
      <c r="AE216" s="1" t="e">
        <f t="shared" si="300"/>
        <v>#N/A</v>
      </c>
      <c r="AF216" s="1" t="e">
        <f t="shared" si="301"/>
        <v>#N/A</v>
      </c>
      <c r="AG216" s="1">
        <f t="shared" si="302"/>
        <v>-0.11132893883556857</v>
      </c>
      <c r="AH216" s="1" t="e">
        <f t="shared" si="303"/>
        <v>#N/A</v>
      </c>
      <c r="AK216" s="1"/>
      <c r="AL216" s="1"/>
      <c r="AM216" s="1"/>
      <c r="AN216" s="1"/>
      <c r="AO216" s="17">
        <f t="shared" si="307"/>
        <v>39386</v>
      </c>
      <c r="AP216">
        <f t="shared" si="308"/>
        <v>1</v>
      </c>
      <c r="AQ216">
        <f t="shared" si="309"/>
        <v>1</v>
      </c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7" t="e">
        <f t="shared" ref="BL216" si="328">#REF!</f>
        <v>#REF!</v>
      </c>
      <c r="BM216">
        <f t="shared" si="295"/>
        <v>1</v>
      </c>
      <c r="BN216">
        <f t="shared" si="296"/>
        <v>1</v>
      </c>
    </row>
    <row r="217" spans="1:66">
      <c r="A217" s="7">
        <v>39416</v>
      </c>
      <c r="B217" s="8">
        <v>-4.8032999999999999E-2</v>
      </c>
      <c r="C217" s="8">
        <f t="shared" si="283"/>
        <v>-4.9784430307539245E-3</v>
      </c>
      <c r="D217" s="9">
        <f t="shared" si="279"/>
        <v>-2.4892215153769621E-2</v>
      </c>
      <c r="E217" s="8">
        <v>-3.2</v>
      </c>
      <c r="F217" s="8">
        <f t="shared" si="284"/>
        <v>-2.2208774079251805</v>
      </c>
      <c r="G217" s="9">
        <f t="shared" si="280"/>
        <v>-0.20189794617501641</v>
      </c>
      <c r="H217" s="8">
        <v>-0.19259999999999999</v>
      </c>
      <c r="I217" s="8">
        <f t="shared" si="285"/>
        <v>-0.20869387265330314</v>
      </c>
      <c r="J217" s="9">
        <f t="shared" si="286"/>
        <v>-8.6938726533031252E-3</v>
      </c>
      <c r="K217" s="8">
        <v>-2.863</v>
      </c>
      <c r="L217" s="8">
        <f t="shared" si="287"/>
        <v>-1.1507632321334067</v>
      </c>
      <c r="M217" s="9">
        <f t="shared" si="281"/>
        <v>-1.0727363292689434</v>
      </c>
      <c r="O217" s="11">
        <f t="shared" si="288"/>
        <v>-0.37684367590992174</v>
      </c>
      <c r="P217" s="15" t="str">
        <f t="shared" si="297"/>
        <v>C</v>
      </c>
      <c r="Q217" t="str">
        <f t="shared" si="306"/>
        <v>C</v>
      </c>
      <c r="R217" s="18">
        <f t="shared" si="298"/>
        <v>-2.8746790114216741E-3</v>
      </c>
      <c r="S217" t="str">
        <f t="shared" si="322"/>
        <v>C</v>
      </c>
      <c r="T217">
        <v>0</v>
      </c>
      <c r="V217" s="17">
        <f t="shared" si="327"/>
        <v>39416</v>
      </c>
      <c r="W217" s="1" t="e">
        <f t="shared" si="290"/>
        <v>#N/A</v>
      </c>
      <c r="X217" s="1" t="e">
        <f t="shared" si="291"/>
        <v>#N/A</v>
      </c>
      <c r="Y217" s="1">
        <f t="shared" si="292"/>
        <v>-0.37684367590992174</v>
      </c>
      <c r="Z217" s="1" t="e">
        <f t="shared" si="293"/>
        <v>#N/A</v>
      </c>
      <c r="AA217">
        <v>0</v>
      </c>
      <c r="AB217" s="1">
        <v>-39.9</v>
      </c>
      <c r="AD217" s="17">
        <f t="shared" si="299"/>
        <v>39416</v>
      </c>
      <c r="AE217" s="1" t="e">
        <f t="shared" si="300"/>
        <v>#N/A</v>
      </c>
      <c r="AF217" s="1" t="e">
        <f t="shared" si="301"/>
        <v>#N/A</v>
      </c>
      <c r="AG217" s="1">
        <f t="shared" si="302"/>
        <v>-0.37684367590992174</v>
      </c>
      <c r="AH217" s="1" t="e">
        <f t="shared" si="303"/>
        <v>#N/A</v>
      </c>
      <c r="AK217" s="1"/>
      <c r="AL217" s="1"/>
      <c r="AM217" s="1"/>
      <c r="AN217" s="1"/>
      <c r="AO217" s="17">
        <f t="shared" si="307"/>
        <v>39416</v>
      </c>
      <c r="AP217">
        <f t="shared" si="308"/>
        <v>1</v>
      </c>
      <c r="AQ217">
        <f t="shared" si="309"/>
        <v>1</v>
      </c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7" t="e">
        <f t="shared" ref="BL217" si="329">#REF!</f>
        <v>#REF!</v>
      </c>
      <c r="BM217">
        <f t="shared" si="295"/>
        <v>1</v>
      </c>
      <c r="BN217">
        <f t="shared" si="296"/>
        <v>1</v>
      </c>
    </row>
    <row r="218" spans="1:66">
      <c r="A218" s="7">
        <v>39447</v>
      </c>
      <c r="B218" s="8">
        <v>-8.0918000000000004E-2</v>
      </c>
      <c r="C218" s="8">
        <f t="shared" si="283"/>
        <v>-2.6621216766989059E-2</v>
      </c>
      <c r="D218" s="9">
        <f t="shared" si="279"/>
        <v>-0.13310608383494529</v>
      </c>
      <c r="E218" s="8">
        <v>-4.3</v>
      </c>
      <c r="F218" s="8">
        <f t="shared" si="284"/>
        <v>-2.8134273466665043</v>
      </c>
      <c r="G218" s="9">
        <f t="shared" si="280"/>
        <v>-0.25576612242422764</v>
      </c>
      <c r="H218" s="8">
        <v>-0.4521</v>
      </c>
      <c r="I218" s="8">
        <f t="shared" si="285"/>
        <v>-0.27806461894711176</v>
      </c>
      <c r="J218" s="9">
        <f t="shared" si="286"/>
        <v>-7.8064618947111752E-2</v>
      </c>
      <c r="K218" s="8">
        <v>-2.2690000000000001</v>
      </c>
      <c r="L218" s="8">
        <f t="shared" si="287"/>
        <v>-1.4694607109753859</v>
      </c>
      <c r="M218" s="9">
        <f t="shared" si="281"/>
        <v>-1.2122131458515808</v>
      </c>
      <c r="O218" s="11">
        <f t="shared" si="288"/>
        <v>-0.46096332167560722</v>
      </c>
      <c r="P218" s="15" t="str">
        <f t="shared" si="297"/>
        <v>C</v>
      </c>
      <c r="Q218" t="str">
        <f t="shared" si="306"/>
        <v>C</v>
      </c>
      <c r="R218" s="18">
        <f t="shared" si="298"/>
        <v>-2.8746790114216741E-3</v>
      </c>
      <c r="S218" t="str">
        <f t="shared" si="322"/>
        <v>C</v>
      </c>
      <c r="T218">
        <v>0</v>
      </c>
      <c r="V218" s="17">
        <f t="shared" si="327"/>
        <v>39447</v>
      </c>
      <c r="W218" s="1" t="e">
        <f t="shared" si="290"/>
        <v>#N/A</v>
      </c>
      <c r="X218" s="1" t="e">
        <f t="shared" si="291"/>
        <v>#N/A</v>
      </c>
      <c r="Y218" s="1">
        <f t="shared" si="292"/>
        <v>-0.46096332167560722</v>
      </c>
      <c r="Z218" s="1" t="e">
        <f t="shared" si="293"/>
        <v>#N/A</v>
      </c>
      <c r="AA218">
        <v>0</v>
      </c>
      <c r="AB218" s="1">
        <v>24.6</v>
      </c>
      <c r="AD218" s="17">
        <f t="shared" si="299"/>
        <v>39447</v>
      </c>
      <c r="AE218" s="1" t="e">
        <f t="shared" si="300"/>
        <v>#N/A</v>
      </c>
      <c r="AF218" s="1" t="e">
        <f t="shared" si="301"/>
        <v>#N/A</v>
      </c>
      <c r="AG218" s="1">
        <f t="shared" si="302"/>
        <v>-0.46096332167560722</v>
      </c>
      <c r="AH218" s="1" t="e">
        <f t="shared" si="303"/>
        <v>#N/A</v>
      </c>
      <c r="AK218" s="1"/>
      <c r="AL218" s="1"/>
      <c r="AM218" s="1"/>
      <c r="AN218" s="1"/>
      <c r="AO218" s="17">
        <f t="shared" si="307"/>
        <v>39447</v>
      </c>
      <c r="AP218">
        <f t="shared" si="308"/>
        <v>1</v>
      </c>
      <c r="AQ218">
        <f t="shared" si="309"/>
        <v>1</v>
      </c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7" t="e">
        <f t="shared" ref="BL218" si="330">#REF!</f>
        <v>#REF!</v>
      </c>
      <c r="BM218">
        <f t="shared" si="295"/>
        <v>1</v>
      </c>
      <c r="BN218">
        <f t="shared" si="296"/>
        <v>1</v>
      </c>
    </row>
    <row r="219" spans="1:66">
      <c r="A219" s="7">
        <v>39478</v>
      </c>
      <c r="B219" s="8">
        <v>-0.20452200000000001</v>
      </c>
      <c r="C219" s="8">
        <f t="shared" si="283"/>
        <v>-7.7322939988397191E-2</v>
      </c>
      <c r="D219" s="9">
        <f t="shared" si="279"/>
        <v>-0.38661469994198594</v>
      </c>
      <c r="E219" s="8">
        <v>-5.2</v>
      </c>
      <c r="F219" s="8">
        <f t="shared" si="284"/>
        <v>-3.4936005528665506</v>
      </c>
      <c r="G219" s="9">
        <f t="shared" si="280"/>
        <v>-0.31760005026059551</v>
      </c>
      <c r="H219" s="8">
        <v>-0.70899999999999996</v>
      </c>
      <c r="I219" s="8">
        <f t="shared" si="285"/>
        <v>-0.40088120254718496</v>
      </c>
      <c r="J219" s="9">
        <f t="shared" si="286"/>
        <v>-0.20088120254718494</v>
      </c>
      <c r="K219" s="8">
        <v>-2.169</v>
      </c>
      <c r="L219" s="8">
        <f t="shared" si="287"/>
        <v>-1.6688294083474009</v>
      </c>
      <c r="M219" s="9">
        <f t="shared" si="281"/>
        <v>-1.2918318034277532</v>
      </c>
      <c r="O219" s="11">
        <f t="shared" si="288"/>
        <v>-0.56320520851394829</v>
      </c>
      <c r="P219" s="15" t="str">
        <f t="shared" si="297"/>
        <v>C</v>
      </c>
      <c r="Q219" t="str">
        <f t="shared" si="306"/>
        <v>C</v>
      </c>
      <c r="R219" s="18">
        <f t="shared" si="298"/>
        <v>-2.8746790114216741E-3</v>
      </c>
      <c r="S219" t="str">
        <f t="shared" si="322"/>
        <v>C</v>
      </c>
      <c r="T219">
        <v>0</v>
      </c>
      <c r="V219" s="17">
        <f t="shared" si="327"/>
        <v>39478</v>
      </c>
      <c r="W219" s="1" t="e">
        <f t="shared" si="290"/>
        <v>#N/A</v>
      </c>
      <c r="X219" s="1" t="e">
        <f t="shared" si="291"/>
        <v>#N/A</v>
      </c>
      <c r="Y219" s="1">
        <f t="shared" si="292"/>
        <v>-0.56320520851394829</v>
      </c>
      <c r="Z219" s="1" t="e">
        <f t="shared" si="293"/>
        <v>#N/A</v>
      </c>
      <c r="AA219">
        <v>0</v>
      </c>
      <c r="AB219" s="1">
        <v>-20.399999999999999</v>
      </c>
      <c r="AD219" s="17">
        <f t="shared" si="299"/>
        <v>39478</v>
      </c>
      <c r="AE219" s="1" t="e">
        <f t="shared" si="300"/>
        <v>#N/A</v>
      </c>
      <c r="AF219" s="1" t="e">
        <f t="shared" si="301"/>
        <v>#N/A</v>
      </c>
      <c r="AG219" s="1">
        <f t="shared" si="302"/>
        <v>-0.56320520851394829</v>
      </c>
      <c r="AH219" s="1" t="e">
        <f t="shared" si="303"/>
        <v>#N/A</v>
      </c>
      <c r="AK219" s="1"/>
      <c r="AL219" s="1"/>
      <c r="AM219" s="1"/>
      <c r="AN219" s="1"/>
      <c r="AO219" s="17">
        <f t="shared" si="307"/>
        <v>39478</v>
      </c>
      <c r="AP219">
        <f t="shared" si="308"/>
        <v>1</v>
      </c>
      <c r="AQ219">
        <f t="shared" si="309"/>
        <v>1</v>
      </c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7" t="e">
        <f t="shared" ref="BL219" si="331">#REF!</f>
        <v>#REF!</v>
      </c>
      <c r="BM219">
        <f t="shared" si="295"/>
        <v>1</v>
      </c>
      <c r="BN219">
        <f t="shared" si="296"/>
        <v>1</v>
      </c>
    </row>
    <row r="220" spans="1:66">
      <c r="A220" s="7">
        <v>39507</v>
      </c>
      <c r="B220" s="8">
        <v>-0.15650600000000001</v>
      </c>
      <c r="C220" s="8">
        <f t="shared" si="283"/>
        <v>-9.9890112091703995E-2</v>
      </c>
      <c r="D220" s="9">
        <f t="shared" si="279"/>
        <v>-0.49945056045851993</v>
      </c>
      <c r="E220" s="8">
        <v>-6.3</v>
      </c>
      <c r="F220" s="8">
        <f t="shared" si="284"/>
        <v>-4.2934243952995832</v>
      </c>
      <c r="G220" s="9">
        <f t="shared" si="280"/>
        <v>-0.39031130866359848</v>
      </c>
      <c r="H220" s="8">
        <v>-1.1085</v>
      </c>
      <c r="I220" s="8">
        <f t="shared" si="285"/>
        <v>-0.60255255982123734</v>
      </c>
      <c r="J220" s="9">
        <f t="shared" si="286"/>
        <v>-0.40255255982123733</v>
      </c>
      <c r="K220" s="8">
        <v>-2.9870000000000001</v>
      </c>
      <c r="L220" s="8">
        <f t="shared" si="287"/>
        <v>-2.0445080269683915</v>
      </c>
      <c r="M220" s="9">
        <f t="shared" si="281"/>
        <v>-1.4298629399241003</v>
      </c>
      <c r="O220" s="11">
        <f t="shared" si="288"/>
        <v>-0.69494972104763186</v>
      </c>
      <c r="P220" s="15" t="str">
        <f t="shared" si="297"/>
        <v>C</v>
      </c>
      <c r="Q220" t="str">
        <f t="shared" si="306"/>
        <v>C</v>
      </c>
      <c r="R220" s="18">
        <f t="shared" si="298"/>
        <v>-2.8746790114216741E-3</v>
      </c>
      <c r="S220" t="str">
        <f t="shared" si="322"/>
        <v>C</v>
      </c>
      <c r="T220">
        <v>0</v>
      </c>
      <c r="V220" s="17">
        <f t="shared" si="327"/>
        <v>39507</v>
      </c>
      <c r="W220" s="1" t="e">
        <f t="shared" si="290"/>
        <v>#N/A</v>
      </c>
      <c r="X220" s="1" t="e">
        <f t="shared" si="291"/>
        <v>#N/A</v>
      </c>
      <c r="Y220" s="1">
        <f t="shared" si="292"/>
        <v>-0.69494972104763186</v>
      </c>
      <c r="Z220" s="1" t="e">
        <f t="shared" si="293"/>
        <v>#N/A</v>
      </c>
      <c r="AA220">
        <v>0</v>
      </c>
      <c r="AB220" s="1">
        <v>-64.599999999999994</v>
      </c>
      <c r="AD220" s="17">
        <f t="shared" si="299"/>
        <v>39507</v>
      </c>
      <c r="AE220" s="1" t="e">
        <f t="shared" si="300"/>
        <v>#N/A</v>
      </c>
      <c r="AF220" s="1" t="e">
        <f t="shared" si="301"/>
        <v>#N/A</v>
      </c>
      <c r="AG220" s="1">
        <f t="shared" si="302"/>
        <v>-0.69494972104763186</v>
      </c>
      <c r="AH220" s="1" t="e">
        <f t="shared" si="303"/>
        <v>#N/A</v>
      </c>
      <c r="AK220" s="1"/>
      <c r="AL220" s="1"/>
      <c r="AM220" s="1"/>
      <c r="AN220" s="1"/>
      <c r="AO220" s="17">
        <f t="shared" si="307"/>
        <v>39507</v>
      </c>
      <c r="AP220">
        <f t="shared" si="308"/>
        <v>1</v>
      </c>
      <c r="AQ220">
        <f t="shared" si="309"/>
        <v>1</v>
      </c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7" t="e">
        <f t="shared" ref="BL220" si="332">#REF!</f>
        <v>#REF!</v>
      </c>
      <c r="BM220">
        <f t="shared" si="295"/>
        <v>1</v>
      </c>
      <c r="BN220">
        <f t="shared" si="296"/>
        <v>1</v>
      </c>
    </row>
    <row r="221" spans="1:66">
      <c r="A221" s="7">
        <v>39538</v>
      </c>
      <c r="B221" s="8">
        <v>-0.216173</v>
      </c>
      <c r="C221" s="8">
        <f t="shared" si="283"/>
        <v>-0.13303073514556837</v>
      </c>
      <c r="D221" s="9">
        <f t="shared" si="279"/>
        <v>-0.66515367572784179</v>
      </c>
      <c r="E221" s="8">
        <v>-8.1</v>
      </c>
      <c r="F221" s="8">
        <f t="shared" si="284"/>
        <v>-5.3782984426392018</v>
      </c>
      <c r="G221" s="9">
        <f t="shared" si="280"/>
        <v>-0.48893622205810927</v>
      </c>
      <c r="H221" s="8">
        <v>-1.1793</v>
      </c>
      <c r="I221" s="8">
        <f t="shared" si="285"/>
        <v>-0.76692558027218471</v>
      </c>
      <c r="J221" s="9">
        <f t="shared" si="286"/>
        <v>-0.56692558027218465</v>
      </c>
      <c r="K221" s="8">
        <v>-3.2050000000000001</v>
      </c>
      <c r="L221" s="8">
        <f t="shared" si="287"/>
        <v>-2.3752482392824001</v>
      </c>
      <c r="M221" s="9">
        <f t="shared" si="281"/>
        <v>-1.5411840380961646</v>
      </c>
      <c r="O221" s="11">
        <f t="shared" si="288"/>
        <v>-0.81604164568236848</v>
      </c>
      <c r="P221" s="15" t="str">
        <f t="shared" si="297"/>
        <v>C</v>
      </c>
      <c r="Q221" t="str">
        <f t="shared" si="306"/>
        <v>C</v>
      </c>
      <c r="R221" s="18">
        <f t="shared" si="298"/>
        <v>-2.8746790114216741E-3</v>
      </c>
      <c r="S221" t="str">
        <f t="shared" si="322"/>
        <v>C</v>
      </c>
      <c r="T221">
        <v>0</v>
      </c>
      <c r="V221" s="17">
        <f t="shared" si="327"/>
        <v>39538</v>
      </c>
      <c r="W221" s="1" t="e">
        <f t="shared" si="290"/>
        <v>#N/A</v>
      </c>
      <c r="X221" s="1" t="e">
        <f t="shared" si="291"/>
        <v>#N/A</v>
      </c>
      <c r="Y221" s="1">
        <f t="shared" si="292"/>
        <v>-0.81604164568236848</v>
      </c>
      <c r="Z221" s="1" t="e">
        <f t="shared" si="293"/>
        <v>#N/A</v>
      </c>
      <c r="AA221">
        <v>0</v>
      </c>
      <c r="AB221" s="1">
        <v>-89.9</v>
      </c>
      <c r="AD221" s="17">
        <f t="shared" si="299"/>
        <v>39538</v>
      </c>
      <c r="AE221" s="1" t="e">
        <f t="shared" si="300"/>
        <v>#N/A</v>
      </c>
      <c r="AF221" s="1" t="e">
        <f t="shared" si="301"/>
        <v>#N/A</v>
      </c>
      <c r="AG221" s="1">
        <f t="shared" si="302"/>
        <v>-0.81604164568236848</v>
      </c>
      <c r="AH221" s="1" t="e">
        <f t="shared" si="303"/>
        <v>#N/A</v>
      </c>
      <c r="AK221" s="1"/>
      <c r="AL221" s="1"/>
      <c r="AM221" s="1"/>
      <c r="AN221" s="1"/>
      <c r="AO221" s="17">
        <f t="shared" si="307"/>
        <v>39538</v>
      </c>
      <c r="AP221">
        <f t="shared" si="308"/>
        <v>1</v>
      </c>
      <c r="AQ221">
        <f t="shared" si="309"/>
        <v>1</v>
      </c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7" t="e">
        <f t="shared" ref="BL221" si="333">#REF!</f>
        <v>#REF!</v>
      </c>
      <c r="BM221">
        <f t="shared" si="295"/>
        <v>1</v>
      </c>
      <c r="BN221">
        <f t="shared" si="296"/>
        <v>1</v>
      </c>
    </row>
    <row r="222" spans="1:66">
      <c r="A222" s="7">
        <v>39568</v>
      </c>
      <c r="B222" s="8">
        <v>-0.19036700000000001</v>
      </c>
      <c r="C222" s="8">
        <f t="shared" si="283"/>
        <v>-0.14937157062908138</v>
      </c>
      <c r="D222" s="9">
        <f t="shared" si="279"/>
        <v>-0.74685785314540687</v>
      </c>
      <c r="E222" s="8">
        <v>-8.3000000000000007</v>
      </c>
      <c r="F222" s="8">
        <f t="shared" si="284"/>
        <v>-6.2109833864870296</v>
      </c>
      <c r="G222" s="9">
        <f t="shared" si="280"/>
        <v>-0.56463485331700269</v>
      </c>
      <c r="H222" s="8">
        <v>-1.0239</v>
      </c>
      <c r="I222" s="8">
        <f t="shared" si="285"/>
        <v>-0.84016328989461209</v>
      </c>
      <c r="J222" s="9">
        <f t="shared" si="286"/>
        <v>-0.64016328989461213</v>
      </c>
      <c r="K222" s="8">
        <v>-2.8069999999999999</v>
      </c>
      <c r="L222" s="8">
        <f t="shared" si="287"/>
        <v>-2.498297491086916</v>
      </c>
      <c r="M222" s="9">
        <f t="shared" si="281"/>
        <v>-1.5806003578029824</v>
      </c>
      <c r="O222" s="11">
        <f t="shared" si="288"/>
        <v>-0.88759574624125182</v>
      </c>
      <c r="P222" s="15" t="str">
        <f t="shared" si="297"/>
        <v>C</v>
      </c>
      <c r="Q222" t="str">
        <f t="shared" si="306"/>
        <v>C</v>
      </c>
      <c r="R222" s="18">
        <f t="shared" si="298"/>
        <v>-2.8746790114216741E-3</v>
      </c>
      <c r="S222" t="str">
        <f t="shared" si="322"/>
        <v>C</v>
      </c>
      <c r="T222">
        <v>0</v>
      </c>
      <c r="V222" s="17">
        <f t="shared" si="327"/>
        <v>39568</v>
      </c>
      <c r="W222" s="1" t="e">
        <f t="shared" si="290"/>
        <v>#N/A</v>
      </c>
      <c r="X222" s="1" t="e">
        <f t="shared" si="291"/>
        <v>#N/A</v>
      </c>
      <c r="Y222" s="1">
        <f t="shared" si="292"/>
        <v>-0.88759574624125182</v>
      </c>
      <c r="Z222" s="1" t="e">
        <f t="shared" si="293"/>
        <v>#N/A</v>
      </c>
      <c r="AA222">
        <v>0</v>
      </c>
      <c r="AB222" s="1">
        <v>-73.2</v>
      </c>
      <c r="AD222" s="17">
        <f t="shared" si="299"/>
        <v>39568</v>
      </c>
      <c r="AE222" s="1" t="e">
        <f t="shared" si="300"/>
        <v>#N/A</v>
      </c>
      <c r="AF222" s="1" t="e">
        <f t="shared" si="301"/>
        <v>#N/A</v>
      </c>
      <c r="AG222" s="1">
        <f t="shared" si="302"/>
        <v>-0.88759574624125182</v>
      </c>
      <c r="AH222" s="1" t="e">
        <f t="shared" si="303"/>
        <v>#N/A</v>
      </c>
      <c r="AK222" s="1"/>
      <c r="AL222" s="1"/>
      <c r="AM222" s="1"/>
      <c r="AN222" s="1"/>
      <c r="AO222" s="17">
        <f t="shared" si="307"/>
        <v>39568</v>
      </c>
      <c r="AP222">
        <f t="shared" si="308"/>
        <v>1</v>
      </c>
      <c r="AQ222">
        <f t="shared" si="309"/>
        <v>1</v>
      </c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7" t="e">
        <f t="shared" ref="BL222" si="334">#REF!</f>
        <v>#REF!</v>
      </c>
      <c r="BM222">
        <f t="shared" si="295"/>
        <v>1</v>
      </c>
      <c r="BN222">
        <f t="shared" si="296"/>
        <v>1</v>
      </c>
    </row>
    <row r="223" spans="1:66">
      <c r="A223" s="7">
        <v>39599</v>
      </c>
      <c r="B223" s="8">
        <v>-0.22519700000000001</v>
      </c>
      <c r="C223" s="8">
        <f t="shared" si="283"/>
        <v>-0.17098181799979317</v>
      </c>
      <c r="D223" s="9">
        <f t="shared" si="279"/>
        <v>-0.85490908999896587</v>
      </c>
      <c r="E223" s="8">
        <v>-9.1999999999999993</v>
      </c>
      <c r="F223" s="8">
        <f t="shared" si="284"/>
        <v>-7.0628531213382262</v>
      </c>
      <c r="G223" s="9">
        <f t="shared" si="280"/>
        <v>-0.6420775564852933</v>
      </c>
      <c r="H223" s="8">
        <v>-1.0408999999999999</v>
      </c>
      <c r="I223" s="8">
        <f t="shared" si="285"/>
        <v>-0.89737325227464759</v>
      </c>
      <c r="J223" s="9">
        <f t="shared" si="286"/>
        <v>-0.69737325227464764</v>
      </c>
      <c r="K223" s="8">
        <v>-1.6439999999999999</v>
      </c>
      <c r="L223" s="8">
        <f t="shared" si="287"/>
        <v>-2.2548227061271451</v>
      </c>
      <c r="M223" s="9">
        <f t="shared" si="281"/>
        <v>-1.501606708205296</v>
      </c>
      <c r="O223" s="11">
        <f t="shared" si="288"/>
        <v>-0.91457535313898042</v>
      </c>
      <c r="P223" s="15" t="str">
        <f t="shared" si="297"/>
        <v>C</v>
      </c>
      <c r="Q223" t="str">
        <f t="shared" si="306"/>
        <v>C</v>
      </c>
      <c r="R223" s="18">
        <f t="shared" si="298"/>
        <v>-2.8746790114216741E-3</v>
      </c>
      <c r="S223" t="str">
        <f t="shared" si="322"/>
        <v>C</v>
      </c>
      <c r="T223">
        <v>0</v>
      </c>
      <c r="V223" s="17">
        <f t="shared" si="327"/>
        <v>39599</v>
      </c>
      <c r="W223" s="1" t="e">
        <f t="shared" si="290"/>
        <v>#N/A</v>
      </c>
      <c r="X223" s="1" t="e">
        <f t="shared" si="291"/>
        <v>#N/A</v>
      </c>
      <c r="Y223" s="1">
        <f t="shared" si="292"/>
        <v>-0.91457535313898042</v>
      </c>
      <c r="Z223" s="1" t="e">
        <f t="shared" si="293"/>
        <v>#N/A</v>
      </c>
      <c r="AA223">
        <v>0</v>
      </c>
      <c r="AB223" s="1">
        <v>-11.4</v>
      </c>
      <c r="AD223" s="17">
        <f t="shared" si="299"/>
        <v>39599</v>
      </c>
      <c r="AE223" s="1" t="e">
        <f t="shared" si="300"/>
        <v>#N/A</v>
      </c>
      <c r="AF223" s="1" t="e">
        <f t="shared" si="301"/>
        <v>#N/A</v>
      </c>
      <c r="AG223" s="1">
        <f t="shared" si="302"/>
        <v>-0.91457535313898042</v>
      </c>
      <c r="AH223" s="1" t="e">
        <f t="shared" si="303"/>
        <v>#N/A</v>
      </c>
      <c r="AK223" s="1"/>
      <c r="AL223" s="1"/>
      <c r="AM223" s="1"/>
      <c r="AN223" s="1"/>
      <c r="AO223" s="17">
        <f t="shared" si="307"/>
        <v>39599</v>
      </c>
      <c r="AP223">
        <f t="shared" si="308"/>
        <v>1</v>
      </c>
      <c r="AQ223">
        <f t="shared" si="309"/>
        <v>1</v>
      </c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7" t="e">
        <f t="shared" ref="BL223" si="335">#REF!</f>
        <v>#REF!</v>
      </c>
      <c r="BM223">
        <f t="shared" si="295"/>
        <v>1</v>
      </c>
      <c r="BN223">
        <f t="shared" si="296"/>
        <v>1</v>
      </c>
    </row>
    <row r="224" spans="1:66">
      <c r="A224" s="7">
        <v>39629</v>
      </c>
      <c r="B224" s="8">
        <v>-0.26614300000000002</v>
      </c>
      <c r="C224" s="8">
        <f t="shared" si="283"/>
        <v>-0.19810275486985213</v>
      </c>
      <c r="D224" s="9">
        <f t="shared" si="279"/>
        <v>-0.99051377434926058</v>
      </c>
      <c r="E224" s="8">
        <v>-9.3000000000000007</v>
      </c>
      <c r="F224" s="8">
        <f t="shared" si="284"/>
        <v>-7.7004399817568316</v>
      </c>
      <c r="G224" s="9">
        <f t="shared" si="280"/>
        <v>-0.70003999834153019</v>
      </c>
      <c r="H224" s="8">
        <v>-1.0587</v>
      </c>
      <c r="I224" s="8">
        <f t="shared" si="285"/>
        <v>-0.94335137537637315</v>
      </c>
      <c r="J224" s="9">
        <f t="shared" si="286"/>
        <v>-0.74335137537637319</v>
      </c>
      <c r="K224" s="8">
        <v>-2.3860000000000001</v>
      </c>
      <c r="L224" s="8">
        <f t="shared" si="287"/>
        <v>-2.292208234880909</v>
      </c>
      <c r="M224" s="9">
        <f t="shared" si="281"/>
        <v>-1.5140040405761501</v>
      </c>
      <c r="O224" s="11">
        <f t="shared" si="288"/>
        <v>-0.96888126916627104</v>
      </c>
      <c r="P224" s="15" t="str">
        <f t="shared" si="297"/>
        <v>C</v>
      </c>
      <c r="Q224" t="str">
        <f t="shared" si="306"/>
        <v>C</v>
      </c>
      <c r="R224" s="18">
        <f t="shared" si="298"/>
        <v>-2.8746790114216741E-3</v>
      </c>
      <c r="S224" t="str">
        <f t="shared" si="322"/>
        <v>C</v>
      </c>
      <c r="T224">
        <v>0</v>
      </c>
      <c r="V224" s="17">
        <f t="shared" si="327"/>
        <v>39629</v>
      </c>
      <c r="W224" s="1" t="e">
        <f t="shared" si="290"/>
        <v>#N/A</v>
      </c>
      <c r="X224" s="1" t="e">
        <f t="shared" si="291"/>
        <v>#N/A</v>
      </c>
      <c r="Y224" s="1">
        <f t="shared" si="292"/>
        <v>-0.96888126916627104</v>
      </c>
      <c r="Z224" s="1" t="e">
        <f t="shared" si="293"/>
        <v>#N/A</v>
      </c>
      <c r="AA224">
        <v>0</v>
      </c>
      <c r="AB224" s="1">
        <v>9.3000000000000007</v>
      </c>
      <c r="AD224" s="17">
        <f t="shared" si="299"/>
        <v>39629</v>
      </c>
      <c r="AE224" s="1" t="e">
        <f t="shared" si="300"/>
        <v>#N/A</v>
      </c>
      <c r="AF224" s="1" t="e">
        <f t="shared" si="301"/>
        <v>#N/A</v>
      </c>
      <c r="AG224" s="1">
        <f t="shared" si="302"/>
        <v>-0.96888126916627104</v>
      </c>
      <c r="AH224" s="1" t="e">
        <f t="shared" si="303"/>
        <v>#N/A</v>
      </c>
      <c r="AK224" s="1"/>
      <c r="AL224" s="1"/>
      <c r="AM224" s="1"/>
      <c r="AN224" s="1"/>
      <c r="AO224" s="17">
        <f t="shared" si="307"/>
        <v>39629</v>
      </c>
      <c r="AP224">
        <f t="shared" si="308"/>
        <v>1</v>
      </c>
      <c r="AQ224">
        <f t="shared" si="309"/>
        <v>1</v>
      </c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7" t="e">
        <f t="shared" ref="BL224" si="336">#REF!</f>
        <v>#REF!</v>
      </c>
      <c r="BM224">
        <f t="shared" si="295"/>
        <v>1</v>
      </c>
      <c r="BN224">
        <f t="shared" si="296"/>
        <v>1</v>
      </c>
    </row>
    <row r="225" spans="1:66">
      <c r="A225" s="7">
        <v>39660</v>
      </c>
      <c r="B225" s="8">
        <v>-0.304755</v>
      </c>
      <c r="C225" s="8">
        <f t="shared" si="283"/>
        <v>-0.22849864473194428</v>
      </c>
      <c r="D225" s="9">
        <f t="shared" si="279"/>
        <v>-1.1424932236597214</v>
      </c>
      <c r="E225" s="8">
        <v>-11.2</v>
      </c>
      <c r="F225" s="8">
        <f t="shared" si="284"/>
        <v>-8.6978145869561345</v>
      </c>
      <c r="G225" s="9">
        <f t="shared" si="280"/>
        <v>-0.79071041699601219</v>
      </c>
      <c r="H225" s="8">
        <v>-1.5686</v>
      </c>
      <c r="I225" s="8">
        <f t="shared" si="285"/>
        <v>-1.1215472333941068</v>
      </c>
      <c r="J225" s="9">
        <f t="shared" si="286"/>
        <v>-0.85903127120690193</v>
      </c>
      <c r="K225" s="8">
        <v>-2.4900000000000002</v>
      </c>
      <c r="L225" s="8">
        <f t="shared" si="287"/>
        <v>-2.3485788879398499</v>
      </c>
      <c r="M225" s="9">
        <f t="shared" si="281"/>
        <v>-1.532507385933213</v>
      </c>
      <c r="O225" s="11">
        <f t="shared" si="288"/>
        <v>-1.0417229190104655</v>
      </c>
      <c r="P225" s="15" t="str">
        <f t="shared" si="297"/>
        <v>C</v>
      </c>
      <c r="Q225" t="str">
        <f t="shared" si="306"/>
        <v>C</v>
      </c>
      <c r="R225" s="18">
        <f t="shared" si="298"/>
        <v>-2.8746790114216741E-3</v>
      </c>
      <c r="S225" t="str">
        <f t="shared" si="322"/>
        <v>C</v>
      </c>
      <c r="T225">
        <v>0</v>
      </c>
      <c r="V225" s="17">
        <f t="shared" si="327"/>
        <v>39660</v>
      </c>
      <c r="W225" s="1" t="e">
        <f t="shared" si="290"/>
        <v>#N/A</v>
      </c>
      <c r="X225" s="1" t="e">
        <f t="shared" si="291"/>
        <v>#N/A</v>
      </c>
      <c r="Y225" s="1">
        <f t="shared" si="292"/>
        <v>-1.0417229190104655</v>
      </c>
      <c r="Z225" s="1" t="e">
        <f t="shared" si="293"/>
        <v>#N/A</v>
      </c>
      <c r="AA225">
        <v>0</v>
      </c>
      <c r="AB225" s="1">
        <v>23.4</v>
      </c>
      <c r="AD225" s="17">
        <f t="shared" si="299"/>
        <v>39660</v>
      </c>
      <c r="AE225" s="1" t="e">
        <f t="shared" si="300"/>
        <v>#N/A</v>
      </c>
      <c r="AF225" s="1" t="e">
        <f t="shared" si="301"/>
        <v>#N/A</v>
      </c>
      <c r="AG225" s="1">
        <f t="shared" si="302"/>
        <v>-1.0417229190104655</v>
      </c>
      <c r="AH225" s="1" t="e">
        <f t="shared" si="303"/>
        <v>#N/A</v>
      </c>
      <c r="AK225" s="1"/>
      <c r="AL225" s="1"/>
      <c r="AM225" s="1"/>
      <c r="AN225" s="1"/>
      <c r="AO225" s="17">
        <f t="shared" si="307"/>
        <v>39660</v>
      </c>
      <c r="AP225">
        <f t="shared" si="308"/>
        <v>1</v>
      </c>
      <c r="AQ225">
        <f t="shared" si="309"/>
        <v>1</v>
      </c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7" t="e">
        <f t="shared" ref="BL225" si="337">#REF!</f>
        <v>#REF!</v>
      </c>
      <c r="BM225">
        <f t="shared" si="295"/>
        <v>1</v>
      </c>
      <c r="BN225">
        <f t="shared" si="296"/>
        <v>1</v>
      </c>
    </row>
    <row r="226" spans="1:66">
      <c r="A226" s="7">
        <v>39691</v>
      </c>
      <c r="B226" s="8">
        <v>-0.299035</v>
      </c>
      <c r="C226" s="8">
        <f t="shared" si="283"/>
        <v>-0.24860150598334016</v>
      </c>
      <c r="D226" s="9">
        <f t="shared" si="279"/>
        <v>-1.2430075299167007</v>
      </c>
      <c r="E226" s="8">
        <v>-11.9</v>
      </c>
      <c r="F226" s="8">
        <f t="shared" si="284"/>
        <v>-9.6104374296736363</v>
      </c>
      <c r="G226" s="9">
        <f t="shared" si="280"/>
        <v>-0.87367612997033062</v>
      </c>
      <c r="H226" s="8">
        <v>-2.5939000000000001</v>
      </c>
      <c r="I226" s="8">
        <f t="shared" si="285"/>
        <v>-1.5411677718767864</v>
      </c>
      <c r="J226" s="9">
        <f t="shared" si="286"/>
        <v>-1.0414377841345037</v>
      </c>
      <c r="K226" s="8">
        <v>-2.3420000000000001</v>
      </c>
      <c r="L226" s="8">
        <f t="shared" si="287"/>
        <v>-2.3467039048769927</v>
      </c>
      <c r="M226" s="9">
        <f t="shared" si="281"/>
        <v>-1.5318955267501086</v>
      </c>
      <c r="O226" s="11">
        <f t="shared" si="288"/>
        <v>-1.1335138713558572</v>
      </c>
      <c r="P226" s="15" t="str">
        <f t="shared" si="297"/>
        <v>C</v>
      </c>
      <c r="Q226" t="str">
        <f t="shared" si="306"/>
        <v>C</v>
      </c>
      <c r="R226" s="18">
        <f t="shared" si="298"/>
        <v>-2.8746790114216741E-3</v>
      </c>
      <c r="S226" t="str">
        <f t="shared" si="322"/>
        <v>C</v>
      </c>
      <c r="T226">
        <v>0</v>
      </c>
      <c r="V226" s="17">
        <f>A226-1</f>
        <v>39690</v>
      </c>
      <c r="W226" s="1" t="e">
        <f t="shared" si="290"/>
        <v>#N/A</v>
      </c>
      <c r="X226" s="1" t="e">
        <f t="shared" si="291"/>
        <v>#N/A</v>
      </c>
      <c r="Y226" s="1">
        <f t="shared" si="292"/>
        <v>-1.1335138713558572</v>
      </c>
      <c r="Z226" s="1" t="e">
        <f t="shared" si="293"/>
        <v>#N/A</v>
      </c>
      <c r="AA226">
        <v>0</v>
      </c>
      <c r="AB226" s="1">
        <v>51.9</v>
      </c>
      <c r="AD226" s="17">
        <f t="shared" si="299"/>
        <v>39691</v>
      </c>
      <c r="AE226" s="1" t="e">
        <f t="shared" si="300"/>
        <v>#N/A</v>
      </c>
      <c r="AF226" s="1" t="e">
        <f t="shared" si="301"/>
        <v>#N/A</v>
      </c>
      <c r="AG226" s="1">
        <f t="shared" si="302"/>
        <v>-1.1335138713558572</v>
      </c>
      <c r="AH226" s="1" t="e">
        <f t="shared" si="303"/>
        <v>#N/A</v>
      </c>
      <c r="AK226" s="1"/>
      <c r="AL226" s="1"/>
      <c r="AM226" s="1"/>
      <c r="AN226" s="1"/>
      <c r="AO226" s="17">
        <f t="shared" si="307"/>
        <v>39691</v>
      </c>
      <c r="AP226">
        <f t="shared" si="308"/>
        <v>1</v>
      </c>
      <c r="AQ226">
        <f t="shared" si="309"/>
        <v>1</v>
      </c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7" t="e">
        <f t="shared" ref="BL226" si="338">#REF!</f>
        <v>#REF!</v>
      </c>
      <c r="BM226">
        <f t="shared" si="295"/>
        <v>1</v>
      </c>
      <c r="BN226">
        <f t="shared" si="296"/>
        <v>1</v>
      </c>
    </row>
    <row r="227" spans="1:66">
      <c r="A227" s="7">
        <v>39721</v>
      </c>
      <c r="B227" s="8">
        <v>-0.364514</v>
      </c>
      <c r="C227" s="8">
        <f t="shared" si="283"/>
        <v>-0.28163656677808824</v>
      </c>
      <c r="D227" s="9">
        <f t="shared" si="279"/>
        <v>-1.4081828338904412</v>
      </c>
      <c r="E227" s="8">
        <v>-13.1</v>
      </c>
      <c r="F227" s="8">
        <f t="shared" si="284"/>
        <v>-10.604962762216651</v>
      </c>
      <c r="G227" s="9">
        <f t="shared" si="280"/>
        <v>-0.96408752383787732</v>
      </c>
      <c r="H227" s="8">
        <v>-3.4839000000000002</v>
      </c>
      <c r="I227" s="8">
        <f t="shared" si="285"/>
        <v>-2.0948464568919025</v>
      </c>
      <c r="J227" s="9">
        <f t="shared" si="286"/>
        <v>-1.2473584410545657</v>
      </c>
      <c r="K227" s="8">
        <v>-7.5220000000000002</v>
      </c>
      <c r="L227" s="8">
        <f t="shared" si="287"/>
        <v>-3.8216632919870501</v>
      </c>
      <c r="M227" s="9">
        <f t="shared" si="281"/>
        <v>-1.9549074893679881</v>
      </c>
      <c r="O227" s="11">
        <f t="shared" si="288"/>
        <v>-1.3636009015069095</v>
      </c>
      <c r="P227" s="15" t="str">
        <f t="shared" si="297"/>
        <v>C</v>
      </c>
      <c r="Q227" t="str">
        <f t="shared" si="306"/>
        <v>C</v>
      </c>
      <c r="R227" s="18">
        <f t="shared" si="298"/>
        <v>-2.8746790114216741E-3</v>
      </c>
      <c r="S227" t="str">
        <f t="shared" si="322"/>
        <v>C</v>
      </c>
      <c r="T227">
        <v>0</v>
      </c>
      <c r="V227" s="17">
        <f t="shared" ref="V227:V258" si="339">A227</f>
        <v>39721</v>
      </c>
      <c r="W227" s="1" t="e">
        <f t="shared" si="290"/>
        <v>#N/A</v>
      </c>
      <c r="X227" s="1" t="e">
        <f t="shared" si="291"/>
        <v>#N/A</v>
      </c>
      <c r="Y227" s="1">
        <f t="shared" si="292"/>
        <v>-1.3636009015069095</v>
      </c>
      <c r="Z227" s="1" t="e">
        <f t="shared" si="293"/>
        <v>#N/A</v>
      </c>
      <c r="AA227">
        <v>0</v>
      </c>
      <c r="AB227" s="1">
        <v>27</v>
      </c>
      <c r="AD227" s="17">
        <f t="shared" si="299"/>
        <v>39721</v>
      </c>
      <c r="AE227" s="1" t="e">
        <f t="shared" si="300"/>
        <v>#N/A</v>
      </c>
      <c r="AF227" s="1" t="e">
        <f t="shared" si="301"/>
        <v>#N/A</v>
      </c>
      <c r="AG227" s="1">
        <f t="shared" si="302"/>
        <v>-1.3636009015069095</v>
      </c>
      <c r="AH227" s="1" t="e">
        <f t="shared" si="303"/>
        <v>#N/A</v>
      </c>
      <c r="AK227" s="1"/>
      <c r="AL227" s="1"/>
      <c r="AM227" s="1"/>
      <c r="AN227" s="1"/>
      <c r="AO227" s="17">
        <f t="shared" si="307"/>
        <v>39721</v>
      </c>
      <c r="AP227">
        <f t="shared" si="308"/>
        <v>1</v>
      </c>
      <c r="AQ227">
        <f t="shared" si="309"/>
        <v>1</v>
      </c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7" t="e">
        <f t="shared" ref="BL227" si="340">#REF!</f>
        <v>#REF!</v>
      </c>
      <c r="BM227">
        <f t="shared" si="295"/>
        <v>1</v>
      </c>
      <c r="BN227">
        <f t="shared" si="296"/>
        <v>1</v>
      </c>
    </row>
    <row r="228" spans="1:66">
      <c r="A228" s="7">
        <v>39752</v>
      </c>
      <c r="B228" s="8">
        <v>-0.39715</v>
      </c>
      <c r="C228" s="8">
        <f t="shared" si="283"/>
        <v>-0.3145578952463331</v>
      </c>
      <c r="D228" s="9">
        <f t="shared" si="279"/>
        <v>-1.5727894762316654</v>
      </c>
      <c r="E228" s="8">
        <v>-15.5</v>
      </c>
      <c r="F228" s="8">
        <f t="shared" si="284"/>
        <v>-12.000048374984907</v>
      </c>
      <c r="G228" s="9">
        <f t="shared" si="280"/>
        <v>-1.0909134886349916</v>
      </c>
      <c r="H228" s="8">
        <v>-1.7255</v>
      </c>
      <c r="I228" s="8">
        <f t="shared" si="285"/>
        <v>-1.9895827166777105</v>
      </c>
      <c r="J228" s="9">
        <f t="shared" si="286"/>
        <v>-1.2105256880602036</v>
      </c>
      <c r="K228" s="8">
        <v>-9.0220000000000002</v>
      </c>
      <c r="L228" s="8">
        <f t="shared" si="287"/>
        <v>-5.3037592537707408</v>
      </c>
      <c r="M228" s="9">
        <f t="shared" si="281"/>
        <v>-2.302989199664371</v>
      </c>
      <c r="O228" s="11">
        <f t="shared" si="288"/>
        <v>-1.5005596710919022</v>
      </c>
      <c r="P228" s="15" t="str">
        <f t="shared" si="297"/>
        <v>C</v>
      </c>
      <c r="Q228" t="str">
        <f t="shared" si="306"/>
        <v>C</v>
      </c>
      <c r="R228" s="18">
        <f t="shared" si="298"/>
        <v>-2.8746790114216741E-3</v>
      </c>
      <c r="S228" t="str">
        <f t="shared" si="322"/>
        <v>C</v>
      </c>
      <c r="T228">
        <v>0</v>
      </c>
      <c r="V228" s="17">
        <f t="shared" si="339"/>
        <v>39752</v>
      </c>
      <c r="W228" s="1" t="e">
        <f t="shared" si="290"/>
        <v>#N/A</v>
      </c>
      <c r="X228" s="1" t="e">
        <f t="shared" si="291"/>
        <v>#N/A</v>
      </c>
      <c r="Y228" s="1">
        <f t="shared" si="292"/>
        <v>-1.5005596710919022</v>
      </c>
      <c r="Z228" s="1" t="e">
        <f t="shared" si="293"/>
        <v>#N/A</v>
      </c>
      <c r="AA228">
        <v>0</v>
      </c>
      <c r="AB228" s="1">
        <v>-71.400000000000006</v>
      </c>
      <c r="AD228" s="17">
        <f t="shared" si="299"/>
        <v>39752</v>
      </c>
      <c r="AE228" s="1" t="e">
        <f t="shared" si="300"/>
        <v>#N/A</v>
      </c>
      <c r="AF228" s="1" t="e">
        <f t="shared" si="301"/>
        <v>#N/A</v>
      </c>
      <c r="AG228" s="1">
        <f t="shared" si="302"/>
        <v>-1.5005596710919022</v>
      </c>
      <c r="AH228" s="1" t="e">
        <f t="shared" si="303"/>
        <v>#N/A</v>
      </c>
      <c r="AK228" s="1"/>
      <c r="AL228" s="1"/>
      <c r="AM228" s="1"/>
      <c r="AN228" s="1"/>
      <c r="AO228" s="17">
        <f t="shared" si="307"/>
        <v>39752</v>
      </c>
      <c r="AP228">
        <f t="shared" si="308"/>
        <v>1</v>
      </c>
      <c r="AQ228">
        <f t="shared" si="309"/>
        <v>1</v>
      </c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7" t="e">
        <f t="shared" ref="BL228" si="341">#REF!</f>
        <v>#REF!</v>
      </c>
      <c r="BM228">
        <f t="shared" si="295"/>
        <v>1</v>
      </c>
      <c r="BN228">
        <f t="shared" si="296"/>
        <v>1</v>
      </c>
    </row>
    <row r="229" spans="1:66">
      <c r="A229" s="7">
        <v>39782</v>
      </c>
      <c r="B229" s="8">
        <v>-0.44727</v>
      </c>
      <c r="C229" s="8">
        <f t="shared" si="283"/>
        <v>-0.35238084510112816</v>
      </c>
      <c r="D229" s="9">
        <f t="shared" si="279"/>
        <v>-1.7619042255056407</v>
      </c>
      <c r="E229" s="8">
        <v>-16.899999999999999</v>
      </c>
      <c r="F229" s="8">
        <f t="shared" si="284"/>
        <v>-13.396534588114207</v>
      </c>
      <c r="G229" s="9">
        <f t="shared" si="280"/>
        <v>-1.2178667807376551</v>
      </c>
      <c r="H229" s="8">
        <v>-2.9472</v>
      </c>
      <c r="I229" s="8">
        <f t="shared" si="285"/>
        <v>-2.262503642424563</v>
      </c>
      <c r="J229" s="9">
        <f t="shared" si="286"/>
        <v>-1.3041621064315385</v>
      </c>
      <c r="K229" s="8">
        <v>-8.6219999999999999</v>
      </c>
      <c r="L229" s="8">
        <f t="shared" si="287"/>
        <v>-6.2494578664460798</v>
      </c>
      <c r="M229" s="9">
        <f t="shared" si="281"/>
        <v>-2.4998915709378435</v>
      </c>
      <c r="O229" s="11">
        <f t="shared" si="288"/>
        <v>-1.6446805723518763</v>
      </c>
      <c r="P229" s="15" t="str">
        <f t="shared" si="297"/>
        <v>C</v>
      </c>
      <c r="Q229" t="str">
        <f t="shared" si="306"/>
        <v>C</v>
      </c>
      <c r="R229" s="18">
        <f t="shared" si="298"/>
        <v>-2.8746790114216741E-3</v>
      </c>
      <c r="S229" t="str">
        <f t="shared" si="322"/>
        <v>C</v>
      </c>
      <c r="T229">
        <v>0</v>
      </c>
      <c r="V229" s="17">
        <f t="shared" si="339"/>
        <v>39782</v>
      </c>
      <c r="W229" s="1" t="e">
        <f t="shared" si="290"/>
        <v>#N/A</v>
      </c>
      <c r="X229" s="1" t="e">
        <f t="shared" si="291"/>
        <v>#N/A</v>
      </c>
      <c r="Y229" s="1">
        <f t="shared" si="292"/>
        <v>-1.6446805723518763</v>
      </c>
      <c r="Z229" s="1" t="e">
        <f t="shared" si="293"/>
        <v>#N/A</v>
      </c>
      <c r="AA229">
        <v>0</v>
      </c>
      <c r="AB229" s="1">
        <v>-117.6</v>
      </c>
      <c r="AD229" s="17">
        <f t="shared" si="299"/>
        <v>39782</v>
      </c>
      <c r="AE229" s="1" t="e">
        <f t="shared" si="300"/>
        <v>#N/A</v>
      </c>
      <c r="AF229" s="1" t="e">
        <f t="shared" si="301"/>
        <v>#N/A</v>
      </c>
      <c r="AG229" s="1">
        <f t="shared" si="302"/>
        <v>-1.6446805723518763</v>
      </c>
      <c r="AH229" s="1" t="e">
        <f t="shared" si="303"/>
        <v>#N/A</v>
      </c>
      <c r="AK229" s="1"/>
      <c r="AL229" s="1"/>
      <c r="AM229" s="1"/>
      <c r="AN229" s="1"/>
      <c r="AO229" s="17">
        <f t="shared" si="307"/>
        <v>39782</v>
      </c>
      <c r="AP229">
        <f t="shared" si="308"/>
        <v>1</v>
      </c>
      <c r="AQ229">
        <f t="shared" si="309"/>
        <v>1</v>
      </c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7" t="e">
        <f t="shared" ref="BL229" si="342">#REF!</f>
        <v>#REF!</v>
      </c>
      <c r="BM229">
        <f t="shared" si="295"/>
        <v>1</v>
      </c>
      <c r="BN229">
        <f t="shared" si="296"/>
        <v>1</v>
      </c>
    </row>
    <row r="230" spans="1:66">
      <c r="A230" s="7">
        <v>39813</v>
      </c>
      <c r="B230" s="8">
        <v>-0.39718300000000001</v>
      </c>
      <c r="C230" s="8">
        <f t="shared" si="283"/>
        <v>-0.36514945924730668</v>
      </c>
      <c r="D230" s="9">
        <f t="shared" si="279"/>
        <v>-1.8257472962365333</v>
      </c>
      <c r="E230" s="8">
        <v>-18.5</v>
      </c>
      <c r="F230" s="8">
        <f t="shared" si="284"/>
        <v>-14.851022230501659</v>
      </c>
      <c r="G230" s="9">
        <f t="shared" si="280"/>
        <v>-1.3500929300456053</v>
      </c>
      <c r="H230" s="8">
        <v>-3.5609000000000002</v>
      </c>
      <c r="I230" s="8">
        <f t="shared" si="285"/>
        <v>-2.6325466043335624</v>
      </c>
      <c r="J230" s="9">
        <f t="shared" si="286"/>
        <v>-1.4225124358024386</v>
      </c>
      <c r="K230" s="8">
        <v>-6.4279999999999999</v>
      </c>
      <c r="L230" s="8">
        <f t="shared" si="287"/>
        <v>-6.3003423745089471</v>
      </c>
      <c r="M230" s="9">
        <f t="shared" si="281"/>
        <v>-2.5100482813103313</v>
      </c>
      <c r="O230" s="11">
        <f t="shared" si="288"/>
        <v>-1.7277029789787808</v>
      </c>
      <c r="P230" s="15" t="str">
        <f t="shared" si="297"/>
        <v>C</v>
      </c>
      <c r="Q230" t="str">
        <f t="shared" si="306"/>
        <v>C</v>
      </c>
      <c r="R230" s="18">
        <f t="shared" si="298"/>
        <v>-2.8746790114216741E-3</v>
      </c>
      <c r="S230" t="str">
        <f t="shared" si="322"/>
        <v>C</v>
      </c>
      <c r="T230">
        <v>0</v>
      </c>
      <c r="V230" s="17">
        <f t="shared" si="339"/>
        <v>39813</v>
      </c>
      <c r="W230" s="1" t="e">
        <f t="shared" si="290"/>
        <v>#N/A</v>
      </c>
      <c r="X230" s="1" t="e">
        <f t="shared" si="291"/>
        <v>#N/A</v>
      </c>
      <c r="Y230" s="1">
        <f t="shared" si="292"/>
        <v>-1.7277029789787808</v>
      </c>
      <c r="Z230" s="1" t="e">
        <f t="shared" si="293"/>
        <v>#N/A</v>
      </c>
      <c r="AA230">
        <v>0</v>
      </c>
      <c r="AB230" s="1">
        <v>-112.6</v>
      </c>
      <c r="AD230" s="17">
        <f t="shared" si="299"/>
        <v>39813</v>
      </c>
      <c r="AE230" s="1" t="e">
        <f t="shared" si="300"/>
        <v>#N/A</v>
      </c>
      <c r="AF230" s="1" t="e">
        <f t="shared" si="301"/>
        <v>#N/A</v>
      </c>
      <c r="AG230" s="1">
        <f t="shared" si="302"/>
        <v>-1.7277029789787808</v>
      </c>
      <c r="AH230" s="1" t="e">
        <f t="shared" si="303"/>
        <v>#N/A</v>
      </c>
      <c r="AK230" s="1"/>
      <c r="AL230" s="1"/>
      <c r="AM230" s="1"/>
      <c r="AN230" s="1"/>
      <c r="AO230" s="17">
        <f t="shared" si="307"/>
        <v>39813</v>
      </c>
      <c r="AP230">
        <f t="shared" si="308"/>
        <v>1</v>
      </c>
      <c r="AQ230">
        <f t="shared" si="309"/>
        <v>1</v>
      </c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7" t="e">
        <f t="shared" ref="BL230" si="343">#REF!</f>
        <v>#REF!</v>
      </c>
      <c r="BM230">
        <f t="shared" si="295"/>
        <v>1</v>
      </c>
      <c r="BN230">
        <f t="shared" si="296"/>
        <v>1</v>
      </c>
    </row>
    <row r="231" spans="1:66">
      <c r="A231" s="7">
        <v>39844</v>
      </c>
      <c r="B231" s="8">
        <v>-0.397366</v>
      </c>
      <c r="C231" s="8">
        <f t="shared" si="283"/>
        <v>-0.37433117336182425</v>
      </c>
      <c r="D231" s="9">
        <f t="shared" si="279"/>
        <v>-1.8716558668091212</v>
      </c>
      <c r="E231" s="8">
        <v>-19.100000000000001</v>
      </c>
      <c r="F231" s="8">
        <f t="shared" si="284"/>
        <v>-16.061980894808688</v>
      </c>
      <c r="G231" s="9">
        <f t="shared" si="280"/>
        <v>-1.4601800813462444</v>
      </c>
      <c r="H231" s="8">
        <v>-3.4739</v>
      </c>
      <c r="I231" s="8">
        <f t="shared" si="285"/>
        <v>-2.8723323220984973</v>
      </c>
      <c r="J231" s="9">
        <f t="shared" si="286"/>
        <v>-1.4947956579182333</v>
      </c>
      <c r="K231" s="8">
        <v>-5.1059999999999999</v>
      </c>
      <c r="L231" s="8">
        <f t="shared" si="287"/>
        <v>-5.9599547977738974</v>
      </c>
      <c r="M231" s="9">
        <f t="shared" si="281"/>
        <v>-2.4413018653525618</v>
      </c>
      <c r="O231" s="11">
        <f t="shared" si="288"/>
        <v>-1.7730227226758322</v>
      </c>
      <c r="P231" s="15" t="str">
        <f t="shared" si="297"/>
        <v>C</v>
      </c>
      <c r="Q231" t="str">
        <f t="shared" si="306"/>
        <v>C</v>
      </c>
      <c r="R231" s="18">
        <f t="shared" si="298"/>
        <v>-2.8746790114216741E-3</v>
      </c>
      <c r="S231" t="str">
        <f t="shared" si="322"/>
        <v>C</v>
      </c>
      <c r="T231">
        <v>0</v>
      </c>
      <c r="V231" s="17">
        <f t="shared" si="339"/>
        <v>39844</v>
      </c>
      <c r="W231" s="1" t="e">
        <f t="shared" si="290"/>
        <v>#N/A</v>
      </c>
      <c r="X231" s="1" t="e">
        <f t="shared" si="291"/>
        <v>#N/A</v>
      </c>
      <c r="Y231" s="1">
        <f t="shared" si="292"/>
        <v>-1.7730227226758322</v>
      </c>
      <c r="Z231" s="1" t="e">
        <f t="shared" si="293"/>
        <v>#N/A</v>
      </c>
      <c r="AA231">
        <v>0</v>
      </c>
      <c r="AB231" s="1">
        <v>-65.900000000000006</v>
      </c>
      <c r="AD231" s="17">
        <f t="shared" si="299"/>
        <v>39844</v>
      </c>
      <c r="AE231" s="1" t="e">
        <f t="shared" si="300"/>
        <v>#N/A</v>
      </c>
      <c r="AF231" s="1" t="e">
        <f t="shared" si="301"/>
        <v>#N/A</v>
      </c>
      <c r="AG231" s="1">
        <f t="shared" si="302"/>
        <v>-1.7730227226758322</v>
      </c>
      <c r="AH231" s="1" t="e">
        <f t="shared" si="303"/>
        <v>#N/A</v>
      </c>
      <c r="AK231" s="1"/>
      <c r="AL231" s="1"/>
      <c r="AM231" s="1"/>
      <c r="AN231" s="1"/>
      <c r="AO231" s="17">
        <f t="shared" si="307"/>
        <v>39844</v>
      </c>
      <c r="AP231">
        <f t="shared" si="308"/>
        <v>1</v>
      </c>
      <c r="AQ231">
        <f t="shared" si="309"/>
        <v>1</v>
      </c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7" t="e">
        <f t="shared" ref="BL231" si="344">#REF!</f>
        <v>#REF!</v>
      </c>
      <c r="BM231">
        <f t="shared" si="295"/>
        <v>1</v>
      </c>
      <c r="BN231">
        <f t="shared" si="296"/>
        <v>1</v>
      </c>
    </row>
    <row r="232" spans="1:66">
      <c r="A232" s="7">
        <v>39872</v>
      </c>
      <c r="B232" s="8">
        <v>-0.35411500000000001</v>
      </c>
      <c r="C232" s="8">
        <f t="shared" si="283"/>
        <v>-0.36856956395370433</v>
      </c>
      <c r="D232" s="9">
        <f t="shared" si="279"/>
        <v>-1.8428478197685216</v>
      </c>
      <c r="E232" s="8">
        <v>-19.100000000000001</v>
      </c>
      <c r="F232" s="8">
        <f t="shared" si="284"/>
        <v>-16.927816339788212</v>
      </c>
      <c r="G232" s="9">
        <f t="shared" si="280"/>
        <v>-1.538892394526201</v>
      </c>
      <c r="H232" s="8">
        <v>-2.4881000000000002</v>
      </c>
      <c r="I232" s="8">
        <f t="shared" si="285"/>
        <v>-2.7628261103004257</v>
      </c>
      <c r="J232" s="9">
        <f t="shared" si="286"/>
        <v>-1.4621751142104209</v>
      </c>
      <c r="K232" s="8">
        <v>-5.4820000000000002</v>
      </c>
      <c r="L232" s="8">
        <f t="shared" si="287"/>
        <v>-5.8237376804083372</v>
      </c>
      <c r="M232" s="9">
        <f t="shared" si="281"/>
        <v>-2.4132421512165614</v>
      </c>
      <c r="O232" s="11">
        <f t="shared" si="288"/>
        <v>-1.7849639860088202</v>
      </c>
      <c r="P232" s="15" t="str">
        <f t="shared" si="297"/>
        <v>C</v>
      </c>
      <c r="Q232" t="str">
        <f t="shared" si="306"/>
        <v>C</v>
      </c>
      <c r="R232" s="18">
        <f t="shared" si="298"/>
        <v>-2.8746790114216741E-3</v>
      </c>
      <c r="S232" t="str">
        <f t="shared" si="322"/>
        <v>C</v>
      </c>
      <c r="T232">
        <v>0</v>
      </c>
      <c r="V232" s="17">
        <f t="shared" si="339"/>
        <v>39872</v>
      </c>
      <c r="W232" s="1" t="e">
        <f t="shared" si="290"/>
        <v>#N/A</v>
      </c>
      <c r="X232" s="1" t="e">
        <f t="shared" si="291"/>
        <v>#N/A</v>
      </c>
      <c r="Y232" s="1">
        <f t="shared" si="292"/>
        <v>-1.7849639860088202</v>
      </c>
      <c r="Z232" s="1">
        <f t="shared" si="293"/>
        <v>-1.7849639860088202</v>
      </c>
      <c r="AA232">
        <v>0</v>
      </c>
      <c r="AB232" s="1">
        <v>-36.6</v>
      </c>
      <c r="AD232" s="17">
        <f t="shared" si="299"/>
        <v>39872</v>
      </c>
      <c r="AE232" s="1" t="e">
        <f t="shared" si="300"/>
        <v>#N/A</v>
      </c>
      <c r="AF232" s="1" t="e">
        <f t="shared" si="301"/>
        <v>#N/A</v>
      </c>
      <c r="AG232" s="1">
        <f t="shared" si="302"/>
        <v>-1.7849639860088202</v>
      </c>
      <c r="AH232" s="1">
        <f t="shared" si="303"/>
        <v>-1.7849639860088202</v>
      </c>
      <c r="AK232" s="1"/>
      <c r="AL232" s="1"/>
      <c r="AM232" s="1"/>
      <c r="AN232" s="1"/>
      <c r="AO232" s="17">
        <f t="shared" si="307"/>
        <v>39872</v>
      </c>
      <c r="AP232">
        <f t="shared" si="308"/>
        <v>1</v>
      </c>
      <c r="AQ232">
        <f t="shared" si="309"/>
        <v>1</v>
      </c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7" t="e">
        <f t="shared" ref="BL232" si="345">#REF!</f>
        <v>#REF!</v>
      </c>
      <c r="BM232">
        <f t="shared" si="295"/>
        <v>1</v>
      </c>
      <c r="BN232">
        <f t="shared" si="296"/>
        <v>1</v>
      </c>
    </row>
    <row r="233" spans="1:66">
      <c r="A233" s="7">
        <v>39903</v>
      </c>
      <c r="B233" s="8">
        <v>-0.279335</v>
      </c>
      <c r="C233" s="8">
        <f t="shared" si="283"/>
        <v>-0.34313771322689862</v>
      </c>
      <c r="D233" s="9">
        <f t="shared" si="279"/>
        <v>-1.7156885661344929</v>
      </c>
      <c r="E233" s="8">
        <v>-19.3</v>
      </c>
      <c r="F233" s="8">
        <f t="shared" si="284"/>
        <v>-17.603888682948572</v>
      </c>
      <c r="G233" s="9">
        <f t="shared" si="280"/>
        <v>-1.6003535166316885</v>
      </c>
      <c r="H233" s="8">
        <v>-2.5198999999999998</v>
      </c>
      <c r="I233" s="8">
        <f t="shared" si="285"/>
        <v>-2.6935921688648046</v>
      </c>
      <c r="J233" s="9">
        <f t="shared" si="286"/>
        <v>-1.4412166733447491</v>
      </c>
      <c r="K233" s="8">
        <v>-5.1559999999999997</v>
      </c>
      <c r="L233" s="8">
        <f t="shared" si="287"/>
        <v>-5.6334324414919603</v>
      </c>
      <c r="M233" s="9">
        <f t="shared" si="281"/>
        <v>-2.37348529413855</v>
      </c>
      <c r="O233" s="11">
        <f t="shared" si="288"/>
        <v>-1.7776471652162993</v>
      </c>
      <c r="P233" s="15" t="str">
        <f t="shared" si="297"/>
        <v>R</v>
      </c>
      <c r="Q233" t="str">
        <f t="shared" si="306"/>
        <v>C</v>
      </c>
      <c r="R233" s="18">
        <f t="shared" si="298"/>
        <v>-2.8746790114216741E-3</v>
      </c>
      <c r="S233" t="str">
        <f t="shared" si="322"/>
        <v>R</v>
      </c>
      <c r="T233">
        <v>0</v>
      </c>
      <c r="V233" s="17">
        <f t="shared" si="339"/>
        <v>39903</v>
      </c>
      <c r="W233" s="1" t="e">
        <f t="shared" si="290"/>
        <v>#N/A</v>
      </c>
      <c r="X233" s="1" t="e">
        <f t="shared" si="291"/>
        <v>#N/A</v>
      </c>
      <c r="Y233" s="1" t="e">
        <f t="shared" si="292"/>
        <v>#N/A</v>
      </c>
      <c r="Z233" s="1">
        <f t="shared" si="293"/>
        <v>-1.7776471652162993</v>
      </c>
      <c r="AA233">
        <v>0</v>
      </c>
      <c r="AB233" s="1">
        <v>-11.2</v>
      </c>
      <c r="AD233" s="17">
        <f t="shared" si="299"/>
        <v>39903</v>
      </c>
      <c r="AE233" s="1" t="e">
        <f t="shared" si="300"/>
        <v>#N/A</v>
      </c>
      <c r="AF233" s="1" t="e">
        <f t="shared" si="301"/>
        <v>#N/A</v>
      </c>
      <c r="AG233" s="1" t="e">
        <f t="shared" si="302"/>
        <v>#N/A</v>
      </c>
      <c r="AH233" s="1">
        <f t="shared" si="303"/>
        <v>-1.7776471652162993</v>
      </c>
      <c r="AK233" s="1"/>
      <c r="AL233" s="1"/>
      <c r="AM233" s="1"/>
      <c r="AN233" s="1"/>
      <c r="AO233" s="17">
        <f t="shared" si="307"/>
        <v>39903</v>
      </c>
      <c r="AP233">
        <f t="shared" si="308"/>
        <v>2</v>
      </c>
      <c r="AQ233">
        <f t="shared" si="309"/>
        <v>1</v>
      </c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7" t="e">
        <f t="shared" ref="BL233" si="346">#REF!</f>
        <v>#REF!</v>
      </c>
      <c r="BM233">
        <f t="shared" si="295"/>
        <v>1</v>
      </c>
      <c r="BN233">
        <f t="shared" si="296"/>
        <v>1</v>
      </c>
    </row>
    <row r="234" spans="1:66">
      <c r="A234" s="7">
        <v>39933</v>
      </c>
      <c r="B234" s="8">
        <v>-0.26953500000000002</v>
      </c>
      <c r="C234" s="8">
        <f t="shared" si="283"/>
        <v>-0.32216093995723249</v>
      </c>
      <c r="D234" s="9">
        <f t="shared" si="279"/>
        <v>-1.6108046997861625</v>
      </c>
      <c r="E234" s="8">
        <v>-18.600000000000001</v>
      </c>
      <c r="F234" s="8">
        <f t="shared" si="284"/>
        <v>-17.887780408308231</v>
      </c>
      <c r="G234" s="9">
        <f t="shared" si="280"/>
        <v>-1.6261618553007482</v>
      </c>
      <c r="H234" s="8">
        <v>-1.8884000000000001</v>
      </c>
      <c r="I234" s="8">
        <f t="shared" si="285"/>
        <v>-2.464112400738335</v>
      </c>
      <c r="J234" s="9">
        <f t="shared" si="286"/>
        <v>-1.3697491521699685</v>
      </c>
      <c r="K234" s="8">
        <v>-4.07</v>
      </c>
      <c r="L234" s="8">
        <f t="shared" si="287"/>
        <v>-5.1878541956667519</v>
      </c>
      <c r="M234" s="9">
        <f t="shared" si="281"/>
        <v>-2.2776861495093552</v>
      </c>
      <c r="O234" s="11">
        <f t="shared" si="288"/>
        <v>-1.7354171154719196</v>
      </c>
      <c r="P234" s="15" t="str">
        <f t="shared" si="297"/>
        <v>R</v>
      </c>
      <c r="Q234" t="str">
        <f t="shared" si="306"/>
        <v>C</v>
      </c>
      <c r="R234" s="18">
        <f t="shared" si="298"/>
        <v>-1.7354171154719196</v>
      </c>
      <c r="S234" t="str">
        <f t="shared" si="322"/>
        <v>R</v>
      </c>
      <c r="T234">
        <v>0</v>
      </c>
      <c r="V234" s="17">
        <f t="shared" si="339"/>
        <v>39933</v>
      </c>
      <c r="W234" s="1" t="e">
        <f t="shared" si="290"/>
        <v>#N/A</v>
      </c>
      <c r="X234" s="1" t="e">
        <f t="shared" si="291"/>
        <v>#N/A</v>
      </c>
      <c r="Y234" s="1" t="e">
        <f t="shared" si="292"/>
        <v>#N/A</v>
      </c>
      <c r="Z234" s="1">
        <f t="shared" si="293"/>
        <v>-1.7354171154719196</v>
      </c>
      <c r="AA234">
        <v>0</v>
      </c>
      <c r="AB234" s="1">
        <v>11.5</v>
      </c>
      <c r="AD234" s="17">
        <f t="shared" si="299"/>
        <v>39933</v>
      </c>
      <c r="AE234" s="1" t="e">
        <f t="shared" si="300"/>
        <v>#N/A</v>
      </c>
      <c r="AF234" s="1" t="e">
        <f t="shared" si="301"/>
        <v>#N/A</v>
      </c>
      <c r="AG234" s="1" t="e">
        <f t="shared" si="302"/>
        <v>#N/A</v>
      </c>
      <c r="AH234" s="1">
        <f t="shared" si="303"/>
        <v>-1.7354171154719196</v>
      </c>
      <c r="AK234" s="1"/>
      <c r="AL234" s="1"/>
      <c r="AM234" s="1"/>
      <c r="AN234" s="1"/>
      <c r="AO234" s="17">
        <f t="shared" si="307"/>
        <v>39933</v>
      </c>
      <c r="AP234">
        <f t="shared" si="308"/>
        <v>2</v>
      </c>
      <c r="AQ234">
        <f t="shared" si="309"/>
        <v>1</v>
      </c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7" t="e">
        <f t="shared" ref="BL234" si="347">#REF!</f>
        <v>#REF!</v>
      </c>
      <c r="BM234">
        <f t="shared" si="295"/>
        <v>1</v>
      </c>
      <c r="BN234">
        <f t="shared" si="296"/>
        <v>1</v>
      </c>
    </row>
    <row r="235" spans="1:66">
      <c r="A235" s="7">
        <v>39964</v>
      </c>
      <c r="B235" s="8">
        <v>-0.30010100000000001</v>
      </c>
      <c r="C235" s="8">
        <f t="shared" si="283"/>
        <v>-0.31587385706942123</v>
      </c>
      <c r="D235" s="9">
        <f t="shared" si="279"/>
        <v>-1.579369285347106</v>
      </c>
      <c r="E235" s="8">
        <v>-17.399999999999999</v>
      </c>
      <c r="F235" s="8">
        <f t="shared" si="284"/>
        <v>-17.748762991940385</v>
      </c>
      <c r="G235" s="9">
        <f t="shared" si="280"/>
        <v>-1.6135239083582169</v>
      </c>
      <c r="H235" s="8">
        <v>-1.3613</v>
      </c>
      <c r="I235" s="8">
        <f t="shared" si="285"/>
        <v>-2.1498108665279094</v>
      </c>
      <c r="J235" s="9">
        <f t="shared" si="286"/>
        <v>-1.2662233344644021</v>
      </c>
      <c r="K235" s="8">
        <v>-2.907</v>
      </c>
      <c r="L235" s="8">
        <f t="shared" si="287"/>
        <v>-4.5378107499017277</v>
      </c>
      <c r="M235" s="9">
        <f t="shared" si="281"/>
        <v>-2.1302137803285679</v>
      </c>
      <c r="O235" s="11">
        <f t="shared" si="288"/>
        <v>-1.6647166195628258</v>
      </c>
      <c r="P235" s="15" t="str">
        <f t="shared" si="297"/>
        <v>R</v>
      </c>
      <c r="Q235" t="str">
        <f t="shared" si="306"/>
        <v>R</v>
      </c>
      <c r="R235" s="18">
        <f t="shared" si="298"/>
        <v>-1.7354171154719196</v>
      </c>
      <c r="S235" t="str">
        <f t="shared" si="322"/>
        <v>R</v>
      </c>
      <c r="T235">
        <v>0</v>
      </c>
      <c r="V235" s="17">
        <f t="shared" si="339"/>
        <v>39964</v>
      </c>
      <c r="W235" s="1" t="e">
        <f t="shared" si="290"/>
        <v>#N/A</v>
      </c>
      <c r="X235" s="1" t="e">
        <f t="shared" si="291"/>
        <v>#N/A</v>
      </c>
      <c r="Y235" s="1" t="e">
        <f t="shared" si="292"/>
        <v>#N/A</v>
      </c>
      <c r="Z235" s="1">
        <f t="shared" si="293"/>
        <v>-1.6647166195628258</v>
      </c>
      <c r="AA235">
        <v>0</v>
      </c>
      <c r="AB235" s="1">
        <v>59.9</v>
      </c>
      <c r="AD235" s="17">
        <f t="shared" si="299"/>
        <v>39964</v>
      </c>
      <c r="AE235" s="1" t="e">
        <f t="shared" si="300"/>
        <v>#N/A</v>
      </c>
      <c r="AF235" s="1" t="e">
        <f t="shared" si="301"/>
        <v>#N/A</v>
      </c>
      <c r="AG235" s="1" t="e">
        <f t="shared" si="302"/>
        <v>#N/A</v>
      </c>
      <c r="AH235" s="1">
        <f t="shared" si="303"/>
        <v>-1.6647166195628258</v>
      </c>
      <c r="AK235" s="1"/>
      <c r="AL235" s="1"/>
      <c r="AM235" s="1"/>
      <c r="AN235" s="1"/>
      <c r="AO235" s="17">
        <f t="shared" si="307"/>
        <v>39964</v>
      </c>
      <c r="AP235">
        <f t="shared" si="308"/>
        <v>2</v>
      </c>
      <c r="AQ235">
        <f t="shared" si="309"/>
        <v>2</v>
      </c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7" t="e">
        <f t="shared" ref="BL235" si="348">#REF!</f>
        <v>#REF!</v>
      </c>
      <c r="BM235">
        <f t="shared" si="295"/>
        <v>2</v>
      </c>
      <c r="BN235">
        <f t="shared" si="296"/>
        <v>1</v>
      </c>
    </row>
    <row r="236" spans="1:66">
      <c r="A236" s="7">
        <v>39994</v>
      </c>
      <c r="B236" s="8">
        <v>-0.32474500000000001</v>
      </c>
      <c r="C236" s="8">
        <f t="shared" si="283"/>
        <v>-0.3184021328046362</v>
      </c>
      <c r="D236" s="9">
        <f t="shared" si="279"/>
        <v>-1.5920106640231808</v>
      </c>
      <c r="E236" s="8">
        <v>-16.5</v>
      </c>
      <c r="F236" s="8">
        <f t="shared" si="284"/>
        <v>-17.392865539237377</v>
      </c>
      <c r="G236" s="9">
        <f t="shared" si="280"/>
        <v>-1.5811695944761253</v>
      </c>
      <c r="H236" s="8">
        <v>-0.87839999999999996</v>
      </c>
      <c r="I236" s="8">
        <f t="shared" si="285"/>
        <v>-1.7874587695674551</v>
      </c>
      <c r="J236" s="9">
        <f t="shared" si="286"/>
        <v>-1.1369587763156557</v>
      </c>
      <c r="K236" s="8">
        <v>-2.681</v>
      </c>
      <c r="L236" s="8">
        <f t="shared" si="287"/>
        <v>-4.0086196861797347</v>
      </c>
      <c r="M236" s="9">
        <f t="shared" si="281"/>
        <v>-2.0021537618723828</v>
      </c>
      <c r="O236" s="11">
        <f t="shared" si="288"/>
        <v>-1.5849920003661946</v>
      </c>
      <c r="P236" s="15" t="str">
        <f t="shared" si="297"/>
        <v>R</v>
      </c>
      <c r="Q236" t="str">
        <f t="shared" si="306"/>
        <v>R</v>
      </c>
      <c r="R236" s="18">
        <f t="shared" si="298"/>
        <v>-1.7354171154719196</v>
      </c>
      <c r="S236" t="str">
        <f t="shared" si="322"/>
        <v>R</v>
      </c>
      <c r="T236">
        <v>0</v>
      </c>
      <c r="V236" s="17">
        <f t="shared" si="339"/>
        <v>39994</v>
      </c>
      <c r="W236" s="1" t="e">
        <f t="shared" si="290"/>
        <v>#N/A</v>
      </c>
      <c r="X236" s="1" t="e">
        <f t="shared" si="291"/>
        <v>#N/A</v>
      </c>
      <c r="Y236" s="1" t="e">
        <f t="shared" si="292"/>
        <v>#N/A</v>
      </c>
      <c r="Z236" s="1">
        <f t="shared" si="293"/>
        <v>-1.5849920003661946</v>
      </c>
      <c r="AA236">
        <v>0</v>
      </c>
      <c r="AB236" s="1">
        <v>44.7</v>
      </c>
      <c r="AD236" s="17">
        <f t="shared" si="299"/>
        <v>39994</v>
      </c>
      <c r="AE236" s="1" t="e">
        <f t="shared" si="300"/>
        <v>#N/A</v>
      </c>
      <c r="AF236" s="1" t="e">
        <f t="shared" si="301"/>
        <v>#N/A</v>
      </c>
      <c r="AG236" s="1" t="e">
        <f t="shared" si="302"/>
        <v>#N/A</v>
      </c>
      <c r="AH236" s="1">
        <f t="shared" si="303"/>
        <v>-1.5849920003661946</v>
      </c>
      <c r="AK236" s="1"/>
      <c r="AL236" s="1"/>
      <c r="AM236" s="1"/>
      <c r="AN236" s="1"/>
      <c r="AO236" s="17">
        <f t="shared" si="307"/>
        <v>39994</v>
      </c>
      <c r="AP236">
        <f t="shared" si="308"/>
        <v>2</v>
      </c>
      <c r="AQ236">
        <f t="shared" si="309"/>
        <v>2</v>
      </c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7" t="e">
        <f t="shared" ref="BL236" si="349">#REF!</f>
        <v>#REF!</v>
      </c>
      <c r="BM236">
        <f t="shared" si="295"/>
        <v>2</v>
      </c>
      <c r="BN236">
        <f t="shared" si="296"/>
        <v>1</v>
      </c>
    </row>
    <row r="237" spans="1:66">
      <c r="A237" s="7">
        <v>40025</v>
      </c>
      <c r="B237" s="8">
        <v>-0.31009300000000001</v>
      </c>
      <c r="C237" s="8">
        <f t="shared" si="283"/>
        <v>-0.31603402995531488</v>
      </c>
      <c r="D237" s="9">
        <f t="shared" si="279"/>
        <v>-1.5801701497765743</v>
      </c>
      <c r="E237" s="8">
        <v>-14.1</v>
      </c>
      <c r="F237" s="8">
        <f t="shared" si="284"/>
        <v>-16.454398860554726</v>
      </c>
      <c r="G237" s="9">
        <f t="shared" si="280"/>
        <v>-1.4958544418686115</v>
      </c>
      <c r="H237" s="8">
        <v>0.1487</v>
      </c>
      <c r="I237" s="8">
        <f t="shared" si="285"/>
        <v>-1.2356535202407304</v>
      </c>
      <c r="J237" s="9">
        <f t="shared" si="286"/>
        <v>-0.91159953231401203</v>
      </c>
      <c r="K237" s="8">
        <v>-1.901</v>
      </c>
      <c r="L237" s="8">
        <f t="shared" si="287"/>
        <v>-3.4079480756185103</v>
      </c>
      <c r="M237" s="9">
        <f t="shared" si="281"/>
        <v>-1.8460628579814151</v>
      </c>
      <c r="O237" s="11">
        <f t="shared" si="288"/>
        <v>-1.4596666104091232</v>
      </c>
      <c r="P237" s="15" t="str">
        <f t="shared" si="297"/>
        <v>R</v>
      </c>
      <c r="Q237" t="str">
        <f t="shared" si="306"/>
        <v>R</v>
      </c>
      <c r="R237" s="18">
        <f t="shared" si="298"/>
        <v>-1.7354171154719196</v>
      </c>
      <c r="S237" t="str">
        <f t="shared" si="322"/>
        <v>R</v>
      </c>
      <c r="T237">
        <v>0</v>
      </c>
      <c r="V237" s="17">
        <f t="shared" si="339"/>
        <v>40025</v>
      </c>
      <c r="W237" s="1" t="e">
        <f t="shared" si="290"/>
        <v>#N/A</v>
      </c>
      <c r="X237" s="1" t="e">
        <f t="shared" si="291"/>
        <v>#N/A</v>
      </c>
      <c r="Y237" s="1" t="e">
        <f t="shared" si="292"/>
        <v>#N/A</v>
      </c>
      <c r="Z237" s="1">
        <f t="shared" si="293"/>
        <v>-1.4596666104091232</v>
      </c>
      <c r="AA237">
        <v>0</v>
      </c>
      <c r="AB237" s="1">
        <v>30.9</v>
      </c>
      <c r="AD237" s="17">
        <f t="shared" si="299"/>
        <v>40025</v>
      </c>
      <c r="AE237" s="1" t="e">
        <f t="shared" si="300"/>
        <v>#N/A</v>
      </c>
      <c r="AF237" s="1" t="e">
        <f t="shared" si="301"/>
        <v>#N/A</v>
      </c>
      <c r="AG237" s="1" t="e">
        <f t="shared" si="302"/>
        <v>#N/A</v>
      </c>
      <c r="AH237" s="1">
        <f t="shared" si="303"/>
        <v>-1.4596666104091232</v>
      </c>
      <c r="AK237" s="1"/>
      <c r="AL237" s="1"/>
      <c r="AM237" s="1"/>
      <c r="AN237" s="1"/>
      <c r="AO237" s="17">
        <f t="shared" si="307"/>
        <v>40025</v>
      </c>
      <c r="AP237">
        <f t="shared" si="308"/>
        <v>2</v>
      </c>
      <c r="AQ237">
        <f t="shared" si="309"/>
        <v>2</v>
      </c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7" t="e">
        <f t="shared" ref="BL237" si="350">#REF!</f>
        <v>#REF!</v>
      </c>
      <c r="BM237">
        <f t="shared" si="295"/>
        <v>2</v>
      </c>
      <c r="BN237">
        <f t="shared" si="296"/>
        <v>1</v>
      </c>
    </row>
    <row r="238" spans="1:66">
      <c r="A238" s="7">
        <v>40056</v>
      </c>
      <c r="B238" s="8">
        <v>-0.203234</v>
      </c>
      <c r="C238" s="8">
        <f t="shared" si="283"/>
        <v>-0.28388602141805014</v>
      </c>
      <c r="D238" s="9">
        <f t="shared" si="279"/>
        <v>-1.4194301070902506</v>
      </c>
      <c r="E238" s="8">
        <v>-12.2</v>
      </c>
      <c r="F238" s="8">
        <f t="shared" si="284"/>
        <v>-15.241895185296629</v>
      </c>
      <c r="G238" s="9">
        <f t="shared" si="280"/>
        <v>-1.3856268350269663</v>
      </c>
      <c r="H238" s="8">
        <v>0.14510000000000001</v>
      </c>
      <c r="I238" s="8">
        <f t="shared" si="285"/>
        <v>-0.8421387669721222</v>
      </c>
      <c r="J238" s="9">
        <f t="shared" si="286"/>
        <v>-0.64213876697212213</v>
      </c>
      <c r="K238" s="8">
        <v>-1.4810000000000001</v>
      </c>
      <c r="L238" s="8">
        <f t="shared" si="287"/>
        <v>-2.8587678740672349</v>
      </c>
      <c r="M238" s="9">
        <f t="shared" si="281"/>
        <v>-1.6907891276168163</v>
      </c>
      <c r="O238" s="11">
        <f t="shared" si="288"/>
        <v>-1.2905777116462902</v>
      </c>
      <c r="P238" s="15" t="str">
        <f t="shared" si="297"/>
        <v>R</v>
      </c>
      <c r="Q238" t="str">
        <f t="shared" si="306"/>
        <v>R</v>
      </c>
      <c r="R238" s="18">
        <f t="shared" si="298"/>
        <v>-1.7354171154719196</v>
      </c>
      <c r="S238" t="str">
        <f t="shared" si="322"/>
        <v>R</v>
      </c>
      <c r="T238">
        <v>0</v>
      </c>
      <c r="V238" s="17">
        <f t="shared" si="339"/>
        <v>40056</v>
      </c>
      <c r="W238" s="1" t="e">
        <f t="shared" si="290"/>
        <v>#N/A</v>
      </c>
      <c r="X238" s="1" t="e">
        <f t="shared" si="291"/>
        <v>#N/A</v>
      </c>
      <c r="Y238" s="1" t="e">
        <f t="shared" si="292"/>
        <v>#N/A</v>
      </c>
      <c r="Z238" s="1">
        <f t="shared" si="293"/>
        <v>-1.2905777116462902</v>
      </c>
      <c r="AA238">
        <v>0</v>
      </c>
      <c r="AB238" s="1">
        <v>66.599999999999994</v>
      </c>
      <c r="AD238" s="17">
        <f t="shared" si="299"/>
        <v>40056</v>
      </c>
      <c r="AE238" s="1" t="e">
        <f t="shared" si="300"/>
        <v>#N/A</v>
      </c>
      <c r="AF238" s="1" t="e">
        <f t="shared" si="301"/>
        <v>#N/A</v>
      </c>
      <c r="AG238" s="1" t="e">
        <f t="shared" si="302"/>
        <v>#N/A</v>
      </c>
      <c r="AH238" s="1">
        <f t="shared" si="303"/>
        <v>-1.2905777116462902</v>
      </c>
      <c r="AK238" s="1"/>
      <c r="AL238" s="1"/>
      <c r="AM238" s="1"/>
      <c r="AN238" s="1"/>
      <c r="AO238" s="17">
        <f t="shared" si="307"/>
        <v>40056</v>
      </c>
      <c r="AP238">
        <f t="shared" si="308"/>
        <v>2</v>
      </c>
      <c r="AQ238">
        <f t="shared" si="309"/>
        <v>2</v>
      </c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7" t="e">
        <f t="shared" ref="BL238" si="351">#REF!</f>
        <v>#REF!</v>
      </c>
      <c r="BM238">
        <f t="shared" si="295"/>
        <v>2</v>
      </c>
      <c r="BN238">
        <f t="shared" si="296"/>
        <v>1</v>
      </c>
    </row>
    <row r="239" spans="1:66">
      <c r="A239" s="7">
        <v>40086</v>
      </c>
      <c r="B239" s="8">
        <v>-0.117884</v>
      </c>
      <c r="C239" s="8">
        <f t="shared" si="283"/>
        <v>-0.23657544531390584</v>
      </c>
      <c r="D239" s="9">
        <f t="shared" si="279"/>
        <v>-1.1828772265695291</v>
      </c>
      <c r="E239" s="8">
        <v>-9.6999999999999993</v>
      </c>
      <c r="F239" s="8">
        <f t="shared" si="284"/>
        <v>-13.662455057487088</v>
      </c>
      <c r="G239" s="9">
        <f t="shared" si="280"/>
        <v>-1.2420413688624625</v>
      </c>
      <c r="H239" s="8">
        <v>-0.105</v>
      </c>
      <c r="I239" s="8">
        <f t="shared" si="285"/>
        <v>-0.63205421838506737</v>
      </c>
      <c r="J239" s="9">
        <f t="shared" si="286"/>
        <v>-0.43205421838506736</v>
      </c>
      <c r="K239" s="8">
        <v>-1.0669999999999999</v>
      </c>
      <c r="L239" s="8">
        <f t="shared" si="287"/>
        <v>-2.3481140299580732</v>
      </c>
      <c r="M239" s="9">
        <f t="shared" si="281"/>
        <v>-1.5323557126065974</v>
      </c>
      <c r="O239" s="11">
        <f t="shared" si="288"/>
        <v>-1.1232987524625422</v>
      </c>
      <c r="P239" s="15" t="str">
        <f t="shared" si="297"/>
        <v>R</v>
      </c>
      <c r="Q239" t="str">
        <f t="shared" si="306"/>
        <v>R</v>
      </c>
      <c r="R239" s="18">
        <f t="shared" si="298"/>
        <v>-1.7354171154719196</v>
      </c>
      <c r="S239" t="str">
        <f t="shared" si="322"/>
        <v>R</v>
      </c>
      <c r="T239">
        <v>0</v>
      </c>
      <c r="V239" s="17">
        <f t="shared" si="339"/>
        <v>40086</v>
      </c>
      <c r="W239" s="1" t="e">
        <f t="shared" si="290"/>
        <v>#N/A</v>
      </c>
      <c r="X239" s="1" t="e">
        <f t="shared" si="291"/>
        <v>#N/A</v>
      </c>
      <c r="Y239" s="1" t="e">
        <f t="shared" si="292"/>
        <v>#N/A</v>
      </c>
      <c r="Z239" s="1">
        <f t="shared" si="293"/>
        <v>-1.1232987524625422</v>
      </c>
      <c r="AA239">
        <v>0</v>
      </c>
      <c r="AB239" s="1">
        <v>48.5</v>
      </c>
      <c r="AD239" s="17">
        <f t="shared" si="299"/>
        <v>40086</v>
      </c>
      <c r="AE239" s="1" t="e">
        <f t="shared" si="300"/>
        <v>#N/A</v>
      </c>
      <c r="AF239" s="1" t="e">
        <f t="shared" si="301"/>
        <v>#N/A</v>
      </c>
      <c r="AG239" s="1" t="e">
        <f t="shared" si="302"/>
        <v>#N/A</v>
      </c>
      <c r="AH239" s="1">
        <f t="shared" si="303"/>
        <v>-1.1232987524625422</v>
      </c>
      <c r="AK239" s="1"/>
      <c r="AL239" s="1"/>
      <c r="AM239" s="1"/>
      <c r="AN239" s="1"/>
      <c r="AO239" s="17">
        <f t="shared" si="307"/>
        <v>40086</v>
      </c>
      <c r="AP239">
        <f t="shared" si="308"/>
        <v>2</v>
      </c>
      <c r="AQ239">
        <f t="shared" si="309"/>
        <v>2</v>
      </c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7" t="e">
        <f t="shared" ref="BL239" si="352">#REF!</f>
        <v>#REF!</v>
      </c>
      <c r="BM239">
        <f t="shared" si="295"/>
        <v>2</v>
      </c>
      <c r="BN239">
        <f t="shared" si="296"/>
        <v>1</v>
      </c>
    </row>
    <row r="240" spans="1:66">
      <c r="A240" s="7">
        <v>40117</v>
      </c>
      <c r="B240" s="8">
        <v>-7.7084E-2</v>
      </c>
      <c r="C240" s="8">
        <f t="shared" si="283"/>
        <v>-0.19112038339944265</v>
      </c>
      <c r="D240" s="9">
        <f t="shared" si="279"/>
        <v>-0.9556019169972132</v>
      </c>
      <c r="E240" s="8">
        <v>-6.2</v>
      </c>
      <c r="F240" s="8">
        <f t="shared" si="284"/>
        <v>-11.535655366103267</v>
      </c>
      <c r="G240" s="9">
        <f t="shared" si="280"/>
        <v>-1.0486959423730242</v>
      </c>
      <c r="H240" s="8">
        <v>-5.2600000000000001E-2</v>
      </c>
      <c r="I240" s="8">
        <f t="shared" si="285"/>
        <v>-0.46690976614532315</v>
      </c>
      <c r="J240" s="9">
        <f t="shared" si="286"/>
        <v>-0.26690976614532314</v>
      </c>
      <c r="K240" s="8">
        <v>-1.454</v>
      </c>
      <c r="L240" s="8">
        <f t="shared" si="287"/>
        <v>-2.0932915314200224</v>
      </c>
      <c r="M240" s="9">
        <f t="shared" si="281"/>
        <v>-1.4468211815632306</v>
      </c>
      <c r="O240" s="11">
        <f t="shared" si="288"/>
        <v>-0.98229188667102618</v>
      </c>
      <c r="P240" s="15" t="str">
        <f t="shared" si="297"/>
        <v>R</v>
      </c>
      <c r="Q240" t="str">
        <f t="shared" si="306"/>
        <v>R</v>
      </c>
      <c r="R240" s="18">
        <f t="shared" si="298"/>
        <v>-1.7354171154719196</v>
      </c>
      <c r="S240" t="str">
        <f t="shared" si="322"/>
        <v>R</v>
      </c>
      <c r="T240">
        <v>0</v>
      </c>
      <c r="V240" s="17">
        <f t="shared" si="339"/>
        <v>40117</v>
      </c>
      <c r="W240" s="1" t="e">
        <f t="shared" si="290"/>
        <v>#N/A</v>
      </c>
      <c r="X240" s="1" t="e">
        <f t="shared" si="291"/>
        <v>#N/A</v>
      </c>
      <c r="Y240" s="1" t="e">
        <f t="shared" si="292"/>
        <v>#N/A</v>
      </c>
      <c r="Z240" s="1">
        <f t="shared" si="293"/>
        <v>-0.98229188667102618</v>
      </c>
      <c r="AA240">
        <v>0</v>
      </c>
      <c r="AB240" s="1">
        <v>22.6</v>
      </c>
      <c r="AD240" s="17">
        <f t="shared" si="299"/>
        <v>40117</v>
      </c>
      <c r="AE240" s="1" t="e">
        <f t="shared" si="300"/>
        <v>#N/A</v>
      </c>
      <c r="AF240" s="1" t="e">
        <f t="shared" si="301"/>
        <v>#N/A</v>
      </c>
      <c r="AG240" s="1" t="e">
        <f t="shared" si="302"/>
        <v>#N/A</v>
      </c>
      <c r="AH240" s="1">
        <f t="shared" si="303"/>
        <v>-0.98229188667102618</v>
      </c>
      <c r="AK240" s="1"/>
      <c r="AL240" s="1"/>
      <c r="AM240" s="1"/>
      <c r="AN240" s="1"/>
      <c r="AO240" s="17">
        <f t="shared" si="307"/>
        <v>40117</v>
      </c>
      <c r="AP240">
        <f t="shared" si="308"/>
        <v>2</v>
      </c>
      <c r="AQ240">
        <f t="shared" si="309"/>
        <v>2</v>
      </c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7" t="e">
        <f t="shared" ref="BL240" si="353">#REF!</f>
        <v>#REF!</v>
      </c>
      <c r="BM240">
        <f t="shared" si="295"/>
        <v>2</v>
      </c>
      <c r="BN240">
        <f t="shared" si="296"/>
        <v>1</v>
      </c>
    </row>
    <row r="241" spans="1:66">
      <c r="A241" s="7">
        <v>40147</v>
      </c>
      <c r="B241" s="8">
        <v>-1.8918999999999998E-2</v>
      </c>
      <c r="C241" s="8">
        <f t="shared" si="283"/>
        <v>-0.14204298913060148</v>
      </c>
      <c r="D241" s="9">
        <f t="shared" si="279"/>
        <v>-0.71021494565300736</v>
      </c>
      <c r="E241" s="8">
        <v>-2.7</v>
      </c>
      <c r="F241" s="8">
        <f t="shared" si="284"/>
        <v>-9.0174935867638357</v>
      </c>
      <c r="G241" s="9">
        <f t="shared" si="280"/>
        <v>-0.81977214425125777</v>
      </c>
      <c r="H241" s="8">
        <v>0.11070000000000001</v>
      </c>
      <c r="I241" s="8">
        <f t="shared" si="285"/>
        <v>-0.30229098279390604</v>
      </c>
      <c r="J241" s="9">
        <f t="shared" si="286"/>
        <v>-0.10229098279390603</v>
      </c>
      <c r="K241" s="8">
        <v>-0.91</v>
      </c>
      <c r="L241" s="8">
        <f t="shared" si="287"/>
        <v>-1.756053444965316</v>
      </c>
      <c r="M241" s="9">
        <f t="shared" si="281"/>
        <v>-1.3251616674826192</v>
      </c>
      <c r="O241" s="11">
        <f t="shared" si="288"/>
        <v>-0.8138660723601655</v>
      </c>
      <c r="P241" s="15" t="str">
        <f t="shared" si="297"/>
        <v>R</v>
      </c>
      <c r="Q241" t="str">
        <f t="shared" si="306"/>
        <v>R</v>
      </c>
      <c r="R241" s="18">
        <f t="shared" si="298"/>
        <v>-1.7354171154719196</v>
      </c>
      <c r="S241" t="str">
        <f t="shared" si="322"/>
        <v>R</v>
      </c>
      <c r="T241">
        <v>0</v>
      </c>
      <c r="V241" s="17">
        <f t="shared" si="339"/>
        <v>40147</v>
      </c>
      <c r="W241" s="1" t="e">
        <f t="shared" si="290"/>
        <v>#N/A</v>
      </c>
      <c r="X241" s="1" t="e">
        <f t="shared" si="291"/>
        <v>#N/A</v>
      </c>
      <c r="Y241" s="1" t="e">
        <f t="shared" si="292"/>
        <v>#N/A</v>
      </c>
      <c r="Z241" s="1">
        <f t="shared" si="293"/>
        <v>-0.8138660723601655</v>
      </c>
      <c r="AA241">
        <v>0</v>
      </c>
      <c r="AB241" s="1">
        <v>-21.4</v>
      </c>
      <c r="AD241" s="17">
        <f t="shared" si="299"/>
        <v>40147</v>
      </c>
      <c r="AE241" s="1" t="e">
        <f t="shared" si="300"/>
        <v>#N/A</v>
      </c>
      <c r="AF241" s="1" t="e">
        <f t="shared" si="301"/>
        <v>#N/A</v>
      </c>
      <c r="AG241" s="1" t="e">
        <f t="shared" si="302"/>
        <v>#N/A</v>
      </c>
      <c r="AH241" s="1">
        <f t="shared" si="303"/>
        <v>-0.8138660723601655</v>
      </c>
      <c r="AK241" s="1"/>
      <c r="AL241" s="1"/>
      <c r="AM241" s="1"/>
      <c r="AN241" s="1"/>
      <c r="AO241" s="17">
        <f t="shared" si="307"/>
        <v>40147</v>
      </c>
      <c r="AP241">
        <f t="shared" si="308"/>
        <v>2</v>
      </c>
      <c r="AQ241">
        <f t="shared" si="309"/>
        <v>2</v>
      </c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7" t="e">
        <f t="shared" ref="BL241" si="354">#REF!</f>
        <v>#REF!</v>
      </c>
      <c r="BM241">
        <f t="shared" si="295"/>
        <v>2</v>
      </c>
      <c r="BN241">
        <f t="shared" si="296"/>
        <v>1</v>
      </c>
    </row>
    <row r="242" spans="1:66">
      <c r="A242" s="7">
        <v>40178</v>
      </c>
      <c r="B242" s="8">
        <v>0.101461</v>
      </c>
      <c r="C242" s="8">
        <f t="shared" si="283"/>
        <v>-7.2644352228380046E-2</v>
      </c>
      <c r="D242" s="9">
        <f t="shared" si="279"/>
        <v>-0.36322176114190019</v>
      </c>
      <c r="E242" s="8">
        <v>1.1000000000000001</v>
      </c>
      <c r="F242" s="8">
        <f t="shared" si="284"/>
        <v>-6.1340079145361424</v>
      </c>
      <c r="G242" s="9">
        <f t="shared" si="280"/>
        <v>-0.55763708313964933</v>
      </c>
      <c r="H242" s="8">
        <v>-8.0100000000000005E-2</v>
      </c>
      <c r="I242" s="8">
        <f t="shared" si="285"/>
        <v>-0.2389665526976428</v>
      </c>
      <c r="J242" s="9">
        <f t="shared" si="286"/>
        <v>-3.8966552697642792E-2</v>
      </c>
      <c r="K242" s="8">
        <v>-0.51</v>
      </c>
      <c r="L242" s="8">
        <f t="shared" si="287"/>
        <v>-1.400928213150201</v>
      </c>
      <c r="M242" s="9">
        <f t="shared" si="281"/>
        <v>-1.1836081332730868</v>
      </c>
      <c r="O242" s="11">
        <f t="shared" si="288"/>
        <v>-0.64902622518078612</v>
      </c>
      <c r="P242" s="15" t="str">
        <f t="shared" si="297"/>
        <v>R</v>
      </c>
      <c r="Q242" t="str">
        <f t="shared" si="306"/>
        <v>R</v>
      </c>
      <c r="R242" s="18">
        <f t="shared" si="298"/>
        <v>-1.7354171154719196</v>
      </c>
      <c r="S242" t="str">
        <f t="shared" si="322"/>
        <v>R</v>
      </c>
      <c r="T242">
        <v>0</v>
      </c>
      <c r="V242" s="17">
        <f t="shared" si="339"/>
        <v>40178</v>
      </c>
      <c r="W242" s="1" t="e">
        <f t="shared" si="290"/>
        <v>#N/A</v>
      </c>
      <c r="X242" s="1" t="e">
        <f t="shared" si="291"/>
        <v>#N/A</v>
      </c>
      <c r="Y242" s="1" t="e">
        <f t="shared" si="292"/>
        <v>#N/A</v>
      </c>
      <c r="Z242" s="1">
        <f t="shared" si="293"/>
        <v>-0.64902622518078612</v>
      </c>
      <c r="AA242">
        <v>0</v>
      </c>
      <c r="AB242" s="1">
        <v>18.399999999999999</v>
      </c>
      <c r="AD242" s="17">
        <f t="shared" si="299"/>
        <v>40178</v>
      </c>
      <c r="AE242" s="1" t="e">
        <f t="shared" si="300"/>
        <v>#N/A</v>
      </c>
      <c r="AF242" s="1" t="e">
        <f t="shared" si="301"/>
        <v>#N/A</v>
      </c>
      <c r="AG242" s="1" t="e">
        <f t="shared" si="302"/>
        <v>#N/A</v>
      </c>
      <c r="AH242" s="1">
        <f t="shared" si="303"/>
        <v>-0.64902622518078612</v>
      </c>
      <c r="AK242" s="1"/>
      <c r="AL242" s="1"/>
      <c r="AM242" s="1"/>
      <c r="AN242" s="1"/>
      <c r="AO242" s="17">
        <f t="shared" si="307"/>
        <v>40178</v>
      </c>
      <c r="AP242">
        <f t="shared" si="308"/>
        <v>2</v>
      </c>
      <c r="AQ242">
        <f t="shared" si="309"/>
        <v>2</v>
      </c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7" t="e">
        <f t="shared" ref="BL242" si="355">#REF!</f>
        <v>#REF!</v>
      </c>
      <c r="BM242">
        <f t="shared" si="295"/>
        <v>2</v>
      </c>
      <c r="BN242">
        <f t="shared" si="296"/>
        <v>1</v>
      </c>
    </row>
    <row r="243" spans="1:66">
      <c r="A243" s="7">
        <v>40209</v>
      </c>
      <c r="B243" s="8">
        <v>-8.4843000000000002E-2</v>
      </c>
      <c r="C243" s="8">
        <f t="shared" si="283"/>
        <v>-7.6120966843291726E-2</v>
      </c>
      <c r="D243" s="9">
        <f t="shared" si="279"/>
        <v>-0.38060483421645863</v>
      </c>
      <c r="E243" s="8">
        <v>3.7</v>
      </c>
      <c r="F243" s="8">
        <f t="shared" si="284"/>
        <v>-3.3313156588933417</v>
      </c>
      <c r="G243" s="9">
        <f t="shared" si="280"/>
        <v>-0.30284687808121286</v>
      </c>
      <c r="H243" s="8">
        <v>1.7299999999999999E-2</v>
      </c>
      <c r="I243" s="8">
        <f t="shared" si="285"/>
        <v>-0.16593058517881459</v>
      </c>
      <c r="J243" s="9">
        <f t="shared" si="286"/>
        <v>3.4069414821185418E-2</v>
      </c>
      <c r="K243" s="8">
        <v>-0.63400000000000001</v>
      </c>
      <c r="L243" s="8">
        <f t="shared" si="287"/>
        <v>-1.1823536724023938</v>
      </c>
      <c r="M243" s="9">
        <f t="shared" si="281"/>
        <v>-1.0873608749639623</v>
      </c>
      <c r="O243" s="11">
        <f t="shared" si="288"/>
        <v>-0.52133904640637363</v>
      </c>
      <c r="P243" s="15" t="str">
        <f t="shared" si="297"/>
        <v>R</v>
      </c>
      <c r="Q243" t="str">
        <f t="shared" si="306"/>
        <v>R</v>
      </c>
      <c r="R243" s="18">
        <f t="shared" si="298"/>
        <v>-1.7354171154719196</v>
      </c>
      <c r="S243" t="str">
        <f t="shared" si="322"/>
        <v>R</v>
      </c>
      <c r="T243">
        <v>0</v>
      </c>
      <c r="V243" s="17">
        <f t="shared" si="339"/>
        <v>40209</v>
      </c>
      <c r="W243" s="1" t="e">
        <f t="shared" si="290"/>
        <v>#N/A</v>
      </c>
      <c r="X243" s="1" t="e">
        <f t="shared" si="291"/>
        <v>#N/A</v>
      </c>
      <c r="Y243" s="1" t="e">
        <f t="shared" si="292"/>
        <v>#N/A</v>
      </c>
      <c r="Z243" s="1">
        <f t="shared" si="293"/>
        <v>-0.52133904640637363</v>
      </c>
      <c r="AA243">
        <v>0</v>
      </c>
      <c r="AB243" s="1">
        <v>14.8</v>
      </c>
      <c r="AD243" s="17">
        <f t="shared" si="299"/>
        <v>40209</v>
      </c>
      <c r="AE243" s="1" t="e">
        <f t="shared" si="300"/>
        <v>#N/A</v>
      </c>
      <c r="AF243" s="1" t="e">
        <f t="shared" si="301"/>
        <v>#N/A</v>
      </c>
      <c r="AG243" s="1" t="e">
        <f t="shared" si="302"/>
        <v>#N/A</v>
      </c>
      <c r="AH243" s="1">
        <f t="shared" si="303"/>
        <v>-0.52133904640637363</v>
      </c>
      <c r="AK243" s="1"/>
      <c r="AL243" s="1"/>
      <c r="AM243" s="1"/>
      <c r="AN243" s="1"/>
      <c r="AO243" s="17">
        <f t="shared" si="307"/>
        <v>40209</v>
      </c>
      <c r="AP243">
        <f t="shared" si="308"/>
        <v>2</v>
      </c>
      <c r="AQ243">
        <f t="shared" si="309"/>
        <v>2</v>
      </c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7" t="e">
        <f t="shared" ref="BL243" si="356">#REF!</f>
        <v>#REF!</v>
      </c>
      <c r="BM243">
        <f t="shared" si="295"/>
        <v>2</v>
      </c>
      <c r="BN243">
        <f t="shared" si="296"/>
        <v>1</v>
      </c>
    </row>
    <row r="244" spans="1:66">
      <c r="A244" s="7">
        <v>40237</v>
      </c>
      <c r="B244" s="8">
        <v>-9.4522999999999996E-2</v>
      </c>
      <c r="C244" s="8">
        <f t="shared" si="283"/>
        <v>-8.1365546292953589E-2</v>
      </c>
      <c r="D244" s="9">
        <f t="shared" si="279"/>
        <v>-0.40682773146476792</v>
      </c>
      <c r="E244" s="8">
        <v>5.0999999999999996</v>
      </c>
      <c r="F244" s="8">
        <f t="shared" si="284"/>
        <v>-0.92839069610873937</v>
      </c>
      <c r="G244" s="9">
        <f t="shared" si="280"/>
        <v>-8.4399154191703574E-2</v>
      </c>
      <c r="H244" s="8">
        <v>5.1299999999999998E-2</v>
      </c>
      <c r="I244" s="8">
        <f t="shared" si="285"/>
        <v>-0.10401986840285243</v>
      </c>
      <c r="J244" s="9">
        <f t="shared" si="286"/>
        <v>9.5980131597147578E-2</v>
      </c>
      <c r="K244" s="8">
        <v>-0.219</v>
      </c>
      <c r="L244" s="8">
        <f t="shared" si="287"/>
        <v>-0.90779787576771154</v>
      </c>
      <c r="M244" s="9">
        <f t="shared" si="281"/>
        <v>-0.45389893788385577</v>
      </c>
      <c r="O244" s="11">
        <f t="shared" si="288"/>
        <v>-0.23891247845685309</v>
      </c>
      <c r="P244" s="15" t="str">
        <f t="shared" si="297"/>
        <v>R</v>
      </c>
      <c r="Q244" t="str">
        <f t="shared" si="306"/>
        <v>R</v>
      </c>
      <c r="R244" s="18">
        <f t="shared" si="298"/>
        <v>-1.7354171154719196</v>
      </c>
      <c r="S244" t="str">
        <f t="shared" si="322"/>
        <v>R</v>
      </c>
      <c r="T244">
        <v>0</v>
      </c>
      <c r="V244" s="17">
        <f t="shared" si="339"/>
        <v>40237</v>
      </c>
      <c r="W244" s="1" t="e">
        <f t="shared" si="290"/>
        <v>#N/A</v>
      </c>
      <c r="X244" s="1" t="e">
        <f t="shared" si="291"/>
        <v>#N/A</v>
      </c>
      <c r="Y244" s="1" t="e">
        <f t="shared" si="292"/>
        <v>#N/A</v>
      </c>
      <c r="Z244" s="1">
        <f t="shared" si="293"/>
        <v>-0.23891247845685309</v>
      </c>
      <c r="AA244">
        <v>0</v>
      </c>
      <c r="AB244" s="1">
        <v>23.7</v>
      </c>
      <c r="AD244" s="17">
        <f t="shared" si="299"/>
        <v>40237</v>
      </c>
      <c r="AE244" s="1" t="e">
        <f t="shared" si="300"/>
        <v>#N/A</v>
      </c>
      <c r="AF244" s="1" t="e">
        <f t="shared" si="301"/>
        <v>#N/A</v>
      </c>
      <c r="AG244" s="1" t="e">
        <f t="shared" si="302"/>
        <v>#N/A</v>
      </c>
      <c r="AH244" s="1">
        <f t="shared" si="303"/>
        <v>-0.23891247845685309</v>
      </c>
      <c r="AK244" s="1"/>
      <c r="AL244" s="1"/>
      <c r="AM244" s="1"/>
      <c r="AN244" s="1"/>
      <c r="AO244" s="17">
        <f t="shared" si="307"/>
        <v>40237</v>
      </c>
      <c r="AP244">
        <f t="shared" si="308"/>
        <v>2</v>
      </c>
      <c r="AQ244">
        <f t="shared" si="309"/>
        <v>2</v>
      </c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7" t="e">
        <f t="shared" ref="BL244" si="357">#REF!</f>
        <v>#REF!</v>
      </c>
      <c r="BM244">
        <f t="shared" si="295"/>
        <v>2</v>
      </c>
      <c r="BN244">
        <f t="shared" si="296"/>
        <v>1</v>
      </c>
    </row>
    <row r="245" spans="1:66">
      <c r="A245" s="7">
        <v>40268</v>
      </c>
      <c r="B245" s="8">
        <v>-4.3326999999999997E-2</v>
      </c>
      <c r="C245" s="8">
        <f t="shared" si="283"/>
        <v>-7.0524560599461814E-2</v>
      </c>
      <c r="D245" s="9">
        <f t="shared" si="279"/>
        <v>-0.35262280299730903</v>
      </c>
      <c r="E245" s="8">
        <v>8.8000000000000007</v>
      </c>
      <c r="F245" s="8">
        <f t="shared" si="284"/>
        <v>1.8442006522822518</v>
      </c>
      <c r="G245" s="9">
        <f t="shared" si="280"/>
        <v>0.16765460475293198</v>
      </c>
      <c r="H245" s="8">
        <v>0.60250000000000004</v>
      </c>
      <c r="I245" s="8">
        <f t="shared" si="285"/>
        <v>9.7338294091960528E-2</v>
      </c>
      <c r="J245" s="9">
        <f t="shared" si="286"/>
        <v>0.29733829409196055</v>
      </c>
      <c r="K245" s="8">
        <v>0.03</v>
      </c>
      <c r="L245" s="8">
        <f t="shared" si="287"/>
        <v>-0.64052548117391372</v>
      </c>
      <c r="M245" s="9">
        <f t="shared" si="281"/>
        <v>-0.32026274058695686</v>
      </c>
      <c r="O245" s="11">
        <f t="shared" si="288"/>
        <v>-6.7459360505740862E-2</v>
      </c>
      <c r="P245" s="15" t="str">
        <f t="shared" si="297"/>
        <v>R</v>
      </c>
      <c r="Q245" t="str">
        <f t="shared" si="306"/>
        <v>R</v>
      </c>
      <c r="R245" s="18">
        <f t="shared" si="298"/>
        <v>-1.7354171154719196</v>
      </c>
      <c r="S245" t="str">
        <f t="shared" si="322"/>
        <v>R</v>
      </c>
      <c r="T245">
        <v>0</v>
      </c>
      <c r="V245" s="17">
        <f t="shared" si="339"/>
        <v>40268</v>
      </c>
      <c r="W245" s="1">
        <f t="shared" si="290"/>
        <v>-6.7459360505740862E-2</v>
      </c>
      <c r="X245" s="1" t="e">
        <f t="shared" si="291"/>
        <v>#N/A</v>
      </c>
      <c r="Y245" s="1" t="e">
        <f t="shared" si="292"/>
        <v>#N/A</v>
      </c>
      <c r="Z245" s="1">
        <f t="shared" si="293"/>
        <v>-6.7459360505740862E-2</v>
      </c>
      <c r="AA245">
        <v>0</v>
      </c>
      <c r="AB245" s="1">
        <v>33.799999999999997</v>
      </c>
      <c r="AD245" s="17">
        <f t="shared" si="299"/>
        <v>40268</v>
      </c>
      <c r="AE245" s="1">
        <f t="shared" si="300"/>
        <v>-6.7459360505740862E-2</v>
      </c>
      <c r="AF245" s="1" t="e">
        <f t="shared" si="301"/>
        <v>#N/A</v>
      </c>
      <c r="AG245" s="1" t="e">
        <f t="shared" si="302"/>
        <v>#N/A</v>
      </c>
      <c r="AH245" s="1">
        <f t="shared" si="303"/>
        <v>-6.7459360505740862E-2</v>
      </c>
      <c r="AK245" s="1"/>
      <c r="AL245" s="1"/>
      <c r="AM245" s="1"/>
      <c r="AN245" s="1"/>
      <c r="AO245" s="17">
        <f t="shared" si="307"/>
        <v>40268</v>
      </c>
      <c r="AP245">
        <f t="shared" si="308"/>
        <v>2</v>
      </c>
      <c r="AQ245">
        <f t="shared" si="309"/>
        <v>2</v>
      </c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7" t="e">
        <f t="shared" ref="BL245" si="358">#REF!</f>
        <v>#REF!</v>
      </c>
      <c r="BM245">
        <f t="shared" si="295"/>
        <v>2</v>
      </c>
      <c r="BN245">
        <f t="shared" si="296"/>
        <v>1</v>
      </c>
    </row>
    <row r="246" spans="1:66">
      <c r="A246" s="7">
        <v>40298</v>
      </c>
      <c r="B246" s="8">
        <v>-0.121167</v>
      </c>
      <c r="C246" s="8">
        <f t="shared" si="283"/>
        <v>-8.4957655828615197E-2</v>
      </c>
      <c r="D246" s="9">
        <f t="shared" si="279"/>
        <v>-0.42478827914307599</v>
      </c>
      <c r="E246" s="8">
        <v>9</v>
      </c>
      <c r="F246" s="8">
        <f t="shared" si="284"/>
        <v>3.8836034663818104</v>
      </c>
      <c r="G246" s="9">
        <f t="shared" si="280"/>
        <v>0.35305486058016461</v>
      </c>
      <c r="H246" s="8">
        <v>0.76819999999999999</v>
      </c>
      <c r="I246" s="8">
        <f t="shared" si="285"/>
        <v>0.28853388027575178</v>
      </c>
      <c r="J246" s="9">
        <f t="shared" si="286"/>
        <v>0.48853388027575179</v>
      </c>
      <c r="K246" s="8">
        <v>-0.21</v>
      </c>
      <c r="L246" s="8">
        <f t="shared" si="287"/>
        <v>-0.51782571903934826</v>
      </c>
      <c r="M246" s="9">
        <f t="shared" si="281"/>
        <v>-0.25891285951967413</v>
      </c>
      <c r="O246" s="11">
        <f t="shared" si="288"/>
        <v>7.6703859738395302E-2</v>
      </c>
      <c r="P246" s="15" t="str">
        <f t="shared" si="297"/>
        <v>E</v>
      </c>
      <c r="Q246" t="str">
        <f t="shared" si="306"/>
        <v>E</v>
      </c>
      <c r="R246" s="18">
        <f t="shared" si="298"/>
        <v>7.6703859738395302E-2</v>
      </c>
      <c r="S246" t="str">
        <f t="shared" si="322"/>
        <v>E</v>
      </c>
      <c r="T246">
        <v>0</v>
      </c>
      <c r="V246" s="17">
        <f t="shared" si="339"/>
        <v>40298</v>
      </c>
      <c r="W246" s="1">
        <f t="shared" si="290"/>
        <v>7.6703859738395302E-2</v>
      </c>
      <c r="X246" s="1" t="e">
        <f t="shared" si="291"/>
        <v>#N/A</v>
      </c>
      <c r="Y246" s="1" t="e">
        <f t="shared" si="292"/>
        <v>#N/A</v>
      </c>
      <c r="Z246" s="1" t="e">
        <f t="shared" si="293"/>
        <v>#N/A</v>
      </c>
      <c r="AA246">
        <v>0</v>
      </c>
      <c r="AB246" s="1">
        <v>20.3</v>
      </c>
      <c r="AD246" s="17">
        <f t="shared" si="299"/>
        <v>40298</v>
      </c>
      <c r="AE246" s="1">
        <f t="shared" si="300"/>
        <v>7.6703859738395302E-2</v>
      </c>
      <c r="AF246" s="1" t="e">
        <f t="shared" si="301"/>
        <v>#N/A</v>
      </c>
      <c r="AG246" s="1" t="e">
        <f t="shared" si="302"/>
        <v>#N/A</v>
      </c>
      <c r="AH246" s="1" t="e">
        <f t="shared" si="303"/>
        <v>#N/A</v>
      </c>
      <c r="AK246" s="1"/>
      <c r="AL246" s="1"/>
      <c r="AM246" s="1"/>
      <c r="AN246" s="1"/>
      <c r="AO246" s="17">
        <f t="shared" si="307"/>
        <v>40298</v>
      </c>
      <c r="AP246">
        <f t="shared" si="308"/>
        <v>4</v>
      </c>
      <c r="AQ246">
        <f t="shared" si="309"/>
        <v>4</v>
      </c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7" t="e">
        <f t="shared" ref="BL246" si="359">#REF!</f>
        <v>#REF!</v>
      </c>
      <c r="BM246">
        <f t="shared" si="295"/>
        <v>4</v>
      </c>
      <c r="BN246">
        <f t="shared" si="296"/>
        <v>1</v>
      </c>
    </row>
    <row r="247" spans="1:66">
      <c r="A247" s="7">
        <v>40329</v>
      </c>
      <c r="B247" s="8">
        <v>-0.25703900000000002</v>
      </c>
      <c r="C247" s="8">
        <f t="shared" si="283"/>
        <v>-0.13400083891745987</v>
      </c>
      <c r="D247" s="9">
        <f t="shared" si="279"/>
        <v>-0.67000419458729932</v>
      </c>
      <c r="E247" s="8">
        <v>8.8000000000000007</v>
      </c>
      <c r="F247" s="8">
        <f t="shared" si="284"/>
        <v>5.2847764784629945</v>
      </c>
      <c r="G247" s="9">
        <f t="shared" si="280"/>
        <v>0.48043422531481766</v>
      </c>
      <c r="H247" s="8">
        <v>0.70079999999999998</v>
      </c>
      <c r="I247" s="8">
        <f t="shared" si="285"/>
        <v>0.40602972439716256</v>
      </c>
      <c r="J247" s="9">
        <f t="shared" si="286"/>
        <v>0.60602972439716263</v>
      </c>
      <c r="K247" s="8">
        <v>-1.476</v>
      </c>
      <c r="L247" s="8">
        <f t="shared" si="287"/>
        <v>-0.79090538911313402</v>
      </c>
      <c r="M247" s="9">
        <f t="shared" si="281"/>
        <v>-0.39545269455656701</v>
      </c>
      <c r="O247" s="11">
        <f t="shared" si="288"/>
        <v>0.10208914766749812</v>
      </c>
      <c r="P247" s="15" t="str">
        <f t="shared" si="297"/>
        <v>E</v>
      </c>
      <c r="Q247" t="str">
        <f t="shared" si="306"/>
        <v>E</v>
      </c>
      <c r="R247" s="18">
        <f t="shared" si="298"/>
        <v>7.6703859738395302E-2</v>
      </c>
      <c r="S247" t="str">
        <f t="shared" si="322"/>
        <v>E</v>
      </c>
      <c r="T247">
        <v>0</v>
      </c>
      <c r="V247" s="17">
        <f t="shared" si="339"/>
        <v>40329</v>
      </c>
      <c r="W247" s="1">
        <f t="shared" si="290"/>
        <v>0.10208914766749812</v>
      </c>
      <c r="X247" s="1" t="e">
        <f t="shared" si="291"/>
        <v>#N/A</v>
      </c>
      <c r="Y247" s="1">
        <f t="shared" si="292"/>
        <v>0.10208914766749812</v>
      </c>
      <c r="Z247" s="1" t="e">
        <f t="shared" si="293"/>
        <v>#N/A</v>
      </c>
      <c r="AA247">
        <v>0</v>
      </c>
      <c r="AB247" s="1">
        <v>21.7</v>
      </c>
      <c r="AD247" s="17">
        <f t="shared" si="299"/>
        <v>40329</v>
      </c>
      <c r="AE247" s="1">
        <f t="shared" si="300"/>
        <v>0.10208914766749812</v>
      </c>
      <c r="AF247" s="1" t="e">
        <f t="shared" si="301"/>
        <v>#N/A</v>
      </c>
      <c r="AG247" s="1">
        <f t="shared" si="302"/>
        <v>0.10208914766749812</v>
      </c>
      <c r="AH247" s="1" t="e">
        <f t="shared" si="303"/>
        <v>#N/A</v>
      </c>
      <c r="AK247" s="1"/>
      <c r="AL247" s="1"/>
      <c r="AM247" s="1"/>
      <c r="AN247" s="1"/>
      <c r="AO247" s="17">
        <f t="shared" si="307"/>
        <v>40329</v>
      </c>
      <c r="AP247">
        <f t="shared" si="308"/>
        <v>4</v>
      </c>
      <c r="AQ247">
        <f t="shared" si="309"/>
        <v>4</v>
      </c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7" t="e">
        <f t="shared" ref="BL247" si="360">#REF!</f>
        <v>#REF!</v>
      </c>
      <c r="BM247">
        <f t="shared" si="295"/>
        <v>4</v>
      </c>
      <c r="BN247">
        <f t="shared" si="296"/>
        <v>1</v>
      </c>
    </row>
    <row r="248" spans="1:66">
      <c r="A248" s="7">
        <v>40359</v>
      </c>
      <c r="B248" s="8">
        <v>-0.18156900000000001</v>
      </c>
      <c r="C248" s="8">
        <f t="shared" si="283"/>
        <v>-0.14755776482598382</v>
      </c>
      <c r="D248" s="9">
        <f t="shared" si="279"/>
        <v>-0.73778882412991909</v>
      </c>
      <c r="E248" s="8">
        <v>8.1999999999999993</v>
      </c>
      <c r="F248" s="8">
        <f t="shared" si="284"/>
        <v>6.1156151821010409</v>
      </c>
      <c r="G248" s="9">
        <f t="shared" si="280"/>
        <v>0.55596501655464003</v>
      </c>
      <c r="H248" s="8">
        <v>-6.7299999999999999E-2</v>
      </c>
      <c r="I248" s="8">
        <f t="shared" si="285"/>
        <v>0.27113075294397121</v>
      </c>
      <c r="J248" s="9">
        <f t="shared" si="286"/>
        <v>0.47113075294397122</v>
      </c>
      <c r="K248" s="8">
        <v>-1.758</v>
      </c>
      <c r="L248" s="8">
        <f t="shared" si="287"/>
        <v>-1.066527353215891</v>
      </c>
      <c r="M248" s="9">
        <f t="shared" si="281"/>
        <v>-1.0327281119519749</v>
      </c>
      <c r="O248" s="11">
        <f t="shared" si="288"/>
        <v>-9.8127822520947705E-2</v>
      </c>
      <c r="P248" s="15" t="str">
        <f t="shared" si="297"/>
        <v>C</v>
      </c>
      <c r="Q248" t="str">
        <f t="shared" si="306"/>
        <v>C</v>
      </c>
      <c r="R248" s="18">
        <f t="shared" si="298"/>
        <v>-9.8127822520947705E-2</v>
      </c>
      <c r="S248" t="str">
        <f t="shared" si="322"/>
        <v>C</v>
      </c>
      <c r="T248">
        <v>0</v>
      </c>
      <c r="V248" s="17">
        <f t="shared" si="339"/>
        <v>40359</v>
      </c>
      <c r="W248" s="1" t="e">
        <f t="shared" si="290"/>
        <v>#N/A</v>
      </c>
      <c r="X248" s="1" t="e">
        <f t="shared" si="291"/>
        <v>#N/A</v>
      </c>
      <c r="Y248" s="1">
        <f t="shared" si="292"/>
        <v>-9.8127822520947705E-2</v>
      </c>
      <c r="Z248" s="1">
        <f t="shared" si="293"/>
        <v>-9.8127822520947705E-2</v>
      </c>
      <c r="AA248">
        <v>0</v>
      </c>
      <c r="AB248" s="1">
        <v>-35.9</v>
      </c>
      <c r="AD248" s="17">
        <f t="shared" si="299"/>
        <v>40359</v>
      </c>
      <c r="AE248" s="1" t="e">
        <f t="shared" si="300"/>
        <v>#N/A</v>
      </c>
      <c r="AF248" s="1" t="e">
        <f t="shared" si="301"/>
        <v>#N/A</v>
      </c>
      <c r="AG248" s="1">
        <f t="shared" si="302"/>
        <v>-9.8127822520947705E-2</v>
      </c>
      <c r="AH248" s="1">
        <f t="shared" si="303"/>
        <v>-9.8127822520947705E-2</v>
      </c>
      <c r="AK248" s="1"/>
      <c r="AL248" s="1"/>
      <c r="AM248" s="1"/>
      <c r="AN248" s="1"/>
      <c r="AO248" s="17">
        <f t="shared" si="307"/>
        <v>40359</v>
      </c>
      <c r="AP248">
        <f t="shared" si="308"/>
        <v>1</v>
      </c>
      <c r="AQ248">
        <f t="shared" si="309"/>
        <v>1</v>
      </c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7" t="e">
        <f t="shared" ref="BL248" si="361">#REF!</f>
        <v>#REF!</v>
      </c>
      <c r="BM248">
        <f t="shared" si="295"/>
        <v>1</v>
      </c>
      <c r="BN248">
        <f t="shared" si="296"/>
        <v>1</v>
      </c>
    </row>
    <row r="249" spans="1:66">
      <c r="A249" s="7">
        <v>40390</v>
      </c>
      <c r="B249" s="8">
        <v>-0.216665</v>
      </c>
      <c r="C249" s="8">
        <f t="shared" si="283"/>
        <v>-0.16725332685057842</v>
      </c>
      <c r="D249" s="9">
        <f t="shared" si="279"/>
        <v>-0.83626663425289205</v>
      </c>
      <c r="E249" s="8">
        <v>7.7</v>
      </c>
      <c r="F249" s="8">
        <f t="shared" si="284"/>
        <v>6.567164855202245</v>
      </c>
      <c r="G249" s="9">
        <f t="shared" si="280"/>
        <v>0.59701498683656773</v>
      </c>
      <c r="H249" s="8">
        <v>4.2900000000000001E-2</v>
      </c>
      <c r="I249" s="8">
        <f t="shared" si="285"/>
        <v>0.20608498835493941</v>
      </c>
      <c r="J249" s="9">
        <f t="shared" si="286"/>
        <v>0.40608498835493945</v>
      </c>
      <c r="K249" s="8">
        <v>-0.878</v>
      </c>
      <c r="L249" s="8">
        <f t="shared" si="287"/>
        <v>-1.0127970575493621</v>
      </c>
      <c r="M249" s="9">
        <f t="shared" si="281"/>
        <v>-1.0063781881327527</v>
      </c>
      <c r="O249" s="11">
        <f t="shared" si="288"/>
        <v>-9.6925118392241189E-2</v>
      </c>
      <c r="P249" s="15" t="str">
        <f t="shared" si="297"/>
        <v>R</v>
      </c>
      <c r="Q249" t="str">
        <f t="shared" si="306"/>
        <v>C</v>
      </c>
      <c r="R249" s="18">
        <f t="shared" si="298"/>
        <v>-9.8127822520947705E-2</v>
      </c>
      <c r="S249" t="str">
        <f t="shared" si="322"/>
        <v>R</v>
      </c>
      <c r="T249">
        <v>0</v>
      </c>
      <c r="V249" s="17">
        <f t="shared" si="339"/>
        <v>40390</v>
      </c>
      <c r="W249" s="1">
        <f t="shared" si="290"/>
        <v>-9.6925118392241189E-2</v>
      </c>
      <c r="X249" s="1" t="e">
        <f t="shared" si="291"/>
        <v>#N/A</v>
      </c>
      <c r="Y249" s="1" t="e">
        <f t="shared" si="292"/>
        <v>#N/A</v>
      </c>
      <c r="Z249" s="1">
        <f t="shared" si="293"/>
        <v>-9.6925118392241189E-2</v>
      </c>
      <c r="AA249">
        <v>0</v>
      </c>
      <c r="AB249" s="1">
        <v>-41.1</v>
      </c>
      <c r="AD249" s="17">
        <f t="shared" si="299"/>
        <v>40390</v>
      </c>
      <c r="AE249" s="1">
        <f t="shared" si="300"/>
        <v>-9.6925118392241189E-2</v>
      </c>
      <c r="AF249" s="1" t="e">
        <f t="shared" si="301"/>
        <v>#N/A</v>
      </c>
      <c r="AG249" s="1" t="e">
        <f t="shared" si="302"/>
        <v>#N/A</v>
      </c>
      <c r="AH249" s="1">
        <f t="shared" si="303"/>
        <v>-9.6925118392241189E-2</v>
      </c>
      <c r="AK249" s="1"/>
      <c r="AL249" s="1"/>
      <c r="AM249" s="1"/>
      <c r="AN249" s="1"/>
      <c r="AO249" s="17">
        <f t="shared" si="307"/>
        <v>40390</v>
      </c>
      <c r="AP249">
        <f t="shared" si="308"/>
        <v>2</v>
      </c>
      <c r="AQ249">
        <f t="shared" si="309"/>
        <v>1</v>
      </c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7" t="e">
        <f t="shared" ref="BL249" si="362">#REF!</f>
        <v>#REF!</v>
      </c>
      <c r="BM249">
        <f t="shared" si="295"/>
        <v>1</v>
      </c>
      <c r="BN249">
        <f t="shared" si="296"/>
        <v>1</v>
      </c>
    </row>
    <row r="250" spans="1:66">
      <c r="A250" s="7">
        <v>40421</v>
      </c>
      <c r="B250" s="8">
        <v>-0.16535900000000001</v>
      </c>
      <c r="C250" s="8">
        <f t="shared" si="283"/>
        <v>-0.16671344369816357</v>
      </c>
      <c r="D250" s="9">
        <f t="shared" si="279"/>
        <v>-0.83356721849081783</v>
      </c>
      <c r="E250" s="8">
        <v>7.1</v>
      </c>
      <c r="F250" s="8">
        <f t="shared" si="284"/>
        <v>6.7190228714696056</v>
      </c>
      <c r="G250" s="9">
        <f t="shared" si="280"/>
        <v>0.61082026104269138</v>
      </c>
      <c r="H250" s="8">
        <v>-6.8900000000000003E-2</v>
      </c>
      <c r="I250" s="8">
        <f t="shared" si="285"/>
        <v>0.12771426667378166</v>
      </c>
      <c r="J250" s="9">
        <f t="shared" si="286"/>
        <v>0.32771426667378167</v>
      </c>
      <c r="K250" s="8">
        <v>-0.94</v>
      </c>
      <c r="L250" s="8">
        <f t="shared" si="287"/>
        <v>-0.99204989614779393</v>
      </c>
      <c r="M250" s="9">
        <f t="shared" si="281"/>
        <v>-0.49602494807389697</v>
      </c>
      <c r="O250" s="11">
        <f t="shared" si="288"/>
        <v>4.5254569781853923E-2</v>
      </c>
      <c r="P250" s="15" t="str">
        <f t="shared" si="297"/>
        <v>E</v>
      </c>
      <c r="Q250" t="str">
        <f t="shared" si="306"/>
        <v>E</v>
      </c>
      <c r="R250" s="18">
        <f t="shared" si="298"/>
        <v>4.5254569781853923E-2</v>
      </c>
      <c r="S250" t="str">
        <f t="shared" si="322"/>
        <v>E</v>
      </c>
      <c r="T250">
        <v>0</v>
      </c>
      <c r="V250" s="17">
        <f t="shared" si="339"/>
        <v>40421</v>
      </c>
      <c r="W250" s="1">
        <f t="shared" si="290"/>
        <v>4.5254569781853923E-2</v>
      </c>
      <c r="X250" s="1">
        <f t="shared" si="291"/>
        <v>4.5254569781853923E-2</v>
      </c>
      <c r="Y250" s="1" t="e">
        <f t="shared" si="292"/>
        <v>#N/A</v>
      </c>
      <c r="Z250" s="1" t="e">
        <f t="shared" si="293"/>
        <v>#N/A</v>
      </c>
      <c r="AA250">
        <v>0</v>
      </c>
      <c r="AB250" s="1">
        <v>-53.1</v>
      </c>
      <c r="AD250" s="17">
        <f t="shared" si="299"/>
        <v>40421</v>
      </c>
      <c r="AE250" s="1">
        <f t="shared" si="300"/>
        <v>4.5254569781853923E-2</v>
      </c>
      <c r="AF250" s="1" t="e">
        <f t="shared" si="301"/>
        <v>#N/A</v>
      </c>
      <c r="AG250" s="1" t="e">
        <f t="shared" si="302"/>
        <v>#N/A</v>
      </c>
      <c r="AH250" s="1" t="e">
        <f t="shared" si="303"/>
        <v>#N/A</v>
      </c>
      <c r="AK250" s="1"/>
      <c r="AL250" s="1"/>
      <c r="AM250" s="1"/>
      <c r="AN250" s="1"/>
      <c r="AO250" s="17">
        <f t="shared" si="307"/>
        <v>40421</v>
      </c>
      <c r="AP250">
        <f t="shared" si="308"/>
        <v>4</v>
      </c>
      <c r="AQ250">
        <f t="shared" si="309"/>
        <v>4</v>
      </c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7" t="e">
        <f t="shared" ref="BL250" si="363">#REF!</f>
        <v>#REF!</v>
      </c>
      <c r="BM250">
        <f t="shared" si="295"/>
        <v>4</v>
      </c>
      <c r="BN250">
        <f t="shared" si="296"/>
        <v>1</v>
      </c>
    </row>
    <row r="251" spans="1:66">
      <c r="A251" s="7">
        <v>40451</v>
      </c>
      <c r="B251" s="8">
        <v>-0.125582</v>
      </c>
      <c r="C251" s="8">
        <f t="shared" si="283"/>
        <v>-0.15499098224418695</v>
      </c>
      <c r="D251" s="9">
        <f t="shared" si="279"/>
        <v>-0.77495491122093474</v>
      </c>
      <c r="E251" s="8">
        <v>6.6</v>
      </c>
      <c r="F251" s="8">
        <f t="shared" si="284"/>
        <v>6.6851013531007677</v>
      </c>
      <c r="G251" s="9">
        <f t="shared" si="280"/>
        <v>0.60773648664552438</v>
      </c>
      <c r="H251" s="8">
        <v>-0.24859999999999999</v>
      </c>
      <c r="I251" s="8">
        <f t="shared" si="285"/>
        <v>2.0464700671753891E-2</v>
      </c>
      <c r="J251" s="9">
        <f t="shared" si="286"/>
        <v>0.22046470067175389</v>
      </c>
      <c r="K251" s="8">
        <v>-0.751</v>
      </c>
      <c r="L251" s="8">
        <f t="shared" si="287"/>
        <v>-0.92335067574567264</v>
      </c>
      <c r="M251" s="9">
        <f t="shared" si="281"/>
        <v>-0.46167533787283632</v>
      </c>
      <c r="O251" s="11">
        <f t="shared" si="288"/>
        <v>3.3387396030389205E-2</v>
      </c>
      <c r="P251" s="15" t="str">
        <f t="shared" si="297"/>
        <v>SD</v>
      </c>
      <c r="Q251" t="str">
        <f t="shared" si="306"/>
        <v>E</v>
      </c>
      <c r="R251" s="18">
        <f t="shared" si="298"/>
        <v>4.5254569781853923E-2</v>
      </c>
      <c r="S251" t="str">
        <f t="shared" si="322"/>
        <v>E</v>
      </c>
      <c r="T251">
        <v>0</v>
      </c>
      <c r="V251" s="17">
        <f t="shared" si="339"/>
        <v>40451</v>
      </c>
      <c r="W251" s="1" t="e">
        <f t="shared" si="290"/>
        <v>#N/A</v>
      </c>
      <c r="X251" s="1">
        <f t="shared" si="291"/>
        <v>3.3387396030389205E-2</v>
      </c>
      <c r="Y251" s="1" t="e">
        <f t="shared" si="292"/>
        <v>#N/A</v>
      </c>
      <c r="Z251" s="1" t="e">
        <f t="shared" si="293"/>
        <v>#N/A</v>
      </c>
      <c r="AA251">
        <v>0</v>
      </c>
      <c r="AB251" s="1">
        <v>-7.9</v>
      </c>
      <c r="AD251" s="17">
        <f t="shared" si="299"/>
        <v>40451</v>
      </c>
      <c r="AE251" s="1">
        <f t="shared" si="300"/>
        <v>3.3387396030389205E-2</v>
      </c>
      <c r="AF251" s="1" t="e">
        <f t="shared" si="301"/>
        <v>#N/A</v>
      </c>
      <c r="AG251" s="1" t="e">
        <f t="shared" si="302"/>
        <v>#N/A</v>
      </c>
      <c r="AH251" s="1" t="e">
        <f t="shared" si="303"/>
        <v>#N/A</v>
      </c>
      <c r="AK251" s="1"/>
      <c r="AL251" s="1"/>
      <c r="AM251" s="1"/>
      <c r="AN251" s="1"/>
      <c r="AO251" s="17">
        <f t="shared" si="307"/>
        <v>40451</v>
      </c>
      <c r="AP251">
        <f t="shared" si="308"/>
        <v>3</v>
      </c>
      <c r="AQ251">
        <f t="shared" si="309"/>
        <v>4</v>
      </c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7" t="e">
        <f t="shared" ref="BL251" si="364">#REF!</f>
        <v>#REF!</v>
      </c>
      <c r="BM251">
        <f t="shared" si="295"/>
        <v>4</v>
      </c>
      <c r="BN251">
        <f t="shared" si="296"/>
        <v>1</v>
      </c>
    </row>
    <row r="252" spans="1:66">
      <c r="A252" s="7">
        <v>40482</v>
      </c>
      <c r="B252" s="8">
        <v>-0.17252700000000001</v>
      </c>
      <c r="C252" s="8">
        <f t="shared" si="283"/>
        <v>-0.15998874730459367</v>
      </c>
      <c r="D252" s="9">
        <f t="shared" si="279"/>
        <v>-0.79994373652296835</v>
      </c>
      <c r="E252" s="8">
        <v>6.1</v>
      </c>
      <c r="F252" s="8">
        <f t="shared" si="284"/>
        <v>6.5183474674670485</v>
      </c>
      <c r="G252" s="9">
        <f t="shared" si="280"/>
        <v>0.59257704249700438</v>
      </c>
      <c r="H252" s="8">
        <v>-0.157</v>
      </c>
      <c r="I252" s="8">
        <f t="shared" si="285"/>
        <v>-3.0112739019695973E-2</v>
      </c>
      <c r="J252" s="9">
        <f t="shared" si="286"/>
        <v>0.16988726098030404</v>
      </c>
      <c r="K252" s="8">
        <v>-0.67</v>
      </c>
      <c r="L252" s="8">
        <f t="shared" si="287"/>
        <v>-0.851145733158156</v>
      </c>
      <c r="M252" s="9">
        <f t="shared" si="281"/>
        <v>-0.425572866579078</v>
      </c>
      <c r="O252" s="11">
        <f t="shared" si="288"/>
        <v>2.5620890661728277E-2</v>
      </c>
      <c r="P252" s="15" t="str">
        <f t="shared" si="297"/>
        <v>SD</v>
      </c>
      <c r="Q252" t="str">
        <f t="shared" si="306"/>
        <v>E</v>
      </c>
      <c r="R252" s="18">
        <f t="shared" si="298"/>
        <v>2.5620890661728277E-2</v>
      </c>
      <c r="S252" t="str">
        <f t="shared" si="322"/>
        <v>E</v>
      </c>
      <c r="T252">
        <v>0</v>
      </c>
      <c r="V252" s="17">
        <f t="shared" si="339"/>
        <v>40482</v>
      </c>
      <c r="W252" s="1">
        <f t="shared" si="290"/>
        <v>2.5620890661728277E-2</v>
      </c>
      <c r="X252" s="1">
        <f t="shared" si="291"/>
        <v>2.5620890661728277E-2</v>
      </c>
      <c r="Y252" s="1" t="e">
        <f t="shared" si="292"/>
        <v>#N/A</v>
      </c>
      <c r="Z252" s="1" t="e">
        <f t="shared" si="293"/>
        <v>#N/A</v>
      </c>
      <c r="AA252">
        <v>0</v>
      </c>
      <c r="AB252" s="1">
        <v>1.7</v>
      </c>
      <c r="AD252" s="17">
        <f t="shared" si="299"/>
        <v>40482</v>
      </c>
      <c r="AE252" s="1">
        <f t="shared" si="300"/>
        <v>2.5620890661728277E-2</v>
      </c>
      <c r="AF252" s="1" t="e">
        <f t="shared" si="301"/>
        <v>#N/A</v>
      </c>
      <c r="AG252" s="1" t="e">
        <f t="shared" si="302"/>
        <v>#N/A</v>
      </c>
      <c r="AH252" s="1" t="e">
        <f t="shared" si="303"/>
        <v>#N/A</v>
      </c>
      <c r="AK252" s="1"/>
      <c r="AL252" s="1"/>
      <c r="AM252" s="1"/>
      <c r="AN252" s="1"/>
      <c r="AO252" s="17">
        <f t="shared" si="307"/>
        <v>40482</v>
      </c>
      <c r="AP252">
        <f t="shared" si="308"/>
        <v>3</v>
      </c>
      <c r="AQ252">
        <f t="shared" si="309"/>
        <v>4</v>
      </c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7" t="e">
        <f t="shared" ref="BL252" si="365">#REF!</f>
        <v>#REF!</v>
      </c>
      <c r="BM252">
        <f t="shared" si="295"/>
        <v>4</v>
      </c>
      <c r="BN252">
        <f t="shared" si="296"/>
        <v>1</v>
      </c>
    </row>
    <row r="253" spans="1:66">
      <c r="A253" s="7">
        <v>40512</v>
      </c>
      <c r="B253" s="8">
        <v>-7.3149000000000006E-2</v>
      </c>
      <c r="C253" s="8">
        <f t="shared" si="283"/>
        <v>-0.13523941932278447</v>
      </c>
      <c r="D253" s="9">
        <f t="shared" si="279"/>
        <v>-0.67619709661392224</v>
      </c>
      <c r="E253" s="8">
        <v>6.1</v>
      </c>
      <c r="F253" s="8">
        <f t="shared" si="284"/>
        <v>6.39911843923894</v>
      </c>
      <c r="G253" s="9">
        <f t="shared" si="280"/>
        <v>0.58173803993081274</v>
      </c>
      <c r="H253" s="8">
        <v>-6.1600000000000002E-2</v>
      </c>
      <c r="I253" s="8">
        <f t="shared" si="285"/>
        <v>-3.9086608399082623E-2</v>
      </c>
      <c r="J253" s="9">
        <f t="shared" si="286"/>
        <v>0.16091339160091739</v>
      </c>
      <c r="K253" s="8">
        <v>-0.871</v>
      </c>
      <c r="L253" s="8">
        <f t="shared" si="287"/>
        <v>-0.85680419920808149</v>
      </c>
      <c r="M253" s="9">
        <f t="shared" si="281"/>
        <v>-0.42840209960404074</v>
      </c>
      <c r="O253" s="11">
        <f t="shared" si="288"/>
        <v>2.9906790686772086E-2</v>
      </c>
      <c r="P253" s="15" t="str">
        <f t="shared" si="297"/>
        <v>E</v>
      </c>
      <c r="Q253" t="str">
        <f t="shared" si="306"/>
        <v>E</v>
      </c>
      <c r="R253" s="18">
        <f t="shared" si="298"/>
        <v>2.9906790686772086E-2</v>
      </c>
      <c r="S253" t="str">
        <f t="shared" si="322"/>
        <v>E</v>
      </c>
      <c r="T253">
        <v>0</v>
      </c>
      <c r="V253" s="17">
        <f t="shared" si="339"/>
        <v>40512</v>
      </c>
      <c r="W253" s="1">
        <f t="shared" si="290"/>
        <v>2.9906790686772086E-2</v>
      </c>
      <c r="X253" s="1" t="e">
        <f t="shared" si="291"/>
        <v>#N/A</v>
      </c>
      <c r="Y253" s="1" t="e">
        <f t="shared" si="292"/>
        <v>#N/A</v>
      </c>
      <c r="Z253" s="1" t="e">
        <f t="shared" si="293"/>
        <v>#N/A</v>
      </c>
      <c r="AA253">
        <v>0</v>
      </c>
      <c r="AB253" s="1">
        <v>22.4</v>
      </c>
      <c r="AD253" s="17">
        <f t="shared" si="299"/>
        <v>40512</v>
      </c>
      <c r="AE253" s="1">
        <f t="shared" si="300"/>
        <v>2.9906790686772086E-2</v>
      </c>
      <c r="AF253" s="1" t="e">
        <f t="shared" si="301"/>
        <v>#N/A</v>
      </c>
      <c r="AG253" s="1" t="e">
        <f t="shared" si="302"/>
        <v>#N/A</v>
      </c>
      <c r="AH253" s="1" t="e">
        <f t="shared" si="303"/>
        <v>#N/A</v>
      </c>
      <c r="AK253" s="1"/>
      <c r="AL253" s="1"/>
      <c r="AM253" s="1"/>
      <c r="AN253" s="1"/>
      <c r="AO253" s="17">
        <f t="shared" si="307"/>
        <v>40512</v>
      </c>
      <c r="AP253">
        <f t="shared" si="308"/>
        <v>4</v>
      </c>
      <c r="AQ253">
        <f t="shared" si="309"/>
        <v>4</v>
      </c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7" t="e">
        <f t="shared" ref="BL253" si="366">#REF!</f>
        <v>#REF!</v>
      </c>
      <c r="BM253">
        <f t="shared" si="295"/>
        <v>4</v>
      </c>
      <c r="BN253">
        <f t="shared" si="296"/>
        <v>1</v>
      </c>
    </row>
    <row r="254" spans="1:66">
      <c r="A254" s="7">
        <v>40543</v>
      </c>
      <c r="B254" s="8">
        <v>-5.0785999999999998E-2</v>
      </c>
      <c r="C254" s="8">
        <f t="shared" si="283"/>
        <v>-0.11117019481579088</v>
      </c>
      <c r="D254" s="9">
        <f t="shared" si="279"/>
        <v>-0.55585097407895434</v>
      </c>
      <c r="E254" s="8">
        <v>6.1</v>
      </c>
      <c r="F254" s="8">
        <f t="shared" si="284"/>
        <v>6.3138696840558417</v>
      </c>
      <c r="G254" s="9">
        <f t="shared" si="280"/>
        <v>0.57398815309598561</v>
      </c>
      <c r="H254" s="8">
        <v>0.28420000000000001</v>
      </c>
      <c r="I254" s="8">
        <f t="shared" si="285"/>
        <v>5.3050074994655944E-2</v>
      </c>
      <c r="J254" s="9">
        <f t="shared" si="286"/>
        <v>0.25305007499465593</v>
      </c>
      <c r="K254" s="8">
        <v>-0.55700000000000005</v>
      </c>
      <c r="L254" s="8">
        <f t="shared" si="287"/>
        <v>-0.77136000243377822</v>
      </c>
      <c r="M254" s="9">
        <f t="shared" si="281"/>
        <v>-0.38568000121688911</v>
      </c>
      <c r="O254" s="11">
        <f t="shared" si="288"/>
        <v>7.9147336704678412E-2</v>
      </c>
      <c r="P254" s="15" t="str">
        <f t="shared" si="297"/>
        <v>E</v>
      </c>
      <c r="Q254" t="str">
        <f t="shared" si="306"/>
        <v>E</v>
      </c>
      <c r="R254" s="18">
        <f t="shared" si="298"/>
        <v>2.9906790686772086E-2</v>
      </c>
      <c r="S254" t="str">
        <f t="shared" si="322"/>
        <v>E</v>
      </c>
      <c r="T254">
        <v>0</v>
      </c>
      <c r="V254" s="17">
        <f t="shared" si="339"/>
        <v>40543</v>
      </c>
      <c r="W254" s="1">
        <f t="shared" si="290"/>
        <v>7.9147336704678412E-2</v>
      </c>
      <c r="X254" s="1" t="e">
        <f t="shared" si="291"/>
        <v>#N/A</v>
      </c>
      <c r="Y254" s="1" t="e">
        <f t="shared" si="292"/>
        <v>#N/A</v>
      </c>
      <c r="Z254" s="1" t="e">
        <f t="shared" si="293"/>
        <v>#N/A</v>
      </c>
      <c r="AA254">
        <v>0</v>
      </c>
      <c r="AB254" s="1">
        <v>14.6</v>
      </c>
      <c r="AD254" s="17">
        <f t="shared" si="299"/>
        <v>40543</v>
      </c>
      <c r="AE254" s="1">
        <f t="shared" si="300"/>
        <v>7.9147336704678412E-2</v>
      </c>
      <c r="AF254" s="1" t="e">
        <f t="shared" si="301"/>
        <v>#N/A</v>
      </c>
      <c r="AG254" s="1" t="e">
        <f t="shared" si="302"/>
        <v>#N/A</v>
      </c>
      <c r="AH254" s="1" t="e">
        <f t="shared" si="303"/>
        <v>#N/A</v>
      </c>
      <c r="AK254" s="1"/>
      <c r="AL254" s="1"/>
      <c r="AM254" s="1"/>
      <c r="AN254" s="1"/>
      <c r="AO254" s="17">
        <f t="shared" si="307"/>
        <v>40543</v>
      </c>
      <c r="AP254">
        <f t="shared" si="308"/>
        <v>4</v>
      </c>
      <c r="AQ254">
        <f t="shared" si="309"/>
        <v>4</v>
      </c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7" t="e">
        <f t="shared" ref="BL254" si="367">#REF!</f>
        <v>#REF!</v>
      </c>
      <c r="BM254">
        <f t="shared" si="295"/>
        <v>4</v>
      </c>
      <c r="BN254">
        <f t="shared" si="296"/>
        <v>1</v>
      </c>
    </row>
    <row r="255" spans="1:66">
      <c r="A255" s="7">
        <v>40574</v>
      </c>
      <c r="B255" s="8">
        <v>-8.8769999999999995E-3</v>
      </c>
      <c r="C255" s="8">
        <f t="shared" si="283"/>
        <v>-8.201663429329048E-2</v>
      </c>
      <c r="D255" s="9">
        <f t="shared" si="279"/>
        <v>-0.4100831714664524</v>
      </c>
      <c r="E255" s="8">
        <v>5.7</v>
      </c>
      <c r="F255" s="8">
        <f t="shared" si="284"/>
        <v>6.138916824099927</v>
      </c>
      <c r="G255" s="9">
        <f t="shared" si="280"/>
        <v>0.55808334764544787</v>
      </c>
      <c r="H255" s="8">
        <v>-0.15310000000000001</v>
      </c>
      <c r="I255" s="8">
        <f t="shared" si="285"/>
        <v>-5.7026963788210094E-3</v>
      </c>
      <c r="J255" s="9">
        <f t="shared" si="286"/>
        <v>0.194297303621179</v>
      </c>
      <c r="K255" s="8">
        <v>-0.52800000000000002</v>
      </c>
      <c r="L255" s="8">
        <f t="shared" si="287"/>
        <v>-0.70200240174015149</v>
      </c>
      <c r="M255" s="9">
        <f t="shared" si="281"/>
        <v>-0.35100120087007575</v>
      </c>
      <c r="O255" s="11">
        <f t="shared" si="288"/>
        <v>8.4176959607481422E-2</v>
      </c>
      <c r="P255" s="15" t="str">
        <f t="shared" si="297"/>
        <v>E</v>
      </c>
      <c r="Q255" t="str">
        <f t="shared" si="306"/>
        <v>E</v>
      </c>
      <c r="R255" s="18">
        <f t="shared" si="298"/>
        <v>2.9906790686772086E-2</v>
      </c>
      <c r="S255" t="str">
        <f t="shared" si="322"/>
        <v>E</v>
      </c>
      <c r="T255">
        <v>0</v>
      </c>
      <c r="V255" s="17">
        <f t="shared" si="339"/>
        <v>40574</v>
      </c>
      <c r="W255" s="1">
        <f t="shared" si="290"/>
        <v>8.4176959607481422E-2</v>
      </c>
      <c r="X255" s="1">
        <f t="shared" si="291"/>
        <v>8.4176959607481422E-2</v>
      </c>
      <c r="Y255" s="1" t="e">
        <f t="shared" si="292"/>
        <v>#N/A</v>
      </c>
      <c r="Z255" s="1" t="e">
        <f t="shared" si="293"/>
        <v>#N/A</v>
      </c>
      <c r="AA255">
        <v>0</v>
      </c>
      <c r="AB255" s="1">
        <v>28.7</v>
      </c>
      <c r="AD255" s="17">
        <f t="shared" si="299"/>
        <v>40574</v>
      </c>
      <c r="AE255" s="1">
        <f t="shared" si="300"/>
        <v>8.4176959607481422E-2</v>
      </c>
      <c r="AF255" s="1" t="e">
        <f t="shared" si="301"/>
        <v>#N/A</v>
      </c>
      <c r="AG255" s="1" t="e">
        <f t="shared" si="302"/>
        <v>#N/A</v>
      </c>
      <c r="AH255" s="1" t="e">
        <f t="shared" si="303"/>
        <v>#N/A</v>
      </c>
      <c r="AK255" s="1"/>
      <c r="AL255" s="1"/>
      <c r="AM255" s="1"/>
      <c r="AN255" s="1"/>
      <c r="AO255" s="17">
        <f t="shared" si="307"/>
        <v>40574</v>
      </c>
      <c r="AP255">
        <f t="shared" si="308"/>
        <v>4</v>
      </c>
      <c r="AQ255">
        <f t="shared" si="309"/>
        <v>4</v>
      </c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7" t="e">
        <f t="shared" ref="BL255" si="368">#REF!</f>
        <v>#REF!</v>
      </c>
      <c r="BM255">
        <f t="shared" si="295"/>
        <v>4</v>
      </c>
      <c r="BN255">
        <f t="shared" si="296"/>
        <v>1</v>
      </c>
    </row>
    <row r="256" spans="1:66">
      <c r="A256" s="7">
        <v>40602</v>
      </c>
      <c r="B256" s="8">
        <v>-5.4343000000000002E-2</v>
      </c>
      <c r="C256" s="8">
        <f t="shared" si="283"/>
        <v>-7.412964851970269E-2</v>
      </c>
      <c r="D256" s="9">
        <f t="shared" si="279"/>
        <v>-0.37064824259851342</v>
      </c>
      <c r="E256" s="8">
        <v>6.5</v>
      </c>
      <c r="F256" s="8">
        <f t="shared" si="284"/>
        <v>6.2418255292314475</v>
      </c>
      <c r="G256" s="9">
        <f t="shared" si="280"/>
        <v>0.5674386844755861</v>
      </c>
      <c r="H256" s="8">
        <v>-0.4637</v>
      </c>
      <c r="I256" s="8">
        <f t="shared" si="285"/>
        <v>-0.13623192791085703</v>
      </c>
      <c r="J256" s="9">
        <f t="shared" si="286"/>
        <v>6.376807208914298E-2</v>
      </c>
      <c r="K256" s="8">
        <v>-0.14899999999999999</v>
      </c>
      <c r="L256" s="8">
        <f t="shared" si="287"/>
        <v>-0.54439671724420824</v>
      </c>
      <c r="M256" s="9">
        <f t="shared" si="281"/>
        <v>-0.27219835862210412</v>
      </c>
      <c r="O256" s="11">
        <f t="shared" si="288"/>
        <v>6.7831094073894663E-2</v>
      </c>
      <c r="P256" s="15" t="str">
        <f t="shared" si="297"/>
        <v>SD</v>
      </c>
      <c r="Q256" t="str">
        <f t="shared" si="306"/>
        <v>E</v>
      </c>
      <c r="R256" s="18">
        <f t="shared" si="298"/>
        <v>2.9906790686772086E-2</v>
      </c>
      <c r="S256" t="str">
        <f t="shared" si="322"/>
        <v>E</v>
      </c>
      <c r="T256">
        <v>0</v>
      </c>
      <c r="V256" s="17">
        <f t="shared" si="339"/>
        <v>40602</v>
      </c>
      <c r="W256" s="1">
        <f t="shared" si="290"/>
        <v>6.7831094073894663E-2</v>
      </c>
      <c r="X256" s="1">
        <f t="shared" si="291"/>
        <v>6.7831094073894663E-2</v>
      </c>
      <c r="Y256" s="1" t="e">
        <f t="shared" si="292"/>
        <v>#N/A</v>
      </c>
      <c r="Z256" s="1" t="e">
        <f t="shared" si="293"/>
        <v>#N/A</v>
      </c>
      <c r="AA256">
        <v>0</v>
      </c>
      <c r="AB256" s="1">
        <v>74.5</v>
      </c>
      <c r="AD256" s="17">
        <f t="shared" si="299"/>
        <v>40602</v>
      </c>
      <c r="AE256" s="1">
        <f t="shared" si="300"/>
        <v>6.7831094073894663E-2</v>
      </c>
      <c r="AF256" s="1" t="e">
        <f t="shared" si="301"/>
        <v>#N/A</v>
      </c>
      <c r="AG256" s="1" t="e">
        <f t="shared" si="302"/>
        <v>#N/A</v>
      </c>
      <c r="AH256" s="1" t="e">
        <f t="shared" si="303"/>
        <v>#N/A</v>
      </c>
      <c r="AK256" s="1"/>
      <c r="AL256" s="1"/>
      <c r="AM256" s="1"/>
      <c r="AN256" s="1"/>
      <c r="AO256" s="17">
        <f t="shared" si="307"/>
        <v>40602</v>
      </c>
      <c r="AP256">
        <f t="shared" si="308"/>
        <v>3</v>
      </c>
      <c r="AQ256">
        <f t="shared" si="309"/>
        <v>4</v>
      </c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7" t="e">
        <f t="shared" ref="BL256" si="369">#REF!</f>
        <v>#REF!</v>
      </c>
      <c r="BM256">
        <f t="shared" si="295"/>
        <v>4</v>
      </c>
      <c r="BN256">
        <f t="shared" si="296"/>
        <v>1</v>
      </c>
    </row>
    <row r="257" spans="1:66">
      <c r="A257" s="7">
        <v>40633</v>
      </c>
      <c r="B257" s="8">
        <v>-0.13670399999999999</v>
      </c>
      <c r="C257" s="8">
        <f t="shared" si="283"/>
        <v>-9.1963338691587432E-2</v>
      </c>
      <c r="D257" s="9">
        <f t="shared" si="279"/>
        <v>-0.45981669345793713</v>
      </c>
      <c r="E257" s="8">
        <v>5.7</v>
      </c>
      <c r="F257" s="8">
        <f t="shared" si="284"/>
        <v>6.087405253400485</v>
      </c>
      <c r="G257" s="9">
        <f t="shared" si="280"/>
        <v>0.55340047758186228</v>
      </c>
      <c r="H257" s="8">
        <v>0.12970000000000001</v>
      </c>
      <c r="I257" s="8">
        <f t="shared" si="285"/>
        <v>-6.0441328456262773E-2</v>
      </c>
      <c r="J257" s="9">
        <f t="shared" si="286"/>
        <v>0.13955867154373724</v>
      </c>
      <c r="K257" s="8">
        <v>-0.20899999999999999</v>
      </c>
      <c r="L257" s="8">
        <f t="shared" si="287"/>
        <v>-0.44880865282960891</v>
      </c>
      <c r="M257" s="9">
        <f t="shared" si="281"/>
        <v>-0.22440432641480446</v>
      </c>
      <c r="O257" s="11">
        <f t="shared" si="288"/>
        <v>9.879623953556195E-2</v>
      </c>
      <c r="P257" s="15" t="str">
        <f t="shared" si="297"/>
        <v>E</v>
      </c>
      <c r="Q257" t="str">
        <f t="shared" si="306"/>
        <v>E</v>
      </c>
      <c r="R257" s="18">
        <f t="shared" si="298"/>
        <v>9.879623953556195E-2</v>
      </c>
      <c r="S257" t="str">
        <f t="shared" si="322"/>
        <v>E</v>
      </c>
      <c r="T257">
        <v>0</v>
      </c>
      <c r="V257" s="17">
        <f t="shared" si="339"/>
        <v>40633</v>
      </c>
      <c r="W257" s="1">
        <f t="shared" si="290"/>
        <v>9.879623953556195E-2</v>
      </c>
      <c r="X257" s="1">
        <f t="shared" si="291"/>
        <v>9.879623953556195E-2</v>
      </c>
      <c r="Y257" s="1" t="e">
        <f t="shared" si="292"/>
        <v>#N/A</v>
      </c>
      <c r="Z257" s="1" t="e">
        <f t="shared" si="293"/>
        <v>#N/A</v>
      </c>
      <c r="AA257">
        <v>0</v>
      </c>
      <c r="AB257" s="1">
        <v>42.9</v>
      </c>
      <c r="AD257" s="17">
        <f t="shared" si="299"/>
        <v>40633</v>
      </c>
      <c r="AE257" s="1">
        <f t="shared" si="300"/>
        <v>9.879623953556195E-2</v>
      </c>
      <c r="AF257" s="1" t="e">
        <f t="shared" si="301"/>
        <v>#N/A</v>
      </c>
      <c r="AG257" s="1" t="e">
        <f t="shared" si="302"/>
        <v>#N/A</v>
      </c>
      <c r="AH257" s="1" t="e">
        <f t="shared" si="303"/>
        <v>#N/A</v>
      </c>
      <c r="AK257" s="1"/>
      <c r="AL257" s="1"/>
      <c r="AM257" s="1"/>
      <c r="AN257" s="1"/>
      <c r="AO257" s="17">
        <f t="shared" si="307"/>
        <v>40633</v>
      </c>
      <c r="AP257">
        <f t="shared" si="308"/>
        <v>4</v>
      </c>
      <c r="AQ257">
        <f t="shared" si="309"/>
        <v>4</v>
      </c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7" t="e">
        <f t="shared" ref="BL257" si="370">#REF!</f>
        <v>#REF!</v>
      </c>
      <c r="BM257">
        <f t="shared" si="295"/>
        <v>4</v>
      </c>
      <c r="BN257">
        <f t="shared" si="296"/>
        <v>1</v>
      </c>
    </row>
    <row r="258" spans="1:66">
      <c r="A258" s="7">
        <v>40663</v>
      </c>
      <c r="B258" s="8">
        <v>-0.14846500000000001</v>
      </c>
      <c r="C258" s="8">
        <f t="shared" si="283"/>
        <v>-0.10806631216448503</v>
      </c>
      <c r="D258" s="9">
        <f t="shared" si="279"/>
        <v>-0.54033156082242517</v>
      </c>
      <c r="E258" s="8">
        <v>5.3</v>
      </c>
      <c r="F258" s="8">
        <f t="shared" si="284"/>
        <v>5.8629947561813474</v>
      </c>
      <c r="G258" s="9">
        <f t="shared" si="280"/>
        <v>0.53299952328921341</v>
      </c>
      <c r="H258" s="8">
        <v>-0.42149999999999999</v>
      </c>
      <c r="I258" s="8">
        <f t="shared" si="285"/>
        <v>-0.16334304984622788</v>
      </c>
      <c r="J258" s="9">
        <f t="shared" si="286"/>
        <v>3.6656950153772128E-2</v>
      </c>
      <c r="K258" s="8">
        <v>-1E-3</v>
      </c>
      <c r="L258" s="8">
        <f t="shared" si="287"/>
        <v>-0.32118318677317031</v>
      </c>
      <c r="M258" s="9">
        <f t="shared" si="281"/>
        <v>-0.16059159338658516</v>
      </c>
      <c r="O258" s="11">
        <f t="shared" si="288"/>
        <v>7.4806594222472267E-2</v>
      </c>
      <c r="P258" s="15" t="str">
        <f t="shared" si="297"/>
        <v>SD</v>
      </c>
      <c r="Q258" t="str">
        <f t="shared" si="306"/>
        <v>E</v>
      </c>
      <c r="R258" s="18">
        <f t="shared" si="298"/>
        <v>9.879623953556195E-2</v>
      </c>
      <c r="S258" t="str">
        <f t="shared" si="322"/>
        <v>E</v>
      </c>
      <c r="T258">
        <v>0</v>
      </c>
      <c r="V258" s="17">
        <f t="shared" si="339"/>
        <v>40663</v>
      </c>
      <c r="W258" s="1" t="e">
        <f t="shared" si="290"/>
        <v>#N/A</v>
      </c>
      <c r="X258" s="1">
        <f t="shared" si="291"/>
        <v>7.4806594222472267E-2</v>
      </c>
      <c r="Y258" s="1" t="e">
        <f t="shared" si="292"/>
        <v>#N/A</v>
      </c>
      <c r="Z258" s="1" t="e">
        <f t="shared" si="293"/>
        <v>#N/A</v>
      </c>
      <c r="AA258">
        <v>0</v>
      </c>
      <c r="AB258" s="1">
        <v>11.7</v>
      </c>
      <c r="AD258" s="17">
        <f t="shared" si="299"/>
        <v>40663</v>
      </c>
      <c r="AE258" s="1">
        <f t="shared" si="300"/>
        <v>7.4806594222472267E-2</v>
      </c>
      <c r="AF258" s="1" t="e">
        <f t="shared" si="301"/>
        <v>#N/A</v>
      </c>
      <c r="AG258" s="1" t="e">
        <f t="shared" si="302"/>
        <v>#N/A</v>
      </c>
      <c r="AH258" s="1" t="e">
        <f t="shared" si="303"/>
        <v>#N/A</v>
      </c>
      <c r="AK258" s="1"/>
      <c r="AL258" s="1"/>
      <c r="AM258" s="1"/>
      <c r="AN258" s="1"/>
      <c r="AO258" s="17">
        <f t="shared" si="307"/>
        <v>40663</v>
      </c>
      <c r="AP258">
        <f t="shared" si="308"/>
        <v>3</v>
      </c>
      <c r="AQ258">
        <f t="shared" si="309"/>
        <v>4</v>
      </c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7" t="e">
        <f t="shared" ref="BL258" si="371">#REF!</f>
        <v>#REF!</v>
      </c>
      <c r="BM258">
        <f t="shared" si="295"/>
        <v>4</v>
      </c>
      <c r="BN258">
        <f t="shared" si="296"/>
        <v>1</v>
      </c>
    </row>
    <row r="259" spans="1:66">
      <c r="A259" s="7">
        <v>40694</v>
      </c>
      <c r="B259" s="8">
        <v>-0.206432</v>
      </c>
      <c r="C259" s="8">
        <f t="shared" si="283"/>
        <v>-0.13610053319760682</v>
      </c>
      <c r="D259" s="9">
        <f t="shared" si="279"/>
        <v>-0.68050266598803399</v>
      </c>
      <c r="E259" s="8">
        <v>5.8</v>
      </c>
      <c r="F259" s="8">
        <f t="shared" si="284"/>
        <v>5.845041250669663</v>
      </c>
      <c r="G259" s="9">
        <f t="shared" si="280"/>
        <v>0.53136738642451486</v>
      </c>
      <c r="H259" s="8">
        <v>-0.36580000000000001</v>
      </c>
      <c r="I259" s="8">
        <f t="shared" si="285"/>
        <v>-0.22104328064005296</v>
      </c>
      <c r="J259" s="9">
        <f t="shared" si="286"/>
        <v>-2.1043280640052953E-2</v>
      </c>
      <c r="K259" s="8">
        <v>-1.4999999999999999E-2</v>
      </c>
      <c r="L259" s="8">
        <f t="shared" si="287"/>
        <v>-0.23392097854281677</v>
      </c>
      <c r="M259" s="9">
        <f t="shared" si="281"/>
        <v>-0.11696048927140838</v>
      </c>
      <c r="O259" s="11">
        <f t="shared" si="288"/>
        <v>5.0448459414522209E-2</v>
      </c>
      <c r="P259" s="15" t="str">
        <f t="shared" si="297"/>
        <v>SD</v>
      </c>
      <c r="Q259" t="str">
        <f t="shared" si="306"/>
        <v>E</v>
      </c>
      <c r="R259" s="18">
        <f t="shared" si="298"/>
        <v>5.0448459414522209E-2</v>
      </c>
      <c r="S259" t="str">
        <f t="shared" si="322"/>
        <v>E</v>
      </c>
      <c r="T259">
        <v>0</v>
      </c>
      <c r="V259" s="17">
        <f t="shared" ref="V259:V290" si="372">A259</f>
        <v>40694</v>
      </c>
      <c r="W259" s="1">
        <f t="shared" si="290"/>
        <v>5.0448459414522209E-2</v>
      </c>
      <c r="X259" s="1">
        <f t="shared" si="291"/>
        <v>5.0448459414522209E-2</v>
      </c>
      <c r="Y259" s="1" t="e">
        <f t="shared" si="292"/>
        <v>#N/A</v>
      </c>
      <c r="Z259" s="1" t="e">
        <f t="shared" si="293"/>
        <v>#N/A</v>
      </c>
      <c r="AA259">
        <v>0</v>
      </c>
      <c r="AB259" s="1">
        <v>-71.400000000000006</v>
      </c>
      <c r="AD259" s="17">
        <f t="shared" si="299"/>
        <v>40694</v>
      </c>
      <c r="AE259" s="1">
        <f t="shared" si="300"/>
        <v>5.0448459414522209E-2</v>
      </c>
      <c r="AF259" s="1" t="e">
        <f t="shared" si="301"/>
        <v>#N/A</v>
      </c>
      <c r="AG259" s="1" t="e">
        <f t="shared" si="302"/>
        <v>#N/A</v>
      </c>
      <c r="AH259" s="1" t="e">
        <f t="shared" si="303"/>
        <v>#N/A</v>
      </c>
      <c r="AK259" s="1"/>
      <c r="AL259" s="1"/>
      <c r="AM259" s="1"/>
      <c r="AN259" s="1"/>
      <c r="AO259" s="17">
        <f t="shared" si="307"/>
        <v>40694</v>
      </c>
      <c r="AP259">
        <f t="shared" si="308"/>
        <v>3</v>
      </c>
      <c r="AQ259">
        <f t="shared" si="309"/>
        <v>4</v>
      </c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7" t="e">
        <f t="shared" ref="BL259" si="373">#REF!</f>
        <v>#REF!</v>
      </c>
      <c r="BM259">
        <f t="shared" si="295"/>
        <v>4</v>
      </c>
      <c r="BN259">
        <f t="shared" si="296"/>
        <v>1</v>
      </c>
    </row>
    <row r="260" spans="1:66">
      <c r="A260" s="7">
        <v>40724</v>
      </c>
      <c r="B260" s="8">
        <v>-0.265652</v>
      </c>
      <c r="C260" s="8">
        <f t="shared" si="283"/>
        <v>-0.17302270123628888</v>
      </c>
      <c r="D260" s="9">
        <f t="shared" ref="D260:D323" si="374">C260/0.2</f>
        <v>-0.86511350618144434</v>
      </c>
      <c r="E260" s="8">
        <v>5.7</v>
      </c>
      <c r="F260" s="8">
        <f t="shared" si="284"/>
        <v>5.8037044942288087</v>
      </c>
      <c r="G260" s="9">
        <f t="shared" ref="G260:G323" si="375">F260/11</f>
        <v>0.5276094994753463</v>
      </c>
      <c r="H260" s="8">
        <v>0.1963</v>
      </c>
      <c r="I260" s="8">
        <f t="shared" si="285"/>
        <v>-0.10210044565763784</v>
      </c>
      <c r="J260" s="9">
        <f t="shared" si="286"/>
        <v>9.7899554342362166E-2</v>
      </c>
      <c r="K260" s="8">
        <v>-0.17699999999999999</v>
      </c>
      <c r="L260" s="8">
        <f t="shared" si="287"/>
        <v>-0.217698499658114</v>
      </c>
      <c r="M260" s="9">
        <f t="shared" ref="M260:M323" si="376">IF(L260&lt;-1,-(-L260^(0.5)),IF(L260&lt;0,0.5*L260,L260))*1+0*IF(L260&gt;0,L260*6,L260)/6</f>
        <v>-0.108849249829057</v>
      </c>
      <c r="O260" s="11">
        <f t="shared" si="288"/>
        <v>6.9613956663201582E-2</v>
      </c>
      <c r="P260" s="15" t="str">
        <f t="shared" si="297"/>
        <v>E</v>
      </c>
      <c r="Q260" t="str">
        <f t="shared" si="306"/>
        <v>E</v>
      </c>
      <c r="R260" s="18">
        <f t="shared" si="298"/>
        <v>6.9613956663201582E-2</v>
      </c>
      <c r="S260" t="str">
        <f t="shared" si="322"/>
        <v>E</v>
      </c>
      <c r="T260">
        <v>0</v>
      </c>
      <c r="V260" s="17">
        <f t="shared" si="372"/>
        <v>40724</v>
      </c>
      <c r="W260" s="1">
        <f t="shared" si="290"/>
        <v>6.9613956663201582E-2</v>
      </c>
      <c r="X260" s="1">
        <f t="shared" si="291"/>
        <v>6.9613956663201582E-2</v>
      </c>
      <c r="Y260" s="1" t="e">
        <f t="shared" si="292"/>
        <v>#N/A</v>
      </c>
      <c r="Z260" s="1" t="e">
        <f t="shared" si="293"/>
        <v>#N/A</v>
      </c>
      <c r="AA260">
        <v>0</v>
      </c>
      <c r="AB260" s="1">
        <v>-93.6</v>
      </c>
      <c r="AD260" s="17">
        <f t="shared" si="299"/>
        <v>40724</v>
      </c>
      <c r="AE260" s="1">
        <f t="shared" si="300"/>
        <v>6.9613956663201582E-2</v>
      </c>
      <c r="AF260" s="1" t="e">
        <f t="shared" si="301"/>
        <v>#N/A</v>
      </c>
      <c r="AG260" s="1" t="e">
        <f t="shared" si="302"/>
        <v>#N/A</v>
      </c>
      <c r="AH260" s="1" t="e">
        <f t="shared" si="303"/>
        <v>#N/A</v>
      </c>
      <c r="AK260" s="1"/>
      <c r="AL260" s="1"/>
      <c r="AM260" s="1"/>
      <c r="AN260" s="1"/>
      <c r="AO260" s="17">
        <f t="shared" si="307"/>
        <v>40724</v>
      </c>
      <c r="AP260">
        <f t="shared" si="308"/>
        <v>4</v>
      </c>
      <c r="AQ260">
        <f t="shared" si="309"/>
        <v>4</v>
      </c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7" t="e">
        <f t="shared" ref="BL260" si="377">#REF!</f>
        <v>#REF!</v>
      </c>
      <c r="BM260">
        <f t="shared" si="295"/>
        <v>4</v>
      </c>
      <c r="BN260">
        <f t="shared" si="296"/>
        <v>1</v>
      </c>
    </row>
    <row r="261" spans="1:66">
      <c r="A261" s="7">
        <v>40755</v>
      </c>
      <c r="B261" s="8">
        <v>-0.36953799999999998</v>
      </c>
      <c r="C261" s="8">
        <f t="shared" ref="C261:C324" si="378">C260*$V$1+(1-$V$1)*B261</f>
        <v>-0.22902956138394653</v>
      </c>
      <c r="D261" s="9">
        <f t="shared" si="374"/>
        <v>-1.1451478069197325</v>
      </c>
      <c r="E261" s="8">
        <v>6.2</v>
      </c>
      <c r="F261" s="8">
        <f t="shared" ref="F261:F324" si="379">F260*$V$1+(1-$V$1)*E261</f>
        <v>5.9166487133735988</v>
      </c>
      <c r="G261" s="9">
        <f t="shared" si="375"/>
        <v>0.53787715576123629</v>
      </c>
      <c r="H261" s="8">
        <v>0.1575</v>
      </c>
      <c r="I261" s="8">
        <f t="shared" ref="I261:I324" si="380">I260*$V$1+(1-$V$1)*H261</f>
        <v>-2.8114318645211057E-2</v>
      </c>
      <c r="J261" s="9">
        <f t="shared" ref="J261:J324" si="381">MAX(IF(I261&lt;-1,-1*SQRT(-I261),IF(I261&gt;1,SQRT(I261),I261)),-2)+0.2</f>
        <v>0.17188568135478896</v>
      </c>
      <c r="K261" s="8">
        <v>-0.59699999999999998</v>
      </c>
      <c r="L261" s="8">
        <f t="shared" ref="L261:L324" si="382">L260*$V$1+(1-$V$1)*K261</f>
        <v>-0.32579942725555155</v>
      </c>
      <c r="M261" s="9">
        <f t="shared" si="376"/>
        <v>-0.16289971362777578</v>
      </c>
      <c r="O261" s="11">
        <f t="shared" ref="O261:O324" si="383">0.3*M261+0.3*J261+0.3*G260+0.1*D261</f>
        <v>4.6463859468734589E-2</v>
      </c>
      <c r="P261" s="15" t="str">
        <f t="shared" si="297"/>
        <v>SD</v>
      </c>
      <c r="Q261" t="str">
        <f t="shared" si="306"/>
        <v>E</v>
      </c>
      <c r="R261" s="18">
        <f t="shared" si="298"/>
        <v>6.9613956663201582E-2</v>
      </c>
      <c r="S261" t="str">
        <f t="shared" si="322"/>
        <v>E</v>
      </c>
      <c r="T261">
        <v>0</v>
      </c>
      <c r="V261" s="17">
        <f t="shared" si="372"/>
        <v>40755</v>
      </c>
      <c r="W261" s="1" t="e">
        <f t="shared" ref="W261:W324" si="384">IF(OR($P261=W$4,$P262=W$4),$O261,NA())</f>
        <v>#N/A</v>
      </c>
      <c r="X261" s="1">
        <f t="shared" ref="X261:X324" si="385">IF(OR($P261=X$4,$P262=X$4),$O261,NA())</f>
        <v>4.6463859468734589E-2</v>
      </c>
      <c r="Y261" s="1">
        <f t="shared" ref="Y261:Y324" si="386">IF(OR($P261=Y$4,$P262=Y$4),$O261,NA())</f>
        <v>4.6463859468734589E-2</v>
      </c>
      <c r="Z261" s="1" t="e">
        <f t="shared" ref="Z261:Z324" si="387">IF(OR($P261=Z$4,$P262=Z$4),$O261,NA())</f>
        <v>#N/A</v>
      </c>
      <c r="AA261">
        <v>0</v>
      </c>
      <c r="AB261" s="1">
        <v>-91.4</v>
      </c>
      <c r="AD261" s="17">
        <f t="shared" si="299"/>
        <v>40755</v>
      </c>
      <c r="AE261" s="1">
        <f t="shared" si="300"/>
        <v>4.6463859468734589E-2</v>
      </c>
      <c r="AF261" s="1" t="e">
        <f t="shared" si="301"/>
        <v>#N/A</v>
      </c>
      <c r="AG261" s="1">
        <f t="shared" si="302"/>
        <v>4.6463859468734589E-2</v>
      </c>
      <c r="AH261" s="1" t="e">
        <f t="shared" si="303"/>
        <v>#N/A</v>
      </c>
      <c r="AK261" s="1"/>
      <c r="AL261" s="1"/>
      <c r="AM261" s="1"/>
      <c r="AN261" s="1"/>
      <c r="AO261" s="17">
        <f t="shared" si="307"/>
        <v>40755</v>
      </c>
      <c r="AP261">
        <f t="shared" si="308"/>
        <v>3</v>
      </c>
      <c r="AQ261">
        <f t="shared" si="309"/>
        <v>4</v>
      </c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7" t="e">
        <f t="shared" ref="BL261" si="388">#REF!</f>
        <v>#REF!</v>
      </c>
      <c r="BM261">
        <f t="shared" ref="BM261:BM282" si="389">IF($Q261="E",4,IF($Q261="R",2,IF($Q261="SD",3,1)))</f>
        <v>4</v>
      </c>
      <c r="BN261">
        <f t="shared" ref="BN261:BN282" si="390">IF($U261="E",4,IF($U261="R",2,IF($U261="SD",3,1)))</f>
        <v>1</v>
      </c>
    </row>
    <row r="262" spans="1:66">
      <c r="A262" s="7">
        <v>40786</v>
      </c>
      <c r="B262" s="8">
        <v>-0.359512</v>
      </c>
      <c r="C262" s="8">
        <f t="shared" si="378"/>
        <v>-0.26621705638952176</v>
      </c>
      <c r="D262" s="9">
        <f t="shared" si="374"/>
        <v>-1.3310852819476087</v>
      </c>
      <c r="E262" s="8">
        <v>5.0999999999999996</v>
      </c>
      <c r="F262" s="8">
        <f t="shared" si="379"/>
        <v>5.683903830062123</v>
      </c>
      <c r="G262" s="9">
        <f t="shared" si="375"/>
        <v>0.51671853000564749</v>
      </c>
      <c r="H262" s="8">
        <v>1.9199999999999998E-2</v>
      </c>
      <c r="I262" s="8">
        <f t="shared" si="380"/>
        <v>-1.4629737831325904E-2</v>
      </c>
      <c r="J262" s="9">
        <f t="shared" si="381"/>
        <v>0.18537026216867411</v>
      </c>
      <c r="K262" s="8">
        <v>-1.516</v>
      </c>
      <c r="L262" s="8">
        <f t="shared" si="382"/>
        <v>-0.66500659048771937</v>
      </c>
      <c r="M262" s="9">
        <f t="shared" si="376"/>
        <v>-0.33250329524385969</v>
      </c>
      <c r="O262" s="11">
        <f t="shared" si="383"/>
        <v>-1.5885291388945677E-2</v>
      </c>
      <c r="P262" s="15" t="str">
        <f t="shared" ref="P262:P325" si="391">IF(O262-O261&gt;0,IF(O262&gt;=0,"E","R"),IF(O262&gt;=0,"SD","C"))</f>
        <v>C</v>
      </c>
      <c r="Q262" t="str">
        <f t="shared" si="306"/>
        <v>C</v>
      </c>
      <c r="R262" s="18">
        <f t="shared" ref="R262:R266" si="392">IF(Q262&lt;&gt;P261,O262,R261)</f>
        <v>-1.5885291388945677E-2</v>
      </c>
      <c r="S262" t="str">
        <f t="shared" si="322"/>
        <v>C</v>
      </c>
      <c r="T262">
        <v>0</v>
      </c>
      <c r="V262" s="17">
        <f t="shared" si="372"/>
        <v>40786</v>
      </c>
      <c r="W262" s="1" t="e">
        <f t="shared" si="384"/>
        <v>#N/A</v>
      </c>
      <c r="X262" s="1" t="e">
        <f t="shared" si="385"/>
        <v>#N/A</v>
      </c>
      <c r="Y262" s="1">
        <f t="shared" si="386"/>
        <v>-1.5885291388945677E-2</v>
      </c>
      <c r="Z262" s="1" t="e">
        <f t="shared" si="387"/>
        <v>#N/A</v>
      </c>
      <c r="AA262">
        <v>0</v>
      </c>
      <c r="AB262" s="1">
        <v>-53.1</v>
      </c>
      <c r="AD262" s="17">
        <f t="shared" ref="AD262:AD325" si="393">A262</f>
        <v>40786</v>
      </c>
      <c r="AE262" s="1" t="e">
        <f t="shared" ref="AE262:AE325" si="394">IF(OR($S262=AE$4,$S263=AE$4),$O262,NA())</f>
        <v>#N/A</v>
      </c>
      <c r="AF262" s="1" t="e">
        <f t="shared" ref="AF262:AF325" si="395">IF(OR($S262=AF$4,$S263=AF$4),$O262,NA())</f>
        <v>#N/A</v>
      </c>
      <c r="AG262" s="1">
        <f t="shared" ref="AG262:AG325" si="396">IF(OR($S262=AG$4,$S263=AG$4),$O262,NA())</f>
        <v>-1.5885291388945677E-2</v>
      </c>
      <c r="AH262" s="1" t="e">
        <f t="shared" ref="AH262:AH325" si="397">IF(OR($S262=AH$4,$S263=AH$4),$O262,NA())</f>
        <v>#N/A</v>
      </c>
      <c r="AK262" s="1"/>
      <c r="AL262" s="1"/>
      <c r="AM262" s="1"/>
      <c r="AN262" s="1"/>
      <c r="AO262" s="17">
        <f t="shared" si="307"/>
        <v>40786</v>
      </c>
      <c r="AP262">
        <f t="shared" si="308"/>
        <v>1</v>
      </c>
      <c r="AQ262">
        <f t="shared" si="309"/>
        <v>1</v>
      </c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7" t="e">
        <f t="shared" ref="BL262" si="398">#REF!</f>
        <v>#REF!</v>
      </c>
      <c r="BM262">
        <f t="shared" si="389"/>
        <v>1</v>
      </c>
      <c r="BN262">
        <f t="shared" si="390"/>
        <v>1</v>
      </c>
    </row>
    <row r="263" spans="1:66">
      <c r="A263" s="7">
        <v>40816</v>
      </c>
      <c r="B263" s="8">
        <v>-0.33239200000000002</v>
      </c>
      <c r="C263" s="8">
        <f t="shared" si="378"/>
        <v>-0.2850769153185081</v>
      </c>
      <c r="D263" s="9">
        <f t="shared" si="374"/>
        <v>-1.4253845765925404</v>
      </c>
      <c r="E263" s="8">
        <v>4</v>
      </c>
      <c r="F263" s="8">
        <f t="shared" si="379"/>
        <v>5.2039912384944174</v>
      </c>
      <c r="G263" s="9">
        <f t="shared" si="375"/>
        <v>0.47309011259040157</v>
      </c>
      <c r="H263" s="8">
        <v>-0.1893</v>
      </c>
      <c r="I263" s="8">
        <f t="shared" si="380"/>
        <v>-6.4410762549398023E-2</v>
      </c>
      <c r="J263" s="9">
        <f t="shared" si="381"/>
        <v>0.13558923745060197</v>
      </c>
      <c r="K263" s="8">
        <v>-2.298</v>
      </c>
      <c r="L263" s="8">
        <f t="shared" si="382"/>
        <v>-1.1304097121987193</v>
      </c>
      <c r="M263" s="9">
        <f t="shared" si="376"/>
        <v>-1.0632072762160347</v>
      </c>
      <c r="O263" s="11">
        <f t="shared" si="383"/>
        <v>-0.26580831028718965</v>
      </c>
      <c r="P263" s="15" t="str">
        <f t="shared" si="391"/>
        <v>C</v>
      </c>
      <c r="Q263" t="str">
        <f t="shared" si="306"/>
        <v>C</v>
      </c>
      <c r="R263" s="18">
        <f t="shared" si="392"/>
        <v>-1.5885291388945677E-2</v>
      </c>
      <c r="S263" t="str">
        <f t="shared" si="322"/>
        <v>C</v>
      </c>
      <c r="T263">
        <v>0</v>
      </c>
      <c r="V263" s="17">
        <f t="shared" si="372"/>
        <v>40816</v>
      </c>
      <c r="W263" s="1" t="e">
        <f t="shared" si="384"/>
        <v>#N/A</v>
      </c>
      <c r="X263" s="1" t="e">
        <f t="shared" si="385"/>
        <v>#N/A</v>
      </c>
      <c r="Y263" s="1">
        <f t="shared" si="386"/>
        <v>-0.26580831028718965</v>
      </c>
      <c r="Z263" s="1">
        <f t="shared" si="387"/>
        <v>-0.26580831028718965</v>
      </c>
      <c r="AA263">
        <v>0</v>
      </c>
      <c r="AB263" s="1">
        <v>-29.5</v>
      </c>
      <c r="AD263" s="17">
        <f t="shared" si="393"/>
        <v>40816</v>
      </c>
      <c r="AE263" s="1" t="e">
        <f t="shared" si="394"/>
        <v>#N/A</v>
      </c>
      <c r="AF263" s="1" t="e">
        <f t="shared" si="395"/>
        <v>#N/A</v>
      </c>
      <c r="AG263" s="1">
        <f t="shared" si="396"/>
        <v>-0.26580831028718965</v>
      </c>
      <c r="AH263" s="1">
        <f t="shared" si="397"/>
        <v>-0.26580831028718965</v>
      </c>
      <c r="AK263" s="1"/>
      <c r="AL263" s="1"/>
      <c r="AM263" s="1"/>
      <c r="AN263" s="1"/>
      <c r="AO263" s="17">
        <f t="shared" si="307"/>
        <v>40816</v>
      </c>
      <c r="AP263">
        <f t="shared" si="308"/>
        <v>1</v>
      </c>
      <c r="AQ263">
        <f t="shared" si="309"/>
        <v>1</v>
      </c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7" t="e">
        <f t="shared" ref="BL263" si="399">#REF!</f>
        <v>#REF!</v>
      </c>
      <c r="BM263">
        <f t="shared" si="389"/>
        <v>1</v>
      </c>
      <c r="BN263">
        <f t="shared" si="390"/>
        <v>1</v>
      </c>
    </row>
    <row r="264" spans="1:66">
      <c r="A264" s="7">
        <v>40847</v>
      </c>
      <c r="B264" s="8">
        <v>-0.165825</v>
      </c>
      <c r="C264" s="8">
        <f t="shared" si="378"/>
        <v>-0.2510901194527333</v>
      </c>
      <c r="D264" s="9">
        <f t="shared" si="374"/>
        <v>-1.2554505972636665</v>
      </c>
      <c r="E264" s="8">
        <v>4.7</v>
      </c>
      <c r="F264" s="8">
        <f t="shared" si="379"/>
        <v>5.060353735523508</v>
      </c>
      <c r="G264" s="9">
        <f t="shared" si="375"/>
        <v>0.46003215777486434</v>
      </c>
      <c r="H264" s="8">
        <v>0.2442</v>
      </c>
      <c r="I264" s="8">
        <f t="shared" si="380"/>
        <v>2.3543304777180418E-2</v>
      </c>
      <c r="J264" s="9">
        <f t="shared" si="381"/>
        <v>0.22354330477718043</v>
      </c>
      <c r="K264" s="8">
        <v>-1.7230000000000001</v>
      </c>
      <c r="L264" s="8">
        <f t="shared" si="382"/>
        <v>-1.2992979442220844</v>
      </c>
      <c r="M264" s="9">
        <f t="shared" si="376"/>
        <v>-1.1398675116969008</v>
      </c>
      <c r="O264" s="11">
        <f t="shared" si="383"/>
        <v>-0.25851528802516227</v>
      </c>
      <c r="P264" s="15" t="str">
        <f t="shared" si="391"/>
        <v>R</v>
      </c>
      <c r="Q264" t="str">
        <f t="shared" ref="Q264:Q327" si="400">IF(OR(ABS($O264-$O263)&gt;$V$2,O264*O263&lt;0),P264,Q263)</f>
        <v>C</v>
      </c>
      <c r="R264" s="18">
        <f t="shared" si="392"/>
        <v>-1.5885291388945677E-2</v>
      </c>
      <c r="S264" t="str">
        <f t="shared" si="322"/>
        <v>R</v>
      </c>
      <c r="T264">
        <v>0</v>
      </c>
      <c r="V264" s="17">
        <f t="shared" si="372"/>
        <v>40847</v>
      </c>
      <c r="W264" s="1" t="e">
        <f t="shared" si="384"/>
        <v>#N/A</v>
      </c>
      <c r="X264" s="1" t="e">
        <f t="shared" si="385"/>
        <v>#N/A</v>
      </c>
      <c r="Y264" s="1">
        <f t="shared" si="386"/>
        <v>-0.25851528802516227</v>
      </c>
      <c r="Z264" s="1">
        <f t="shared" si="387"/>
        <v>-0.25851528802516227</v>
      </c>
      <c r="AA264">
        <v>0</v>
      </c>
      <c r="AB264" s="1">
        <v>18</v>
      </c>
      <c r="AD264" s="17">
        <f t="shared" si="393"/>
        <v>40847</v>
      </c>
      <c r="AE264" s="1" t="e">
        <f t="shared" si="394"/>
        <v>#N/A</v>
      </c>
      <c r="AF264" s="1" t="e">
        <f t="shared" si="395"/>
        <v>#N/A</v>
      </c>
      <c r="AG264" s="1">
        <f t="shared" si="396"/>
        <v>-0.25851528802516227</v>
      </c>
      <c r="AH264" s="1">
        <f t="shared" si="397"/>
        <v>-0.25851528802516227</v>
      </c>
      <c r="AK264" s="1"/>
      <c r="AL264" s="1"/>
      <c r="AM264" s="1"/>
      <c r="AN264" s="1"/>
      <c r="AO264" s="17">
        <f t="shared" ref="AO264:AO327" si="401">A264</f>
        <v>40847</v>
      </c>
      <c r="AP264">
        <f t="shared" ref="AP264:AP327" si="402">IF($P264="E",4,IF($P264="R",2,IF($P264="SD",3,1)))</f>
        <v>2</v>
      </c>
      <c r="AQ264">
        <f t="shared" ref="AQ264:AQ327" si="403">IF($Q264="E",4,IF($Q264="R",2,IF($Q264="SD",3,1)))</f>
        <v>1</v>
      </c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7" t="e">
        <f t="shared" ref="BL264" si="404">#REF!</f>
        <v>#REF!</v>
      </c>
      <c r="BM264">
        <f t="shared" si="389"/>
        <v>1</v>
      </c>
      <c r="BN264">
        <f t="shared" si="390"/>
        <v>1</v>
      </c>
    </row>
    <row r="265" spans="1:66">
      <c r="A265" s="7">
        <v>40877</v>
      </c>
      <c r="B265" s="8">
        <v>-0.21276900000000001</v>
      </c>
      <c r="C265" s="8">
        <f t="shared" si="378"/>
        <v>-0.2401686004087043</v>
      </c>
      <c r="D265" s="9">
        <f t="shared" si="374"/>
        <v>-1.2008430020435215</v>
      </c>
      <c r="E265" s="8">
        <v>3.7</v>
      </c>
      <c r="F265" s="8">
        <f t="shared" si="379"/>
        <v>4.6726529208993082</v>
      </c>
      <c r="G265" s="9">
        <f t="shared" si="375"/>
        <v>0.42478662917266435</v>
      </c>
      <c r="H265" s="8">
        <v>-2.6200000000000001E-2</v>
      </c>
      <c r="I265" s="8">
        <f t="shared" si="380"/>
        <v>9.3664629156839964E-3</v>
      </c>
      <c r="J265" s="9">
        <f t="shared" si="381"/>
        <v>0.209366462915684</v>
      </c>
      <c r="K265" s="8">
        <v>-1.669</v>
      </c>
      <c r="L265" s="8">
        <f t="shared" si="382"/>
        <v>-1.4046630301187903</v>
      </c>
      <c r="M265" s="9">
        <f t="shared" si="376"/>
        <v>-1.1851848084238974</v>
      </c>
      <c r="O265" s="11">
        <f t="shared" si="383"/>
        <v>-0.27482015652435687</v>
      </c>
      <c r="P265" s="15" t="str">
        <f t="shared" si="391"/>
        <v>C</v>
      </c>
      <c r="Q265" t="str">
        <f t="shared" si="400"/>
        <v>C</v>
      </c>
      <c r="R265" s="18">
        <f t="shared" si="392"/>
        <v>-0.27482015652435687</v>
      </c>
      <c r="S265" t="str">
        <f t="shared" si="322"/>
        <v>C</v>
      </c>
      <c r="T265">
        <v>0</v>
      </c>
      <c r="V265" s="17">
        <f t="shared" si="372"/>
        <v>40877</v>
      </c>
      <c r="W265" s="1" t="e">
        <f t="shared" si="384"/>
        <v>#N/A</v>
      </c>
      <c r="X265" s="1" t="e">
        <f t="shared" si="385"/>
        <v>#N/A</v>
      </c>
      <c r="Y265" s="1">
        <f t="shared" si="386"/>
        <v>-0.27482015652435687</v>
      </c>
      <c r="Z265" s="1">
        <f t="shared" si="387"/>
        <v>-0.27482015652435687</v>
      </c>
      <c r="AA265">
        <v>0</v>
      </c>
      <c r="AB265" s="1">
        <v>61.8</v>
      </c>
      <c r="AD265" s="17">
        <f t="shared" si="393"/>
        <v>40877</v>
      </c>
      <c r="AE265" s="1" t="e">
        <f t="shared" si="394"/>
        <v>#N/A</v>
      </c>
      <c r="AF265" s="1" t="e">
        <f t="shared" si="395"/>
        <v>#N/A</v>
      </c>
      <c r="AG265" s="1">
        <f t="shared" si="396"/>
        <v>-0.27482015652435687</v>
      </c>
      <c r="AH265" s="1">
        <f t="shared" si="397"/>
        <v>-0.27482015652435687</v>
      </c>
      <c r="AK265" s="1"/>
      <c r="AL265" s="1"/>
      <c r="AM265" s="1"/>
      <c r="AN265" s="1"/>
      <c r="AO265" s="17">
        <f t="shared" si="401"/>
        <v>40877</v>
      </c>
      <c r="AP265">
        <f t="shared" si="402"/>
        <v>1</v>
      </c>
      <c r="AQ265">
        <f t="shared" si="403"/>
        <v>1</v>
      </c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7" t="e">
        <f t="shared" ref="BL265" si="405">#REF!</f>
        <v>#REF!</v>
      </c>
      <c r="BM265">
        <f t="shared" si="389"/>
        <v>1</v>
      </c>
      <c r="BN265">
        <f t="shared" si="390"/>
        <v>1</v>
      </c>
    </row>
    <row r="266" spans="1:66">
      <c r="A266" s="7">
        <v>40908</v>
      </c>
      <c r="B266" s="8">
        <v>-0.29935400000000001</v>
      </c>
      <c r="C266" s="8">
        <f t="shared" si="378"/>
        <v>-0.25703643929222358</v>
      </c>
      <c r="D266" s="9">
        <f t="shared" si="374"/>
        <v>-1.2851821964611179</v>
      </c>
      <c r="E266" s="8">
        <v>3.2</v>
      </c>
      <c r="F266" s="8">
        <f t="shared" si="379"/>
        <v>4.2529468384430054</v>
      </c>
      <c r="G266" s="9">
        <f t="shared" si="375"/>
        <v>0.38663153076754592</v>
      </c>
      <c r="H266" s="8">
        <v>0.48649999999999999</v>
      </c>
      <c r="I266" s="8">
        <f t="shared" si="380"/>
        <v>0.14534952098471407</v>
      </c>
      <c r="J266" s="9">
        <f t="shared" si="381"/>
        <v>0.34534952098471405</v>
      </c>
      <c r="K266" s="8">
        <v>-1.5580000000000001</v>
      </c>
      <c r="L266" s="8">
        <f t="shared" si="382"/>
        <v>-1.4483640665349351</v>
      </c>
      <c r="M266" s="9">
        <f t="shared" si="376"/>
        <v>-1.2034799817757398</v>
      </c>
      <c r="O266" s="11">
        <f t="shared" si="383"/>
        <v>-0.25852136913162016</v>
      </c>
      <c r="P266" s="15" t="str">
        <f t="shared" si="391"/>
        <v>R</v>
      </c>
      <c r="Q266" t="str">
        <f t="shared" si="400"/>
        <v>C</v>
      </c>
      <c r="R266" s="18">
        <f t="shared" si="392"/>
        <v>-0.27482015652435687</v>
      </c>
      <c r="S266" t="str">
        <f t="shared" si="322"/>
        <v>R</v>
      </c>
      <c r="T266">
        <v>0</v>
      </c>
      <c r="V266" s="17">
        <f t="shared" si="372"/>
        <v>40908</v>
      </c>
      <c r="W266" s="1" t="e">
        <f t="shared" si="384"/>
        <v>#N/A</v>
      </c>
      <c r="X266" s="1" t="e">
        <f t="shared" si="385"/>
        <v>#N/A</v>
      </c>
      <c r="Y266" s="1" t="e">
        <f t="shared" si="386"/>
        <v>#N/A</v>
      </c>
      <c r="Z266" s="1">
        <f t="shared" si="387"/>
        <v>-0.25852136913162016</v>
      </c>
      <c r="AA266">
        <v>0</v>
      </c>
      <c r="AB266" s="1">
        <v>69.5</v>
      </c>
      <c r="AD266" s="17">
        <f t="shared" si="393"/>
        <v>40908</v>
      </c>
      <c r="AE266" s="1" t="e">
        <f t="shared" si="394"/>
        <v>#N/A</v>
      </c>
      <c r="AF266" s="1" t="e">
        <f t="shared" si="395"/>
        <v>#N/A</v>
      </c>
      <c r="AG266" s="1" t="e">
        <f t="shared" si="396"/>
        <v>#N/A</v>
      </c>
      <c r="AH266" s="1">
        <f t="shared" si="397"/>
        <v>-0.25852136913162016</v>
      </c>
      <c r="AK266" s="1"/>
      <c r="AL266" s="1"/>
      <c r="AM266" s="1"/>
      <c r="AN266" s="1"/>
      <c r="AO266" s="17">
        <f t="shared" si="401"/>
        <v>40908</v>
      </c>
      <c r="AP266">
        <f t="shared" si="402"/>
        <v>2</v>
      </c>
      <c r="AQ266">
        <f t="shared" si="403"/>
        <v>1</v>
      </c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7" t="e">
        <f t="shared" ref="BL266" si="406">#REF!</f>
        <v>#REF!</v>
      </c>
      <c r="BM266">
        <f t="shared" si="389"/>
        <v>1</v>
      </c>
      <c r="BN266">
        <f t="shared" si="390"/>
        <v>1</v>
      </c>
    </row>
    <row r="267" spans="1:66">
      <c r="A267" s="7">
        <v>40939</v>
      </c>
      <c r="B267" s="8">
        <v>-0.17607300000000001</v>
      </c>
      <c r="C267" s="8">
        <f t="shared" si="378"/>
        <v>-0.23396185909393985</v>
      </c>
      <c r="D267" s="9">
        <f t="shared" si="374"/>
        <v>-1.1698092954696993</v>
      </c>
      <c r="E267" s="8">
        <v>3.3</v>
      </c>
      <c r="F267" s="8">
        <f t="shared" si="379"/>
        <v>3.9813569894867489</v>
      </c>
      <c r="G267" s="9">
        <f t="shared" si="375"/>
        <v>0.36194154449879534</v>
      </c>
      <c r="H267" s="8">
        <v>0.57899999999999996</v>
      </c>
      <c r="I267" s="8">
        <f t="shared" si="380"/>
        <v>0.26893990750407054</v>
      </c>
      <c r="J267" s="9">
        <f t="shared" si="381"/>
        <v>0.46893990750407055</v>
      </c>
      <c r="K267" s="8">
        <v>-1.038</v>
      </c>
      <c r="L267" s="8">
        <f t="shared" si="382"/>
        <v>-1.3314103075724786</v>
      </c>
      <c r="M267" s="9">
        <f t="shared" si="376"/>
        <v>-1.1538675433395631</v>
      </c>
      <c r="O267" s="11">
        <f t="shared" si="383"/>
        <v>-0.2064697610673539</v>
      </c>
      <c r="P267" s="15" t="str">
        <f t="shared" si="391"/>
        <v>R</v>
      </c>
      <c r="Q267" t="str">
        <f t="shared" si="400"/>
        <v>R</v>
      </c>
      <c r="R267" s="18">
        <f t="shared" ref="R267:R330" si="407">IF(Q267&lt;&gt;P266,O267,R266)</f>
        <v>-0.27482015652435687</v>
      </c>
      <c r="S267" t="str">
        <f t="shared" si="322"/>
        <v>R</v>
      </c>
      <c r="T267">
        <v>0</v>
      </c>
      <c r="V267" s="17">
        <f t="shared" si="372"/>
        <v>40939</v>
      </c>
      <c r="W267" s="1" t="e">
        <f t="shared" si="384"/>
        <v>#N/A</v>
      </c>
      <c r="X267" s="1" t="e">
        <f t="shared" si="385"/>
        <v>#N/A</v>
      </c>
      <c r="Y267" s="1" t="e">
        <f t="shared" si="386"/>
        <v>#N/A</v>
      </c>
      <c r="Z267" s="1">
        <f t="shared" si="387"/>
        <v>-0.2064697610673539</v>
      </c>
      <c r="AA267">
        <v>0</v>
      </c>
      <c r="AB267" s="1">
        <v>53.2</v>
      </c>
      <c r="AD267" s="17">
        <f t="shared" si="393"/>
        <v>40939</v>
      </c>
      <c r="AE267" s="1" t="e">
        <f t="shared" si="394"/>
        <v>#N/A</v>
      </c>
      <c r="AF267" s="1" t="e">
        <f t="shared" si="395"/>
        <v>#N/A</v>
      </c>
      <c r="AG267" s="1" t="e">
        <f t="shared" si="396"/>
        <v>#N/A</v>
      </c>
      <c r="AH267" s="1">
        <f t="shared" si="397"/>
        <v>-0.2064697610673539</v>
      </c>
      <c r="AK267" s="1"/>
      <c r="AL267" s="1"/>
      <c r="AM267" s="1"/>
      <c r="AN267" s="1"/>
      <c r="AO267" s="17">
        <f t="shared" si="401"/>
        <v>40939</v>
      </c>
      <c r="AP267">
        <f t="shared" si="402"/>
        <v>2</v>
      </c>
      <c r="AQ267">
        <f t="shared" si="403"/>
        <v>2</v>
      </c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7" t="e">
        <f t="shared" ref="BL267" si="408">#REF!</f>
        <v>#REF!</v>
      </c>
      <c r="BM267">
        <f t="shared" si="389"/>
        <v>2</v>
      </c>
      <c r="BN267">
        <f t="shared" si="390"/>
        <v>1</v>
      </c>
    </row>
    <row r="268" spans="1:66">
      <c r="A268" s="7">
        <v>40968</v>
      </c>
      <c r="B268" s="8">
        <v>-0.107172</v>
      </c>
      <c r="C268" s="8">
        <f t="shared" si="378"/>
        <v>-0.19782674925216698</v>
      </c>
      <c r="D268" s="9">
        <f t="shared" si="374"/>
        <v>-0.98913374626083483</v>
      </c>
      <c r="E268" s="8">
        <v>3.3</v>
      </c>
      <c r="F268" s="8">
        <f t="shared" si="379"/>
        <v>3.7871702474830253</v>
      </c>
      <c r="G268" s="9">
        <f t="shared" si="375"/>
        <v>0.34428820431663865</v>
      </c>
      <c r="H268" s="8">
        <v>0.1023</v>
      </c>
      <c r="I268" s="8">
        <f t="shared" si="380"/>
        <v>0.22144753386541044</v>
      </c>
      <c r="J268" s="9">
        <f t="shared" si="381"/>
        <v>0.42144753386541045</v>
      </c>
      <c r="K268" s="8">
        <v>-0.77900000000000003</v>
      </c>
      <c r="L268" s="8">
        <f t="shared" si="382"/>
        <v>-1.1739733699143222</v>
      </c>
      <c r="M268" s="9">
        <f t="shared" si="376"/>
        <v>-1.0835005168039018</v>
      </c>
      <c r="O268" s="11">
        <f t="shared" si="383"/>
        <v>-0.18894680615799225</v>
      </c>
      <c r="P268" s="15" t="str">
        <f t="shared" si="391"/>
        <v>R</v>
      </c>
      <c r="Q268" t="str">
        <f t="shared" si="400"/>
        <v>R</v>
      </c>
      <c r="R268" s="18">
        <f t="shared" si="407"/>
        <v>-0.27482015652435687</v>
      </c>
      <c r="S268" t="str">
        <f t="shared" si="322"/>
        <v>R</v>
      </c>
      <c r="T268">
        <v>0</v>
      </c>
      <c r="V268" s="17">
        <f t="shared" si="372"/>
        <v>40968</v>
      </c>
      <c r="W268" s="1" t="e">
        <f t="shared" si="384"/>
        <v>#N/A</v>
      </c>
      <c r="X268" s="1" t="e">
        <f t="shared" si="385"/>
        <v>#N/A</v>
      </c>
      <c r="Y268" s="1">
        <f t="shared" si="386"/>
        <v>-0.18894680615799225</v>
      </c>
      <c r="Z268" s="1">
        <f t="shared" si="387"/>
        <v>-0.18894680615799225</v>
      </c>
      <c r="AA268">
        <v>0</v>
      </c>
      <c r="AB268" s="1">
        <v>49.9</v>
      </c>
      <c r="AD268" s="17">
        <f t="shared" si="393"/>
        <v>40968</v>
      </c>
      <c r="AE268" s="1" t="e">
        <f t="shared" si="394"/>
        <v>#N/A</v>
      </c>
      <c r="AF268" s="1" t="e">
        <f t="shared" si="395"/>
        <v>#N/A</v>
      </c>
      <c r="AG268" s="1">
        <f t="shared" si="396"/>
        <v>-0.18894680615799225</v>
      </c>
      <c r="AH268" s="1">
        <f t="shared" si="397"/>
        <v>-0.18894680615799225</v>
      </c>
      <c r="AK268" s="1"/>
      <c r="AL268" s="1"/>
      <c r="AM268" s="1"/>
      <c r="AN268" s="1"/>
      <c r="AO268" s="17">
        <f t="shared" si="401"/>
        <v>40968</v>
      </c>
      <c r="AP268">
        <f t="shared" si="402"/>
        <v>2</v>
      </c>
      <c r="AQ268">
        <f t="shared" si="403"/>
        <v>2</v>
      </c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7" t="e">
        <f t="shared" ref="BL268" si="409">#REF!</f>
        <v>#REF!</v>
      </c>
      <c r="BM268">
        <f t="shared" si="389"/>
        <v>2</v>
      </c>
      <c r="BN268">
        <f t="shared" si="390"/>
        <v>1</v>
      </c>
    </row>
    <row r="269" spans="1:66">
      <c r="A269" s="7">
        <v>40999</v>
      </c>
      <c r="B269" s="8">
        <v>3.3100000000000002E-4</v>
      </c>
      <c r="C269" s="8">
        <f t="shared" si="378"/>
        <v>-0.14135179071529938</v>
      </c>
      <c r="D269" s="9">
        <f t="shared" si="374"/>
        <v>-0.70675895357649687</v>
      </c>
      <c r="E269" s="8">
        <v>2.8</v>
      </c>
      <c r="F269" s="8">
        <f t="shared" si="379"/>
        <v>3.5058267269503629</v>
      </c>
      <c r="G269" s="9">
        <f t="shared" si="375"/>
        <v>0.31871152063185115</v>
      </c>
      <c r="H269" s="8">
        <v>-0.31259999999999999</v>
      </c>
      <c r="I269" s="8">
        <f t="shared" si="380"/>
        <v>6.9243986713768441E-2</v>
      </c>
      <c r="J269" s="9">
        <f t="shared" si="381"/>
        <v>0.26924398671376848</v>
      </c>
      <c r="K269" s="8">
        <v>-0.65200000000000002</v>
      </c>
      <c r="L269" s="8">
        <f t="shared" si="382"/>
        <v>-1.0252109594887404</v>
      </c>
      <c r="M269" s="9">
        <f t="shared" si="376"/>
        <v>-1.0125270166710321</v>
      </c>
      <c r="O269" s="11">
        <f t="shared" si="383"/>
        <v>-0.19037434304983719</v>
      </c>
      <c r="P269" s="15" t="str">
        <f t="shared" si="391"/>
        <v>C</v>
      </c>
      <c r="Q269" t="str">
        <f t="shared" si="400"/>
        <v>R</v>
      </c>
      <c r="R269" s="18">
        <f t="shared" si="407"/>
        <v>-0.27482015652435687</v>
      </c>
      <c r="S269" t="str">
        <f t="shared" si="322"/>
        <v>C</v>
      </c>
      <c r="T269">
        <v>0</v>
      </c>
      <c r="V269" s="17">
        <f t="shared" si="372"/>
        <v>40999</v>
      </c>
      <c r="W269" s="1" t="e">
        <f t="shared" si="384"/>
        <v>#N/A</v>
      </c>
      <c r="X269" s="1" t="e">
        <f t="shared" si="385"/>
        <v>#N/A</v>
      </c>
      <c r="Y269" s="1">
        <f t="shared" si="386"/>
        <v>-0.19037434304983719</v>
      </c>
      <c r="Z269" s="1">
        <f t="shared" si="387"/>
        <v>-0.19037434304983719</v>
      </c>
      <c r="AA269">
        <v>0</v>
      </c>
      <c r="AB269" s="1">
        <v>21.5</v>
      </c>
      <c r="AD269" s="17">
        <f t="shared" si="393"/>
        <v>40999</v>
      </c>
      <c r="AE269" s="1" t="e">
        <f t="shared" si="394"/>
        <v>#N/A</v>
      </c>
      <c r="AF269" s="1" t="e">
        <f t="shared" si="395"/>
        <v>#N/A</v>
      </c>
      <c r="AG269" s="1">
        <f t="shared" si="396"/>
        <v>-0.19037434304983719</v>
      </c>
      <c r="AH269" s="1">
        <f t="shared" si="397"/>
        <v>-0.19037434304983719</v>
      </c>
      <c r="AK269" s="1"/>
      <c r="AL269" s="1"/>
      <c r="AM269" s="1"/>
      <c r="AN269" s="1"/>
      <c r="AO269" s="17">
        <f t="shared" si="401"/>
        <v>40999</v>
      </c>
      <c r="AP269">
        <f t="shared" si="402"/>
        <v>1</v>
      </c>
      <c r="AQ269">
        <f t="shared" si="403"/>
        <v>2</v>
      </c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7" t="e">
        <f t="shared" ref="BL269" si="410">#REF!</f>
        <v>#REF!</v>
      </c>
      <c r="BM269">
        <f t="shared" si="389"/>
        <v>2</v>
      </c>
      <c r="BN269">
        <f t="shared" si="390"/>
        <v>1</v>
      </c>
    </row>
    <row r="270" spans="1:66">
      <c r="A270" s="7">
        <v>41029</v>
      </c>
      <c r="B270" s="8">
        <v>-7.1640000000000002E-3</v>
      </c>
      <c r="C270" s="8">
        <f t="shared" si="378"/>
        <v>-0.10310827036143905</v>
      </c>
      <c r="D270" s="9">
        <f t="shared" si="374"/>
        <v>-0.51554135180719518</v>
      </c>
      <c r="E270" s="8">
        <v>2.5</v>
      </c>
      <c r="F270" s="8">
        <f t="shared" si="379"/>
        <v>3.2191661097695095</v>
      </c>
      <c r="G270" s="9">
        <f t="shared" si="375"/>
        <v>0.29265146452450086</v>
      </c>
      <c r="H270" s="8">
        <v>5.6399999999999999E-2</v>
      </c>
      <c r="I270" s="8">
        <f t="shared" si="380"/>
        <v>6.5583450500344434E-2</v>
      </c>
      <c r="J270" s="9">
        <f t="shared" si="381"/>
        <v>0.26558345050034443</v>
      </c>
      <c r="K270" s="8">
        <v>-0.59899999999999998</v>
      </c>
      <c r="L270" s="8">
        <f t="shared" si="382"/>
        <v>-0.90374083603444944</v>
      </c>
      <c r="M270" s="9">
        <f t="shared" si="376"/>
        <v>-0.45187041801722472</v>
      </c>
      <c r="O270" s="11">
        <f t="shared" si="383"/>
        <v>-1.1826769246228261E-2</v>
      </c>
      <c r="P270" s="15" t="str">
        <f t="shared" si="391"/>
        <v>R</v>
      </c>
      <c r="Q270" t="str">
        <f t="shared" si="400"/>
        <v>R</v>
      </c>
      <c r="R270" s="18">
        <f t="shared" si="407"/>
        <v>-1.1826769246228261E-2</v>
      </c>
      <c r="S270" t="str">
        <f t="shared" si="322"/>
        <v>R</v>
      </c>
      <c r="T270">
        <v>0</v>
      </c>
      <c r="V270" s="17">
        <f t="shared" si="372"/>
        <v>41029</v>
      </c>
      <c r="W270" s="1" t="e">
        <f t="shared" si="384"/>
        <v>#N/A</v>
      </c>
      <c r="X270" s="1" t="e">
        <f t="shared" si="385"/>
        <v>#N/A</v>
      </c>
      <c r="Y270" s="1">
        <f t="shared" si="386"/>
        <v>-1.1826769246228261E-2</v>
      </c>
      <c r="Z270" s="1">
        <f t="shared" si="387"/>
        <v>-1.1826769246228261E-2</v>
      </c>
      <c r="AA270">
        <v>0</v>
      </c>
      <c r="AB270" s="1">
        <v>-14</v>
      </c>
      <c r="AD270" s="17">
        <f t="shared" si="393"/>
        <v>41029</v>
      </c>
      <c r="AE270" s="1" t="e">
        <f t="shared" si="394"/>
        <v>#N/A</v>
      </c>
      <c r="AF270" s="1" t="e">
        <f t="shared" si="395"/>
        <v>#N/A</v>
      </c>
      <c r="AG270" s="1">
        <f t="shared" si="396"/>
        <v>-1.1826769246228261E-2</v>
      </c>
      <c r="AH270" s="1">
        <f t="shared" si="397"/>
        <v>-1.1826769246228261E-2</v>
      </c>
      <c r="AK270" s="1"/>
      <c r="AL270" s="1"/>
      <c r="AM270" s="1"/>
      <c r="AN270" s="1"/>
      <c r="AO270" s="17">
        <f t="shared" si="401"/>
        <v>41029</v>
      </c>
      <c r="AP270">
        <f t="shared" si="402"/>
        <v>2</v>
      </c>
      <c r="AQ270">
        <f t="shared" si="403"/>
        <v>2</v>
      </c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7" t="e">
        <f t="shared" ref="BL270" si="411">#REF!</f>
        <v>#REF!</v>
      </c>
      <c r="BM270">
        <f t="shared" si="389"/>
        <v>2</v>
      </c>
      <c r="BN270">
        <f t="shared" si="390"/>
        <v>1</v>
      </c>
    </row>
    <row r="271" spans="1:66">
      <c r="A271" s="7">
        <v>41060</v>
      </c>
      <c r="B271" s="8">
        <v>-0.215391</v>
      </c>
      <c r="C271" s="8">
        <f t="shared" si="378"/>
        <v>-0.13510884830842892</v>
      </c>
      <c r="D271" s="9">
        <f t="shared" si="374"/>
        <v>-0.67554424154214454</v>
      </c>
      <c r="E271" s="8">
        <v>1.9</v>
      </c>
      <c r="F271" s="8">
        <f t="shared" si="379"/>
        <v>2.8432037684851994</v>
      </c>
      <c r="G271" s="9">
        <f t="shared" si="375"/>
        <v>0.25847306986229085</v>
      </c>
      <c r="H271" s="8">
        <v>-0.20100000000000001</v>
      </c>
      <c r="I271" s="8">
        <f t="shared" si="380"/>
        <v>-1.0392832892253741E-2</v>
      </c>
      <c r="J271" s="9">
        <f t="shared" si="381"/>
        <v>0.18960716710774628</v>
      </c>
      <c r="K271" s="8">
        <v>-1.1779999999999999</v>
      </c>
      <c r="L271" s="8">
        <f t="shared" si="382"/>
        <v>-0.9819046977646313</v>
      </c>
      <c r="M271" s="9">
        <f t="shared" si="376"/>
        <v>-0.49095234888231565</v>
      </c>
      <c r="O271" s="11">
        <f t="shared" si="383"/>
        <v>-7.016253932923501E-2</v>
      </c>
      <c r="P271" s="15" t="str">
        <f t="shared" si="391"/>
        <v>C</v>
      </c>
      <c r="Q271" t="str">
        <f t="shared" si="400"/>
        <v>C</v>
      </c>
      <c r="R271" s="18">
        <f t="shared" si="407"/>
        <v>-7.016253932923501E-2</v>
      </c>
      <c r="S271" t="str">
        <f t="shared" si="322"/>
        <v>C</v>
      </c>
      <c r="T271">
        <v>0</v>
      </c>
      <c r="V271" s="17">
        <f t="shared" si="372"/>
        <v>41060</v>
      </c>
      <c r="W271" s="1" t="e">
        <f t="shared" si="384"/>
        <v>#N/A</v>
      </c>
      <c r="X271" s="1" t="e">
        <f t="shared" si="385"/>
        <v>#N/A</v>
      </c>
      <c r="Y271" s="1">
        <f t="shared" si="386"/>
        <v>-7.016253932923501E-2</v>
      </c>
      <c r="Z271" s="1" t="e">
        <f t="shared" si="387"/>
        <v>#N/A</v>
      </c>
      <c r="AA271">
        <v>0</v>
      </c>
      <c r="AB271" s="1">
        <v>-35.9</v>
      </c>
      <c r="AD271" s="17">
        <f t="shared" si="393"/>
        <v>41060</v>
      </c>
      <c r="AE271" s="1" t="e">
        <f t="shared" si="394"/>
        <v>#N/A</v>
      </c>
      <c r="AF271" s="1" t="e">
        <f t="shared" si="395"/>
        <v>#N/A</v>
      </c>
      <c r="AG271" s="1">
        <f t="shared" si="396"/>
        <v>-7.016253932923501E-2</v>
      </c>
      <c r="AH271" s="1" t="e">
        <f t="shared" si="397"/>
        <v>#N/A</v>
      </c>
      <c r="AK271" s="1"/>
      <c r="AL271" s="1"/>
      <c r="AM271" s="1"/>
      <c r="AN271" s="1"/>
      <c r="AO271" s="17">
        <f t="shared" si="401"/>
        <v>41060</v>
      </c>
      <c r="AP271">
        <f t="shared" si="402"/>
        <v>1</v>
      </c>
      <c r="AQ271">
        <f t="shared" si="403"/>
        <v>1</v>
      </c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7" t="e">
        <f t="shared" ref="BL271" si="412">#REF!</f>
        <v>#REF!</v>
      </c>
      <c r="BM271">
        <f t="shared" si="389"/>
        <v>1</v>
      </c>
      <c r="BN271">
        <f t="shared" si="390"/>
        <v>1</v>
      </c>
    </row>
    <row r="272" spans="1:66">
      <c r="A272" s="7">
        <v>41090</v>
      </c>
      <c r="B272" s="8">
        <v>-0.25166300000000003</v>
      </c>
      <c r="C272" s="8">
        <f t="shared" si="378"/>
        <v>-0.16832678154052672</v>
      </c>
      <c r="D272" s="9">
        <f t="shared" si="374"/>
        <v>-0.84163390770263358</v>
      </c>
      <c r="E272" s="8">
        <v>1.5</v>
      </c>
      <c r="F272" s="8">
        <f t="shared" si="379"/>
        <v>2.4603906944669176</v>
      </c>
      <c r="G272" s="9">
        <f t="shared" si="375"/>
        <v>0.22367188131517432</v>
      </c>
      <c r="H272" s="8">
        <v>-0.41499999999999998</v>
      </c>
      <c r="I272" s="8">
        <f t="shared" si="380"/>
        <v>-0.12570587551796142</v>
      </c>
      <c r="J272" s="9">
        <f t="shared" si="381"/>
        <v>7.4294124482038593E-2</v>
      </c>
      <c r="K272" s="8">
        <v>-0.68300000000000005</v>
      </c>
      <c r="L272" s="8">
        <f t="shared" si="382"/>
        <v>-0.89671685890171138</v>
      </c>
      <c r="M272" s="9">
        <f t="shared" si="376"/>
        <v>-0.44835842945085569</v>
      </c>
      <c r="O272" s="11">
        <f t="shared" si="383"/>
        <v>-0.11884076130222124</v>
      </c>
      <c r="P272" s="15" t="str">
        <f t="shared" si="391"/>
        <v>C</v>
      </c>
      <c r="Q272" t="str">
        <f t="shared" si="400"/>
        <v>C</v>
      </c>
      <c r="R272" s="18">
        <f t="shared" si="407"/>
        <v>-7.016253932923501E-2</v>
      </c>
      <c r="S272" t="str">
        <f t="shared" si="322"/>
        <v>C</v>
      </c>
      <c r="T272">
        <v>0</v>
      </c>
      <c r="V272" s="17">
        <f t="shared" si="372"/>
        <v>41090</v>
      </c>
      <c r="W272" s="1" t="e">
        <f t="shared" si="384"/>
        <v>#N/A</v>
      </c>
      <c r="X272" s="1" t="e">
        <f t="shared" si="385"/>
        <v>#N/A</v>
      </c>
      <c r="Y272" s="1">
        <f t="shared" si="386"/>
        <v>-0.11884076130222124</v>
      </c>
      <c r="Z272" s="1" t="e">
        <f t="shared" si="387"/>
        <v>#N/A</v>
      </c>
      <c r="AA272">
        <v>0</v>
      </c>
      <c r="AB272" s="1">
        <v>-60.9</v>
      </c>
      <c r="AD272" s="17">
        <f t="shared" si="393"/>
        <v>41090</v>
      </c>
      <c r="AE272" s="1" t="e">
        <f t="shared" si="394"/>
        <v>#N/A</v>
      </c>
      <c r="AF272" s="1" t="e">
        <f t="shared" si="395"/>
        <v>#N/A</v>
      </c>
      <c r="AG272" s="1">
        <f t="shared" si="396"/>
        <v>-0.11884076130222124</v>
      </c>
      <c r="AH272" s="1" t="e">
        <f t="shared" si="397"/>
        <v>#N/A</v>
      </c>
      <c r="AK272" s="1"/>
      <c r="AL272" s="1"/>
      <c r="AM272" s="1"/>
      <c r="AN272" s="1"/>
      <c r="AO272" s="17">
        <f t="shared" si="401"/>
        <v>41090</v>
      </c>
      <c r="AP272">
        <f t="shared" si="402"/>
        <v>1</v>
      </c>
      <c r="AQ272">
        <f t="shared" si="403"/>
        <v>1</v>
      </c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7" t="e">
        <f t="shared" ref="BL272" si="413">#REF!</f>
        <v>#REF!</v>
      </c>
      <c r="BM272">
        <f t="shared" si="389"/>
        <v>1</v>
      </c>
      <c r="BN272">
        <f t="shared" si="390"/>
        <v>1</v>
      </c>
    </row>
    <row r="273" spans="1:66">
      <c r="A273" s="7">
        <v>41121</v>
      </c>
      <c r="B273" s="8">
        <v>-0.26631500000000002</v>
      </c>
      <c r="C273" s="8">
        <f t="shared" si="378"/>
        <v>-0.19625342380147662</v>
      </c>
      <c r="D273" s="9">
        <f t="shared" si="374"/>
        <v>-0.98126711900738306</v>
      </c>
      <c r="E273" s="8">
        <v>1.1000000000000001</v>
      </c>
      <c r="F273" s="8">
        <f t="shared" si="379"/>
        <v>2.072679346543846</v>
      </c>
      <c r="G273" s="9">
        <f t="shared" si="375"/>
        <v>0.18842539514034964</v>
      </c>
      <c r="H273" s="8">
        <v>-0.4234</v>
      </c>
      <c r="I273" s="8">
        <f t="shared" si="380"/>
        <v>-0.21054870099534242</v>
      </c>
      <c r="J273" s="9">
        <f t="shared" si="381"/>
        <v>-1.0548700995342414E-2</v>
      </c>
      <c r="K273" s="8">
        <v>-0.60499999999999998</v>
      </c>
      <c r="L273" s="8">
        <f t="shared" si="382"/>
        <v>-0.81357755411472366</v>
      </c>
      <c r="M273" s="9">
        <f t="shared" si="376"/>
        <v>-0.40678877705736183</v>
      </c>
      <c r="O273" s="11">
        <f t="shared" si="383"/>
        <v>-0.15622639092199728</v>
      </c>
      <c r="P273" s="15" t="str">
        <f t="shared" si="391"/>
        <v>C</v>
      </c>
      <c r="Q273" t="str">
        <f t="shared" si="400"/>
        <v>C</v>
      </c>
      <c r="R273" s="18">
        <f t="shared" si="407"/>
        <v>-7.016253932923501E-2</v>
      </c>
      <c r="S273" t="str">
        <f t="shared" si="322"/>
        <v>C</v>
      </c>
      <c r="T273">
        <v>0</v>
      </c>
      <c r="V273" s="17">
        <f t="shared" si="372"/>
        <v>41121</v>
      </c>
      <c r="W273" s="1" t="e">
        <f t="shared" si="384"/>
        <v>#N/A</v>
      </c>
      <c r="X273" s="1" t="e">
        <f t="shared" si="385"/>
        <v>#N/A</v>
      </c>
      <c r="Y273" s="1">
        <f t="shared" si="386"/>
        <v>-0.15622639092199728</v>
      </c>
      <c r="Z273" s="1" t="e">
        <f t="shared" si="387"/>
        <v>#N/A</v>
      </c>
      <c r="AA273">
        <v>0</v>
      </c>
      <c r="AB273" s="1">
        <v>-41.9</v>
      </c>
      <c r="AD273" s="17">
        <f t="shared" si="393"/>
        <v>41121</v>
      </c>
      <c r="AE273" s="1" t="e">
        <f t="shared" si="394"/>
        <v>#N/A</v>
      </c>
      <c r="AF273" s="1" t="e">
        <f t="shared" si="395"/>
        <v>#N/A</v>
      </c>
      <c r="AG273" s="1">
        <f t="shared" si="396"/>
        <v>-0.15622639092199728</v>
      </c>
      <c r="AH273" s="1" t="e">
        <f t="shared" si="397"/>
        <v>#N/A</v>
      </c>
      <c r="AK273" s="1"/>
      <c r="AL273" s="1"/>
      <c r="AM273" s="1"/>
      <c r="AN273" s="1"/>
      <c r="AO273" s="17">
        <f t="shared" si="401"/>
        <v>41121</v>
      </c>
      <c r="AP273">
        <f t="shared" si="402"/>
        <v>1</v>
      </c>
      <c r="AQ273">
        <f t="shared" si="403"/>
        <v>1</v>
      </c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7" t="e">
        <f t="shared" ref="BL273" si="414">#REF!</f>
        <v>#REF!</v>
      </c>
      <c r="BM273">
        <f t="shared" si="389"/>
        <v>1</v>
      </c>
      <c r="BN273">
        <f t="shared" si="390"/>
        <v>1</v>
      </c>
    </row>
    <row r="274" spans="1:66">
      <c r="A274" s="7">
        <v>41152</v>
      </c>
      <c r="B274" s="8">
        <v>-0.13097300000000001</v>
      </c>
      <c r="C274" s="8">
        <f t="shared" si="378"/>
        <v>-0.17764850301805579</v>
      </c>
      <c r="D274" s="9">
        <f t="shared" si="374"/>
        <v>-0.88824251509027896</v>
      </c>
      <c r="E274" s="8">
        <v>1.5</v>
      </c>
      <c r="F274" s="8">
        <f t="shared" si="379"/>
        <v>1.9094657327788498</v>
      </c>
      <c r="G274" s="9">
        <f t="shared" si="375"/>
        <v>0.17358779388898635</v>
      </c>
      <c r="H274" s="8">
        <v>-0.52180000000000004</v>
      </c>
      <c r="I274" s="8">
        <f t="shared" si="380"/>
        <v>-0.29925532121166987</v>
      </c>
      <c r="J274" s="9">
        <f t="shared" si="381"/>
        <v>-9.9255321211669856E-2</v>
      </c>
      <c r="K274" s="8">
        <v>-0.51600000000000001</v>
      </c>
      <c r="L274" s="8">
        <f t="shared" si="382"/>
        <v>-0.72876795119202731</v>
      </c>
      <c r="M274" s="9">
        <f t="shared" si="376"/>
        <v>-0.36438397559601365</v>
      </c>
      <c r="O274" s="11">
        <f t="shared" si="383"/>
        <v>-0.17138842200922805</v>
      </c>
      <c r="P274" s="15" t="str">
        <f t="shared" si="391"/>
        <v>C</v>
      </c>
      <c r="Q274" t="str">
        <f t="shared" si="400"/>
        <v>C</v>
      </c>
      <c r="R274" s="18">
        <f t="shared" si="407"/>
        <v>-7.016253932923501E-2</v>
      </c>
      <c r="S274" t="str">
        <f t="shared" si="322"/>
        <v>C</v>
      </c>
      <c r="T274">
        <v>0</v>
      </c>
      <c r="V274" s="17">
        <f t="shared" si="372"/>
        <v>41152</v>
      </c>
      <c r="W274" s="1" t="e">
        <f t="shared" si="384"/>
        <v>#N/A</v>
      </c>
      <c r="X274" s="1" t="e">
        <f t="shared" si="385"/>
        <v>#N/A</v>
      </c>
      <c r="Y274" s="1">
        <f t="shared" si="386"/>
        <v>-0.17138842200922805</v>
      </c>
      <c r="Z274" s="1">
        <f t="shared" si="387"/>
        <v>-0.17138842200922805</v>
      </c>
      <c r="AA274">
        <v>0</v>
      </c>
      <c r="AB274" s="1">
        <v>-3.4</v>
      </c>
      <c r="AD274" s="17">
        <f t="shared" si="393"/>
        <v>41152</v>
      </c>
      <c r="AE274" s="1" t="e">
        <f t="shared" si="394"/>
        <v>#N/A</v>
      </c>
      <c r="AF274" s="1" t="e">
        <f t="shared" si="395"/>
        <v>#N/A</v>
      </c>
      <c r="AG274" s="1">
        <f t="shared" si="396"/>
        <v>-0.17138842200922805</v>
      </c>
      <c r="AH274" s="1">
        <f t="shared" si="397"/>
        <v>-0.17138842200922805</v>
      </c>
      <c r="AK274" s="1"/>
      <c r="AL274" s="1"/>
      <c r="AM274" s="1"/>
      <c r="AN274" s="1"/>
      <c r="AO274" s="17">
        <f t="shared" si="401"/>
        <v>41152</v>
      </c>
      <c r="AP274">
        <f t="shared" si="402"/>
        <v>1</v>
      </c>
      <c r="AQ274">
        <f t="shared" si="403"/>
        <v>1</v>
      </c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7" t="e">
        <f t="shared" ref="BL274" si="415">#REF!</f>
        <v>#REF!</v>
      </c>
      <c r="BM274">
        <f t="shared" si="389"/>
        <v>1</v>
      </c>
      <c r="BN274">
        <f t="shared" si="390"/>
        <v>1</v>
      </c>
    </row>
    <row r="275" spans="1:66">
      <c r="A275" s="7">
        <v>41182</v>
      </c>
      <c r="B275" s="8">
        <v>-3.5957999999999997E-2</v>
      </c>
      <c r="C275" s="8">
        <f t="shared" si="378"/>
        <v>-0.13726670965790988</v>
      </c>
      <c r="D275" s="9">
        <f t="shared" si="374"/>
        <v>-0.6863335482895494</v>
      </c>
      <c r="E275" s="8">
        <v>2.5</v>
      </c>
      <c r="F275" s="8">
        <f t="shared" si="379"/>
        <v>2.0777679989368778</v>
      </c>
      <c r="G275" s="9">
        <f t="shared" si="375"/>
        <v>0.18888799990335253</v>
      </c>
      <c r="H275" s="8">
        <v>-0.21640000000000001</v>
      </c>
      <c r="I275" s="8">
        <f t="shared" si="380"/>
        <v>-0.27564155466634399</v>
      </c>
      <c r="J275" s="9">
        <f t="shared" si="381"/>
        <v>-7.564155466634398E-2</v>
      </c>
      <c r="K275" s="8">
        <v>-0.159</v>
      </c>
      <c r="L275" s="8">
        <f t="shared" si="382"/>
        <v>-0.56638408510229954</v>
      </c>
      <c r="M275" s="9">
        <f t="shared" si="376"/>
        <v>-0.28319204255114977</v>
      </c>
      <c r="O275" s="11">
        <f t="shared" si="383"/>
        <v>-0.12420709582750716</v>
      </c>
      <c r="P275" s="15" t="str">
        <f t="shared" si="391"/>
        <v>R</v>
      </c>
      <c r="Q275" t="str">
        <f t="shared" si="400"/>
        <v>C</v>
      </c>
      <c r="R275" s="18">
        <f t="shared" si="407"/>
        <v>-7.016253932923501E-2</v>
      </c>
      <c r="S275" t="str">
        <f t="shared" si="322"/>
        <v>R</v>
      </c>
      <c r="T275">
        <v>0</v>
      </c>
      <c r="V275" s="17">
        <f t="shared" si="372"/>
        <v>41182</v>
      </c>
      <c r="W275" s="1" t="e">
        <f t="shared" si="384"/>
        <v>#N/A</v>
      </c>
      <c r="X275" s="1" t="e">
        <f t="shared" si="385"/>
        <v>#N/A</v>
      </c>
      <c r="Y275" s="1" t="e">
        <f t="shared" si="386"/>
        <v>#N/A</v>
      </c>
      <c r="Z275" s="1">
        <f t="shared" si="387"/>
        <v>-0.12420709582750716</v>
      </c>
      <c r="AA275">
        <v>0</v>
      </c>
      <c r="AB275" s="1">
        <v>5.8</v>
      </c>
      <c r="AD275" s="17">
        <f t="shared" si="393"/>
        <v>41182</v>
      </c>
      <c r="AE275" s="1" t="e">
        <f t="shared" si="394"/>
        <v>#N/A</v>
      </c>
      <c r="AF275" s="1" t="e">
        <f t="shared" si="395"/>
        <v>#N/A</v>
      </c>
      <c r="AG275" s="1" t="e">
        <f t="shared" si="396"/>
        <v>#N/A</v>
      </c>
      <c r="AH275" s="1">
        <f t="shared" si="397"/>
        <v>-0.12420709582750716</v>
      </c>
      <c r="AK275" s="1"/>
      <c r="AL275" s="1"/>
      <c r="AM275" s="1"/>
      <c r="AN275" s="1"/>
      <c r="AO275" s="17">
        <f t="shared" si="401"/>
        <v>41182</v>
      </c>
      <c r="AP275">
        <f t="shared" si="402"/>
        <v>2</v>
      </c>
      <c r="AQ275">
        <f t="shared" si="403"/>
        <v>1</v>
      </c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7" t="e">
        <f t="shared" ref="BL275" si="416">#REF!</f>
        <v>#REF!</v>
      </c>
      <c r="BM275">
        <f t="shared" si="389"/>
        <v>1</v>
      </c>
      <c r="BN275">
        <f t="shared" si="390"/>
        <v>1</v>
      </c>
    </row>
    <row r="276" spans="1:66">
      <c r="A276" s="7">
        <v>41213</v>
      </c>
      <c r="B276" s="8">
        <v>-7.3179999999999999E-3</v>
      </c>
      <c r="C276" s="8">
        <f t="shared" si="378"/>
        <v>-0.10023132740540557</v>
      </c>
      <c r="D276" s="9">
        <f t="shared" si="374"/>
        <v>-0.50115663702702784</v>
      </c>
      <c r="E276" s="8">
        <v>2.1</v>
      </c>
      <c r="F276" s="8">
        <f t="shared" si="379"/>
        <v>2.0841041192398677</v>
      </c>
      <c r="G276" s="9">
        <f t="shared" si="375"/>
        <v>0.18946401083998798</v>
      </c>
      <c r="H276" s="8">
        <v>4.7999999999999996E-3</v>
      </c>
      <c r="I276" s="8">
        <f t="shared" si="380"/>
        <v>-0.19571571158643594</v>
      </c>
      <c r="J276" s="9">
        <f t="shared" si="381"/>
        <v>4.2842884135640691E-3</v>
      </c>
      <c r="K276" s="8">
        <v>-0.18</v>
      </c>
      <c r="L276" s="8">
        <f t="shared" si="382"/>
        <v>-0.45626462084814418</v>
      </c>
      <c r="M276" s="9">
        <f t="shared" si="376"/>
        <v>-0.22813231042407209</v>
      </c>
      <c r="O276" s="11">
        <f t="shared" si="383"/>
        <v>-6.0603670334849438E-2</v>
      </c>
      <c r="P276" s="15" t="str">
        <f t="shared" si="391"/>
        <v>R</v>
      </c>
      <c r="Q276" t="str">
        <f t="shared" si="400"/>
        <v>R</v>
      </c>
      <c r="R276" s="18">
        <f t="shared" si="407"/>
        <v>-7.016253932923501E-2</v>
      </c>
      <c r="S276" t="str">
        <f t="shared" ref="S276:S339" si="417">IF(OR(ABS($R276-$R275)&gt;$V$2,R276*R275&lt;0,ABS(O276-MAX(O265:O275))&gt;$AJ$2),P276,S275)</f>
        <v>R</v>
      </c>
      <c r="T276">
        <v>0</v>
      </c>
      <c r="V276" s="17">
        <f t="shared" si="372"/>
        <v>41213</v>
      </c>
      <c r="W276" s="1">
        <f t="shared" si="384"/>
        <v>-6.0603670334849438E-2</v>
      </c>
      <c r="X276" s="1" t="e">
        <f t="shared" si="385"/>
        <v>#N/A</v>
      </c>
      <c r="Y276" s="1" t="e">
        <f t="shared" si="386"/>
        <v>#N/A</v>
      </c>
      <c r="Z276" s="1">
        <f t="shared" si="387"/>
        <v>-6.0603670334849438E-2</v>
      </c>
      <c r="AA276">
        <v>0</v>
      </c>
      <c r="AB276" s="1">
        <v>48.1</v>
      </c>
      <c r="AD276" s="17">
        <f t="shared" si="393"/>
        <v>41213</v>
      </c>
      <c r="AE276" s="1">
        <f t="shared" si="394"/>
        <v>-6.0603670334849438E-2</v>
      </c>
      <c r="AF276" s="1" t="e">
        <f t="shared" si="395"/>
        <v>#N/A</v>
      </c>
      <c r="AG276" s="1" t="e">
        <f t="shared" si="396"/>
        <v>#N/A</v>
      </c>
      <c r="AH276" s="1">
        <f t="shared" si="397"/>
        <v>-6.0603670334849438E-2</v>
      </c>
      <c r="AK276" s="1"/>
      <c r="AL276" s="1"/>
      <c r="AM276" s="1"/>
      <c r="AN276" s="1"/>
      <c r="AO276" s="17">
        <f t="shared" si="401"/>
        <v>41213</v>
      </c>
      <c r="AP276">
        <f t="shared" si="402"/>
        <v>2</v>
      </c>
      <c r="AQ276">
        <f t="shared" si="403"/>
        <v>2</v>
      </c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7" t="e">
        <f t="shared" ref="BL276" si="418">#REF!</f>
        <v>#REF!</v>
      </c>
      <c r="BM276">
        <f t="shared" si="389"/>
        <v>2</v>
      </c>
      <c r="BN276">
        <f t="shared" si="390"/>
        <v>1</v>
      </c>
    </row>
    <row r="277" spans="1:66">
      <c r="A277" s="7">
        <v>41243</v>
      </c>
      <c r="B277" s="8">
        <v>-2.3151999999999999E-2</v>
      </c>
      <c r="C277" s="8">
        <f t="shared" si="378"/>
        <v>-7.8263719094864986E-2</v>
      </c>
      <c r="D277" s="9">
        <f t="shared" si="374"/>
        <v>-0.3913185954743249</v>
      </c>
      <c r="E277" s="8">
        <v>2.1</v>
      </c>
      <c r="F277" s="8">
        <f t="shared" si="379"/>
        <v>2.0886344452565053</v>
      </c>
      <c r="G277" s="9">
        <f t="shared" si="375"/>
        <v>0.18987585865968229</v>
      </c>
      <c r="H277" s="8">
        <v>0.6946</v>
      </c>
      <c r="I277" s="8">
        <f t="shared" si="380"/>
        <v>5.8024266215698339E-2</v>
      </c>
      <c r="J277" s="9">
        <f t="shared" si="381"/>
        <v>0.25802426621569835</v>
      </c>
      <c r="K277" s="8">
        <v>8.2000000000000003E-2</v>
      </c>
      <c r="L277" s="8">
        <f t="shared" si="382"/>
        <v>-0.30285920390642307</v>
      </c>
      <c r="M277" s="9">
        <f t="shared" si="376"/>
        <v>-0.15142960195321153</v>
      </c>
      <c r="O277" s="11">
        <f t="shared" si="383"/>
        <v>4.9685742983309952E-2</v>
      </c>
      <c r="P277" s="15" t="str">
        <f t="shared" si="391"/>
        <v>E</v>
      </c>
      <c r="Q277" t="str">
        <f t="shared" si="400"/>
        <v>E</v>
      </c>
      <c r="R277" s="18">
        <f t="shared" si="407"/>
        <v>4.9685742983309952E-2</v>
      </c>
      <c r="S277" t="str">
        <f t="shared" si="417"/>
        <v>E</v>
      </c>
      <c r="T277">
        <v>0</v>
      </c>
      <c r="V277" s="17">
        <f t="shared" si="372"/>
        <v>41243</v>
      </c>
      <c r="W277" s="1">
        <f t="shared" si="384"/>
        <v>4.9685742983309952E-2</v>
      </c>
      <c r="X277" s="1" t="e">
        <f t="shared" si="385"/>
        <v>#N/A</v>
      </c>
      <c r="Y277" s="1" t="e">
        <f t="shared" si="386"/>
        <v>#N/A</v>
      </c>
      <c r="Z277" s="1" t="e">
        <f t="shared" si="387"/>
        <v>#N/A</v>
      </c>
      <c r="AA277">
        <v>0</v>
      </c>
      <c r="AB277" s="1">
        <v>43.1</v>
      </c>
      <c r="AD277" s="17">
        <f t="shared" si="393"/>
        <v>41243</v>
      </c>
      <c r="AE277" s="1">
        <f t="shared" si="394"/>
        <v>4.9685742983309952E-2</v>
      </c>
      <c r="AF277" s="1" t="e">
        <f t="shared" si="395"/>
        <v>#N/A</v>
      </c>
      <c r="AG277" s="1" t="e">
        <f t="shared" si="396"/>
        <v>#N/A</v>
      </c>
      <c r="AH277" s="1" t="e">
        <f t="shared" si="397"/>
        <v>#N/A</v>
      </c>
      <c r="AK277" s="1"/>
      <c r="AL277" s="1"/>
      <c r="AM277" s="1"/>
      <c r="AN277" s="1"/>
      <c r="AO277" s="17">
        <f t="shared" si="401"/>
        <v>41243</v>
      </c>
      <c r="AP277">
        <f t="shared" si="402"/>
        <v>4</v>
      </c>
      <c r="AQ277">
        <f t="shared" si="403"/>
        <v>4</v>
      </c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7" t="e">
        <f t="shared" ref="BL277" si="419">#REF!</f>
        <v>#REF!</v>
      </c>
      <c r="BM277">
        <f t="shared" si="389"/>
        <v>4</v>
      </c>
      <c r="BN277">
        <f t="shared" si="390"/>
        <v>1</v>
      </c>
    </row>
    <row r="278" spans="1:66">
      <c r="A278" s="7">
        <v>41274</v>
      </c>
      <c r="B278" s="8">
        <v>-4.1711999999999999E-2</v>
      </c>
      <c r="C278" s="8">
        <f t="shared" si="378"/>
        <v>-6.7846479152828459E-2</v>
      </c>
      <c r="D278" s="9">
        <f t="shared" si="374"/>
        <v>-0.33923239576414227</v>
      </c>
      <c r="E278" s="8">
        <v>1.6</v>
      </c>
      <c r="F278" s="8">
        <f t="shared" si="379"/>
        <v>1.9493736283584013</v>
      </c>
      <c r="G278" s="9">
        <f t="shared" si="375"/>
        <v>0.1772157843962183</v>
      </c>
      <c r="H278" s="8">
        <v>0.17730000000000001</v>
      </c>
      <c r="I278" s="8">
        <f t="shared" si="380"/>
        <v>9.2017850344224314E-2</v>
      </c>
      <c r="J278" s="9">
        <f t="shared" si="381"/>
        <v>0.29201785034422434</v>
      </c>
      <c r="K278" s="8">
        <v>-6.6000000000000003E-2</v>
      </c>
      <c r="L278" s="8">
        <f t="shared" si="382"/>
        <v>-0.23535433079309248</v>
      </c>
      <c r="M278" s="9">
        <f t="shared" si="376"/>
        <v>-0.11767716539654624</v>
      </c>
      <c r="O278" s="11">
        <f t="shared" si="383"/>
        <v>7.5341723505793878E-2</v>
      </c>
      <c r="P278" s="15" t="str">
        <f t="shared" si="391"/>
        <v>E</v>
      </c>
      <c r="Q278" t="str">
        <f t="shared" si="400"/>
        <v>E</v>
      </c>
      <c r="R278" s="18">
        <f t="shared" si="407"/>
        <v>4.9685742983309952E-2</v>
      </c>
      <c r="S278" t="str">
        <f t="shared" si="417"/>
        <v>E</v>
      </c>
      <c r="T278">
        <v>0</v>
      </c>
      <c r="V278" s="17">
        <f t="shared" si="372"/>
        <v>41274</v>
      </c>
      <c r="W278" s="1">
        <f t="shared" si="384"/>
        <v>7.5341723505793878E-2</v>
      </c>
      <c r="X278" s="1">
        <f t="shared" si="385"/>
        <v>7.5341723505793878E-2</v>
      </c>
      <c r="Y278" s="1" t="e">
        <f t="shared" si="386"/>
        <v>#N/A</v>
      </c>
      <c r="Z278" s="1" t="e">
        <f t="shared" si="387"/>
        <v>#N/A</v>
      </c>
      <c r="AA278">
        <v>0</v>
      </c>
      <c r="AB278" s="1">
        <v>39.9</v>
      </c>
      <c r="AD278" s="17">
        <f t="shared" si="393"/>
        <v>41274</v>
      </c>
      <c r="AE278" s="1">
        <f t="shared" si="394"/>
        <v>7.5341723505793878E-2</v>
      </c>
      <c r="AF278" s="1" t="e">
        <f t="shared" si="395"/>
        <v>#N/A</v>
      </c>
      <c r="AG278" s="1" t="e">
        <f t="shared" si="396"/>
        <v>#N/A</v>
      </c>
      <c r="AH278" s="1" t="e">
        <f t="shared" si="397"/>
        <v>#N/A</v>
      </c>
      <c r="AK278" s="1"/>
      <c r="AL278" s="1"/>
      <c r="AM278" s="1"/>
      <c r="AN278" s="1"/>
      <c r="AO278" s="17">
        <f t="shared" si="401"/>
        <v>41274</v>
      </c>
      <c r="AP278">
        <f t="shared" si="402"/>
        <v>4</v>
      </c>
      <c r="AQ278">
        <f t="shared" si="403"/>
        <v>4</v>
      </c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7" t="e">
        <f t="shared" ref="BL278" si="420">#REF!</f>
        <v>#REF!</v>
      </c>
      <c r="BM278">
        <f t="shared" si="389"/>
        <v>4</v>
      </c>
      <c r="BN278">
        <f t="shared" si="390"/>
        <v>1</v>
      </c>
    </row>
    <row r="279" spans="1:66">
      <c r="A279" s="7">
        <v>41305</v>
      </c>
      <c r="B279" s="8">
        <v>-0.113857</v>
      </c>
      <c r="C279" s="8">
        <f t="shared" si="378"/>
        <v>-8.0959477594272355E-2</v>
      </c>
      <c r="D279" s="9">
        <f t="shared" si="374"/>
        <v>-0.40479738797136178</v>
      </c>
      <c r="E279" s="8">
        <v>1.9</v>
      </c>
      <c r="F279" s="8">
        <f t="shared" si="379"/>
        <v>1.9353021442762568</v>
      </c>
      <c r="G279" s="9">
        <f t="shared" si="375"/>
        <v>0.17593655857056881</v>
      </c>
      <c r="H279" s="8">
        <v>-0.80659999999999998</v>
      </c>
      <c r="I279" s="8">
        <f t="shared" si="380"/>
        <v>-0.16408823700387964</v>
      </c>
      <c r="J279" s="9">
        <f t="shared" si="381"/>
        <v>3.5911762996120367E-2</v>
      </c>
      <c r="K279" s="8">
        <v>0.26600000000000001</v>
      </c>
      <c r="L279" s="8">
        <f t="shared" si="382"/>
        <v>-9.2468346517061095E-2</v>
      </c>
      <c r="M279" s="9">
        <f t="shared" si="376"/>
        <v>-4.6234173258530548E-2</v>
      </c>
      <c r="O279" s="11">
        <f t="shared" si="383"/>
        <v>9.5882734430062511E-3</v>
      </c>
      <c r="P279" s="15" t="str">
        <f t="shared" si="391"/>
        <v>SD</v>
      </c>
      <c r="Q279" t="str">
        <f t="shared" si="400"/>
        <v>SD</v>
      </c>
      <c r="R279" s="18">
        <f t="shared" si="407"/>
        <v>9.5882734430062511E-3</v>
      </c>
      <c r="S279" t="str">
        <f t="shared" si="417"/>
        <v>E</v>
      </c>
      <c r="T279">
        <v>0</v>
      </c>
      <c r="V279" s="17">
        <f t="shared" si="372"/>
        <v>41305</v>
      </c>
      <c r="W279" s="1">
        <f t="shared" si="384"/>
        <v>9.5882734430062511E-3</v>
      </c>
      <c r="X279" s="1">
        <f t="shared" si="385"/>
        <v>9.5882734430062511E-3</v>
      </c>
      <c r="Y279" s="1" t="e">
        <f t="shared" si="386"/>
        <v>#N/A</v>
      </c>
      <c r="Z279" s="1" t="e">
        <f t="shared" si="387"/>
        <v>#N/A</v>
      </c>
      <c r="AA279">
        <v>0</v>
      </c>
      <c r="AB279" s="1">
        <v>-27.9</v>
      </c>
      <c r="AD279" s="17">
        <f t="shared" si="393"/>
        <v>41305</v>
      </c>
      <c r="AE279" s="1">
        <f t="shared" si="394"/>
        <v>9.5882734430062511E-3</v>
      </c>
      <c r="AF279" s="1" t="e">
        <f t="shared" si="395"/>
        <v>#N/A</v>
      </c>
      <c r="AG279" s="1" t="e">
        <f t="shared" si="396"/>
        <v>#N/A</v>
      </c>
      <c r="AH279" s="1" t="e">
        <f t="shared" si="397"/>
        <v>#N/A</v>
      </c>
      <c r="AK279" s="1"/>
      <c r="AL279" s="1"/>
      <c r="AM279" s="1"/>
      <c r="AN279" s="1"/>
      <c r="AO279" s="17">
        <f t="shared" si="401"/>
        <v>41305</v>
      </c>
      <c r="AP279">
        <f t="shared" si="402"/>
        <v>3</v>
      </c>
      <c r="AQ279">
        <f t="shared" si="403"/>
        <v>3</v>
      </c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7" t="e">
        <f t="shared" ref="BL279" si="421">#REF!</f>
        <v>#REF!</v>
      </c>
      <c r="BM279">
        <f t="shared" si="389"/>
        <v>3</v>
      </c>
      <c r="BN279">
        <f t="shared" si="390"/>
        <v>1</v>
      </c>
    </row>
    <row r="280" spans="1:66">
      <c r="A280" s="7">
        <v>41333</v>
      </c>
      <c r="B280" s="8">
        <v>-3.1026000000000001E-2</v>
      </c>
      <c r="C280" s="8">
        <f t="shared" si="378"/>
        <v>-6.6728436479904729E-2</v>
      </c>
      <c r="D280" s="9">
        <f t="shared" si="374"/>
        <v>-0.33364218239952365</v>
      </c>
      <c r="E280" s="8">
        <v>1.6</v>
      </c>
      <c r="F280" s="8">
        <f t="shared" si="379"/>
        <v>1.8397410331575235</v>
      </c>
      <c r="G280" s="9">
        <f t="shared" si="375"/>
        <v>0.16724918483250215</v>
      </c>
      <c r="H280" s="8">
        <v>1.1900000000000001E-2</v>
      </c>
      <c r="I280" s="8">
        <f t="shared" si="380"/>
        <v>-0.11393158945777393</v>
      </c>
      <c r="J280" s="9">
        <f t="shared" si="381"/>
        <v>8.6068410542226081E-2</v>
      </c>
      <c r="K280" s="8">
        <v>0.28199999999999997</v>
      </c>
      <c r="L280" s="8">
        <f t="shared" si="382"/>
        <v>1.425513224030131E-2</v>
      </c>
      <c r="M280" s="9">
        <f t="shared" si="376"/>
        <v>1.425513224030131E-2</v>
      </c>
      <c r="O280" s="11">
        <f t="shared" si="383"/>
        <v>4.9513812165976501E-2</v>
      </c>
      <c r="P280" s="15" t="str">
        <f t="shared" si="391"/>
        <v>E</v>
      </c>
      <c r="Q280" t="str">
        <f t="shared" si="400"/>
        <v>SD</v>
      </c>
      <c r="R280" s="18">
        <f t="shared" si="407"/>
        <v>9.5882734430062511E-3</v>
      </c>
      <c r="S280" t="str">
        <f t="shared" si="417"/>
        <v>E</v>
      </c>
      <c r="T280">
        <v>0</v>
      </c>
      <c r="V280" s="17">
        <f t="shared" si="372"/>
        <v>41333</v>
      </c>
      <c r="W280" s="1">
        <f t="shared" si="384"/>
        <v>4.9513812165976501E-2</v>
      </c>
      <c r="X280" s="1" t="e">
        <f t="shared" si="385"/>
        <v>#N/A</v>
      </c>
      <c r="Y280" s="1" t="e">
        <f t="shared" si="386"/>
        <v>#N/A</v>
      </c>
      <c r="Z280" s="1" t="e">
        <f t="shared" si="387"/>
        <v>#N/A</v>
      </c>
      <c r="AA280">
        <v>0</v>
      </c>
      <c r="AB280" s="1">
        <v>2.8</v>
      </c>
      <c r="AD280" s="17">
        <f t="shared" si="393"/>
        <v>41333</v>
      </c>
      <c r="AE280" s="1">
        <f t="shared" si="394"/>
        <v>4.9513812165976501E-2</v>
      </c>
      <c r="AF280" s="1" t="e">
        <f t="shared" si="395"/>
        <v>#N/A</v>
      </c>
      <c r="AG280" s="1" t="e">
        <f t="shared" si="396"/>
        <v>#N/A</v>
      </c>
      <c r="AH280" s="1" t="e">
        <f t="shared" si="397"/>
        <v>#N/A</v>
      </c>
      <c r="AK280" s="1"/>
      <c r="AL280" s="1"/>
      <c r="AM280" s="1"/>
      <c r="AN280" s="1"/>
      <c r="AO280" s="17">
        <f t="shared" si="401"/>
        <v>41333</v>
      </c>
      <c r="AP280">
        <f t="shared" si="402"/>
        <v>4</v>
      </c>
      <c r="AQ280">
        <f t="shared" si="403"/>
        <v>3</v>
      </c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7" t="e">
        <f t="shared" ref="BL280" si="422">#REF!</f>
        <v>#REF!</v>
      </c>
      <c r="BM280">
        <f t="shared" si="389"/>
        <v>3</v>
      </c>
      <c r="BN280">
        <f t="shared" si="390"/>
        <v>1</v>
      </c>
    </row>
    <row r="281" spans="1:66">
      <c r="A281" s="7">
        <v>41364</v>
      </c>
      <c r="B281" s="8">
        <v>-1.7791999999999999E-2</v>
      </c>
      <c r="C281" s="8">
        <f t="shared" si="378"/>
        <v>-5.2781552083131879E-2</v>
      </c>
      <c r="D281" s="9">
        <f t="shared" si="374"/>
        <v>-0.26390776041565939</v>
      </c>
      <c r="E281" s="8">
        <v>0.8</v>
      </c>
      <c r="F281" s="8">
        <f t="shared" si="379"/>
        <v>1.5434148387076292</v>
      </c>
      <c r="G281" s="9">
        <f t="shared" si="375"/>
        <v>0.14031043988251174</v>
      </c>
      <c r="H281" s="8">
        <v>-0.16350000000000001</v>
      </c>
      <c r="I281" s="8">
        <f t="shared" si="380"/>
        <v>-0.12805858646230836</v>
      </c>
      <c r="J281" s="9">
        <f t="shared" si="381"/>
        <v>7.1941413537691651E-2</v>
      </c>
      <c r="K281" s="8">
        <v>0.34499999999999997</v>
      </c>
      <c r="L281" s="8">
        <f t="shared" si="382"/>
        <v>0.10851741955181544</v>
      </c>
      <c r="M281" s="9">
        <f t="shared" si="376"/>
        <v>0.10851741955181544</v>
      </c>
      <c r="O281" s="11">
        <f t="shared" si="383"/>
        <v>7.7921629335036824E-2</v>
      </c>
      <c r="P281" s="15" t="str">
        <f t="shared" si="391"/>
        <v>E</v>
      </c>
      <c r="Q281" t="str">
        <f t="shared" si="400"/>
        <v>SD</v>
      </c>
      <c r="R281" s="18">
        <f t="shared" si="407"/>
        <v>7.7921629335036824E-2</v>
      </c>
      <c r="S281" t="str">
        <f t="shared" si="417"/>
        <v>E</v>
      </c>
      <c r="T281">
        <v>0</v>
      </c>
      <c r="V281" s="17">
        <f t="shared" si="372"/>
        <v>41364</v>
      </c>
      <c r="W281" s="1">
        <f t="shared" si="384"/>
        <v>7.7921629335036824E-2</v>
      </c>
      <c r="X281" s="1" t="e">
        <f t="shared" si="385"/>
        <v>#N/A</v>
      </c>
      <c r="Y281" s="1" t="e">
        <f t="shared" si="386"/>
        <v>#N/A</v>
      </c>
      <c r="Z281" s="1" t="e">
        <f t="shared" si="387"/>
        <v>#N/A</v>
      </c>
      <c r="AA281">
        <v>0</v>
      </c>
      <c r="AB281" s="1">
        <v>18.899999999999999</v>
      </c>
      <c r="AD281" s="17">
        <f t="shared" si="393"/>
        <v>41364</v>
      </c>
      <c r="AE281" s="1">
        <f t="shared" si="394"/>
        <v>7.7921629335036824E-2</v>
      </c>
      <c r="AF281" s="1" t="e">
        <f t="shared" si="395"/>
        <v>#N/A</v>
      </c>
      <c r="AG281" s="1" t="e">
        <f t="shared" si="396"/>
        <v>#N/A</v>
      </c>
      <c r="AH281" s="1" t="e">
        <f t="shared" si="397"/>
        <v>#N/A</v>
      </c>
      <c r="AK281" s="1"/>
      <c r="AL281" s="1"/>
      <c r="AM281" s="1"/>
      <c r="AN281" s="1"/>
      <c r="AO281" s="17">
        <f t="shared" si="401"/>
        <v>41364</v>
      </c>
      <c r="AP281">
        <f t="shared" si="402"/>
        <v>4</v>
      </c>
      <c r="AQ281">
        <f t="shared" si="403"/>
        <v>3</v>
      </c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7" t="e">
        <f t="shared" ref="BL281" si="423">#REF!</f>
        <v>#REF!</v>
      </c>
      <c r="BM281">
        <f t="shared" si="389"/>
        <v>3</v>
      </c>
      <c r="BN281">
        <f t="shared" si="390"/>
        <v>1</v>
      </c>
    </row>
    <row r="282" spans="1:66">
      <c r="A282" s="7">
        <v>41394</v>
      </c>
      <c r="B282" s="8">
        <v>2.0920000000000001E-2</v>
      </c>
      <c r="C282" s="8">
        <f t="shared" si="378"/>
        <v>-3.1776609739439292E-2</v>
      </c>
      <c r="D282" s="9">
        <f t="shared" si="374"/>
        <v>-0.15888304869719644</v>
      </c>
      <c r="E282" s="8">
        <v>1.6</v>
      </c>
      <c r="F282" s="8">
        <f t="shared" si="379"/>
        <v>1.5595416096759549</v>
      </c>
      <c r="G282" s="9">
        <f t="shared" si="375"/>
        <v>0.14177650997054136</v>
      </c>
      <c r="H282" s="8">
        <v>-0.1993</v>
      </c>
      <c r="I282" s="8">
        <f t="shared" si="380"/>
        <v>-0.14836238932055049</v>
      </c>
      <c r="J282" s="9">
        <f t="shared" si="381"/>
        <v>5.1637610679449525E-2</v>
      </c>
      <c r="K282" s="8">
        <v>0.44900000000000001</v>
      </c>
      <c r="L282" s="8">
        <f t="shared" si="382"/>
        <v>0.20555495497954807</v>
      </c>
      <c r="M282" s="9">
        <f t="shared" si="376"/>
        <v>0.20555495497954807</v>
      </c>
      <c r="O282" s="11">
        <f t="shared" si="383"/>
        <v>0.10336259679273314</v>
      </c>
      <c r="P282" s="15" t="str">
        <f t="shared" si="391"/>
        <v>E</v>
      </c>
      <c r="Q282" t="str">
        <f t="shared" si="400"/>
        <v>SD</v>
      </c>
      <c r="R282" s="18">
        <f t="shared" si="407"/>
        <v>0.10336259679273314</v>
      </c>
      <c r="S282" t="str">
        <f t="shared" si="417"/>
        <v>E</v>
      </c>
      <c r="T282">
        <v>0</v>
      </c>
      <c r="V282" s="17">
        <f t="shared" si="372"/>
        <v>41394</v>
      </c>
      <c r="W282" s="1">
        <f t="shared" si="384"/>
        <v>0.10336259679273314</v>
      </c>
      <c r="X282" s="1" t="e">
        <f t="shared" si="385"/>
        <v>#N/A</v>
      </c>
      <c r="Y282" s="1" t="e">
        <f t="shared" si="386"/>
        <v>#N/A</v>
      </c>
      <c r="Z282" s="1" t="e">
        <f t="shared" si="387"/>
        <v>#N/A</v>
      </c>
      <c r="AA282">
        <v>0</v>
      </c>
      <c r="AB282" s="1">
        <v>-1.7</v>
      </c>
      <c r="AD282" s="17">
        <f t="shared" si="393"/>
        <v>41394</v>
      </c>
      <c r="AE282" s="1">
        <f t="shared" si="394"/>
        <v>0.10336259679273314</v>
      </c>
      <c r="AF282" s="1" t="e">
        <f t="shared" si="395"/>
        <v>#N/A</v>
      </c>
      <c r="AG282" s="1" t="e">
        <f t="shared" si="396"/>
        <v>#N/A</v>
      </c>
      <c r="AH282" s="1" t="e">
        <f t="shared" si="397"/>
        <v>#N/A</v>
      </c>
      <c r="AK282" s="1"/>
      <c r="AL282" s="1"/>
      <c r="AM282" s="1"/>
      <c r="AN282" s="1"/>
      <c r="AO282" s="17">
        <f t="shared" si="401"/>
        <v>41394</v>
      </c>
      <c r="AP282">
        <f t="shared" si="402"/>
        <v>4</v>
      </c>
      <c r="AQ282">
        <f t="shared" si="403"/>
        <v>3</v>
      </c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7" t="e">
        <f t="shared" ref="BL282" si="424">#REF!</f>
        <v>#REF!</v>
      </c>
      <c r="BM282">
        <f t="shared" si="389"/>
        <v>3</v>
      </c>
      <c r="BN282">
        <f t="shared" si="390"/>
        <v>1</v>
      </c>
    </row>
    <row r="283" spans="1:66">
      <c r="A283" s="7">
        <v>41425</v>
      </c>
      <c r="B283" s="8">
        <v>-2.7692000000000001E-2</v>
      </c>
      <c r="C283" s="8">
        <f t="shared" si="378"/>
        <v>-3.0612495963699096E-2</v>
      </c>
      <c r="D283" s="9">
        <f t="shared" si="374"/>
        <v>-0.15306247981849547</v>
      </c>
      <c r="E283" s="8">
        <v>1.7</v>
      </c>
      <c r="F283" s="8">
        <f t="shared" si="379"/>
        <v>1.5995722509183077</v>
      </c>
      <c r="G283" s="9">
        <f t="shared" si="375"/>
        <v>0.14541565917439161</v>
      </c>
      <c r="H283" s="8">
        <v>1.35E-2</v>
      </c>
      <c r="I283" s="8">
        <f t="shared" si="380"/>
        <v>-0.10223160836419359</v>
      </c>
      <c r="J283" s="9">
        <f t="shared" si="381"/>
        <v>9.7768391635806418E-2</v>
      </c>
      <c r="K283" s="8">
        <v>0.128</v>
      </c>
      <c r="L283" s="8">
        <f t="shared" si="382"/>
        <v>0.18345179281037688</v>
      </c>
      <c r="M283" s="9">
        <f t="shared" si="376"/>
        <v>0.18345179281037688</v>
      </c>
      <c r="O283" s="11">
        <f t="shared" si="383"/>
        <v>0.11159276034316784</v>
      </c>
      <c r="P283" s="15" t="str">
        <f t="shared" si="391"/>
        <v>E</v>
      </c>
      <c r="Q283" t="str">
        <f t="shared" si="400"/>
        <v>SD</v>
      </c>
      <c r="R283" s="18">
        <f t="shared" si="407"/>
        <v>0.11159276034316784</v>
      </c>
      <c r="S283" t="str">
        <f t="shared" si="417"/>
        <v>E</v>
      </c>
      <c r="T283">
        <v>0</v>
      </c>
      <c r="V283" s="17">
        <f t="shared" si="372"/>
        <v>41425</v>
      </c>
      <c r="W283" s="1">
        <f t="shared" si="384"/>
        <v>0.11159276034316784</v>
      </c>
      <c r="X283" s="1">
        <f t="shared" si="385"/>
        <v>0.11159276034316784</v>
      </c>
      <c r="Y283" s="1" t="e">
        <f t="shared" si="386"/>
        <v>#N/A</v>
      </c>
      <c r="Z283" s="1" t="e">
        <f t="shared" si="387"/>
        <v>#N/A</v>
      </c>
      <c r="AA283">
        <v>0</v>
      </c>
      <c r="AB283" s="1">
        <v>-14.4</v>
      </c>
      <c r="AD283" s="17">
        <f t="shared" si="393"/>
        <v>41425</v>
      </c>
      <c r="AE283" s="1">
        <f t="shared" si="394"/>
        <v>0.11159276034316784</v>
      </c>
      <c r="AF283" s="1" t="e">
        <f t="shared" si="395"/>
        <v>#N/A</v>
      </c>
      <c r="AG283" s="1" t="e">
        <f t="shared" si="396"/>
        <v>#N/A</v>
      </c>
      <c r="AH283" s="1" t="e">
        <f t="shared" si="397"/>
        <v>#N/A</v>
      </c>
      <c r="AO283" s="17">
        <f t="shared" si="401"/>
        <v>41425</v>
      </c>
      <c r="AP283">
        <f t="shared" si="402"/>
        <v>4</v>
      </c>
      <c r="AQ283">
        <f t="shared" si="403"/>
        <v>3</v>
      </c>
    </row>
    <row r="284" spans="1:66">
      <c r="A284" s="7">
        <v>41455</v>
      </c>
      <c r="B284" s="8">
        <v>5.6606999999999998E-2</v>
      </c>
      <c r="C284" s="8">
        <f t="shared" si="378"/>
        <v>-5.7549396140448537E-3</v>
      </c>
      <c r="D284" s="9">
        <f t="shared" si="374"/>
        <v>-2.8774698070224269E-2</v>
      </c>
      <c r="E284" s="8">
        <v>2.1</v>
      </c>
      <c r="F284" s="8">
        <f t="shared" si="379"/>
        <v>1.7421941594065902</v>
      </c>
      <c r="G284" s="9">
        <f t="shared" si="375"/>
        <v>0.15838128721878092</v>
      </c>
      <c r="H284" s="8">
        <v>-0.30740000000000001</v>
      </c>
      <c r="I284" s="8">
        <f t="shared" si="380"/>
        <v>-0.16070459998039843</v>
      </c>
      <c r="J284" s="9">
        <f t="shared" si="381"/>
        <v>3.9295400019601578E-2</v>
      </c>
      <c r="K284" s="8">
        <v>-0.121</v>
      </c>
      <c r="L284" s="8">
        <f t="shared" si="382"/>
        <v>9.6683031859419469E-2</v>
      </c>
      <c r="M284" s="9">
        <f t="shared" si="376"/>
        <v>9.6683031859419469E-2</v>
      </c>
      <c r="O284" s="11">
        <f t="shared" si="383"/>
        <v>8.1540757509001374E-2</v>
      </c>
      <c r="P284" s="15" t="str">
        <f t="shared" si="391"/>
        <v>SD</v>
      </c>
      <c r="Q284" t="str">
        <f t="shared" si="400"/>
        <v>SD</v>
      </c>
      <c r="R284" s="18">
        <f t="shared" si="407"/>
        <v>8.1540757509001374E-2</v>
      </c>
      <c r="S284" t="str">
        <f t="shared" si="417"/>
        <v>E</v>
      </c>
      <c r="T284">
        <v>0</v>
      </c>
      <c r="V284" s="17">
        <f t="shared" si="372"/>
        <v>41455</v>
      </c>
      <c r="W284" s="1">
        <f t="shared" si="384"/>
        <v>8.1540757509001374E-2</v>
      </c>
      <c r="X284" s="1">
        <f t="shared" si="385"/>
        <v>8.1540757509001374E-2</v>
      </c>
      <c r="Y284" s="1" t="e">
        <f t="shared" si="386"/>
        <v>#N/A</v>
      </c>
      <c r="Z284" s="1" t="e">
        <f t="shared" si="387"/>
        <v>#N/A</v>
      </c>
      <c r="AA284">
        <v>0</v>
      </c>
      <c r="AB284" s="1">
        <v>-9</v>
      </c>
      <c r="AD284" s="17">
        <f t="shared" si="393"/>
        <v>41455</v>
      </c>
      <c r="AE284" s="1">
        <f t="shared" si="394"/>
        <v>8.1540757509001374E-2</v>
      </c>
      <c r="AF284" s="1" t="e">
        <f t="shared" si="395"/>
        <v>#N/A</v>
      </c>
      <c r="AG284" s="1" t="e">
        <f t="shared" si="396"/>
        <v>#N/A</v>
      </c>
      <c r="AH284" s="1" t="e">
        <f t="shared" si="397"/>
        <v>#N/A</v>
      </c>
      <c r="AO284" s="17">
        <f t="shared" si="401"/>
        <v>41455</v>
      </c>
      <c r="AP284">
        <f t="shared" si="402"/>
        <v>3</v>
      </c>
      <c r="AQ284">
        <f t="shared" si="403"/>
        <v>3</v>
      </c>
    </row>
    <row r="285" spans="1:66">
      <c r="A285" s="7">
        <v>41486</v>
      </c>
      <c r="B285" s="8">
        <v>7.6616000000000004E-2</v>
      </c>
      <c r="C285" s="8">
        <f t="shared" si="378"/>
        <v>1.7720778175957935E-2</v>
      </c>
      <c r="D285" s="9">
        <f t="shared" si="374"/>
        <v>8.8603890879789676E-2</v>
      </c>
      <c r="E285" s="8">
        <v>2.4</v>
      </c>
      <c r="F285" s="8">
        <f t="shared" si="379"/>
        <v>1.929668823975712</v>
      </c>
      <c r="G285" s="9">
        <f t="shared" si="375"/>
        <v>0.17542443854324655</v>
      </c>
      <c r="H285" s="8">
        <v>-0.32300000000000001</v>
      </c>
      <c r="I285" s="8">
        <f t="shared" si="380"/>
        <v>-0.20695878898598488</v>
      </c>
      <c r="J285" s="9">
        <f t="shared" si="381"/>
        <v>-6.9587889859848706E-3</v>
      </c>
      <c r="K285" s="8">
        <v>0.36099999999999999</v>
      </c>
      <c r="L285" s="8">
        <f t="shared" si="382"/>
        <v>0.17201336777948492</v>
      </c>
      <c r="M285" s="9">
        <f t="shared" si="376"/>
        <v>0.17201336777948492</v>
      </c>
      <c r="O285" s="11">
        <f t="shared" si="383"/>
        <v>0.10589114889166326</v>
      </c>
      <c r="P285" s="15" t="str">
        <f t="shared" si="391"/>
        <v>E</v>
      </c>
      <c r="Q285" t="str">
        <f t="shared" si="400"/>
        <v>SD</v>
      </c>
      <c r="R285" s="18">
        <f t="shared" si="407"/>
        <v>8.1540757509001374E-2</v>
      </c>
      <c r="S285" t="str">
        <f t="shared" si="417"/>
        <v>E</v>
      </c>
      <c r="T285">
        <v>0</v>
      </c>
      <c r="V285" s="17">
        <f t="shared" si="372"/>
        <v>41486</v>
      </c>
      <c r="W285" s="1">
        <f t="shared" si="384"/>
        <v>0.10589114889166326</v>
      </c>
      <c r="X285" s="1" t="e">
        <f t="shared" si="385"/>
        <v>#N/A</v>
      </c>
      <c r="Y285" s="1" t="e">
        <f t="shared" si="386"/>
        <v>#N/A</v>
      </c>
      <c r="Z285" s="1" t="e">
        <f t="shared" si="387"/>
        <v>#N/A</v>
      </c>
      <c r="AA285">
        <v>0</v>
      </c>
      <c r="AB285" s="1">
        <v>4</v>
      </c>
      <c r="AD285" s="17">
        <f t="shared" si="393"/>
        <v>41486</v>
      </c>
      <c r="AE285" s="1">
        <f t="shared" si="394"/>
        <v>0.10589114889166326</v>
      </c>
      <c r="AF285" s="1" t="e">
        <f t="shared" si="395"/>
        <v>#N/A</v>
      </c>
      <c r="AG285" s="1" t="e">
        <f t="shared" si="396"/>
        <v>#N/A</v>
      </c>
      <c r="AH285" s="1" t="e">
        <f t="shared" si="397"/>
        <v>#N/A</v>
      </c>
      <c r="AO285" s="17">
        <f t="shared" si="401"/>
        <v>41486</v>
      </c>
      <c r="AP285">
        <f t="shared" si="402"/>
        <v>4</v>
      </c>
      <c r="AQ285">
        <f t="shared" si="403"/>
        <v>3</v>
      </c>
    </row>
    <row r="286" spans="1:66">
      <c r="A286" s="7">
        <v>41517</v>
      </c>
      <c r="B286" s="8">
        <v>5.5280999999999997E-2</v>
      </c>
      <c r="C286" s="8">
        <f t="shared" si="378"/>
        <v>2.8425441395809926E-2</v>
      </c>
      <c r="D286" s="9">
        <f t="shared" si="374"/>
        <v>0.14212720697904963</v>
      </c>
      <c r="E286" s="8">
        <v>3.3</v>
      </c>
      <c r="F286" s="8">
        <f t="shared" si="379"/>
        <v>2.3202132091426342</v>
      </c>
      <c r="G286" s="9">
        <f t="shared" si="375"/>
        <v>0.21092847355842129</v>
      </c>
      <c r="H286" s="8">
        <v>0.2823</v>
      </c>
      <c r="I286" s="8">
        <f t="shared" si="380"/>
        <v>-6.7520034124979172E-2</v>
      </c>
      <c r="J286" s="9">
        <f t="shared" si="381"/>
        <v>0.13247996587502084</v>
      </c>
      <c r="K286" s="8">
        <v>4.2000000000000003E-2</v>
      </c>
      <c r="L286" s="8">
        <f t="shared" si="382"/>
        <v>0.13495955796233172</v>
      </c>
      <c r="M286" s="9">
        <f t="shared" si="376"/>
        <v>0.13495955796233172</v>
      </c>
      <c r="O286" s="11">
        <f t="shared" si="383"/>
        <v>0.1470719094120847</v>
      </c>
      <c r="P286" s="15" t="str">
        <f t="shared" si="391"/>
        <v>E</v>
      </c>
      <c r="Q286" t="str">
        <f t="shared" si="400"/>
        <v>SD</v>
      </c>
      <c r="R286" s="18">
        <f t="shared" si="407"/>
        <v>0.1470719094120847</v>
      </c>
      <c r="S286" t="str">
        <f t="shared" si="417"/>
        <v>E</v>
      </c>
      <c r="T286">
        <v>0</v>
      </c>
      <c r="V286" s="17">
        <f t="shared" si="372"/>
        <v>41517</v>
      </c>
      <c r="W286" s="1">
        <f t="shared" si="384"/>
        <v>0.1470719094120847</v>
      </c>
      <c r="X286" s="1" t="e">
        <f t="shared" si="385"/>
        <v>#N/A</v>
      </c>
      <c r="Y286" s="1" t="e">
        <f t="shared" si="386"/>
        <v>#N/A</v>
      </c>
      <c r="Z286" s="1" t="e">
        <f t="shared" si="387"/>
        <v>#N/A</v>
      </c>
      <c r="AA286">
        <v>0</v>
      </c>
      <c r="AB286" s="1">
        <v>25.4</v>
      </c>
      <c r="AD286" s="17">
        <f t="shared" si="393"/>
        <v>41517</v>
      </c>
      <c r="AE286" s="1">
        <f t="shared" si="394"/>
        <v>0.1470719094120847</v>
      </c>
      <c r="AF286" s="1" t="e">
        <f t="shared" si="395"/>
        <v>#N/A</v>
      </c>
      <c r="AG286" s="1" t="e">
        <f t="shared" si="396"/>
        <v>#N/A</v>
      </c>
      <c r="AH286" s="1" t="e">
        <f t="shared" si="397"/>
        <v>#N/A</v>
      </c>
      <c r="AO286" s="17">
        <f t="shared" si="401"/>
        <v>41517</v>
      </c>
      <c r="AP286">
        <f t="shared" si="402"/>
        <v>4</v>
      </c>
      <c r="AQ286">
        <f t="shared" si="403"/>
        <v>3</v>
      </c>
    </row>
    <row r="287" spans="1:66">
      <c r="A287" s="7">
        <v>41547</v>
      </c>
      <c r="B287" s="8">
        <v>-6.7011000000000001E-2</v>
      </c>
      <c r="C287" s="8">
        <f t="shared" si="378"/>
        <v>1.2260555980040944E-3</v>
      </c>
      <c r="D287" s="9">
        <f t="shared" si="374"/>
        <v>6.1302779900204718E-3</v>
      </c>
      <c r="E287" s="8">
        <v>3.6</v>
      </c>
      <c r="F287" s="8">
        <f t="shared" si="379"/>
        <v>2.6849524445369837</v>
      </c>
      <c r="G287" s="9">
        <f t="shared" si="375"/>
        <v>0.24408658586699852</v>
      </c>
      <c r="H287" s="8">
        <v>0.14030000000000001</v>
      </c>
      <c r="I287" s="8">
        <f t="shared" si="380"/>
        <v>-8.2913243993600963E-3</v>
      </c>
      <c r="J287" s="9">
        <f t="shared" si="381"/>
        <v>0.19170867560063992</v>
      </c>
      <c r="K287" s="8">
        <v>0.22800000000000001</v>
      </c>
      <c r="L287" s="8">
        <f t="shared" si="382"/>
        <v>0.16147608394306717</v>
      </c>
      <c r="M287" s="9">
        <f t="shared" si="376"/>
        <v>0.16147608394306717</v>
      </c>
      <c r="O287" s="11">
        <f t="shared" si="383"/>
        <v>0.16984699772964054</v>
      </c>
      <c r="P287" s="15" t="str">
        <f t="shared" si="391"/>
        <v>E</v>
      </c>
      <c r="Q287" t="str">
        <f t="shared" si="400"/>
        <v>SD</v>
      </c>
      <c r="R287" s="18">
        <f t="shared" si="407"/>
        <v>0.16984699772964054</v>
      </c>
      <c r="S287" t="str">
        <f t="shared" si="417"/>
        <v>E</v>
      </c>
      <c r="T287">
        <v>0</v>
      </c>
      <c r="V287" s="17">
        <f t="shared" si="372"/>
        <v>41547</v>
      </c>
      <c r="W287" s="1">
        <f t="shared" si="384"/>
        <v>0.16984699772964054</v>
      </c>
      <c r="X287" s="1" t="e">
        <f t="shared" si="385"/>
        <v>#N/A</v>
      </c>
      <c r="Y287" s="1" t="e">
        <f t="shared" si="386"/>
        <v>#N/A</v>
      </c>
      <c r="Z287" s="1" t="e">
        <f t="shared" si="387"/>
        <v>#N/A</v>
      </c>
      <c r="AA287">
        <v>0</v>
      </c>
      <c r="AB287" s="1">
        <v>50.5</v>
      </c>
      <c r="AD287" s="17">
        <f t="shared" si="393"/>
        <v>41547</v>
      </c>
      <c r="AE287" s="1">
        <f t="shared" si="394"/>
        <v>0.16984699772964054</v>
      </c>
      <c r="AF287" s="1" t="e">
        <f t="shared" si="395"/>
        <v>#N/A</v>
      </c>
      <c r="AG287" s="1" t="e">
        <f t="shared" si="396"/>
        <v>#N/A</v>
      </c>
      <c r="AH287" s="1" t="e">
        <f t="shared" si="397"/>
        <v>#N/A</v>
      </c>
      <c r="AO287" s="17">
        <f t="shared" si="401"/>
        <v>41547</v>
      </c>
      <c r="AP287">
        <f t="shared" si="402"/>
        <v>4</v>
      </c>
      <c r="AQ287">
        <f t="shared" si="403"/>
        <v>3</v>
      </c>
    </row>
    <row r="288" spans="1:66">
      <c r="A288" s="7">
        <v>41578</v>
      </c>
      <c r="B288" s="8">
        <v>-0.31834699999999999</v>
      </c>
      <c r="C288" s="8">
        <f t="shared" si="378"/>
        <v>-8.9852265247427079E-2</v>
      </c>
      <c r="D288" s="9">
        <f t="shared" si="374"/>
        <v>-0.44926132623713538</v>
      </c>
      <c r="E288" s="8">
        <v>3.7</v>
      </c>
      <c r="F288" s="8">
        <f t="shared" si="379"/>
        <v>2.9742409978439435</v>
      </c>
      <c r="G288" s="9">
        <f t="shared" si="375"/>
        <v>0.27038554525854031</v>
      </c>
      <c r="H288" s="8">
        <v>4.4999999999999998E-2</v>
      </c>
      <c r="I288" s="8">
        <f t="shared" si="380"/>
        <v>6.8967030544575328E-3</v>
      </c>
      <c r="J288" s="9">
        <f t="shared" si="381"/>
        <v>0.20689670305445754</v>
      </c>
      <c r="K288" s="8">
        <v>0.64700000000000002</v>
      </c>
      <c r="L288" s="8">
        <f t="shared" si="382"/>
        <v>0.29985040001929308</v>
      </c>
      <c r="M288" s="9">
        <f t="shared" si="376"/>
        <v>0.29985040001929308</v>
      </c>
      <c r="O288" s="11">
        <f t="shared" si="383"/>
        <v>0.18032397405851119</v>
      </c>
      <c r="P288" s="15" t="str">
        <f t="shared" si="391"/>
        <v>E</v>
      </c>
      <c r="Q288" t="str">
        <f t="shared" si="400"/>
        <v>SD</v>
      </c>
      <c r="R288" s="18">
        <f t="shared" si="407"/>
        <v>0.18032397405851119</v>
      </c>
      <c r="S288" t="str">
        <f t="shared" si="417"/>
        <v>E</v>
      </c>
      <c r="T288">
        <v>0</v>
      </c>
      <c r="V288" s="17">
        <f t="shared" si="372"/>
        <v>41578</v>
      </c>
      <c r="W288" s="1">
        <f t="shared" si="384"/>
        <v>0.18032397405851119</v>
      </c>
      <c r="X288" s="1" t="e">
        <f t="shared" si="385"/>
        <v>#N/A</v>
      </c>
      <c r="Y288" s="1" t="e">
        <f t="shared" si="386"/>
        <v>#N/A</v>
      </c>
      <c r="Z288" s="1" t="e">
        <f t="shared" si="387"/>
        <v>#N/A</v>
      </c>
      <c r="AA288">
        <v>0</v>
      </c>
      <c r="AB288" s="1">
        <v>3.8</v>
      </c>
      <c r="AD288" s="17">
        <f t="shared" si="393"/>
        <v>41578</v>
      </c>
      <c r="AE288" s="1">
        <f t="shared" si="394"/>
        <v>0.18032397405851119</v>
      </c>
      <c r="AF288" s="1" t="e">
        <f t="shared" si="395"/>
        <v>#N/A</v>
      </c>
      <c r="AG288" s="1" t="e">
        <f t="shared" si="396"/>
        <v>#N/A</v>
      </c>
      <c r="AH288" s="1" t="e">
        <f t="shared" si="397"/>
        <v>#N/A</v>
      </c>
      <c r="AO288" s="17">
        <f t="shared" si="401"/>
        <v>41578</v>
      </c>
      <c r="AP288">
        <f t="shared" si="402"/>
        <v>4</v>
      </c>
      <c r="AQ288">
        <f t="shared" si="403"/>
        <v>3</v>
      </c>
    </row>
    <row r="289" spans="1:43">
      <c r="A289" s="7">
        <v>41608</v>
      </c>
      <c r="B289" s="8">
        <v>-2.3484999999999999E-2</v>
      </c>
      <c r="C289" s="8">
        <f t="shared" si="378"/>
        <v>-7.0937594651910352E-2</v>
      </c>
      <c r="D289" s="9">
        <f t="shared" si="374"/>
        <v>-0.35468797325955176</v>
      </c>
      <c r="E289" s="8">
        <v>4.5</v>
      </c>
      <c r="F289" s="8">
        <f t="shared" si="379"/>
        <v>3.4090823134584198</v>
      </c>
      <c r="G289" s="9">
        <f t="shared" si="375"/>
        <v>0.30991657395076544</v>
      </c>
      <c r="H289" s="8">
        <v>0.21029999999999999</v>
      </c>
      <c r="I289" s="8">
        <f t="shared" si="380"/>
        <v>6.4866642683937131E-2</v>
      </c>
      <c r="J289" s="9">
        <f t="shared" si="381"/>
        <v>0.26486664268393711</v>
      </c>
      <c r="K289" s="8">
        <v>0.66900000000000004</v>
      </c>
      <c r="L289" s="8">
        <f t="shared" si="382"/>
        <v>0.40505803601379459</v>
      </c>
      <c r="M289" s="9">
        <f t="shared" si="376"/>
        <v>0.40505803601379459</v>
      </c>
      <c r="O289" s="11">
        <f t="shared" si="383"/>
        <v>0.24662426986092642</v>
      </c>
      <c r="P289" s="15" t="str">
        <f t="shared" si="391"/>
        <v>E</v>
      </c>
      <c r="Q289" t="str">
        <f t="shared" si="400"/>
        <v>E</v>
      </c>
      <c r="R289" s="18">
        <f t="shared" si="407"/>
        <v>0.18032397405851119</v>
      </c>
      <c r="S289" t="str">
        <f t="shared" si="417"/>
        <v>E</v>
      </c>
      <c r="T289">
        <v>0</v>
      </c>
      <c r="V289" s="17">
        <f t="shared" si="372"/>
        <v>41608</v>
      </c>
      <c r="W289" s="1">
        <f t="shared" si="384"/>
        <v>0.24662426986092642</v>
      </c>
      <c r="X289" s="1" t="e">
        <f t="shared" si="385"/>
        <v>#N/A</v>
      </c>
      <c r="Y289" s="1" t="e">
        <f t="shared" si="386"/>
        <v>#N/A</v>
      </c>
      <c r="Z289" s="1" t="e">
        <f t="shared" si="387"/>
        <v>#N/A</v>
      </c>
      <c r="AA289">
        <v>0</v>
      </c>
      <c r="AB289" s="1">
        <v>8.6</v>
      </c>
      <c r="AD289" s="17">
        <f t="shared" si="393"/>
        <v>41608</v>
      </c>
      <c r="AE289" s="1">
        <f t="shared" si="394"/>
        <v>0.24662426986092642</v>
      </c>
      <c r="AF289" s="1" t="e">
        <f t="shared" si="395"/>
        <v>#N/A</v>
      </c>
      <c r="AG289" s="1" t="e">
        <f t="shared" si="396"/>
        <v>#N/A</v>
      </c>
      <c r="AH289" s="1" t="e">
        <f t="shared" si="397"/>
        <v>#N/A</v>
      </c>
      <c r="AO289" s="17">
        <f t="shared" si="401"/>
        <v>41608</v>
      </c>
      <c r="AP289">
        <f t="shared" si="402"/>
        <v>4</v>
      </c>
      <c r="AQ289">
        <f t="shared" si="403"/>
        <v>4</v>
      </c>
    </row>
    <row r="290" spans="1:43">
      <c r="A290" s="7">
        <v>41639</v>
      </c>
      <c r="B290" s="8">
        <v>0.152175</v>
      </c>
      <c r="C290" s="8">
        <f t="shared" si="378"/>
        <v>-7.3505051761158929E-3</v>
      </c>
      <c r="D290" s="9">
        <f t="shared" si="374"/>
        <v>-3.6752525880579465E-2</v>
      </c>
      <c r="E290" s="8">
        <v>4.5999999999999996</v>
      </c>
      <c r="F290" s="8">
        <f t="shared" si="379"/>
        <v>3.7484938541227701</v>
      </c>
      <c r="G290" s="9">
        <f t="shared" si="375"/>
        <v>0.34077216855661546</v>
      </c>
      <c r="H290" s="8">
        <v>-0.33329999999999999</v>
      </c>
      <c r="I290" s="8">
        <f t="shared" si="380"/>
        <v>-4.8610850480984957E-2</v>
      </c>
      <c r="J290" s="9">
        <f t="shared" si="381"/>
        <v>0.15138914951901505</v>
      </c>
      <c r="K290" s="8">
        <v>0.65800000000000003</v>
      </c>
      <c r="L290" s="8">
        <f t="shared" si="382"/>
        <v>0.47714649574986312</v>
      </c>
      <c r="M290" s="9">
        <f t="shared" si="376"/>
        <v>0.47714649574986312</v>
      </c>
      <c r="O290" s="11">
        <f t="shared" si="383"/>
        <v>0.27786041317783511</v>
      </c>
      <c r="P290" s="15" t="str">
        <f t="shared" si="391"/>
        <v>E</v>
      </c>
      <c r="Q290" t="str">
        <f t="shared" si="400"/>
        <v>E</v>
      </c>
      <c r="R290" s="18">
        <f t="shared" si="407"/>
        <v>0.18032397405851119</v>
      </c>
      <c r="S290" t="str">
        <f t="shared" si="417"/>
        <v>E</v>
      </c>
      <c r="T290">
        <v>0</v>
      </c>
      <c r="V290" s="17">
        <f t="shared" si="372"/>
        <v>41639</v>
      </c>
      <c r="W290" s="1">
        <f t="shared" si="384"/>
        <v>0.27786041317783511</v>
      </c>
      <c r="X290" s="1">
        <f t="shared" si="385"/>
        <v>0.27786041317783511</v>
      </c>
      <c r="Y290" s="1" t="e">
        <f t="shared" si="386"/>
        <v>#N/A</v>
      </c>
      <c r="Z290" s="1" t="e">
        <f t="shared" si="387"/>
        <v>#N/A</v>
      </c>
      <c r="AA290">
        <v>0</v>
      </c>
      <c r="AB290" s="1">
        <v>52.2</v>
      </c>
      <c r="AD290" s="17">
        <f t="shared" si="393"/>
        <v>41639</v>
      </c>
      <c r="AE290" s="1">
        <f t="shared" si="394"/>
        <v>0.27786041317783511</v>
      </c>
      <c r="AF290" s="1" t="e">
        <f t="shared" si="395"/>
        <v>#N/A</v>
      </c>
      <c r="AG290" s="1" t="e">
        <f t="shared" si="396"/>
        <v>#N/A</v>
      </c>
      <c r="AH290" s="1" t="e">
        <f t="shared" si="397"/>
        <v>#N/A</v>
      </c>
      <c r="AO290" s="17">
        <f t="shared" si="401"/>
        <v>41639</v>
      </c>
      <c r="AP290">
        <f t="shared" si="402"/>
        <v>4</v>
      </c>
      <c r="AQ290">
        <f t="shared" si="403"/>
        <v>4</v>
      </c>
    </row>
    <row r="291" spans="1:43">
      <c r="A291" s="7">
        <v>41670</v>
      </c>
      <c r="B291" s="8">
        <v>9.8083000000000004E-2</v>
      </c>
      <c r="C291" s="8">
        <f t="shared" si="378"/>
        <v>2.2698043799077142E-2</v>
      </c>
      <c r="D291" s="9">
        <f t="shared" si="374"/>
        <v>0.11349021899538571</v>
      </c>
      <c r="E291" s="8">
        <v>4</v>
      </c>
      <c r="F291" s="8">
        <f t="shared" si="379"/>
        <v>3.8201731056977808</v>
      </c>
      <c r="G291" s="9">
        <f t="shared" si="375"/>
        <v>0.34728846415434372</v>
      </c>
      <c r="H291" s="8">
        <v>-0.57150000000000001</v>
      </c>
      <c r="I291" s="8">
        <f t="shared" si="380"/>
        <v>-0.19763425809390425</v>
      </c>
      <c r="J291" s="9">
        <f t="shared" si="381"/>
        <v>2.3657419060957585E-3</v>
      </c>
      <c r="K291" s="8">
        <v>0.35</v>
      </c>
      <c r="L291" s="8">
        <f t="shared" si="382"/>
        <v>0.44090974446115211</v>
      </c>
      <c r="M291" s="9">
        <f t="shared" si="376"/>
        <v>0.44090974446115211</v>
      </c>
      <c r="O291" s="11">
        <f t="shared" si="383"/>
        <v>0.24656331837669754</v>
      </c>
      <c r="P291" s="15" t="str">
        <f t="shared" si="391"/>
        <v>SD</v>
      </c>
      <c r="Q291" t="str">
        <f t="shared" si="400"/>
        <v>E</v>
      </c>
      <c r="R291" s="18">
        <f t="shared" si="407"/>
        <v>0.18032397405851119</v>
      </c>
      <c r="S291" t="str">
        <f t="shared" si="417"/>
        <v>E</v>
      </c>
      <c r="T291">
        <v>0</v>
      </c>
      <c r="V291" s="17">
        <f t="shared" ref="V291:V322" si="425">A291</f>
        <v>41670</v>
      </c>
      <c r="W291" s="1">
        <f t="shared" si="384"/>
        <v>0.24656331837669754</v>
      </c>
      <c r="X291" s="1">
        <f t="shared" si="385"/>
        <v>0.24656331837669754</v>
      </c>
      <c r="Y291" s="1" t="e">
        <f t="shared" si="386"/>
        <v>#N/A</v>
      </c>
      <c r="Z291" s="1" t="e">
        <f t="shared" si="387"/>
        <v>#N/A</v>
      </c>
      <c r="AA291">
        <v>0</v>
      </c>
      <c r="AB291" s="1">
        <v>49</v>
      </c>
      <c r="AD291" s="17">
        <f t="shared" si="393"/>
        <v>41670</v>
      </c>
      <c r="AE291" s="1">
        <f t="shared" si="394"/>
        <v>0.24656331837669754</v>
      </c>
      <c r="AF291" s="1" t="e">
        <f t="shared" si="395"/>
        <v>#N/A</v>
      </c>
      <c r="AG291" s="1" t="e">
        <f t="shared" si="396"/>
        <v>#N/A</v>
      </c>
      <c r="AH291" s="1" t="e">
        <f t="shared" si="397"/>
        <v>#N/A</v>
      </c>
      <c r="AO291" s="17">
        <f t="shared" si="401"/>
        <v>41670</v>
      </c>
      <c r="AP291">
        <f t="shared" si="402"/>
        <v>3</v>
      </c>
      <c r="AQ291">
        <f t="shared" si="403"/>
        <v>4</v>
      </c>
    </row>
    <row r="292" spans="1:43">
      <c r="A292" s="7">
        <v>41698</v>
      </c>
      <c r="B292" s="8">
        <v>5.5338999999999999E-2</v>
      </c>
      <c r="C292" s="8">
        <f t="shared" si="378"/>
        <v>3.2000716316340161E-2</v>
      </c>
      <c r="D292" s="9">
        <f t="shared" si="374"/>
        <v>0.1600035815817008</v>
      </c>
      <c r="E292" s="8">
        <v>4.4000000000000004</v>
      </c>
      <c r="F292" s="8">
        <f t="shared" si="379"/>
        <v>3.9854237705739131</v>
      </c>
      <c r="G292" s="9">
        <f t="shared" si="375"/>
        <v>0.36231125187035573</v>
      </c>
      <c r="H292" s="8">
        <v>0.2903</v>
      </c>
      <c r="I292" s="8">
        <f t="shared" si="380"/>
        <v>-5.8572994537141529E-2</v>
      </c>
      <c r="J292" s="9">
        <f t="shared" si="381"/>
        <v>0.14142700546285847</v>
      </c>
      <c r="K292" s="8">
        <v>0.65100000000000002</v>
      </c>
      <c r="L292" s="8">
        <f t="shared" si="382"/>
        <v>0.50078546728972373</v>
      </c>
      <c r="M292" s="9">
        <f t="shared" si="376"/>
        <v>0.50078546728972373</v>
      </c>
      <c r="O292" s="11">
        <f t="shared" si="383"/>
        <v>0.31285063923024786</v>
      </c>
      <c r="P292" s="15" t="str">
        <f t="shared" si="391"/>
        <v>E</v>
      </c>
      <c r="Q292" t="str">
        <f t="shared" si="400"/>
        <v>E</v>
      </c>
      <c r="R292" s="18">
        <f t="shared" si="407"/>
        <v>0.31285063923024786</v>
      </c>
      <c r="S292" t="str">
        <f t="shared" si="417"/>
        <v>E</v>
      </c>
      <c r="T292">
        <v>0</v>
      </c>
      <c r="V292" s="17">
        <f t="shared" si="425"/>
        <v>41698</v>
      </c>
      <c r="W292" s="1">
        <f t="shared" si="384"/>
        <v>0.31285063923024786</v>
      </c>
      <c r="X292" s="1" t="e">
        <f t="shared" si="385"/>
        <v>#N/A</v>
      </c>
      <c r="Y292" s="1" t="e">
        <f t="shared" si="386"/>
        <v>#N/A</v>
      </c>
      <c r="Z292" s="1" t="e">
        <f t="shared" si="387"/>
        <v>#N/A</v>
      </c>
      <c r="AA292">
        <v>0</v>
      </c>
      <c r="AB292" s="1">
        <v>-13.4</v>
      </c>
      <c r="AD292" s="17">
        <f t="shared" si="393"/>
        <v>41698</v>
      </c>
      <c r="AE292" s="1">
        <f t="shared" si="394"/>
        <v>0.31285063923024786</v>
      </c>
      <c r="AF292" s="1" t="e">
        <f t="shared" si="395"/>
        <v>#N/A</v>
      </c>
      <c r="AG292" s="1" t="e">
        <f t="shared" si="396"/>
        <v>#N/A</v>
      </c>
      <c r="AH292" s="1" t="e">
        <f t="shared" si="397"/>
        <v>#N/A</v>
      </c>
      <c r="AO292" s="17">
        <f t="shared" si="401"/>
        <v>41698</v>
      </c>
      <c r="AP292">
        <f t="shared" si="402"/>
        <v>4</v>
      </c>
      <c r="AQ292">
        <f t="shared" si="403"/>
        <v>4</v>
      </c>
    </row>
    <row r="293" spans="1:43">
      <c r="A293" s="7">
        <v>41729</v>
      </c>
      <c r="B293" s="8">
        <v>1.8398000000000001E-2</v>
      </c>
      <c r="C293" s="8">
        <f t="shared" si="378"/>
        <v>2.8123942166183215E-2</v>
      </c>
      <c r="D293" s="9">
        <f t="shared" si="374"/>
        <v>0.14061971083091607</v>
      </c>
      <c r="E293" s="8">
        <v>5.7</v>
      </c>
      <c r="F293" s="8">
        <f t="shared" si="379"/>
        <v>4.4740779959603483</v>
      </c>
      <c r="G293" s="9">
        <f t="shared" si="375"/>
        <v>0.40673436326912255</v>
      </c>
      <c r="H293" s="8">
        <v>0.55620000000000003</v>
      </c>
      <c r="I293" s="8">
        <f t="shared" si="380"/>
        <v>0.11663730890594383</v>
      </c>
      <c r="J293" s="9">
        <f t="shared" si="381"/>
        <v>0.31663730890594383</v>
      </c>
      <c r="K293" s="8">
        <v>0.79400000000000004</v>
      </c>
      <c r="L293" s="8">
        <f t="shared" si="382"/>
        <v>0.58435160911215256</v>
      </c>
      <c r="M293" s="9">
        <f t="shared" si="376"/>
        <v>0.58435160911215256</v>
      </c>
      <c r="O293" s="11">
        <f t="shared" si="383"/>
        <v>0.39305202204962719</v>
      </c>
      <c r="P293" s="15" t="str">
        <f t="shared" si="391"/>
        <v>E</v>
      </c>
      <c r="Q293" t="str">
        <f t="shared" si="400"/>
        <v>E</v>
      </c>
      <c r="R293" s="18">
        <f t="shared" si="407"/>
        <v>0.31285063923024786</v>
      </c>
      <c r="S293" t="str">
        <f t="shared" si="417"/>
        <v>E</v>
      </c>
      <c r="T293">
        <v>0</v>
      </c>
      <c r="V293" s="17">
        <f t="shared" si="425"/>
        <v>41729</v>
      </c>
      <c r="W293" s="1">
        <f t="shared" si="384"/>
        <v>0.39305202204962719</v>
      </c>
      <c r="X293" s="1" t="e">
        <f t="shared" si="385"/>
        <v>#N/A</v>
      </c>
      <c r="Y293" s="1" t="e">
        <f t="shared" si="386"/>
        <v>#N/A</v>
      </c>
      <c r="Z293" s="1" t="e">
        <f t="shared" si="387"/>
        <v>#N/A</v>
      </c>
      <c r="AA293">
        <v>0</v>
      </c>
      <c r="AB293" s="1">
        <v>-32.6</v>
      </c>
      <c r="AD293" s="17">
        <f t="shared" si="393"/>
        <v>41729</v>
      </c>
      <c r="AE293" s="1">
        <f t="shared" si="394"/>
        <v>0.39305202204962719</v>
      </c>
      <c r="AF293" s="1" t="e">
        <f t="shared" si="395"/>
        <v>#N/A</v>
      </c>
      <c r="AG293" s="1" t="e">
        <f t="shared" si="396"/>
        <v>#N/A</v>
      </c>
      <c r="AH293" s="1" t="e">
        <f t="shared" si="397"/>
        <v>#N/A</v>
      </c>
      <c r="AO293" s="17">
        <f t="shared" si="401"/>
        <v>41729</v>
      </c>
      <c r="AP293">
        <f t="shared" si="402"/>
        <v>4</v>
      </c>
      <c r="AQ293">
        <f t="shared" si="403"/>
        <v>4</v>
      </c>
    </row>
    <row r="294" spans="1:43">
      <c r="A294" s="7">
        <v>41759</v>
      </c>
      <c r="B294" s="8">
        <v>5.5735E-2</v>
      </c>
      <c r="C294" s="8">
        <f t="shared" si="378"/>
        <v>3.5993093648821001E-2</v>
      </c>
      <c r="D294" s="9">
        <f t="shared" si="374"/>
        <v>0.179965468244105</v>
      </c>
      <c r="E294" s="8">
        <v>5.2</v>
      </c>
      <c r="F294" s="8">
        <f t="shared" si="379"/>
        <v>4.6809657671116494</v>
      </c>
      <c r="G294" s="9">
        <f t="shared" si="375"/>
        <v>0.42554234246469541</v>
      </c>
      <c r="H294" s="8">
        <v>0.16700000000000001</v>
      </c>
      <c r="I294" s="8">
        <f t="shared" si="380"/>
        <v>0.13099067586774985</v>
      </c>
      <c r="J294" s="9">
        <f t="shared" si="381"/>
        <v>0.33099067586774988</v>
      </c>
      <c r="K294" s="8">
        <v>0.88700000000000001</v>
      </c>
      <c r="L294" s="8">
        <f t="shared" si="382"/>
        <v>0.67060640051518905</v>
      </c>
      <c r="M294" s="9">
        <f t="shared" si="376"/>
        <v>0.67060640051518905</v>
      </c>
      <c r="O294" s="11">
        <f t="shared" si="383"/>
        <v>0.44049597872002894</v>
      </c>
      <c r="P294" s="15" t="str">
        <f t="shared" si="391"/>
        <v>E</v>
      </c>
      <c r="Q294" t="str">
        <f t="shared" si="400"/>
        <v>E</v>
      </c>
      <c r="R294" s="18">
        <f t="shared" si="407"/>
        <v>0.31285063923024786</v>
      </c>
      <c r="S294" t="str">
        <f t="shared" si="417"/>
        <v>E</v>
      </c>
      <c r="T294">
        <v>0</v>
      </c>
      <c r="V294" s="17">
        <f t="shared" si="425"/>
        <v>41759</v>
      </c>
      <c r="W294" s="1">
        <f t="shared" si="384"/>
        <v>0.44049597872002894</v>
      </c>
      <c r="X294" s="1" t="e">
        <f t="shared" si="385"/>
        <v>#N/A</v>
      </c>
      <c r="Y294" s="1" t="e">
        <f t="shared" si="386"/>
        <v>#N/A</v>
      </c>
      <c r="Z294" s="1" t="e">
        <f t="shared" si="387"/>
        <v>#N/A</v>
      </c>
      <c r="AA294">
        <v>0</v>
      </c>
      <c r="AB294" s="1">
        <v>-32.5</v>
      </c>
      <c r="AD294" s="17">
        <f t="shared" si="393"/>
        <v>41759</v>
      </c>
      <c r="AE294" s="1">
        <f t="shared" si="394"/>
        <v>0.44049597872002894</v>
      </c>
      <c r="AF294" s="1" t="e">
        <f t="shared" si="395"/>
        <v>#N/A</v>
      </c>
      <c r="AG294" s="1" t="e">
        <f t="shared" si="396"/>
        <v>#N/A</v>
      </c>
      <c r="AH294" s="1" t="e">
        <f t="shared" si="397"/>
        <v>#N/A</v>
      </c>
      <c r="AO294" s="17">
        <f t="shared" si="401"/>
        <v>41759</v>
      </c>
      <c r="AP294">
        <f t="shared" si="402"/>
        <v>4</v>
      </c>
      <c r="AQ294">
        <f t="shared" si="403"/>
        <v>4</v>
      </c>
    </row>
    <row r="295" spans="1:43">
      <c r="A295" s="7">
        <v>41790</v>
      </c>
      <c r="B295" s="8">
        <v>-1.0378999999999999E-2</v>
      </c>
      <c r="C295" s="8">
        <f t="shared" si="378"/>
        <v>2.2777046958907012E-2</v>
      </c>
      <c r="D295" s="9">
        <f t="shared" si="374"/>
        <v>0.11388523479453505</v>
      </c>
      <c r="E295" s="8">
        <v>5.3</v>
      </c>
      <c r="F295" s="8">
        <f t="shared" si="379"/>
        <v>4.8573905234848294</v>
      </c>
      <c r="G295" s="9">
        <f t="shared" si="375"/>
        <v>0.44158095668043901</v>
      </c>
      <c r="H295" s="8">
        <v>0.16450000000000001</v>
      </c>
      <c r="I295" s="8">
        <f t="shared" si="380"/>
        <v>0.14054083324544114</v>
      </c>
      <c r="J295" s="9">
        <f t="shared" si="381"/>
        <v>0.34054083324544115</v>
      </c>
      <c r="K295" s="8">
        <v>0.93799999999999994</v>
      </c>
      <c r="L295" s="8">
        <f t="shared" si="382"/>
        <v>0.7468135763683601</v>
      </c>
      <c r="M295" s="9">
        <f t="shared" si="376"/>
        <v>0.7468135763683601</v>
      </c>
      <c r="O295" s="11">
        <f t="shared" si="383"/>
        <v>0.46525754910300249</v>
      </c>
      <c r="P295" s="15" t="str">
        <f t="shared" si="391"/>
        <v>E</v>
      </c>
      <c r="Q295" t="str">
        <f t="shared" si="400"/>
        <v>E</v>
      </c>
      <c r="R295" s="18">
        <f t="shared" si="407"/>
        <v>0.31285063923024786</v>
      </c>
      <c r="S295" t="str">
        <f t="shared" si="417"/>
        <v>E</v>
      </c>
      <c r="T295">
        <v>0</v>
      </c>
      <c r="V295" s="17">
        <f t="shared" si="425"/>
        <v>41790</v>
      </c>
      <c r="W295" s="1">
        <f t="shared" si="384"/>
        <v>0.46525754910300249</v>
      </c>
      <c r="X295" s="1" t="e">
        <f t="shared" si="385"/>
        <v>#N/A</v>
      </c>
      <c r="Y295" s="1" t="e">
        <f t="shared" si="386"/>
        <v>#N/A</v>
      </c>
      <c r="Z295" s="1" t="e">
        <f t="shared" si="387"/>
        <v>#N/A</v>
      </c>
      <c r="AA295">
        <v>0</v>
      </c>
      <c r="AB295" s="1">
        <v>1.9</v>
      </c>
      <c r="AD295" s="17">
        <f t="shared" si="393"/>
        <v>41790</v>
      </c>
      <c r="AE295" s="1">
        <f t="shared" si="394"/>
        <v>0.46525754910300249</v>
      </c>
      <c r="AF295" s="1" t="e">
        <f t="shared" si="395"/>
        <v>#N/A</v>
      </c>
      <c r="AG295" s="1" t="e">
        <f t="shared" si="396"/>
        <v>#N/A</v>
      </c>
      <c r="AH295" s="1" t="e">
        <f t="shared" si="397"/>
        <v>#N/A</v>
      </c>
      <c r="AO295" s="17">
        <f t="shared" si="401"/>
        <v>41790</v>
      </c>
      <c r="AP295">
        <f t="shared" si="402"/>
        <v>4</v>
      </c>
      <c r="AQ295">
        <f t="shared" si="403"/>
        <v>4</v>
      </c>
    </row>
    <row r="296" spans="1:43">
      <c r="A296" s="7">
        <v>41820</v>
      </c>
      <c r="B296" s="8">
        <v>6.8517999999999996E-2</v>
      </c>
      <c r="C296" s="8">
        <f t="shared" si="378"/>
        <v>3.5813218575618512E-2</v>
      </c>
      <c r="D296" s="9">
        <f t="shared" si="374"/>
        <v>0.17906609287809255</v>
      </c>
      <c r="E296" s="8">
        <v>6.2</v>
      </c>
      <c r="F296" s="8">
        <f t="shared" si="379"/>
        <v>5.2400342242916533</v>
      </c>
      <c r="G296" s="9">
        <f t="shared" si="375"/>
        <v>0.47636674766287757</v>
      </c>
      <c r="H296" s="8">
        <v>0.2361</v>
      </c>
      <c r="I296" s="8">
        <f t="shared" si="380"/>
        <v>0.16777519577049044</v>
      </c>
      <c r="J296" s="9">
        <f t="shared" si="381"/>
        <v>0.36777519577049045</v>
      </c>
      <c r="K296" s="8">
        <v>0.94799999999999995</v>
      </c>
      <c r="L296" s="8">
        <f t="shared" si="382"/>
        <v>0.80415170710337747</v>
      </c>
      <c r="M296" s="9">
        <f t="shared" si="376"/>
        <v>0.80415170710337747</v>
      </c>
      <c r="O296" s="11">
        <f t="shared" si="383"/>
        <v>0.50195896715410138</v>
      </c>
      <c r="P296" s="15" t="str">
        <f t="shared" si="391"/>
        <v>E</v>
      </c>
      <c r="Q296" t="str">
        <f t="shared" si="400"/>
        <v>E</v>
      </c>
      <c r="R296" s="18">
        <f t="shared" si="407"/>
        <v>0.31285063923024786</v>
      </c>
      <c r="S296" t="str">
        <f t="shared" si="417"/>
        <v>E</v>
      </c>
      <c r="T296">
        <v>0</v>
      </c>
      <c r="V296" s="17">
        <f t="shared" si="425"/>
        <v>41820</v>
      </c>
      <c r="W296" s="1">
        <f t="shared" si="384"/>
        <v>0.50195896715410138</v>
      </c>
      <c r="X296" s="1">
        <f t="shared" si="385"/>
        <v>0.50195896715410138</v>
      </c>
      <c r="Y296" s="1" t="e">
        <f t="shared" si="386"/>
        <v>#N/A</v>
      </c>
      <c r="Z296" s="1" t="e">
        <f t="shared" si="387"/>
        <v>#N/A</v>
      </c>
      <c r="AA296">
        <v>0</v>
      </c>
      <c r="AB296" s="1">
        <v>-22</v>
      </c>
      <c r="AD296" s="17">
        <f t="shared" si="393"/>
        <v>41820</v>
      </c>
      <c r="AE296" s="1">
        <f t="shared" si="394"/>
        <v>0.50195896715410138</v>
      </c>
      <c r="AF296" s="1" t="e">
        <f t="shared" si="395"/>
        <v>#N/A</v>
      </c>
      <c r="AG296" s="1" t="e">
        <f t="shared" si="396"/>
        <v>#N/A</v>
      </c>
      <c r="AH296" s="1" t="e">
        <f t="shared" si="397"/>
        <v>#N/A</v>
      </c>
      <c r="AO296" s="17">
        <f t="shared" si="401"/>
        <v>41820</v>
      </c>
      <c r="AP296">
        <f t="shared" si="402"/>
        <v>4</v>
      </c>
      <c r="AQ296">
        <f t="shared" si="403"/>
        <v>4</v>
      </c>
    </row>
    <row r="297" spans="1:43">
      <c r="A297" s="7">
        <v>41851</v>
      </c>
      <c r="B297" s="8">
        <v>2.2523000000000001E-2</v>
      </c>
      <c r="C297" s="8">
        <f t="shared" si="378"/>
        <v>3.2025506281567237E-2</v>
      </c>
      <c r="D297" s="9">
        <f t="shared" si="374"/>
        <v>0.16012753140783617</v>
      </c>
      <c r="E297" s="8">
        <v>6.4</v>
      </c>
      <c r="F297" s="8">
        <f t="shared" si="379"/>
        <v>5.5706244703685321</v>
      </c>
      <c r="G297" s="9">
        <f t="shared" si="375"/>
        <v>0.50642040639713926</v>
      </c>
      <c r="H297" s="8">
        <v>9.8599999999999993E-2</v>
      </c>
      <c r="I297" s="8">
        <f t="shared" si="380"/>
        <v>0.14806026497590066</v>
      </c>
      <c r="J297" s="9">
        <f t="shared" si="381"/>
        <v>0.3480602649759007</v>
      </c>
      <c r="K297" s="8">
        <v>0.63300000000000001</v>
      </c>
      <c r="L297" s="8">
        <f t="shared" si="382"/>
        <v>0.75537347057891491</v>
      </c>
      <c r="M297" s="9">
        <f t="shared" si="376"/>
        <v>0.75537347057891491</v>
      </c>
      <c r="O297" s="11">
        <f t="shared" si="383"/>
        <v>0.48995289810609149</v>
      </c>
      <c r="P297" s="15" t="str">
        <f t="shared" si="391"/>
        <v>SD</v>
      </c>
      <c r="Q297" t="str">
        <f t="shared" si="400"/>
        <v>E</v>
      </c>
      <c r="R297" s="18">
        <f t="shared" si="407"/>
        <v>0.31285063923024786</v>
      </c>
      <c r="S297" t="str">
        <f t="shared" si="417"/>
        <v>E</v>
      </c>
      <c r="T297">
        <v>0</v>
      </c>
      <c r="V297" s="17">
        <f t="shared" si="425"/>
        <v>41851</v>
      </c>
      <c r="W297" s="1">
        <f t="shared" si="384"/>
        <v>0.48995289810609149</v>
      </c>
      <c r="X297" s="1">
        <f t="shared" si="385"/>
        <v>0.48995289810609149</v>
      </c>
      <c r="Y297" s="1" t="e">
        <f t="shared" si="386"/>
        <v>#N/A</v>
      </c>
      <c r="Z297" s="1" t="e">
        <f t="shared" si="387"/>
        <v>#N/A</v>
      </c>
      <c r="AA297">
        <v>0</v>
      </c>
      <c r="AB297" s="1">
        <v>-12.5</v>
      </c>
      <c r="AD297" s="17">
        <f t="shared" si="393"/>
        <v>41851</v>
      </c>
      <c r="AE297" s="1">
        <f t="shared" si="394"/>
        <v>0.48995289810609149</v>
      </c>
      <c r="AF297" s="1" t="e">
        <f t="shared" si="395"/>
        <v>#N/A</v>
      </c>
      <c r="AG297" s="1" t="e">
        <f t="shared" si="396"/>
        <v>#N/A</v>
      </c>
      <c r="AH297" s="1" t="e">
        <f t="shared" si="397"/>
        <v>#N/A</v>
      </c>
      <c r="AO297" s="17">
        <f t="shared" si="401"/>
        <v>41851</v>
      </c>
      <c r="AP297">
        <f t="shared" si="402"/>
        <v>3</v>
      </c>
      <c r="AQ297">
        <f t="shared" si="403"/>
        <v>4</v>
      </c>
    </row>
    <row r="298" spans="1:43">
      <c r="A298" s="7">
        <v>41882</v>
      </c>
      <c r="B298" s="8">
        <v>4.0936E-2</v>
      </c>
      <c r="C298" s="8">
        <f t="shared" si="378"/>
        <v>3.4564996991320575E-2</v>
      </c>
      <c r="D298" s="9">
        <f t="shared" si="374"/>
        <v>0.17282498495660287</v>
      </c>
      <c r="E298" s="8">
        <v>5.9</v>
      </c>
      <c r="F298" s="8">
        <f t="shared" si="379"/>
        <v>5.6644964963135003</v>
      </c>
      <c r="G298" s="9">
        <f t="shared" si="375"/>
        <v>0.51495422693759096</v>
      </c>
      <c r="H298" s="8">
        <v>-2.0799999999999999E-2</v>
      </c>
      <c r="I298" s="8">
        <f t="shared" si="380"/>
        <v>9.9935089457768966E-2</v>
      </c>
      <c r="J298" s="9">
        <f t="shared" si="381"/>
        <v>0.29993508945776898</v>
      </c>
      <c r="K298" s="8">
        <v>0.85599999999999998</v>
      </c>
      <c r="L298" s="8">
        <f t="shared" si="382"/>
        <v>0.7840520314639241</v>
      </c>
      <c r="M298" s="9">
        <f t="shared" si="376"/>
        <v>0.7840520314639241</v>
      </c>
      <c r="O298" s="11">
        <f t="shared" si="383"/>
        <v>0.49440475669130995</v>
      </c>
      <c r="P298" s="15" t="str">
        <f t="shared" si="391"/>
        <v>E</v>
      </c>
      <c r="Q298" t="str">
        <f t="shared" si="400"/>
        <v>E</v>
      </c>
      <c r="R298" s="18">
        <f t="shared" si="407"/>
        <v>0.49440475669130995</v>
      </c>
      <c r="S298" t="str">
        <f t="shared" si="417"/>
        <v>E</v>
      </c>
      <c r="T298">
        <v>0</v>
      </c>
      <c r="V298" s="17">
        <f t="shared" si="425"/>
        <v>41882</v>
      </c>
      <c r="W298" s="1">
        <f t="shared" si="384"/>
        <v>0.49440475669130995</v>
      </c>
      <c r="X298" s="1">
        <f t="shared" si="385"/>
        <v>0.49440475669130995</v>
      </c>
      <c r="Y298" s="1" t="e">
        <f t="shared" si="386"/>
        <v>#N/A</v>
      </c>
      <c r="Z298" s="1" t="e">
        <f t="shared" si="387"/>
        <v>#N/A</v>
      </c>
      <c r="AA298">
        <v>0</v>
      </c>
      <c r="AB298" s="1">
        <v>34.6</v>
      </c>
      <c r="AD298" s="17">
        <f t="shared" si="393"/>
        <v>41882</v>
      </c>
      <c r="AE298" s="1">
        <f t="shared" si="394"/>
        <v>0.49440475669130995</v>
      </c>
      <c r="AF298" s="1" t="e">
        <f t="shared" si="395"/>
        <v>#N/A</v>
      </c>
      <c r="AG298" s="1" t="e">
        <f t="shared" si="396"/>
        <v>#N/A</v>
      </c>
      <c r="AH298" s="1" t="e">
        <f t="shared" si="397"/>
        <v>#N/A</v>
      </c>
      <c r="AO298" s="17">
        <f t="shared" si="401"/>
        <v>41882</v>
      </c>
      <c r="AP298">
        <f t="shared" si="402"/>
        <v>4</v>
      </c>
      <c r="AQ298">
        <f t="shared" si="403"/>
        <v>4</v>
      </c>
    </row>
    <row r="299" spans="1:43">
      <c r="A299" s="7">
        <v>41912</v>
      </c>
      <c r="B299" s="8">
        <v>0.101114</v>
      </c>
      <c r="C299" s="8">
        <f t="shared" si="378"/>
        <v>5.353146284879421E-2</v>
      </c>
      <c r="D299" s="9">
        <f t="shared" si="374"/>
        <v>0.26765731424397105</v>
      </c>
      <c r="E299" s="8">
        <v>5.9</v>
      </c>
      <c r="F299" s="8">
        <f t="shared" si="379"/>
        <v>5.7316149948641524</v>
      </c>
      <c r="G299" s="9">
        <f t="shared" si="375"/>
        <v>0.52105590862401385</v>
      </c>
      <c r="H299" s="8">
        <v>7.5700000000000003E-2</v>
      </c>
      <c r="I299" s="8">
        <f t="shared" si="380"/>
        <v>9.30280889623048E-2</v>
      </c>
      <c r="J299" s="9">
        <f t="shared" si="381"/>
        <v>0.29302808896230481</v>
      </c>
      <c r="K299" s="8">
        <v>0.54400000000000004</v>
      </c>
      <c r="L299" s="8">
        <f t="shared" si="382"/>
        <v>0.71563720249670582</v>
      </c>
      <c r="M299" s="9">
        <f t="shared" si="376"/>
        <v>0.71563720249670582</v>
      </c>
      <c r="O299" s="11">
        <f t="shared" si="383"/>
        <v>0.48385158694337749</v>
      </c>
      <c r="P299" s="15" t="str">
        <f t="shared" si="391"/>
        <v>SD</v>
      </c>
      <c r="Q299" t="str">
        <f t="shared" si="400"/>
        <v>E</v>
      </c>
      <c r="R299" s="18">
        <f t="shared" si="407"/>
        <v>0.49440475669130995</v>
      </c>
      <c r="S299" t="str">
        <f t="shared" si="417"/>
        <v>E</v>
      </c>
      <c r="T299">
        <v>0</v>
      </c>
      <c r="V299" s="17">
        <f t="shared" si="425"/>
        <v>41912</v>
      </c>
      <c r="W299" s="1" t="e">
        <f t="shared" si="384"/>
        <v>#N/A</v>
      </c>
      <c r="X299" s="1">
        <f t="shared" si="385"/>
        <v>0.48385158694337749</v>
      </c>
      <c r="Y299" s="1" t="e">
        <f t="shared" si="386"/>
        <v>#N/A</v>
      </c>
      <c r="Z299" s="1" t="e">
        <f t="shared" si="387"/>
        <v>#N/A</v>
      </c>
      <c r="AA299">
        <v>0</v>
      </c>
      <c r="AB299" s="1">
        <v>17.899999999999999</v>
      </c>
      <c r="AD299" s="17">
        <f t="shared" si="393"/>
        <v>41912</v>
      </c>
      <c r="AE299" s="1">
        <f t="shared" si="394"/>
        <v>0.48385158694337749</v>
      </c>
      <c r="AF299" s="1" t="e">
        <f t="shared" si="395"/>
        <v>#N/A</v>
      </c>
      <c r="AG299" s="1" t="e">
        <f t="shared" si="396"/>
        <v>#N/A</v>
      </c>
      <c r="AH299" s="1" t="e">
        <f t="shared" si="397"/>
        <v>#N/A</v>
      </c>
      <c r="AO299" s="17">
        <f t="shared" si="401"/>
        <v>41912</v>
      </c>
      <c r="AP299">
        <f t="shared" si="402"/>
        <v>3</v>
      </c>
      <c r="AQ299">
        <f t="shared" si="403"/>
        <v>4</v>
      </c>
    </row>
    <row r="300" spans="1:43">
      <c r="A300" s="7">
        <v>41943</v>
      </c>
      <c r="B300" s="8">
        <v>7.4440000000000001E-3</v>
      </c>
      <c r="C300" s="8">
        <f t="shared" si="378"/>
        <v>4.0396535936887856E-2</v>
      </c>
      <c r="D300" s="9">
        <f t="shared" si="374"/>
        <v>0.20198267968443928</v>
      </c>
      <c r="E300" s="8">
        <v>5.7</v>
      </c>
      <c r="F300" s="8">
        <f t="shared" si="379"/>
        <v>5.722604721327869</v>
      </c>
      <c r="G300" s="9">
        <f t="shared" si="375"/>
        <v>0.52023679284798807</v>
      </c>
      <c r="H300" s="8">
        <v>3.0000000000000001E-3</v>
      </c>
      <c r="I300" s="8">
        <f t="shared" si="380"/>
        <v>6.7370083608047929E-2</v>
      </c>
      <c r="J300" s="9">
        <f t="shared" si="381"/>
        <v>0.26737008360804793</v>
      </c>
      <c r="K300" s="8">
        <v>0.63400000000000001</v>
      </c>
      <c r="L300" s="8">
        <f t="shared" si="382"/>
        <v>0.6923705997851447</v>
      </c>
      <c r="M300" s="9">
        <f t="shared" si="376"/>
        <v>0.6923705997851447</v>
      </c>
      <c r="O300" s="11">
        <f t="shared" si="383"/>
        <v>0.46443724557360588</v>
      </c>
      <c r="P300" s="15" t="str">
        <f t="shared" si="391"/>
        <v>SD</v>
      </c>
      <c r="Q300" t="str">
        <f t="shared" si="400"/>
        <v>E</v>
      </c>
      <c r="R300" s="18">
        <f t="shared" si="407"/>
        <v>0.46443724557360588</v>
      </c>
      <c r="S300" t="str">
        <f t="shared" si="417"/>
        <v>E</v>
      </c>
      <c r="T300">
        <v>0</v>
      </c>
      <c r="V300" s="17">
        <f t="shared" si="425"/>
        <v>41943</v>
      </c>
      <c r="W300" s="1">
        <f t="shared" si="384"/>
        <v>0.46443724557360588</v>
      </c>
      <c r="X300" s="1">
        <f t="shared" si="385"/>
        <v>0.46443724557360588</v>
      </c>
      <c r="Y300" s="1" t="e">
        <f t="shared" si="386"/>
        <v>#N/A</v>
      </c>
      <c r="Z300" s="1" t="e">
        <f t="shared" si="387"/>
        <v>#N/A</v>
      </c>
      <c r="AA300">
        <v>0</v>
      </c>
      <c r="AB300" s="1">
        <v>18</v>
      </c>
      <c r="AD300" s="17">
        <f t="shared" si="393"/>
        <v>41943</v>
      </c>
      <c r="AE300" s="1">
        <f t="shared" si="394"/>
        <v>0.46443724557360588</v>
      </c>
      <c r="AF300" s="1" t="e">
        <f t="shared" si="395"/>
        <v>#N/A</v>
      </c>
      <c r="AG300" s="1" t="e">
        <f t="shared" si="396"/>
        <v>#N/A</v>
      </c>
      <c r="AH300" s="1" t="e">
        <f t="shared" si="397"/>
        <v>#N/A</v>
      </c>
      <c r="AO300" s="17">
        <f t="shared" si="401"/>
        <v>41943</v>
      </c>
      <c r="AP300">
        <f t="shared" si="402"/>
        <v>3</v>
      </c>
      <c r="AQ300">
        <f t="shared" si="403"/>
        <v>4</v>
      </c>
    </row>
    <row r="301" spans="1:43">
      <c r="A301" s="7">
        <v>41973</v>
      </c>
      <c r="B301" s="8">
        <v>0.146291</v>
      </c>
      <c r="C301" s="8">
        <f t="shared" si="378"/>
        <v>7.0576458194874819E-2</v>
      </c>
      <c r="D301" s="9">
        <f t="shared" si="374"/>
        <v>0.35288229097437407</v>
      </c>
      <c r="E301" s="8">
        <v>5.3</v>
      </c>
      <c r="F301" s="8">
        <f t="shared" si="379"/>
        <v>5.602162375749427</v>
      </c>
      <c r="G301" s="9">
        <f t="shared" si="375"/>
        <v>0.50928748870449336</v>
      </c>
      <c r="H301" s="8">
        <v>0.26829999999999998</v>
      </c>
      <c r="I301" s="8">
        <f t="shared" si="380"/>
        <v>0.12463510977975428</v>
      </c>
      <c r="J301" s="9">
        <f t="shared" si="381"/>
        <v>0.32463510977975429</v>
      </c>
      <c r="K301" s="8">
        <v>0.56100000000000005</v>
      </c>
      <c r="L301" s="8">
        <f t="shared" si="382"/>
        <v>0.65492997884637849</v>
      </c>
      <c r="M301" s="9">
        <f t="shared" si="376"/>
        <v>0.65492997884637849</v>
      </c>
      <c r="O301" s="11">
        <f t="shared" si="383"/>
        <v>0.48522879353967363</v>
      </c>
      <c r="P301" s="15" t="str">
        <f t="shared" si="391"/>
        <v>E</v>
      </c>
      <c r="Q301" t="str">
        <f t="shared" si="400"/>
        <v>E</v>
      </c>
      <c r="R301" s="18">
        <f t="shared" si="407"/>
        <v>0.48522879353967363</v>
      </c>
      <c r="S301" t="str">
        <f t="shared" si="417"/>
        <v>E</v>
      </c>
      <c r="T301">
        <v>0</v>
      </c>
      <c r="V301" s="17">
        <f t="shared" si="425"/>
        <v>41973</v>
      </c>
      <c r="W301" s="1">
        <f t="shared" si="384"/>
        <v>0.48522879353967363</v>
      </c>
      <c r="X301" s="1">
        <f t="shared" si="385"/>
        <v>0.48522879353967363</v>
      </c>
      <c r="Y301" s="1" t="e">
        <f t="shared" si="386"/>
        <v>#N/A</v>
      </c>
      <c r="Z301" s="1" t="e">
        <f t="shared" si="387"/>
        <v>#N/A</v>
      </c>
      <c r="AA301">
        <v>0</v>
      </c>
      <c r="AB301" s="1">
        <v>6.1</v>
      </c>
      <c r="AD301" s="17">
        <f t="shared" si="393"/>
        <v>41973</v>
      </c>
      <c r="AE301" s="1">
        <f t="shared" si="394"/>
        <v>0.48522879353967363</v>
      </c>
      <c r="AF301" s="1" t="e">
        <f t="shared" si="395"/>
        <v>#N/A</v>
      </c>
      <c r="AG301" s="1" t="e">
        <f t="shared" si="396"/>
        <v>#N/A</v>
      </c>
      <c r="AH301" s="1" t="e">
        <f t="shared" si="397"/>
        <v>#N/A</v>
      </c>
      <c r="AO301" s="17">
        <f t="shared" si="401"/>
        <v>41973</v>
      </c>
      <c r="AP301">
        <f t="shared" si="402"/>
        <v>4</v>
      </c>
      <c r="AQ301">
        <f t="shared" si="403"/>
        <v>4</v>
      </c>
    </row>
    <row r="302" spans="1:43">
      <c r="A302" s="7">
        <v>42004</v>
      </c>
      <c r="B302" s="8">
        <v>0.21219199999999999</v>
      </c>
      <c r="C302" s="8">
        <f t="shared" si="378"/>
        <v>0.1109368876093355</v>
      </c>
      <c r="D302" s="9">
        <f t="shared" si="374"/>
        <v>0.55468443804667744</v>
      </c>
      <c r="E302" s="8">
        <v>5.8</v>
      </c>
      <c r="F302" s="8">
        <f t="shared" si="379"/>
        <v>5.6585460986608407</v>
      </c>
      <c r="G302" s="9">
        <f t="shared" si="375"/>
        <v>0.51441328169644007</v>
      </c>
      <c r="H302" s="8">
        <v>-3.95E-2</v>
      </c>
      <c r="I302" s="8">
        <f t="shared" si="380"/>
        <v>7.7856603492524309E-2</v>
      </c>
      <c r="J302" s="9">
        <f t="shared" si="381"/>
        <v>0.27785660349252433</v>
      </c>
      <c r="K302" s="8">
        <v>0.26200000000000001</v>
      </c>
      <c r="L302" s="8">
        <f t="shared" si="382"/>
        <v>0.5429449348751606</v>
      </c>
      <c r="M302" s="9">
        <f t="shared" si="376"/>
        <v>0.5429449348751606</v>
      </c>
      <c r="O302" s="11">
        <f t="shared" si="383"/>
        <v>0.45449515192632123</v>
      </c>
      <c r="P302" s="15" t="str">
        <f t="shared" si="391"/>
        <v>SD</v>
      </c>
      <c r="Q302" t="str">
        <f t="shared" si="400"/>
        <v>E</v>
      </c>
      <c r="R302" s="18">
        <f t="shared" si="407"/>
        <v>0.48522879353967363</v>
      </c>
      <c r="S302" t="str">
        <f t="shared" si="417"/>
        <v>E</v>
      </c>
      <c r="T302">
        <v>0</v>
      </c>
      <c r="V302" s="17">
        <f t="shared" si="425"/>
        <v>42004</v>
      </c>
      <c r="W302" s="1" t="e">
        <f t="shared" si="384"/>
        <v>#N/A</v>
      </c>
      <c r="X302" s="1">
        <f t="shared" si="385"/>
        <v>0.45449515192632123</v>
      </c>
      <c r="Y302" s="1" t="e">
        <f t="shared" si="386"/>
        <v>#N/A</v>
      </c>
      <c r="Z302" s="1" t="e">
        <f t="shared" si="387"/>
        <v>#N/A</v>
      </c>
      <c r="AA302">
        <v>0</v>
      </c>
      <c r="AB302" s="1">
        <v>34.700000000000003</v>
      </c>
      <c r="AD302" s="17">
        <f t="shared" si="393"/>
        <v>42004</v>
      </c>
      <c r="AE302" s="1">
        <f t="shared" si="394"/>
        <v>0.45449515192632123</v>
      </c>
      <c r="AF302" s="1">
        <f t="shared" si="395"/>
        <v>0.45449515192632123</v>
      </c>
      <c r="AG302" s="1" t="e">
        <f t="shared" si="396"/>
        <v>#N/A</v>
      </c>
      <c r="AH302" s="1" t="e">
        <f t="shared" si="397"/>
        <v>#N/A</v>
      </c>
      <c r="AO302" s="17">
        <f t="shared" si="401"/>
        <v>42004</v>
      </c>
      <c r="AP302">
        <f t="shared" si="402"/>
        <v>3</v>
      </c>
      <c r="AQ302">
        <f t="shared" si="403"/>
        <v>4</v>
      </c>
    </row>
    <row r="303" spans="1:43">
      <c r="A303" s="7">
        <v>42035</v>
      </c>
      <c r="B303" s="8">
        <v>0.200382</v>
      </c>
      <c r="C303" s="8">
        <f t="shared" si="378"/>
        <v>0.13642874464067489</v>
      </c>
      <c r="D303" s="9">
        <f t="shared" si="374"/>
        <v>0.68214372320337446</v>
      </c>
      <c r="E303" s="8">
        <v>5.6</v>
      </c>
      <c r="F303" s="8">
        <f t="shared" si="379"/>
        <v>5.6418604605425013</v>
      </c>
      <c r="G303" s="9">
        <f t="shared" si="375"/>
        <v>0.51289640550386373</v>
      </c>
      <c r="H303" s="8">
        <v>-0.44340000000000002</v>
      </c>
      <c r="I303" s="8">
        <f t="shared" si="380"/>
        <v>-7.070152850284514E-2</v>
      </c>
      <c r="J303" s="9">
        <f t="shared" si="381"/>
        <v>0.12929847149715487</v>
      </c>
      <c r="K303" s="8">
        <v>-0.124</v>
      </c>
      <c r="L303" s="8">
        <f t="shared" si="382"/>
        <v>0.35286562843573982</v>
      </c>
      <c r="M303" s="9">
        <f t="shared" si="376"/>
        <v>0.35286562843573982</v>
      </c>
      <c r="O303" s="11">
        <f t="shared" si="383"/>
        <v>0.36718758680913788</v>
      </c>
      <c r="P303" s="15" t="str">
        <f t="shared" si="391"/>
        <v>SD</v>
      </c>
      <c r="Q303" t="str">
        <f t="shared" si="400"/>
        <v>SD</v>
      </c>
      <c r="R303" s="18">
        <f t="shared" si="407"/>
        <v>0.48522879353967363</v>
      </c>
      <c r="S303" t="str">
        <f t="shared" si="417"/>
        <v>SD</v>
      </c>
      <c r="T303">
        <v>0</v>
      </c>
      <c r="V303" s="17">
        <f t="shared" si="425"/>
        <v>42035</v>
      </c>
      <c r="W303" s="1" t="e">
        <f t="shared" si="384"/>
        <v>#N/A</v>
      </c>
      <c r="X303" s="1">
        <f t="shared" si="385"/>
        <v>0.36718758680913788</v>
      </c>
      <c r="Y303" s="1" t="e">
        <f t="shared" si="386"/>
        <v>#N/A</v>
      </c>
      <c r="Z303" s="1" t="e">
        <f t="shared" si="387"/>
        <v>#N/A</v>
      </c>
      <c r="AA303">
        <v>0</v>
      </c>
      <c r="AB303" s="1">
        <v>-4</v>
      </c>
      <c r="AD303" s="17">
        <f t="shared" si="393"/>
        <v>42035</v>
      </c>
      <c r="AE303" s="1" t="e">
        <f t="shared" si="394"/>
        <v>#N/A</v>
      </c>
      <c r="AF303" s="1">
        <f t="shared" si="395"/>
        <v>0.36718758680913788</v>
      </c>
      <c r="AG303" s="1" t="e">
        <f t="shared" si="396"/>
        <v>#N/A</v>
      </c>
      <c r="AH303" s="1" t="e">
        <f t="shared" si="397"/>
        <v>#N/A</v>
      </c>
      <c r="AO303" s="17">
        <f t="shared" si="401"/>
        <v>42035</v>
      </c>
      <c r="AP303">
        <f t="shared" si="402"/>
        <v>3</v>
      </c>
      <c r="AQ303">
        <f t="shared" si="403"/>
        <v>3</v>
      </c>
    </row>
    <row r="304" spans="1:43">
      <c r="A304" s="7">
        <v>42063</v>
      </c>
      <c r="B304" s="8">
        <v>5.8456000000000001E-2</v>
      </c>
      <c r="C304" s="8">
        <f t="shared" si="378"/>
        <v>0.11420651241808255</v>
      </c>
      <c r="D304" s="9">
        <f t="shared" si="374"/>
        <v>0.57103256209041275</v>
      </c>
      <c r="E304" s="8">
        <v>5.0999999999999996</v>
      </c>
      <c r="F304" s="8">
        <f t="shared" si="379"/>
        <v>5.487430229287888</v>
      </c>
      <c r="G304" s="9">
        <f t="shared" si="375"/>
        <v>0.49885729357162617</v>
      </c>
      <c r="H304" s="8">
        <v>-0.62829999999999997</v>
      </c>
      <c r="I304" s="8">
        <f t="shared" si="380"/>
        <v>-0.2296170928795343</v>
      </c>
      <c r="J304" s="9">
        <f t="shared" si="381"/>
        <v>-2.961709287953429E-2</v>
      </c>
      <c r="K304" s="8">
        <v>0.437</v>
      </c>
      <c r="L304" s="8">
        <f t="shared" si="382"/>
        <v>0.376843924331554</v>
      </c>
      <c r="M304" s="9">
        <f t="shared" si="376"/>
        <v>0.376843924331554</v>
      </c>
      <c r="O304" s="11">
        <f t="shared" si="383"/>
        <v>0.31514022729580632</v>
      </c>
      <c r="P304" s="15" t="str">
        <f t="shared" si="391"/>
        <v>SD</v>
      </c>
      <c r="Q304" t="str">
        <f t="shared" si="400"/>
        <v>SD</v>
      </c>
      <c r="R304" s="18">
        <f t="shared" si="407"/>
        <v>0.48522879353967363</v>
      </c>
      <c r="S304" t="str">
        <f t="shared" si="417"/>
        <v>SD</v>
      </c>
      <c r="T304">
        <v>0</v>
      </c>
      <c r="V304" s="17">
        <f t="shared" si="425"/>
        <v>42063</v>
      </c>
      <c r="W304" s="1" t="e">
        <f t="shared" si="384"/>
        <v>#N/A</v>
      </c>
      <c r="X304" s="1">
        <f t="shared" si="385"/>
        <v>0.31514022729580632</v>
      </c>
      <c r="Y304" s="1" t="e">
        <f t="shared" si="386"/>
        <v>#N/A</v>
      </c>
      <c r="Z304" s="1" t="e">
        <f t="shared" si="387"/>
        <v>#N/A</v>
      </c>
      <c r="AA304">
        <v>0</v>
      </c>
      <c r="AB304" s="1">
        <v>-47.1</v>
      </c>
      <c r="AD304" s="17">
        <f t="shared" si="393"/>
        <v>42063</v>
      </c>
      <c r="AE304" s="1" t="e">
        <f t="shared" si="394"/>
        <v>#N/A</v>
      </c>
      <c r="AF304" s="1">
        <f t="shared" si="395"/>
        <v>0.31514022729580632</v>
      </c>
      <c r="AG304" s="1" t="e">
        <f t="shared" si="396"/>
        <v>#N/A</v>
      </c>
      <c r="AH304" s="1" t="e">
        <f t="shared" si="397"/>
        <v>#N/A</v>
      </c>
      <c r="AO304" s="17">
        <f t="shared" si="401"/>
        <v>42063</v>
      </c>
      <c r="AP304">
        <f t="shared" si="402"/>
        <v>3</v>
      </c>
      <c r="AQ304">
        <f t="shared" si="403"/>
        <v>3</v>
      </c>
    </row>
    <row r="305" spans="1:43">
      <c r="A305" s="7">
        <v>42094</v>
      </c>
      <c r="B305" s="8">
        <v>0.12332600000000001</v>
      </c>
      <c r="C305" s="8">
        <f t="shared" si="378"/>
        <v>0.11680556637892903</v>
      </c>
      <c r="D305" s="9">
        <f t="shared" si="374"/>
        <v>0.58402783189464513</v>
      </c>
      <c r="E305" s="8">
        <v>4.3</v>
      </c>
      <c r="F305" s="8">
        <f t="shared" si="379"/>
        <v>5.1490126139408394</v>
      </c>
      <c r="G305" s="9">
        <f t="shared" si="375"/>
        <v>0.46809205581280361</v>
      </c>
      <c r="H305" s="8">
        <v>-0.4158</v>
      </c>
      <c r="I305" s="8">
        <f t="shared" si="380"/>
        <v>-0.28267922140886703</v>
      </c>
      <c r="J305" s="9">
        <f t="shared" si="381"/>
        <v>-8.2679221408867021E-2</v>
      </c>
      <c r="K305" s="8">
        <v>0.24199999999999999</v>
      </c>
      <c r="L305" s="8">
        <f t="shared" si="382"/>
        <v>0.33841340589706115</v>
      </c>
      <c r="M305" s="9">
        <f t="shared" si="376"/>
        <v>0.33841340589706115</v>
      </c>
      <c r="O305" s="11">
        <f t="shared" si="383"/>
        <v>0.28478022660741059</v>
      </c>
      <c r="P305" s="15" t="str">
        <f t="shared" si="391"/>
        <v>SD</v>
      </c>
      <c r="Q305" t="str">
        <f t="shared" si="400"/>
        <v>SD</v>
      </c>
      <c r="R305" s="18">
        <f t="shared" si="407"/>
        <v>0.48522879353967363</v>
      </c>
      <c r="S305" t="str">
        <f t="shared" si="417"/>
        <v>SD</v>
      </c>
      <c r="T305">
        <v>0</v>
      </c>
      <c r="V305" s="17">
        <f t="shared" si="425"/>
        <v>42094</v>
      </c>
      <c r="W305" s="1" t="e">
        <f t="shared" si="384"/>
        <v>#N/A</v>
      </c>
      <c r="X305" s="1">
        <f t="shared" si="385"/>
        <v>0.28478022660741059</v>
      </c>
      <c r="Y305" s="1" t="e">
        <f t="shared" si="386"/>
        <v>#N/A</v>
      </c>
      <c r="Z305" s="1" t="e">
        <f t="shared" si="387"/>
        <v>#N/A</v>
      </c>
      <c r="AA305">
        <v>0</v>
      </c>
      <c r="AB305" s="1">
        <v>-58.6</v>
      </c>
      <c r="AD305" s="17">
        <f t="shared" si="393"/>
        <v>42094</v>
      </c>
      <c r="AE305" s="1" t="e">
        <f t="shared" si="394"/>
        <v>#N/A</v>
      </c>
      <c r="AF305" s="1">
        <f t="shared" si="395"/>
        <v>0.28478022660741059</v>
      </c>
      <c r="AG305" s="1" t="e">
        <f t="shared" si="396"/>
        <v>#N/A</v>
      </c>
      <c r="AH305" s="1" t="e">
        <f t="shared" si="397"/>
        <v>#N/A</v>
      </c>
      <c r="AO305" s="17">
        <f t="shared" si="401"/>
        <v>42094</v>
      </c>
      <c r="AP305">
        <f t="shared" si="402"/>
        <v>3</v>
      </c>
      <c r="AQ305">
        <f t="shared" si="403"/>
        <v>3</v>
      </c>
    </row>
    <row r="306" spans="1:43">
      <c r="A306" s="7">
        <v>42124</v>
      </c>
      <c r="B306" s="8">
        <v>0.1036</v>
      </c>
      <c r="C306" s="8">
        <f t="shared" si="378"/>
        <v>0.11304197996093426</v>
      </c>
      <c r="D306" s="9">
        <f t="shared" si="374"/>
        <v>0.56520989980467129</v>
      </c>
      <c r="E306" s="8">
        <v>4.5999999999999996</v>
      </c>
      <c r="F306" s="8">
        <f t="shared" si="379"/>
        <v>4.9925440189676999</v>
      </c>
      <c r="G306" s="9">
        <f t="shared" si="375"/>
        <v>0.4538676380879727</v>
      </c>
      <c r="H306" s="8">
        <v>-0.29370000000000002</v>
      </c>
      <c r="I306" s="8">
        <f t="shared" si="380"/>
        <v>-0.28582014330733996</v>
      </c>
      <c r="J306" s="9">
        <f t="shared" si="381"/>
        <v>-8.5820143307339947E-2</v>
      </c>
      <c r="K306" s="8">
        <v>0.27</v>
      </c>
      <c r="L306" s="8">
        <f t="shared" si="382"/>
        <v>0.31891558521639873</v>
      </c>
      <c r="M306" s="9">
        <f t="shared" si="376"/>
        <v>0.31891558521639873</v>
      </c>
      <c r="O306" s="11">
        <f t="shared" si="383"/>
        <v>0.26687723929702584</v>
      </c>
      <c r="P306" s="15" t="str">
        <f t="shared" si="391"/>
        <v>SD</v>
      </c>
      <c r="Q306" t="str">
        <f t="shared" si="400"/>
        <v>SD</v>
      </c>
      <c r="R306" s="18">
        <f t="shared" si="407"/>
        <v>0.48522879353967363</v>
      </c>
      <c r="S306" t="str">
        <f t="shared" si="417"/>
        <v>SD</v>
      </c>
      <c r="T306">
        <v>0</v>
      </c>
      <c r="V306" s="17">
        <f t="shared" si="425"/>
        <v>42124</v>
      </c>
      <c r="W306" s="1" t="e">
        <f t="shared" si="384"/>
        <v>#N/A</v>
      </c>
      <c r="X306" s="1">
        <f t="shared" si="385"/>
        <v>0.26687723929702584</v>
      </c>
      <c r="Y306" s="1" t="e">
        <f t="shared" si="386"/>
        <v>#N/A</v>
      </c>
      <c r="Z306" s="1" t="e">
        <f t="shared" si="387"/>
        <v>#N/A</v>
      </c>
      <c r="AA306">
        <v>0</v>
      </c>
      <c r="AB306" s="1">
        <v>-62.2</v>
      </c>
      <c r="AD306" s="17">
        <f t="shared" si="393"/>
        <v>42124</v>
      </c>
      <c r="AE306" s="1" t="e">
        <f t="shared" si="394"/>
        <v>#N/A</v>
      </c>
      <c r="AF306" s="1">
        <f t="shared" si="395"/>
        <v>0.26687723929702584</v>
      </c>
      <c r="AG306" s="1" t="e">
        <f t="shared" si="396"/>
        <v>#N/A</v>
      </c>
      <c r="AH306" s="1" t="e">
        <f t="shared" si="397"/>
        <v>#N/A</v>
      </c>
      <c r="AO306" s="17">
        <f t="shared" si="401"/>
        <v>42124</v>
      </c>
      <c r="AP306">
        <f t="shared" si="402"/>
        <v>3</v>
      </c>
      <c r="AQ306">
        <f t="shared" si="403"/>
        <v>3</v>
      </c>
    </row>
    <row r="307" spans="1:43">
      <c r="A307" s="7">
        <v>42155</v>
      </c>
      <c r="B307" s="8">
        <v>0.112168</v>
      </c>
      <c r="C307" s="8">
        <f t="shared" si="378"/>
        <v>0.112792895672068</v>
      </c>
      <c r="D307" s="9">
        <f t="shared" si="374"/>
        <v>0.56396447836034003</v>
      </c>
      <c r="E307" s="8">
        <v>4.5</v>
      </c>
      <c r="F307" s="8">
        <f t="shared" si="379"/>
        <v>4.8521689735619056</v>
      </c>
      <c r="G307" s="9">
        <f t="shared" si="375"/>
        <v>0.44110627032380961</v>
      </c>
      <c r="H307" s="8">
        <v>-0.60529999999999995</v>
      </c>
      <c r="I307" s="8">
        <f t="shared" si="380"/>
        <v>-0.37687190246474811</v>
      </c>
      <c r="J307" s="9">
        <f t="shared" si="381"/>
        <v>-0.1768719024647481</v>
      </c>
      <c r="K307" s="8">
        <v>0.27300000000000002</v>
      </c>
      <c r="L307" s="8">
        <f t="shared" si="382"/>
        <v>0.30582964342972507</v>
      </c>
      <c r="M307" s="9">
        <f t="shared" si="376"/>
        <v>0.30582964342972507</v>
      </c>
      <c r="O307" s="11">
        <f t="shared" si="383"/>
        <v>0.2312440615519189</v>
      </c>
      <c r="P307" s="15" t="str">
        <f t="shared" si="391"/>
        <v>SD</v>
      </c>
      <c r="Q307" t="str">
        <f t="shared" si="400"/>
        <v>SD</v>
      </c>
      <c r="R307" s="18">
        <f t="shared" si="407"/>
        <v>0.48522879353967363</v>
      </c>
      <c r="S307" t="str">
        <f t="shared" si="417"/>
        <v>SD</v>
      </c>
      <c r="T307">
        <v>0</v>
      </c>
      <c r="V307" s="17">
        <f t="shared" si="425"/>
        <v>42155</v>
      </c>
      <c r="W307" s="1" t="e">
        <f t="shared" si="384"/>
        <v>#N/A</v>
      </c>
      <c r="X307" s="1">
        <f t="shared" si="385"/>
        <v>0.2312440615519189</v>
      </c>
      <c r="Y307" s="1" t="e">
        <f t="shared" si="386"/>
        <v>#N/A</v>
      </c>
      <c r="Z307" s="1" t="e">
        <f t="shared" si="387"/>
        <v>#N/A</v>
      </c>
      <c r="AA307">
        <v>0</v>
      </c>
      <c r="AB307" s="1">
        <v>-54.2</v>
      </c>
      <c r="AD307" s="17">
        <f t="shared" si="393"/>
        <v>42155</v>
      </c>
      <c r="AE307" s="1" t="e">
        <f t="shared" si="394"/>
        <v>#N/A</v>
      </c>
      <c r="AF307" s="1">
        <f t="shared" si="395"/>
        <v>0.2312440615519189</v>
      </c>
      <c r="AG307" s="1" t="e">
        <f t="shared" si="396"/>
        <v>#N/A</v>
      </c>
      <c r="AH307" s="1" t="e">
        <f t="shared" si="397"/>
        <v>#N/A</v>
      </c>
      <c r="AO307" s="17">
        <f t="shared" si="401"/>
        <v>42155</v>
      </c>
      <c r="AP307">
        <f t="shared" si="402"/>
        <v>3</v>
      </c>
      <c r="AQ307">
        <f t="shared" si="403"/>
        <v>3</v>
      </c>
    </row>
    <row r="308" spans="1:43">
      <c r="A308" s="7">
        <v>42185</v>
      </c>
      <c r="B308" s="8">
        <v>5.7346000000000001E-2</v>
      </c>
      <c r="C308" s="8">
        <f t="shared" si="378"/>
        <v>9.699053040552863E-2</v>
      </c>
      <c r="D308" s="9">
        <f t="shared" si="374"/>
        <v>0.48495265202764315</v>
      </c>
      <c r="E308" s="8">
        <v>4.3</v>
      </c>
      <c r="F308" s="8">
        <f t="shared" si="379"/>
        <v>4.6948008160967625</v>
      </c>
      <c r="G308" s="9">
        <f t="shared" si="375"/>
        <v>0.42680007419061478</v>
      </c>
      <c r="H308" s="8">
        <v>-0.38090000000000002</v>
      </c>
      <c r="I308" s="8">
        <f t="shared" si="380"/>
        <v>-0.37801991026229487</v>
      </c>
      <c r="J308" s="9">
        <f t="shared" si="381"/>
        <v>-0.17801991026229486</v>
      </c>
      <c r="K308" s="8">
        <v>-5.8000000000000003E-2</v>
      </c>
      <c r="L308" s="8">
        <f t="shared" si="382"/>
        <v>0.20213819505225339</v>
      </c>
      <c r="M308" s="9">
        <f t="shared" si="376"/>
        <v>0.20213819505225339</v>
      </c>
      <c r="O308" s="11">
        <f t="shared" si="383"/>
        <v>0.18806263173689475</v>
      </c>
      <c r="P308" s="15" t="str">
        <f t="shared" si="391"/>
        <v>SD</v>
      </c>
      <c r="Q308" t="str">
        <f t="shared" si="400"/>
        <v>SD</v>
      </c>
      <c r="R308" s="18">
        <f t="shared" si="407"/>
        <v>0.48522879353967363</v>
      </c>
      <c r="S308" t="str">
        <f t="shared" si="417"/>
        <v>SD</v>
      </c>
      <c r="T308">
        <v>0</v>
      </c>
      <c r="V308" s="17">
        <f t="shared" si="425"/>
        <v>42185</v>
      </c>
      <c r="W308" s="1">
        <f t="shared" si="384"/>
        <v>0.18806263173689475</v>
      </c>
      <c r="X308" s="1">
        <f t="shared" si="385"/>
        <v>0.18806263173689475</v>
      </c>
      <c r="Y308" s="1" t="e">
        <f t="shared" si="386"/>
        <v>#N/A</v>
      </c>
      <c r="Z308" s="1" t="e">
        <f t="shared" si="387"/>
        <v>#N/A</v>
      </c>
      <c r="AA308">
        <v>0</v>
      </c>
      <c r="AB308" s="1">
        <v>-28.8</v>
      </c>
      <c r="AD308" s="17">
        <f t="shared" si="393"/>
        <v>42185</v>
      </c>
      <c r="AE308" s="1">
        <f t="shared" si="394"/>
        <v>0.18806263173689475</v>
      </c>
      <c r="AF308" s="1">
        <f t="shared" si="395"/>
        <v>0.18806263173689475</v>
      </c>
      <c r="AG308" s="1" t="e">
        <f t="shared" si="396"/>
        <v>#N/A</v>
      </c>
      <c r="AH308" s="1" t="e">
        <f t="shared" si="397"/>
        <v>#N/A</v>
      </c>
      <c r="AO308" s="17">
        <f t="shared" si="401"/>
        <v>42185</v>
      </c>
      <c r="AP308">
        <f t="shared" si="402"/>
        <v>3</v>
      </c>
      <c r="AQ308">
        <f t="shared" si="403"/>
        <v>3</v>
      </c>
    </row>
    <row r="309" spans="1:43">
      <c r="A309" s="7">
        <v>42216</v>
      </c>
      <c r="B309" s="8">
        <v>3.1812E-2</v>
      </c>
      <c r="C309" s="8">
        <f t="shared" si="378"/>
        <v>7.8414649239952977E-2</v>
      </c>
      <c r="D309" s="9">
        <f t="shared" si="374"/>
        <v>0.39207324619976486</v>
      </c>
      <c r="E309" s="8">
        <v>3.2</v>
      </c>
      <c r="F309" s="8">
        <f t="shared" si="379"/>
        <v>4.2687825835091848</v>
      </c>
      <c r="G309" s="9">
        <f t="shared" si="375"/>
        <v>0.38807114395538045</v>
      </c>
      <c r="H309" s="8">
        <v>7.6999999999999999E-2</v>
      </c>
      <c r="I309" s="8">
        <f t="shared" si="380"/>
        <v>-0.24833923583754081</v>
      </c>
      <c r="J309" s="9">
        <f t="shared" si="381"/>
        <v>-4.8339235837540795E-2</v>
      </c>
      <c r="K309" s="8">
        <v>0.25700000000000001</v>
      </c>
      <c r="L309" s="8">
        <f t="shared" si="382"/>
        <v>0.21777380946236116</v>
      </c>
      <c r="M309" s="9">
        <f t="shared" si="376"/>
        <v>0.21777380946236116</v>
      </c>
      <c r="O309" s="11">
        <f t="shared" si="383"/>
        <v>0.21807771896460704</v>
      </c>
      <c r="P309" s="15" t="str">
        <f t="shared" si="391"/>
        <v>E</v>
      </c>
      <c r="Q309" t="str">
        <f t="shared" si="400"/>
        <v>SD</v>
      </c>
      <c r="R309" s="18">
        <f t="shared" si="407"/>
        <v>0.48522879353967363</v>
      </c>
      <c r="S309" t="str">
        <f t="shared" si="417"/>
        <v>E</v>
      </c>
      <c r="T309">
        <v>0</v>
      </c>
      <c r="V309" s="17">
        <f t="shared" si="425"/>
        <v>42216</v>
      </c>
      <c r="W309" s="1">
        <f t="shared" si="384"/>
        <v>0.21807771896460704</v>
      </c>
      <c r="X309" s="1">
        <f t="shared" si="385"/>
        <v>0.21807771896460704</v>
      </c>
      <c r="Y309" s="1" t="e">
        <f t="shared" si="386"/>
        <v>#N/A</v>
      </c>
      <c r="Z309" s="1" t="e">
        <f t="shared" si="387"/>
        <v>#N/A</v>
      </c>
      <c r="AA309">
        <v>0</v>
      </c>
      <c r="AB309" s="1">
        <v>-15.4</v>
      </c>
      <c r="AD309" s="17">
        <f t="shared" si="393"/>
        <v>42216</v>
      </c>
      <c r="AE309" s="1">
        <f t="shared" si="394"/>
        <v>0.21807771896460704</v>
      </c>
      <c r="AF309" s="1">
        <f t="shared" si="395"/>
        <v>0.21807771896460704</v>
      </c>
      <c r="AG309" s="1" t="e">
        <f t="shared" si="396"/>
        <v>#N/A</v>
      </c>
      <c r="AH309" s="1" t="e">
        <f t="shared" si="397"/>
        <v>#N/A</v>
      </c>
      <c r="AO309" s="17">
        <f t="shared" si="401"/>
        <v>42216</v>
      </c>
      <c r="AP309">
        <f t="shared" si="402"/>
        <v>4</v>
      </c>
      <c r="AQ309">
        <f t="shared" si="403"/>
        <v>3</v>
      </c>
    </row>
    <row r="310" spans="1:43">
      <c r="A310" s="7">
        <v>42247</v>
      </c>
      <c r="B310" s="8">
        <v>4.2875000000000003E-2</v>
      </c>
      <c r="C310" s="8">
        <f t="shared" si="378"/>
        <v>6.8285849206566371E-2</v>
      </c>
      <c r="D310" s="9">
        <f t="shared" si="374"/>
        <v>0.34142924603283181</v>
      </c>
      <c r="E310" s="8">
        <v>3.1</v>
      </c>
      <c r="F310" s="8">
        <f t="shared" si="379"/>
        <v>3.9356795472090673</v>
      </c>
      <c r="G310" s="9">
        <f t="shared" si="375"/>
        <v>0.35778904974627884</v>
      </c>
      <c r="H310" s="8">
        <v>-0.27529999999999999</v>
      </c>
      <c r="I310" s="8">
        <f t="shared" si="380"/>
        <v>-0.25602305362384165</v>
      </c>
      <c r="J310" s="9">
        <f t="shared" si="381"/>
        <v>-5.6023053623841634E-2</v>
      </c>
      <c r="K310" s="8">
        <v>-0.70599999999999996</v>
      </c>
      <c r="L310" s="8">
        <f t="shared" si="382"/>
        <v>-4.5501726234411788E-2</v>
      </c>
      <c r="M310" s="9">
        <f t="shared" si="376"/>
        <v>-2.2750863117205894E-2</v>
      </c>
      <c r="O310" s="11">
        <f t="shared" si="383"/>
        <v>0.12693209276758305</v>
      </c>
      <c r="P310" s="15" t="str">
        <f t="shared" si="391"/>
        <v>SD</v>
      </c>
      <c r="Q310" t="str">
        <f t="shared" si="400"/>
        <v>SD</v>
      </c>
      <c r="R310" s="18">
        <f t="shared" si="407"/>
        <v>0.12693209276758305</v>
      </c>
      <c r="S310" t="str">
        <f t="shared" si="417"/>
        <v>SD</v>
      </c>
      <c r="T310">
        <v>0</v>
      </c>
      <c r="V310" s="17">
        <f t="shared" si="425"/>
        <v>42247</v>
      </c>
      <c r="W310" s="1" t="e">
        <f t="shared" si="384"/>
        <v>#N/A</v>
      </c>
      <c r="X310" s="1">
        <f t="shared" si="385"/>
        <v>0.12693209276758305</v>
      </c>
      <c r="Y310" s="1" t="e">
        <f t="shared" si="386"/>
        <v>#N/A</v>
      </c>
      <c r="Z310" s="1" t="e">
        <f t="shared" si="387"/>
        <v>#N/A</v>
      </c>
      <c r="AA310">
        <v>0</v>
      </c>
      <c r="AB310" s="1">
        <v>-8.1999999999999993</v>
      </c>
      <c r="AD310" s="17">
        <f t="shared" si="393"/>
        <v>42247</v>
      </c>
      <c r="AE310" s="1" t="e">
        <f t="shared" si="394"/>
        <v>#N/A</v>
      </c>
      <c r="AF310" s="1">
        <f t="shared" si="395"/>
        <v>0.12693209276758305</v>
      </c>
      <c r="AG310" s="1" t="e">
        <f t="shared" si="396"/>
        <v>#N/A</v>
      </c>
      <c r="AH310" s="1" t="e">
        <f t="shared" si="397"/>
        <v>#N/A</v>
      </c>
      <c r="AO310" s="17">
        <f t="shared" si="401"/>
        <v>42247</v>
      </c>
      <c r="AP310">
        <f t="shared" si="402"/>
        <v>3</v>
      </c>
      <c r="AQ310">
        <f t="shared" si="403"/>
        <v>3</v>
      </c>
    </row>
    <row r="311" spans="1:43">
      <c r="A311" s="7">
        <v>42277</v>
      </c>
      <c r="B311" s="8">
        <v>1.3849999999999999E-2</v>
      </c>
      <c r="C311" s="8">
        <f t="shared" si="378"/>
        <v>5.2771632182694955E-2</v>
      </c>
      <c r="D311" s="9">
        <f t="shared" si="374"/>
        <v>0.26385816091347475</v>
      </c>
      <c r="E311" s="8">
        <v>2.2999999999999998</v>
      </c>
      <c r="F311" s="8">
        <f t="shared" si="379"/>
        <v>3.4695108762544828</v>
      </c>
      <c r="G311" s="9">
        <f t="shared" si="375"/>
        <v>0.31541007965949847</v>
      </c>
      <c r="H311" s="8">
        <v>-0.26240000000000002</v>
      </c>
      <c r="I311" s="8">
        <f t="shared" si="380"/>
        <v>-0.25784048334104681</v>
      </c>
      <c r="J311" s="9">
        <f t="shared" si="381"/>
        <v>-5.78404833410468E-2</v>
      </c>
      <c r="K311" s="8">
        <v>-0.73</v>
      </c>
      <c r="L311" s="8">
        <f t="shared" si="382"/>
        <v>-0.24058373425760443</v>
      </c>
      <c r="M311" s="9">
        <f t="shared" si="376"/>
        <v>-0.12029186712880222</v>
      </c>
      <c r="O311" s="11">
        <f t="shared" si="383"/>
        <v>8.0282825874276417E-2</v>
      </c>
      <c r="P311" s="15" t="str">
        <f t="shared" si="391"/>
        <v>SD</v>
      </c>
      <c r="Q311" t="str">
        <f t="shared" si="400"/>
        <v>SD</v>
      </c>
      <c r="R311" s="18">
        <f t="shared" si="407"/>
        <v>0.12693209276758305</v>
      </c>
      <c r="S311" t="str">
        <f t="shared" si="417"/>
        <v>SD</v>
      </c>
      <c r="T311">
        <v>0</v>
      </c>
      <c r="V311" s="17">
        <f t="shared" si="425"/>
        <v>42277</v>
      </c>
      <c r="W311" s="1" t="e">
        <f t="shared" si="384"/>
        <v>#N/A</v>
      </c>
      <c r="X311" s="1">
        <f t="shared" si="385"/>
        <v>8.0282825874276417E-2</v>
      </c>
      <c r="Y311" s="1" t="e">
        <f t="shared" si="386"/>
        <v>#N/A</v>
      </c>
      <c r="Z311" s="1" t="e">
        <f t="shared" si="387"/>
        <v>#N/A</v>
      </c>
      <c r="AA311">
        <v>0</v>
      </c>
      <c r="AB311" s="1">
        <v>-20.5</v>
      </c>
      <c r="AD311" s="17">
        <f t="shared" si="393"/>
        <v>42277</v>
      </c>
      <c r="AE311" s="1" t="e">
        <f t="shared" si="394"/>
        <v>#N/A</v>
      </c>
      <c r="AF311" s="1">
        <f t="shared" si="395"/>
        <v>8.0282825874276417E-2</v>
      </c>
      <c r="AG311" s="1" t="e">
        <f t="shared" si="396"/>
        <v>#N/A</v>
      </c>
      <c r="AH311" s="1" t="e">
        <f t="shared" si="397"/>
        <v>#N/A</v>
      </c>
      <c r="AO311" s="17">
        <f t="shared" si="401"/>
        <v>42277</v>
      </c>
      <c r="AP311">
        <f t="shared" si="402"/>
        <v>3</v>
      </c>
      <c r="AQ311">
        <f t="shared" si="403"/>
        <v>3</v>
      </c>
    </row>
    <row r="312" spans="1:43">
      <c r="A312" s="7">
        <v>42308</v>
      </c>
      <c r="B312" s="8">
        <v>9.0740000000000005E-3</v>
      </c>
      <c r="C312" s="8">
        <f t="shared" si="378"/>
        <v>4.0317807010626892E-2</v>
      </c>
      <c r="D312" s="9">
        <f t="shared" si="374"/>
        <v>0.20158903505313444</v>
      </c>
      <c r="E312" s="8">
        <v>2.4</v>
      </c>
      <c r="F312" s="8">
        <f t="shared" si="379"/>
        <v>3.1647002765219554</v>
      </c>
      <c r="G312" s="9">
        <f t="shared" si="375"/>
        <v>0.28770002513835957</v>
      </c>
      <c r="H312" s="8">
        <v>-0.52669999999999995</v>
      </c>
      <c r="I312" s="8">
        <f t="shared" si="380"/>
        <v>-0.3344654455888485</v>
      </c>
      <c r="J312" s="9">
        <f t="shared" si="381"/>
        <v>-0.13446544558884849</v>
      </c>
      <c r="K312" s="8">
        <v>-2E-3</v>
      </c>
      <c r="L312" s="8">
        <f t="shared" si="382"/>
        <v>-0.17258736999418714</v>
      </c>
      <c r="M312" s="9">
        <f t="shared" si="376"/>
        <v>-8.629368499709357E-2</v>
      </c>
      <c r="O312" s="11">
        <f t="shared" si="383"/>
        <v>4.8554188227380363E-2</v>
      </c>
      <c r="P312" s="15" t="str">
        <f t="shared" si="391"/>
        <v>SD</v>
      </c>
      <c r="Q312" t="str">
        <f t="shared" si="400"/>
        <v>SD</v>
      </c>
      <c r="R312" s="18">
        <f t="shared" si="407"/>
        <v>0.12693209276758305</v>
      </c>
      <c r="S312" t="str">
        <f t="shared" si="417"/>
        <v>SD</v>
      </c>
      <c r="T312">
        <v>0</v>
      </c>
      <c r="V312" s="17">
        <f t="shared" si="425"/>
        <v>42308</v>
      </c>
      <c r="W312" s="1" t="e">
        <f t="shared" si="384"/>
        <v>#N/A</v>
      </c>
      <c r="X312" s="1">
        <f t="shared" si="385"/>
        <v>4.8554188227380363E-2</v>
      </c>
      <c r="Y312" s="1" t="e">
        <f t="shared" si="386"/>
        <v>#N/A</v>
      </c>
      <c r="Z312" s="1" t="e">
        <f t="shared" si="387"/>
        <v>#N/A</v>
      </c>
      <c r="AA312">
        <v>0</v>
      </c>
      <c r="AB312" s="1">
        <v>-10</v>
      </c>
      <c r="AD312" s="17">
        <f t="shared" si="393"/>
        <v>42308</v>
      </c>
      <c r="AE312" s="1" t="e">
        <f t="shared" si="394"/>
        <v>#N/A</v>
      </c>
      <c r="AF312" s="1">
        <f t="shared" si="395"/>
        <v>4.8554188227380363E-2</v>
      </c>
      <c r="AG312" s="1" t="e">
        <f t="shared" si="396"/>
        <v>#N/A</v>
      </c>
      <c r="AH312" s="1" t="e">
        <f t="shared" si="397"/>
        <v>#N/A</v>
      </c>
      <c r="AO312" s="17">
        <f t="shared" si="401"/>
        <v>42308</v>
      </c>
      <c r="AP312">
        <f t="shared" si="402"/>
        <v>3</v>
      </c>
      <c r="AQ312">
        <f t="shared" si="403"/>
        <v>3</v>
      </c>
    </row>
    <row r="313" spans="1:43">
      <c r="A313" s="7">
        <v>42338</v>
      </c>
      <c r="B313" s="8">
        <v>0.108387</v>
      </c>
      <c r="C313" s="8">
        <f t="shared" si="378"/>
        <v>5.9717527012598227E-2</v>
      </c>
      <c r="D313" s="9">
        <f t="shared" si="374"/>
        <v>0.29858763506299113</v>
      </c>
      <c r="E313" s="8">
        <v>2.5</v>
      </c>
      <c r="F313" s="8">
        <f t="shared" si="379"/>
        <v>2.9752606977131979</v>
      </c>
      <c r="G313" s="9">
        <f t="shared" si="375"/>
        <v>0.27047824524665437</v>
      </c>
      <c r="H313" s="8">
        <v>-0.79649999999999999</v>
      </c>
      <c r="I313" s="8">
        <f t="shared" si="380"/>
        <v>-0.46614529359602669</v>
      </c>
      <c r="J313" s="9">
        <f t="shared" si="381"/>
        <v>-0.26614529359602668</v>
      </c>
      <c r="K313" s="8">
        <v>-4.3999999999999997E-2</v>
      </c>
      <c r="L313" s="8">
        <f t="shared" si="382"/>
        <v>-0.13593996954584381</v>
      </c>
      <c r="M313" s="9">
        <f t="shared" si="376"/>
        <v>-6.7969984772921904E-2</v>
      </c>
      <c r="O313" s="11">
        <f t="shared" si="383"/>
        <v>1.5934187537122422E-2</v>
      </c>
      <c r="P313" s="15" t="str">
        <f t="shared" si="391"/>
        <v>SD</v>
      </c>
      <c r="Q313" t="str">
        <f t="shared" si="400"/>
        <v>SD</v>
      </c>
      <c r="R313" s="18">
        <f t="shared" si="407"/>
        <v>0.12693209276758305</v>
      </c>
      <c r="S313" t="str">
        <f t="shared" si="417"/>
        <v>SD</v>
      </c>
      <c r="T313">
        <v>0</v>
      </c>
      <c r="V313" s="17">
        <f t="shared" si="425"/>
        <v>42338</v>
      </c>
      <c r="W313" s="1" t="e">
        <f t="shared" si="384"/>
        <v>#N/A</v>
      </c>
      <c r="X313" s="1">
        <f t="shared" si="385"/>
        <v>1.5934187537122422E-2</v>
      </c>
      <c r="Y313" s="1" t="e">
        <f t="shared" si="386"/>
        <v>#N/A</v>
      </c>
      <c r="Z313" s="1" t="e">
        <f t="shared" si="387"/>
        <v>#N/A</v>
      </c>
      <c r="AA313">
        <v>0</v>
      </c>
      <c r="AB313" s="1">
        <v>-14.4</v>
      </c>
      <c r="AD313" s="17">
        <f t="shared" si="393"/>
        <v>42338</v>
      </c>
      <c r="AE313" s="1" t="e">
        <f t="shared" si="394"/>
        <v>#N/A</v>
      </c>
      <c r="AF313" s="1">
        <f t="shared" si="395"/>
        <v>1.5934187537122422E-2</v>
      </c>
      <c r="AG313" s="1" t="e">
        <f t="shared" si="396"/>
        <v>#N/A</v>
      </c>
      <c r="AH313" s="1" t="e">
        <f t="shared" si="397"/>
        <v>#N/A</v>
      </c>
      <c r="AO313" s="17">
        <f t="shared" si="401"/>
        <v>42338</v>
      </c>
      <c r="AP313">
        <f t="shared" si="402"/>
        <v>3</v>
      </c>
      <c r="AQ313">
        <f t="shared" si="403"/>
        <v>3</v>
      </c>
    </row>
    <row r="314" spans="1:43">
      <c r="A314" s="7">
        <v>42369</v>
      </c>
      <c r="B314" s="8">
        <v>0.13936899999999999</v>
      </c>
      <c r="C314" s="8">
        <f t="shared" si="378"/>
        <v>8.2418196814007735E-2</v>
      </c>
      <c r="D314" s="9">
        <f t="shared" si="374"/>
        <v>0.41209098407003864</v>
      </c>
      <c r="E314" s="8">
        <v>1.6</v>
      </c>
      <c r="F314" s="8">
        <f t="shared" si="379"/>
        <v>2.5833113988649363</v>
      </c>
      <c r="G314" s="9">
        <f t="shared" si="375"/>
        <v>0.23484649080590331</v>
      </c>
      <c r="H314" s="8">
        <v>-0.47810000000000002</v>
      </c>
      <c r="I314" s="8">
        <f t="shared" si="380"/>
        <v>-0.46955238492115914</v>
      </c>
      <c r="J314" s="9">
        <f t="shared" si="381"/>
        <v>-0.26955238492115913</v>
      </c>
      <c r="K314" s="8">
        <v>-0.46300000000000002</v>
      </c>
      <c r="L314" s="8">
        <f t="shared" si="382"/>
        <v>-0.22915207822527833</v>
      </c>
      <c r="M314" s="9">
        <f t="shared" si="376"/>
        <v>-0.11457603911263917</v>
      </c>
      <c r="O314" s="11">
        <f t="shared" si="383"/>
        <v>7.1140447708607016E-3</v>
      </c>
      <c r="P314" s="15" t="str">
        <f t="shared" si="391"/>
        <v>SD</v>
      </c>
      <c r="Q314" t="str">
        <f t="shared" si="400"/>
        <v>SD</v>
      </c>
      <c r="R314" s="18">
        <f t="shared" si="407"/>
        <v>0.12693209276758305</v>
      </c>
      <c r="S314" t="str">
        <f t="shared" si="417"/>
        <v>SD</v>
      </c>
      <c r="T314">
        <v>0</v>
      </c>
      <c r="V314" s="17">
        <f t="shared" si="425"/>
        <v>42369</v>
      </c>
      <c r="W314" s="1" t="e">
        <f t="shared" si="384"/>
        <v>#N/A</v>
      </c>
      <c r="X314" s="1">
        <f t="shared" si="385"/>
        <v>7.1140447708607016E-3</v>
      </c>
      <c r="Y314" s="1">
        <f t="shared" si="386"/>
        <v>7.1140447708607016E-3</v>
      </c>
      <c r="Z314" s="1" t="e">
        <f t="shared" si="387"/>
        <v>#N/A</v>
      </c>
      <c r="AA314">
        <v>0</v>
      </c>
      <c r="AB314" s="1">
        <v>-31.8</v>
      </c>
      <c r="AD314" s="17">
        <f t="shared" si="393"/>
        <v>42369</v>
      </c>
      <c r="AE314" s="1" t="e">
        <f t="shared" si="394"/>
        <v>#N/A</v>
      </c>
      <c r="AF314" s="1">
        <f t="shared" si="395"/>
        <v>7.1140447708607016E-3</v>
      </c>
      <c r="AG314" s="1">
        <f t="shared" si="396"/>
        <v>7.1140447708607016E-3</v>
      </c>
      <c r="AH314" s="1" t="e">
        <f t="shared" si="397"/>
        <v>#N/A</v>
      </c>
      <c r="AO314" s="17">
        <f t="shared" si="401"/>
        <v>42369</v>
      </c>
      <c r="AP314">
        <f t="shared" si="402"/>
        <v>3</v>
      </c>
      <c r="AQ314">
        <f t="shared" si="403"/>
        <v>3</v>
      </c>
    </row>
    <row r="315" spans="1:43">
      <c r="A315" s="7">
        <v>42400</v>
      </c>
      <c r="B315" s="8">
        <v>-5.7109999999999999E-3</v>
      </c>
      <c r="C315" s="8">
        <f t="shared" si="378"/>
        <v>5.7301375722015525E-2</v>
      </c>
      <c r="D315" s="9">
        <f t="shared" si="374"/>
        <v>0.28650687861007762</v>
      </c>
      <c r="E315" s="8">
        <v>1.1000000000000001</v>
      </c>
      <c r="F315" s="8">
        <f t="shared" si="379"/>
        <v>2.1605676501884292</v>
      </c>
      <c r="G315" s="9">
        <f t="shared" si="375"/>
        <v>0.19641524092622084</v>
      </c>
      <c r="H315" s="8">
        <v>-0.12429999999999999</v>
      </c>
      <c r="I315" s="8">
        <f t="shared" si="380"/>
        <v>-0.37115545521862875</v>
      </c>
      <c r="J315" s="9">
        <f t="shared" si="381"/>
        <v>-0.17115545521862874</v>
      </c>
      <c r="K315" s="8">
        <v>-0.61899999999999999</v>
      </c>
      <c r="L315" s="8">
        <f t="shared" si="382"/>
        <v>-0.34025873593107403</v>
      </c>
      <c r="M315" s="9">
        <f t="shared" si="376"/>
        <v>-0.17012936796553702</v>
      </c>
      <c r="O315" s="11">
        <f t="shared" si="383"/>
        <v>-3.2808118524709738E-3</v>
      </c>
      <c r="P315" s="15" t="str">
        <f t="shared" si="391"/>
        <v>C</v>
      </c>
      <c r="Q315" t="str">
        <f t="shared" si="400"/>
        <v>C</v>
      </c>
      <c r="R315" s="18">
        <f t="shared" si="407"/>
        <v>-3.2808118524709738E-3</v>
      </c>
      <c r="S315" t="str">
        <f t="shared" si="417"/>
        <v>C</v>
      </c>
      <c r="T315">
        <v>0</v>
      </c>
      <c r="V315" s="17">
        <f t="shared" si="425"/>
        <v>42400</v>
      </c>
      <c r="W315" s="1" t="e">
        <f t="shared" si="384"/>
        <v>#N/A</v>
      </c>
      <c r="X315" s="1" t="e">
        <f t="shared" si="385"/>
        <v>#N/A</v>
      </c>
      <c r="Y315" s="1">
        <f t="shared" si="386"/>
        <v>-3.2808118524709738E-3</v>
      </c>
      <c r="Z315" s="1" t="e">
        <f t="shared" si="387"/>
        <v>#N/A</v>
      </c>
      <c r="AA315">
        <v>0</v>
      </c>
      <c r="AB315" s="1">
        <v>-47.1</v>
      </c>
      <c r="AD315" s="17">
        <f t="shared" si="393"/>
        <v>42400</v>
      </c>
      <c r="AE315" s="1" t="e">
        <f t="shared" si="394"/>
        <v>#N/A</v>
      </c>
      <c r="AF315" s="1" t="e">
        <f t="shared" si="395"/>
        <v>#N/A</v>
      </c>
      <c r="AG315" s="1">
        <f t="shared" si="396"/>
        <v>-3.2808118524709738E-3</v>
      </c>
      <c r="AH315" s="1" t="e">
        <f t="shared" si="397"/>
        <v>#N/A</v>
      </c>
      <c r="AO315" s="17">
        <f t="shared" si="401"/>
        <v>42400</v>
      </c>
      <c r="AP315">
        <f t="shared" si="402"/>
        <v>1</v>
      </c>
      <c r="AQ315">
        <f t="shared" si="403"/>
        <v>1</v>
      </c>
    </row>
    <row r="316" spans="1:43">
      <c r="A316" s="7">
        <v>42429</v>
      </c>
      <c r="B316" s="8">
        <v>-5.7230000000000003E-2</v>
      </c>
      <c r="C316" s="8">
        <f t="shared" si="378"/>
        <v>2.4659933641241093E-2</v>
      </c>
      <c r="D316" s="9">
        <f t="shared" si="374"/>
        <v>0.12329966820620546</v>
      </c>
      <c r="E316" s="8">
        <v>0.7</v>
      </c>
      <c r="F316" s="8">
        <f t="shared" si="379"/>
        <v>1.7443058698847269</v>
      </c>
      <c r="G316" s="9">
        <f t="shared" si="375"/>
        <v>0.15857326089861154</v>
      </c>
      <c r="H316" s="8">
        <v>-0.37390000000000001</v>
      </c>
      <c r="I316" s="8">
        <f t="shared" si="380"/>
        <v>-0.37193765048131955</v>
      </c>
      <c r="J316" s="9">
        <f t="shared" si="381"/>
        <v>-0.17193765048131954</v>
      </c>
      <c r="K316" s="8">
        <v>-0.73799999999999999</v>
      </c>
      <c r="L316" s="8">
        <f t="shared" si="382"/>
        <v>-0.45361499619071793</v>
      </c>
      <c r="M316" s="9">
        <f t="shared" si="376"/>
        <v>-0.22680749809535897</v>
      </c>
      <c r="O316" s="11">
        <f t="shared" si="383"/>
        <v>-4.8369005474516759E-2</v>
      </c>
      <c r="P316" s="15" t="str">
        <f t="shared" si="391"/>
        <v>C</v>
      </c>
      <c r="Q316" t="str">
        <f t="shared" si="400"/>
        <v>C</v>
      </c>
      <c r="R316" s="18">
        <f t="shared" si="407"/>
        <v>-3.2808118524709738E-3</v>
      </c>
      <c r="S316" t="str">
        <f t="shared" si="417"/>
        <v>C</v>
      </c>
      <c r="T316">
        <v>0</v>
      </c>
      <c r="V316" s="17">
        <f t="shared" si="425"/>
        <v>42429</v>
      </c>
      <c r="W316" s="1" t="e">
        <f t="shared" si="384"/>
        <v>#N/A</v>
      </c>
      <c r="X316" s="1" t="e">
        <f t="shared" si="385"/>
        <v>#N/A</v>
      </c>
      <c r="Y316" s="1">
        <f t="shared" si="386"/>
        <v>-4.8369005474516759E-2</v>
      </c>
      <c r="Z316" s="1" t="e">
        <f t="shared" si="387"/>
        <v>#N/A</v>
      </c>
      <c r="AA316">
        <v>0</v>
      </c>
      <c r="AB316" s="1">
        <v>-19.399999999999999</v>
      </c>
      <c r="AD316" s="17">
        <f t="shared" si="393"/>
        <v>42429</v>
      </c>
      <c r="AE316" s="1" t="e">
        <f t="shared" si="394"/>
        <v>#N/A</v>
      </c>
      <c r="AF316" s="1" t="e">
        <f t="shared" si="395"/>
        <v>#N/A</v>
      </c>
      <c r="AG316" s="1">
        <f t="shared" si="396"/>
        <v>-4.8369005474516759E-2</v>
      </c>
      <c r="AH316" s="1" t="e">
        <f t="shared" si="397"/>
        <v>#N/A</v>
      </c>
      <c r="AO316" s="17">
        <f t="shared" si="401"/>
        <v>42429</v>
      </c>
      <c r="AP316">
        <f t="shared" si="402"/>
        <v>1</v>
      </c>
      <c r="AQ316">
        <f t="shared" si="403"/>
        <v>1</v>
      </c>
    </row>
    <row r="317" spans="1:43">
      <c r="A317" s="7">
        <v>42460</v>
      </c>
      <c r="B317" s="8">
        <v>-3.1831999999999999E-2</v>
      </c>
      <c r="C317" s="8">
        <f t="shared" si="378"/>
        <v>8.5597325534873796E-3</v>
      </c>
      <c r="D317" s="9">
        <f t="shared" si="374"/>
        <v>4.2798662767436893E-2</v>
      </c>
      <c r="E317" s="8">
        <v>0.5</v>
      </c>
      <c r="F317" s="8">
        <f t="shared" si="379"/>
        <v>1.3896786969675798</v>
      </c>
      <c r="G317" s="9">
        <f t="shared" si="375"/>
        <v>0.12633442699705272</v>
      </c>
      <c r="H317" s="8">
        <v>-0.53290000000000004</v>
      </c>
      <c r="I317" s="8">
        <f t="shared" si="380"/>
        <v>-0.41781192009414347</v>
      </c>
      <c r="J317" s="9">
        <f t="shared" si="381"/>
        <v>-0.21781192009414346</v>
      </c>
      <c r="K317" s="8">
        <v>-0.36599999999999999</v>
      </c>
      <c r="L317" s="8">
        <f t="shared" si="382"/>
        <v>-0.4286447222763633</v>
      </c>
      <c r="M317" s="9">
        <f t="shared" si="376"/>
        <v>-0.21432236113818165</v>
      </c>
      <c r="O317" s="11">
        <f t="shared" si="383"/>
        <v>-7.7788439823370401E-2</v>
      </c>
      <c r="P317" s="15" t="str">
        <f t="shared" si="391"/>
        <v>C</v>
      </c>
      <c r="Q317" t="str">
        <f t="shared" si="400"/>
        <v>C</v>
      </c>
      <c r="R317" s="18">
        <f t="shared" si="407"/>
        <v>-3.2808118524709738E-3</v>
      </c>
      <c r="S317" t="str">
        <f t="shared" si="417"/>
        <v>C</v>
      </c>
      <c r="T317">
        <v>0</v>
      </c>
      <c r="V317" s="17">
        <f t="shared" si="425"/>
        <v>42460</v>
      </c>
      <c r="W317" s="1" t="e">
        <f t="shared" si="384"/>
        <v>#N/A</v>
      </c>
      <c r="X317" s="1" t="e">
        <f t="shared" si="385"/>
        <v>#N/A</v>
      </c>
      <c r="Y317" s="1">
        <f t="shared" si="386"/>
        <v>-7.7788439823370401E-2</v>
      </c>
      <c r="Z317" s="1" t="e">
        <f t="shared" si="387"/>
        <v>#N/A</v>
      </c>
      <c r="AA317">
        <v>0</v>
      </c>
      <c r="AB317" s="1">
        <v>-5.2</v>
      </c>
      <c r="AD317" s="17">
        <f t="shared" si="393"/>
        <v>42460</v>
      </c>
      <c r="AE317" s="1" t="e">
        <f t="shared" si="394"/>
        <v>#N/A</v>
      </c>
      <c r="AF317" s="1" t="e">
        <f t="shared" si="395"/>
        <v>#N/A</v>
      </c>
      <c r="AG317" s="1">
        <f t="shared" si="396"/>
        <v>-7.7788439823370401E-2</v>
      </c>
      <c r="AH317" s="1" t="e">
        <f t="shared" si="397"/>
        <v>#N/A</v>
      </c>
      <c r="AO317" s="17">
        <f t="shared" si="401"/>
        <v>42460</v>
      </c>
      <c r="AP317">
        <f t="shared" si="402"/>
        <v>1</v>
      </c>
      <c r="AQ317">
        <f t="shared" si="403"/>
        <v>1</v>
      </c>
    </row>
    <row r="318" spans="1:43">
      <c r="A318" s="7">
        <v>42490</v>
      </c>
      <c r="B318" s="8">
        <v>-9.2900000000000003E-4</v>
      </c>
      <c r="C318" s="8">
        <f t="shared" si="378"/>
        <v>5.8554437757434756E-3</v>
      </c>
      <c r="D318" s="9">
        <f t="shared" si="374"/>
        <v>2.9277218878717377E-2</v>
      </c>
      <c r="E318" s="8">
        <v>0.4</v>
      </c>
      <c r="F318" s="8">
        <f t="shared" si="379"/>
        <v>1.1076202683318195</v>
      </c>
      <c r="G318" s="9">
        <f t="shared" si="375"/>
        <v>0.10069275166652904</v>
      </c>
      <c r="H318" s="8">
        <v>-0.46389999999999998</v>
      </c>
      <c r="I318" s="8">
        <f t="shared" si="380"/>
        <v>-0.43094702286731257</v>
      </c>
      <c r="J318" s="9">
        <f t="shared" si="381"/>
        <v>-0.23094702286731256</v>
      </c>
      <c r="K318" s="8">
        <v>-0.24299999999999999</v>
      </c>
      <c r="L318" s="8">
        <f t="shared" si="382"/>
        <v>-0.37573597642759976</v>
      </c>
      <c r="M318" s="9">
        <f t="shared" si="376"/>
        <v>-0.18786798821379988</v>
      </c>
      <c r="O318" s="11">
        <f t="shared" si="383"/>
        <v>-8.4816453337346165E-2</v>
      </c>
      <c r="P318" s="15" t="str">
        <f t="shared" si="391"/>
        <v>C</v>
      </c>
      <c r="Q318" t="str">
        <f t="shared" si="400"/>
        <v>C</v>
      </c>
      <c r="R318" s="18">
        <f t="shared" si="407"/>
        <v>-3.2808118524709738E-3</v>
      </c>
      <c r="S318" t="str">
        <f t="shared" si="417"/>
        <v>C</v>
      </c>
      <c r="T318">
        <v>0</v>
      </c>
      <c r="V318" s="17">
        <f t="shared" si="425"/>
        <v>42490</v>
      </c>
      <c r="W318" s="1" t="e">
        <f t="shared" si="384"/>
        <v>#N/A</v>
      </c>
      <c r="X318" s="1" t="e">
        <f t="shared" si="385"/>
        <v>#N/A</v>
      </c>
      <c r="Y318" s="1">
        <f t="shared" si="386"/>
        <v>-8.4816453337346165E-2</v>
      </c>
      <c r="Z318" s="1">
        <f t="shared" si="387"/>
        <v>-8.4816453337346165E-2</v>
      </c>
      <c r="AA318">
        <v>0</v>
      </c>
      <c r="AB318" s="1">
        <v>-27.8</v>
      </c>
      <c r="AD318" s="17">
        <f t="shared" si="393"/>
        <v>42490</v>
      </c>
      <c r="AE318" s="1" t="e">
        <f t="shared" si="394"/>
        <v>#N/A</v>
      </c>
      <c r="AF318" s="1" t="e">
        <f t="shared" si="395"/>
        <v>#N/A</v>
      </c>
      <c r="AG318" s="1">
        <f t="shared" si="396"/>
        <v>-8.4816453337346165E-2</v>
      </c>
      <c r="AH318" s="1">
        <f t="shared" si="397"/>
        <v>-8.4816453337346165E-2</v>
      </c>
      <c r="AO318" s="17">
        <f t="shared" si="401"/>
        <v>42490</v>
      </c>
      <c r="AP318">
        <f t="shared" si="402"/>
        <v>1</v>
      </c>
      <c r="AQ318">
        <f t="shared" si="403"/>
        <v>1</v>
      </c>
    </row>
    <row r="319" spans="1:43">
      <c r="A319" s="7">
        <v>42521</v>
      </c>
      <c r="B319" s="8">
        <v>6.6425999999999999E-2</v>
      </c>
      <c r="C319" s="8">
        <f t="shared" si="378"/>
        <v>2.3118052299656588E-2</v>
      </c>
      <c r="D319" s="9">
        <f t="shared" si="374"/>
        <v>0.11559026149828293</v>
      </c>
      <c r="E319" s="8">
        <v>0</v>
      </c>
      <c r="F319" s="8">
        <f t="shared" si="379"/>
        <v>0.79194849185725091</v>
      </c>
      <c r="G319" s="9">
        <f t="shared" si="375"/>
        <v>7.1995317441568271E-2</v>
      </c>
      <c r="H319" s="8">
        <v>-0.45979999999999999</v>
      </c>
      <c r="I319" s="8">
        <f t="shared" si="380"/>
        <v>-0.43917012135012851</v>
      </c>
      <c r="J319" s="9">
        <f t="shared" si="381"/>
        <v>-0.2391701213501285</v>
      </c>
      <c r="K319" s="8">
        <v>-5.6000000000000001E-2</v>
      </c>
      <c r="L319" s="8">
        <f t="shared" si="382"/>
        <v>-0.28461122314573384</v>
      </c>
      <c r="M319" s="9">
        <f t="shared" si="376"/>
        <v>-0.14230561157286692</v>
      </c>
      <c r="O319" s="11">
        <f t="shared" si="383"/>
        <v>-7.2675868227111626E-2</v>
      </c>
      <c r="P319" s="15" t="str">
        <f t="shared" si="391"/>
        <v>R</v>
      </c>
      <c r="Q319" t="str">
        <f t="shared" si="400"/>
        <v>C</v>
      </c>
      <c r="R319" s="18">
        <f t="shared" si="407"/>
        <v>-3.2808118524709738E-3</v>
      </c>
      <c r="S319" t="str">
        <f t="shared" si="417"/>
        <v>R</v>
      </c>
      <c r="T319">
        <v>0</v>
      </c>
      <c r="V319" s="17">
        <f t="shared" si="425"/>
        <v>42521</v>
      </c>
      <c r="W319" s="1" t="e">
        <f t="shared" si="384"/>
        <v>#N/A</v>
      </c>
      <c r="X319" s="1" t="e">
        <f t="shared" si="385"/>
        <v>#N/A</v>
      </c>
      <c r="Y319" s="1" t="e">
        <f t="shared" si="386"/>
        <v>#N/A</v>
      </c>
      <c r="Z319" s="1">
        <f t="shared" si="387"/>
        <v>-7.2675868227111626E-2</v>
      </c>
      <c r="AA319">
        <v>0</v>
      </c>
      <c r="AB319" s="1">
        <v>-18.600000000000001</v>
      </c>
      <c r="AD319" s="17">
        <f t="shared" si="393"/>
        <v>42521</v>
      </c>
      <c r="AE319" s="1" t="e">
        <f t="shared" si="394"/>
        <v>#N/A</v>
      </c>
      <c r="AF319" s="1" t="e">
        <f t="shared" si="395"/>
        <v>#N/A</v>
      </c>
      <c r="AG319" s="1" t="e">
        <f t="shared" si="396"/>
        <v>#N/A</v>
      </c>
      <c r="AH319" s="1">
        <f t="shared" si="397"/>
        <v>-7.2675868227111626E-2</v>
      </c>
      <c r="AO319" s="17">
        <f t="shared" si="401"/>
        <v>42521</v>
      </c>
      <c r="AP319">
        <f t="shared" si="402"/>
        <v>2</v>
      </c>
      <c r="AQ319">
        <f t="shared" si="403"/>
        <v>1</v>
      </c>
    </row>
    <row r="320" spans="1:43">
      <c r="A320" s="7">
        <v>42551</v>
      </c>
      <c r="B320" s="8">
        <v>-4.9228000000000001E-2</v>
      </c>
      <c r="C320" s="8">
        <f t="shared" si="378"/>
        <v>2.4994273942544557E-3</v>
      </c>
      <c r="D320" s="9">
        <f t="shared" si="374"/>
        <v>1.2497136971272279E-2</v>
      </c>
      <c r="E320" s="8">
        <v>-0.4</v>
      </c>
      <c r="F320" s="8">
        <f t="shared" si="379"/>
        <v>0.45224317167793437</v>
      </c>
      <c r="G320" s="9">
        <f t="shared" si="375"/>
        <v>4.1113015607084941E-2</v>
      </c>
      <c r="H320" s="8">
        <v>0.13730000000000001</v>
      </c>
      <c r="I320" s="8">
        <f t="shared" si="380"/>
        <v>-0.27487613676534184</v>
      </c>
      <c r="J320" s="9">
        <f t="shared" si="381"/>
        <v>-7.4876136765341827E-2</v>
      </c>
      <c r="K320" s="8">
        <v>-0.3</v>
      </c>
      <c r="L320" s="8">
        <f t="shared" si="382"/>
        <v>-0.28899702454919968</v>
      </c>
      <c r="M320" s="9">
        <f t="shared" si="376"/>
        <v>-0.14449851227459984</v>
      </c>
      <c r="O320" s="11">
        <f t="shared" si="383"/>
        <v>-4.2964085782384781E-2</v>
      </c>
      <c r="P320" s="15" t="str">
        <f t="shared" si="391"/>
        <v>R</v>
      </c>
      <c r="Q320" t="str">
        <f t="shared" si="400"/>
        <v>C</v>
      </c>
      <c r="R320" s="18">
        <f t="shared" si="407"/>
        <v>-4.2964085782384781E-2</v>
      </c>
      <c r="S320" t="str">
        <f t="shared" si="417"/>
        <v>R</v>
      </c>
      <c r="T320">
        <v>0</v>
      </c>
      <c r="V320" s="17">
        <f t="shared" si="425"/>
        <v>42551</v>
      </c>
      <c r="W320" s="1" t="e">
        <f t="shared" si="384"/>
        <v>#N/A</v>
      </c>
      <c r="X320" s="1" t="e">
        <f t="shared" si="385"/>
        <v>#N/A</v>
      </c>
      <c r="Y320" s="1" t="e">
        <f t="shared" si="386"/>
        <v>#N/A</v>
      </c>
      <c r="Z320" s="1">
        <f t="shared" si="387"/>
        <v>-4.2964085782384781E-2</v>
      </c>
      <c r="AA320">
        <v>0</v>
      </c>
      <c r="AB320" s="1">
        <v>-19.8</v>
      </c>
      <c r="AD320" s="17">
        <f t="shared" si="393"/>
        <v>42551</v>
      </c>
      <c r="AE320" s="1" t="e">
        <f t="shared" si="394"/>
        <v>#N/A</v>
      </c>
      <c r="AF320" s="1" t="e">
        <f t="shared" si="395"/>
        <v>#N/A</v>
      </c>
      <c r="AG320" s="1" t="e">
        <f t="shared" si="396"/>
        <v>#N/A</v>
      </c>
      <c r="AH320" s="1">
        <f t="shared" si="397"/>
        <v>-4.2964085782384781E-2</v>
      </c>
      <c r="AO320" s="17">
        <f t="shared" si="401"/>
        <v>42551</v>
      </c>
      <c r="AP320">
        <f t="shared" si="402"/>
        <v>2</v>
      </c>
      <c r="AQ320">
        <f t="shared" si="403"/>
        <v>1</v>
      </c>
    </row>
    <row r="321" spans="1:43">
      <c r="A321" s="7">
        <v>42582</v>
      </c>
      <c r="B321" s="8">
        <v>-1.2750000000000001E-3</v>
      </c>
      <c r="C321" s="8">
        <f t="shared" si="378"/>
        <v>1.4237155868919355E-3</v>
      </c>
      <c r="D321" s="9">
        <f t="shared" si="374"/>
        <v>7.1185779344596772E-3</v>
      </c>
      <c r="E321" s="8">
        <v>0.3</v>
      </c>
      <c r="F321" s="8">
        <f t="shared" si="379"/>
        <v>0.4088538677497231</v>
      </c>
      <c r="G321" s="9">
        <f t="shared" si="375"/>
        <v>3.7168533431793008E-2</v>
      </c>
      <c r="H321" s="8">
        <v>1.5299999999999999E-2</v>
      </c>
      <c r="I321" s="8">
        <f t="shared" si="380"/>
        <v>-0.19217593778721942</v>
      </c>
      <c r="J321" s="9">
        <f t="shared" si="381"/>
        <v>7.8240622127805914E-3</v>
      </c>
      <c r="K321" s="8">
        <v>-0.17599999999999999</v>
      </c>
      <c r="L321" s="8">
        <f t="shared" si="382"/>
        <v>-0.25679287255267774</v>
      </c>
      <c r="M321" s="9">
        <f t="shared" si="376"/>
        <v>-0.12839643627633887</v>
      </c>
      <c r="O321" s="11">
        <f t="shared" si="383"/>
        <v>-2.3125949743496032E-2</v>
      </c>
      <c r="P321" s="15" t="str">
        <f t="shared" si="391"/>
        <v>R</v>
      </c>
      <c r="Q321" t="str">
        <f t="shared" si="400"/>
        <v>C</v>
      </c>
      <c r="R321" s="18">
        <f t="shared" si="407"/>
        <v>-2.3125949743496032E-2</v>
      </c>
      <c r="S321" t="str">
        <f t="shared" si="417"/>
        <v>R</v>
      </c>
      <c r="T321">
        <v>0</v>
      </c>
      <c r="V321" s="17">
        <f t="shared" si="425"/>
        <v>42582</v>
      </c>
      <c r="W321" s="1">
        <f t="shared" si="384"/>
        <v>-2.3125949743496032E-2</v>
      </c>
      <c r="X321" s="1" t="e">
        <f t="shared" si="385"/>
        <v>#N/A</v>
      </c>
      <c r="Y321" s="1" t="e">
        <f t="shared" si="386"/>
        <v>#N/A</v>
      </c>
      <c r="Z321" s="1">
        <f t="shared" si="387"/>
        <v>-2.3125949743496032E-2</v>
      </c>
      <c r="AA321">
        <v>0</v>
      </c>
      <c r="AB321" s="1">
        <v>16.3</v>
      </c>
      <c r="AD321" s="17">
        <f t="shared" si="393"/>
        <v>42582</v>
      </c>
      <c r="AE321" s="1">
        <f t="shared" si="394"/>
        <v>-2.3125949743496032E-2</v>
      </c>
      <c r="AF321" s="1" t="e">
        <f t="shared" si="395"/>
        <v>#N/A</v>
      </c>
      <c r="AG321" s="1" t="e">
        <f t="shared" si="396"/>
        <v>#N/A</v>
      </c>
      <c r="AH321" s="1">
        <f t="shared" si="397"/>
        <v>-2.3125949743496032E-2</v>
      </c>
      <c r="AO321" s="17">
        <f t="shared" si="401"/>
        <v>42582</v>
      </c>
      <c r="AP321">
        <f t="shared" si="402"/>
        <v>2</v>
      </c>
      <c r="AQ321">
        <f t="shared" si="403"/>
        <v>1</v>
      </c>
    </row>
    <row r="322" spans="1:43">
      <c r="A322" s="7">
        <v>42613</v>
      </c>
      <c r="B322" s="8">
        <v>0.17872499999999999</v>
      </c>
      <c r="C322" s="8">
        <f t="shared" si="378"/>
        <v>5.195458164462774E-2</v>
      </c>
      <c r="D322" s="9">
        <f t="shared" si="374"/>
        <v>0.2597729082231387</v>
      </c>
      <c r="E322" s="8">
        <v>0.4</v>
      </c>
      <c r="F322" s="8">
        <f t="shared" si="379"/>
        <v>0.40633051544105203</v>
      </c>
      <c r="G322" s="9">
        <f t="shared" si="375"/>
        <v>3.6939137767368367E-2</v>
      </c>
      <c r="H322" s="8">
        <v>-0.1227</v>
      </c>
      <c r="I322" s="8">
        <f t="shared" si="380"/>
        <v>-0.1723752955178619</v>
      </c>
      <c r="J322" s="9">
        <f t="shared" si="381"/>
        <v>2.7624704482138107E-2</v>
      </c>
      <c r="K322" s="8">
        <v>-0.189</v>
      </c>
      <c r="L322" s="8">
        <f t="shared" si="382"/>
        <v>-0.23747190387516456</v>
      </c>
      <c r="M322" s="9">
        <f t="shared" si="376"/>
        <v>-0.11873595193758228</v>
      </c>
      <c r="O322" s="11">
        <f t="shared" si="383"/>
        <v>9.7944766152185184E-3</v>
      </c>
      <c r="P322" s="15" t="str">
        <f t="shared" si="391"/>
        <v>E</v>
      </c>
      <c r="Q322" t="str">
        <f t="shared" si="400"/>
        <v>E</v>
      </c>
      <c r="R322" s="18">
        <f t="shared" si="407"/>
        <v>9.7944766152185184E-3</v>
      </c>
      <c r="S322" t="str">
        <f t="shared" si="417"/>
        <v>E</v>
      </c>
      <c r="T322">
        <v>0</v>
      </c>
      <c r="V322" s="17">
        <f t="shared" si="425"/>
        <v>42613</v>
      </c>
      <c r="W322" s="1">
        <f t="shared" si="384"/>
        <v>9.7944766152185184E-3</v>
      </c>
      <c r="X322" s="1" t="e">
        <f t="shared" si="385"/>
        <v>#N/A</v>
      </c>
      <c r="Y322" s="1" t="e">
        <f t="shared" si="386"/>
        <v>#N/A</v>
      </c>
      <c r="Z322" s="1" t="e">
        <f t="shared" si="387"/>
        <v>#N/A</v>
      </c>
      <c r="AA322">
        <v>0</v>
      </c>
      <c r="AB322" s="1">
        <v>13.5</v>
      </c>
      <c r="AD322" s="17">
        <f t="shared" si="393"/>
        <v>42613</v>
      </c>
      <c r="AE322" s="1">
        <f t="shared" si="394"/>
        <v>9.7944766152185184E-3</v>
      </c>
      <c r="AF322" s="1" t="e">
        <f t="shared" si="395"/>
        <v>#N/A</v>
      </c>
      <c r="AG322" s="1" t="e">
        <f t="shared" si="396"/>
        <v>#N/A</v>
      </c>
      <c r="AH322" s="1" t="e">
        <f t="shared" si="397"/>
        <v>#N/A</v>
      </c>
      <c r="AO322" s="17">
        <f t="shared" si="401"/>
        <v>42613</v>
      </c>
      <c r="AP322">
        <f t="shared" si="402"/>
        <v>4</v>
      </c>
      <c r="AQ322">
        <f t="shared" si="403"/>
        <v>4</v>
      </c>
    </row>
    <row r="323" spans="1:43">
      <c r="A323" s="7">
        <v>42643</v>
      </c>
      <c r="B323" s="8">
        <v>7.9838999999999993E-2</v>
      </c>
      <c r="C323" s="8">
        <f t="shared" si="378"/>
        <v>5.9901640875908838E-2</v>
      </c>
      <c r="D323" s="9">
        <f t="shared" si="374"/>
        <v>0.29950820437954417</v>
      </c>
      <c r="E323" s="8">
        <v>0.6</v>
      </c>
      <c r="F323" s="8">
        <f t="shared" si="379"/>
        <v>0.4615263185403522</v>
      </c>
      <c r="G323" s="9">
        <f t="shared" si="375"/>
        <v>4.1956938049122927E-2</v>
      </c>
      <c r="H323" s="8">
        <v>-0.1318</v>
      </c>
      <c r="I323" s="8">
        <f t="shared" si="380"/>
        <v>-0.16081133629527125</v>
      </c>
      <c r="J323" s="9">
        <f t="shared" si="381"/>
        <v>3.918866370472876E-2</v>
      </c>
      <c r="K323" s="8">
        <v>-0.30099999999999999</v>
      </c>
      <c r="L323" s="8">
        <f t="shared" si="382"/>
        <v>-0.25557741127074263</v>
      </c>
      <c r="M323" s="9">
        <f t="shared" si="376"/>
        <v>-0.12778870563537131</v>
      </c>
      <c r="O323" s="11">
        <f t="shared" si="383"/>
        <v>1.4452549188972161E-2</v>
      </c>
      <c r="P323" s="15" t="str">
        <f t="shared" si="391"/>
        <v>E</v>
      </c>
      <c r="Q323" t="str">
        <f t="shared" si="400"/>
        <v>E</v>
      </c>
      <c r="R323" s="18">
        <f t="shared" si="407"/>
        <v>9.7944766152185184E-3</v>
      </c>
      <c r="S323" t="str">
        <f t="shared" si="417"/>
        <v>E</v>
      </c>
      <c r="T323">
        <v>0</v>
      </c>
      <c r="V323" s="17">
        <f t="shared" ref="V323:V354" si="426">A323</f>
        <v>42643</v>
      </c>
      <c r="W323" s="1">
        <f t="shared" si="384"/>
        <v>1.4452549188972161E-2</v>
      </c>
      <c r="X323" s="1" t="e">
        <f t="shared" si="385"/>
        <v>#N/A</v>
      </c>
      <c r="Y323" s="1">
        <f t="shared" si="386"/>
        <v>1.4452549188972161E-2</v>
      </c>
      <c r="Z323" s="1" t="e">
        <f t="shared" si="387"/>
        <v>#N/A</v>
      </c>
      <c r="AA323">
        <v>0</v>
      </c>
      <c r="AB323" s="1">
        <v>-5.0999999999999996</v>
      </c>
      <c r="AD323" s="17">
        <f t="shared" si="393"/>
        <v>42643</v>
      </c>
      <c r="AE323" s="1">
        <f t="shared" si="394"/>
        <v>1.4452549188972161E-2</v>
      </c>
      <c r="AF323" s="1" t="e">
        <f t="shared" si="395"/>
        <v>#N/A</v>
      </c>
      <c r="AG323" s="1">
        <f t="shared" si="396"/>
        <v>1.4452549188972161E-2</v>
      </c>
      <c r="AH323" s="1" t="e">
        <f t="shared" si="397"/>
        <v>#N/A</v>
      </c>
      <c r="AO323" s="17">
        <f t="shared" si="401"/>
        <v>42643</v>
      </c>
      <c r="AP323">
        <f t="shared" si="402"/>
        <v>4</v>
      </c>
      <c r="AQ323">
        <f t="shared" si="403"/>
        <v>4</v>
      </c>
    </row>
    <row r="324" spans="1:43">
      <c r="A324" s="7">
        <v>42674</v>
      </c>
      <c r="B324" s="8">
        <v>7.6404E-2</v>
      </c>
      <c r="C324" s="8">
        <f t="shared" si="378"/>
        <v>6.4604813226274815E-2</v>
      </c>
      <c r="D324" s="9">
        <f t="shared" ref="D324:D387" si="427">C324/0.2</f>
        <v>0.32302406613137408</v>
      </c>
      <c r="E324" s="8">
        <v>0.3</v>
      </c>
      <c r="F324" s="8">
        <f t="shared" si="379"/>
        <v>0.41549131775635184</v>
      </c>
      <c r="G324" s="9">
        <f t="shared" ref="G324:G387" si="428">F324/11</f>
        <v>3.7771937977850167E-2</v>
      </c>
      <c r="H324" s="8">
        <v>-0.3337</v>
      </c>
      <c r="I324" s="8">
        <f t="shared" si="380"/>
        <v>-0.21008460545111896</v>
      </c>
      <c r="J324" s="9">
        <f t="shared" si="381"/>
        <v>-1.0084605451118944E-2</v>
      </c>
      <c r="K324" s="8">
        <v>-0.46100000000000002</v>
      </c>
      <c r="L324" s="8">
        <f t="shared" si="382"/>
        <v>-0.31412284905858101</v>
      </c>
      <c r="M324" s="9">
        <f t="shared" ref="M324:M387" si="429">IF(L324&lt;-1,-(-L324^(0.5)),IF(L324&lt;0,0.5*L324,L324))*1+0*IF(L324&gt;0,L324*6,L324)/6</f>
        <v>-0.15706142452929051</v>
      </c>
      <c r="O324" s="11">
        <f t="shared" si="383"/>
        <v>-5.2543209662485463E-3</v>
      </c>
      <c r="P324" s="15" t="str">
        <f t="shared" si="391"/>
        <v>C</v>
      </c>
      <c r="Q324" t="str">
        <f t="shared" si="400"/>
        <v>C</v>
      </c>
      <c r="R324" s="18">
        <f t="shared" si="407"/>
        <v>-5.2543209662485463E-3</v>
      </c>
      <c r="S324" t="str">
        <f t="shared" si="417"/>
        <v>C</v>
      </c>
      <c r="T324">
        <v>0</v>
      </c>
      <c r="V324" s="17">
        <f t="shared" si="426"/>
        <v>42674</v>
      </c>
      <c r="W324" s="1">
        <f t="shared" si="384"/>
        <v>-5.2543209662485463E-3</v>
      </c>
      <c r="X324" s="1" t="e">
        <f t="shared" si="385"/>
        <v>#N/A</v>
      </c>
      <c r="Y324" s="1">
        <f t="shared" si="386"/>
        <v>-5.2543209662485463E-3</v>
      </c>
      <c r="Z324" s="1" t="e">
        <f t="shared" si="387"/>
        <v>#N/A</v>
      </c>
      <c r="AA324">
        <v>0</v>
      </c>
      <c r="AB324" s="1">
        <v>-8.1</v>
      </c>
      <c r="AD324" s="17">
        <f t="shared" si="393"/>
        <v>42674</v>
      </c>
      <c r="AE324" s="1">
        <f t="shared" si="394"/>
        <v>-5.2543209662485463E-3</v>
      </c>
      <c r="AF324" s="1" t="e">
        <f t="shared" si="395"/>
        <v>#N/A</v>
      </c>
      <c r="AG324" s="1">
        <f t="shared" si="396"/>
        <v>-5.2543209662485463E-3</v>
      </c>
      <c r="AH324" s="1" t="e">
        <f t="shared" si="397"/>
        <v>#N/A</v>
      </c>
      <c r="AO324" s="17">
        <f t="shared" si="401"/>
        <v>42674</v>
      </c>
      <c r="AP324">
        <f t="shared" si="402"/>
        <v>1</v>
      </c>
      <c r="AQ324">
        <f t="shared" si="403"/>
        <v>1</v>
      </c>
    </row>
    <row r="325" spans="1:43">
      <c r="A325" s="7">
        <v>42704</v>
      </c>
      <c r="B325" s="8">
        <v>0.28275600000000001</v>
      </c>
      <c r="C325" s="8">
        <f t="shared" ref="C325:C388" si="430">C324*$V$1+(1-$V$1)*B325</f>
        <v>0.1267779014567865</v>
      </c>
      <c r="D325" s="9">
        <f t="shared" si="427"/>
        <v>0.63388950728393245</v>
      </c>
      <c r="E325" s="8">
        <v>0</v>
      </c>
      <c r="F325" s="8">
        <f t="shared" ref="F325:F388" si="431">F324*$V$1+(1-$V$1)*E325</f>
        <v>0.29707629219579157</v>
      </c>
      <c r="G325" s="9">
        <f t="shared" si="428"/>
        <v>2.7006935654162869E-2</v>
      </c>
      <c r="H325" s="8">
        <v>-0.2281</v>
      </c>
      <c r="I325" s="8">
        <f t="shared" ref="I325:I388" si="432">I324*$V$1+(1-$V$1)*H325</f>
        <v>-0.21521899289755003</v>
      </c>
      <c r="J325" s="9">
        <f t="shared" ref="J325:J388" si="433">MAX(IF(I325&lt;-1,-1*SQRT(-I325),IF(I325&gt;1,SQRT(I325),I325)),-2)+0.2</f>
        <v>-1.5218992897550021E-2</v>
      </c>
      <c r="K325" s="8">
        <v>-0.10299999999999999</v>
      </c>
      <c r="L325" s="8">
        <f t="shared" ref="L325:L388" si="434">L324*$V$1+(1-$V$1)*K325</f>
        <v>-0.25395283707688543</v>
      </c>
      <c r="M325" s="9">
        <f t="shared" si="429"/>
        <v>-0.12697641853844271</v>
      </c>
      <c r="O325" s="11">
        <f t="shared" ref="O325:O388" si="435">0.3*M325+0.3*J325+0.3*G324+0.1*D325</f>
        <v>3.2061908690950477E-2</v>
      </c>
      <c r="P325" s="15" t="str">
        <f t="shared" si="391"/>
        <v>E</v>
      </c>
      <c r="Q325" t="str">
        <f t="shared" si="400"/>
        <v>E</v>
      </c>
      <c r="R325" s="18">
        <f t="shared" si="407"/>
        <v>3.2061908690950477E-2</v>
      </c>
      <c r="S325" t="str">
        <f t="shared" si="417"/>
        <v>E</v>
      </c>
      <c r="T325">
        <v>0</v>
      </c>
      <c r="V325" s="17">
        <f t="shared" si="426"/>
        <v>42704</v>
      </c>
      <c r="W325" s="1">
        <f t="shared" ref="W325:W388" si="436">IF(OR($P325=W$4,$P326=W$4),$O325,NA())</f>
        <v>3.2061908690950477E-2</v>
      </c>
      <c r="X325" s="1" t="e">
        <f t="shared" ref="X325:X388" si="437">IF(OR($P325=X$4,$P326=X$4),$O325,NA())</f>
        <v>#N/A</v>
      </c>
      <c r="Y325" s="1" t="e">
        <f t="shared" ref="Y325:Y388" si="438">IF(OR($P325=Y$4,$P326=Y$4),$O325,NA())</f>
        <v>#N/A</v>
      </c>
      <c r="Z325" s="1" t="e">
        <f t="shared" ref="Z325:Z388" si="439">IF(OR($P325=Z$4,$P326=Z$4),$O325,NA())</f>
        <v>#N/A</v>
      </c>
      <c r="AA325">
        <v>0</v>
      </c>
      <c r="AB325" s="1">
        <v>17.8</v>
      </c>
      <c r="AD325" s="17">
        <f t="shared" si="393"/>
        <v>42704</v>
      </c>
      <c r="AE325" s="1">
        <f t="shared" si="394"/>
        <v>3.2061908690950477E-2</v>
      </c>
      <c r="AF325" s="1" t="e">
        <f t="shared" si="395"/>
        <v>#N/A</v>
      </c>
      <c r="AG325" s="1" t="e">
        <f t="shared" si="396"/>
        <v>#N/A</v>
      </c>
      <c r="AH325" s="1" t="e">
        <f t="shared" si="397"/>
        <v>#N/A</v>
      </c>
      <c r="AO325" s="17">
        <f t="shared" si="401"/>
        <v>42704</v>
      </c>
      <c r="AP325">
        <f t="shared" si="402"/>
        <v>4</v>
      </c>
      <c r="AQ325">
        <f t="shared" si="403"/>
        <v>4</v>
      </c>
    </row>
    <row r="326" spans="1:43">
      <c r="A326" s="7">
        <v>42735</v>
      </c>
      <c r="B326" s="8">
        <v>0.244196</v>
      </c>
      <c r="C326" s="8">
        <f t="shared" si="430"/>
        <v>0.16024205954160237</v>
      </c>
      <c r="D326" s="9">
        <f t="shared" si="427"/>
        <v>0.80121029770801178</v>
      </c>
      <c r="E326" s="8">
        <v>0.6</v>
      </c>
      <c r="F326" s="8">
        <f t="shared" si="431"/>
        <v>0.38340954891999102</v>
      </c>
      <c r="G326" s="9">
        <f t="shared" si="428"/>
        <v>3.4855413538181002E-2</v>
      </c>
      <c r="H326" s="8">
        <v>0.35610000000000003</v>
      </c>
      <c r="I326" s="8">
        <f t="shared" si="432"/>
        <v>-5.2393079921748256E-2</v>
      </c>
      <c r="J326" s="9">
        <f t="shared" si="433"/>
        <v>0.14760692007825177</v>
      </c>
      <c r="K326" s="8">
        <v>-0.126</v>
      </c>
      <c r="L326" s="8">
        <f t="shared" si="434"/>
        <v>-0.21748627850997307</v>
      </c>
      <c r="M326" s="9">
        <f t="shared" si="429"/>
        <v>-0.10874313925498653</v>
      </c>
      <c r="O326" s="11">
        <f t="shared" si="435"/>
        <v>9.9882244714029622E-2</v>
      </c>
      <c r="P326" s="15" t="str">
        <f t="shared" ref="P326:P389" si="440">IF(O326-O325&gt;0,IF(O326&gt;=0,"E","R"),IF(O326&gt;=0,"SD","C"))</f>
        <v>E</v>
      </c>
      <c r="Q326" t="str">
        <f t="shared" si="400"/>
        <v>E</v>
      </c>
      <c r="R326" s="18">
        <f t="shared" si="407"/>
        <v>3.2061908690950477E-2</v>
      </c>
      <c r="S326" t="str">
        <f t="shared" si="417"/>
        <v>E</v>
      </c>
      <c r="T326">
        <v>0</v>
      </c>
      <c r="V326" s="17">
        <f t="shared" si="426"/>
        <v>42735</v>
      </c>
      <c r="W326" s="1">
        <f t="shared" si="436"/>
        <v>9.9882244714029622E-2</v>
      </c>
      <c r="X326" s="1" t="e">
        <f t="shared" si="437"/>
        <v>#N/A</v>
      </c>
      <c r="Y326" s="1" t="e">
        <f t="shared" si="438"/>
        <v>#N/A</v>
      </c>
      <c r="Z326" s="1" t="e">
        <f t="shared" si="439"/>
        <v>#N/A</v>
      </c>
      <c r="AA326">
        <v>0</v>
      </c>
      <c r="AB326" s="1">
        <v>24.3</v>
      </c>
      <c r="AD326" s="17">
        <f t="shared" ref="AD326:AD389" si="441">A326</f>
        <v>42735</v>
      </c>
      <c r="AE326" s="1">
        <f t="shared" ref="AE326:AE389" si="442">IF(OR($S326=AE$4,$S327=AE$4),$O326,NA())</f>
        <v>9.9882244714029622E-2</v>
      </c>
      <c r="AF326" s="1" t="e">
        <f t="shared" ref="AF326:AF389" si="443">IF(OR($S326=AF$4,$S327=AF$4),$O326,NA())</f>
        <v>#N/A</v>
      </c>
      <c r="AG326" s="1" t="e">
        <f t="shared" ref="AG326:AG389" si="444">IF(OR($S326=AG$4,$S327=AG$4),$O326,NA())</f>
        <v>#N/A</v>
      </c>
      <c r="AH326" s="1" t="e">
        <f t="shared" ref="AH326:AH389" si="445">IF(OR($S326=AH$4,$S327=AH$4),$O326,NA())</f>
        <v>#N/A</v>
      </c>
      <c r="AO326" s="17">
        <f t="shared" si="401"/>
        <v>42735</v>
      </c>
      <c r="AP326">
        <f t="shared" si="402"/>
        <v>4</v>
      </c>
      <c r="AQ326">
        <f t="shared" si="403"/>
        <v>4</v>
      </c>
    </row>
    <row r="327" spans="1:43">
      <c r="A327" s="7">
        <v>42766</v>
      </c>
      <c r="B327" s="8">
        <v>0.313587</v>
      </c>
      <c r="C327" s="8">
        <f t="shared" si="430"/>
        <v>0.20394536757224568</v>
      </c>
      <c r="D327" s="9">
        <f t="shared" si="427"/>
        <v>1.0197268378612283</v>
      </c>
      <c r="E327" s="8">
        <v>1.9</v>
      </c>
      <c r="F327" s="8">
        <f t="shared" si="431"/>
        <v>0.81563782747779356</v>
      </c>
      <c r="G327" s="9">
        <f t="shared" si="428"/>
        <v>7.4148893407072147E-2</v>
      </c>
      <c r="H327" s="8">
        <v>-0.17199999999999999</v>
      </c>
      <c r="I327" s="8">
        <f t="shared" si="432"/>
        <v>-8.6481052144049997E-2</v>
      </c>
      <c r="J327" s="9">
        <f t="shared" si="433"/>
        <v>0.11351894785595001</v>
      </c>
      <c r="K327" s="8">
        <v>-3.5999999999999997E-2</v>
      </c>
      <c r="L327" s="8">
        <f t="shared" si="434"/>
        <v>-0.16576268913463074</v>
      </c>
      <c r="M327" s="9">
        <f t="shared" si="429"/>
        <v>-8.2881344567315371E-2</v>
      </c>
      <c r="O327" s="11">
        <f t="shared" si="435"/>
        <v>0.12162058883416753</v>
      </c>
      <c r="P327" s="15" t="str">
        <f t="shared" si="440"/>
        <v>E</v>
      </c>
      <c r="Q327" t="str">
        <f t="shared" si="400"/>
        <v>E</v>
      </c>
      <c r="R327" s="18">
        <f t="shared" si="407"/>
        <v>3.2061908690950477E-2</v>
      </c>
      <c r="S327" t="str">
        <f t="shared" si="417"/>
        <v>E</v>
      </c>
      <c r="T327">
        <v>0</v>
      </c>
      <c r="V327" s="17">
        <f t="shared" si="426"/>
        <v>42766</v>
      </c>
      <c r="W327" s="1">
        <f t="shared" si="436"/>
        <v>0.12162058883416753</v>
      </c>
      <c r="X327" s="1" t="e">
        <f t="shared" si="437"/>
        <v>#N/A</v>
      </c>
      <c r="Y327" s="1" t="e">
        <f t="shared" si="438"/>
        <v>#N/A</v>
      </c>
      <c r="Z327" s="1" t="e">
        <f t="shared" si="439"/>
        <v>#N/A</v>
      </c>
      <c r="AA327">
        <v>0</v>
      </c>
      <c r="AB327" s="1">
        <v>31.8</v>
      </c>
      <c r="AD327" s="17">
        <f t="shared" si="441"/>
        <v>42766</v>
      </c>
      <c r="AE327" s="1">
        <f t="shared" si="442"/>
        <v>0.12162058883416753</v>
      </c>
      <c r="AF327" s="1" t="e">
        <f t="shared" si="443"/>
        <v>#N/A</v>
      </c>
      <c r="AG327" s="1" t="e">
        <f t="shared" si="444"/>
        <v>#N/A</v>
      </c>
      <c r="AH327" s="1" t="e">
        <f t="shared" si="445"/>
        <v>#N/A</v>
      </c>
      <c r="AO327" s="17">
        <f t="shared" si="401"/>
        <v>42766</v>
      </c>
      <c r="AP327">
        <f t="shared" si="402"/>
        <v>4</v>
      </c>
      <c r="AQ327">
        <f t="shared" si="403"/>
        <v>4</v>
      </c>
    </row>
    <row r="328" spans="1:43">
      <c r="A328" s="7">
        <v>42794</v>
      </c>
      <c r="B328" s="8">
        <v>0.31799100000000002</v>
      </c>
      <c r="C328" s="8">
        <f t="shared" si="430"/>
        <v>0.23644837281415571</v>
      </c>
      <c r="D328" s="9">
        <f t="shared" si="427"/>
        <v>1.1822418640707784</v>
      </c>
      <c r="E328" s="8">
        <v>2.4</v>
      </c>
      <c r="F328" s="8">
        <f t="shared" si="431"/>
        <v>1.2671810466466225</v>
      </c>
      <c r="G328" s="9">
        <f t="shared" si="428"/>
        <v>0.11519827696787477</v>
      </c>
      <c r="H328" s="8">
        <v>-0.35420000000000001</v>
      </c>
      <c r="I328" s="8">
        <f t="shared" si="432"/>
        <v>-0.16278095228299574</v>
      </c>
      <c r="J328" s="9">
        <f t="shared" si="433"/>
        <v>3.7219047717004267E-2</v>
      </c>
      <c r="K328" s="8">
        <v>0.19800000000000001</v>
      </c>
      <c r="L328" s="8">
        <f t="shared" si="434"/>
        <v>-6.2090322731260972E-2</v>
      </c>
      <c r="M328" s="9">
        <f t="shared" si="429"/>
        <v>-3.1045161365630486E-2</v>
      </c>
      <c r="O328" s="11">
        <f t="shared" si="435"/>
        <v>0.14232102033461161</v>
      </c>
      <c r="P328" s="15" t="str">
        <f t="shared" si="440"/>
        <v>E</v>
      </c>
      <c r="Q328" t="str">
        <f t="shared" ref="Q328:Q391" si="446">IF(OR(ABS($O328-$O327)&gt;$V$2,O328*O327&lt;0),P328,Q327)</f>
        <v>E</v>
      </c>
      <c r="R328" s="18">
        <f t="shared" si="407"/>
        <v>3.2061908690950477E-2</v>
      </c>
      <c r="S328" t="str">
        <f t="shared" si="417"/>
        <v>E</v>
      </c>
      <c r="T328">
        <v>0</v>
      </c>
      <c r="V328" s="17">
        <f t="shared" si="426"/>
        <v>42794</v>
      </c>
      <c r="W328" s="1">
        <f t="shared" si="436"/>
        <v>0.14232102033461161</v>
      </c>
      <c r="X328" s="1" t="e">
        <f t="shared" si="437"/>
        <v>#N/A</v>
      </c>
      <c r="Y328" s="1" t="e">
        <f t="shared" si="438"/>
        <v>#N/A</v>
      </c>
      <c r="Z328" s="1" t="e">
        <f t="shared" si="439"/>
        <v>#N/A</v>
      </c>
      <c r="AA328">
        <v>0</v>
      </c>
      <c r="AB328" s="1">
        <v>34.700000000000003</v>
      </c>
      <c r="AD328" s="17">
        <f t="shared" si="441"/>
        <v>42794</v>
      </c>
      <c r="AE328" s="1">
        <f t="shared" si="442"/>
        <v>0.14232102033461161</v>
      </c>
      <c r="AF328" s="1" t="e">
        <f t="shared" si="443"/>
        <v>#N/A</v>
      </c>
      <c r="AG328" s="1" t="e">
        <f t="shared" si="444"/>
        <v>#N/A</v>
      </c>
      <c r="AH328" s="1" t="e">
        <f t="shared" si="445"/>
        <v>#N/A</v>
      </c>
      <c r="AO328" s="17">
        <f t="shared" ref="AO328:AO391" si="447">A328</f>
        <v>42794</v>
      </c>
      <c r="AP328">
        <f t="shared" ref="AP328:AP391" si="448">IF($P328="E",4,IF($P328="R",2,IF($P328="SD",3,1)))</f>
        <v>4</v>
      </c>
      <c r="AQ328">
        <f t="shared" ref="AQ328:AQ391" si="449">IF($Q328="E",4,IF($Q328="R",2,IF($Q328="SD",3,1)))</f>
        <v>4</v>
      </c>
    </row>
    <row r="329" spans="1:43">
      <c r="A329" s="7">
        <v>42825</v>
      </c>
      <c r="B329" s="8">
        <v>0.234819</v>
      </c>
      <c r="C329" s="8">
        <f t="shared" si="430"/>
        <v>0.23598400156212135</v>
      </c>
      <c r="D329" s="9">
        <f t="shared" si="427"/>
        <v>1.1799200078106067</v>
      </c>
      <c r="E329" s="8">
        <v>2.9</v>
      </c>
      <c r="F329" s="8">
        <f t="shared" si="431"/>
        <v>1.7325344483523351</v>
      </c>
      <c r="G329" s="9">
        <f t="shared" si="428"/>
        <v>0.15750313166839411</v>
      </c>
      <c r="H329" s="8">
        <v>6.3399999999999998E-2</v>
      </c>
      <c r="I329" s="8">
        <f t="shared" si="432"/>
        <v>-9.8319380882341947E-2</v>
      </c>
      <c r="J329" s="9">
        <f t="shared" si="433"/>
        <v>0.10168061911765806</v>
      </c>
      <c r="K329" s="8">
        <v>0.29499999999999998</v>
      </c>
      <c r="L329" s="8">
        <f t="shared" si="434"/>
        <v>3.9680419247148421E-2</v>
      </c>
      <c r="M329" s="9">
        <f t="shared" si="429"/>
        <v>3.9680419247148421E-2</v>
      </c>
      <c r="O329" s="11">
        <f t="shared" si="435"/>
        <v>0.19495979538086505</v>
      </c>
      <c r="P329" s="15" t="str">
        <f t="shared" si="440"/>
        <v>E</v>
      </c>
      <c r="Q329" t="str">
        <f t="shared" si="446"/>
        <v>E</v>
      </c>
      <c r="R329" s="18">
        <f t="shared" si="407"/>
        <v>3.2061908690950477E-2</v>
      </c>
      <c r="S329" t="str">
        <f t="shared" si="417"/>
        <v>E</v>
      </c>
      <c r="T329">
        <v>0</v>
      </c>
      <c r="V329" s="17">
        <f t="shared" si="426"/>
        <v>42825</v>
      </c>
      <c r="W329" s="1">
        <f t="shared" si="436"/>
        <v>0.19495979538086505</v>
      </c>
      <c r="X329" s="1" t="e">
        <f t="shared" si="437"/>
        <v>#N/A</v>
      </c>
      <c r="Y329" s="1" t="e">
        <f t="shared" si="438"/>
        <v>#N/A</v>
      </c>
      <c r="Z329" s="1" t="e">
        <f t="shared" si="439"/>
        <v>#N/A</v>
      </c>
      <c r="AA329">
        <v>0</v>
      </c>
      <c r="AB329" s="1">
        <v>48</v>
      </c>
      <c r="AD329" s="17">
        <f t="shared" si="441"/>
        <v>42825</v>
      </c>
      <c r="AE329" s="1">
        <f t="shared" si="442"/>
        <v>0.19495979538086505</v>
      </c>
      <c r="AF329" s="1" t="e">
        <f t="shared" si="443"/>
        <v>#N/A</v>
      </c>
      <c r="AG329" s="1" t="e">
        <f t="shared" si="444"/>
        <v>#N/A</v>
      </c>
      <c r="AH329" s="1" t="e">
        <f t="shared" si="445"/>
        <v>#N/A</v>
      </c>
      <c r="AO329" s="17">
        <f t="shared" si="447"/>
        <v>42825</v>
      </c>
      <c r="AP329">
        <f t="shared" si="448"/>
        <v>4</v>
      </c>
      <c r="AQ329">
        <f t="shared" si="449"/>
        <v>4</v>
      </c>
    </row>
    <row r="330" spans="1:43">
      <c r="A330" s="7">
        <v>42855</v>
      </c>
      <c r="B330" s="8">
        <v>0.15851499999999999</v>
      </c>
      <c r="C330" s="8">
        <f t="shared" si="430"/>
        <v>0.21390533611691676</v>
      </c>
      <c r="D330" s="9">
        <f t="shared" si="427"/>
        <v>1.0695266805845838</v>
      </c>
      <c r="E330" s="8">
        <v>2.9</v>
      </c>
      <c r="F330" s="8">
        <f t="shared" si="431"/>
        <v>2.0652621305719192</v>
      </c>
      <c r="G330" s="9">
        <f t="shared" si="428"/>
        <v>0.18775110277926538</v>
      </c>
      <c r="H330" s="8">
        <v>0.20039999999999999</v>
      </c>
      <c r="I330" s="8">
        <f t="shared" si="432"/>
        <v>-1.3184357330874481E-2</v>
      </c>
      <c r="J330" s="9">
        <f t="shared" si="433"/>
        <v>0.18681564266912554</v>
      </c>
      <c r="K330" s="8">
        <v>0.48299999999999998</v>
      </c>
      <c r="L330" s="8">
        <f t="shared" si="434"/>
        <v>0.16602649976171113</v>
      </c>
      <c r="M330" s="9">
        <f t="shared" si="429"/>
        <v>0.16602649976171113</v>
      </c>
      <c r="O330" s="11">
        <f t="shared" si="435"/>
        <v>0.2600562502882276</v>
      </c>
      <c r="P330" s="15" t="str">
        <f t="shared" si="440"/>
        <v>E</v>
      </c>
      <c r="Q330" t="str">
        <f t="shared" si="446"/>
        <v>E</v>
      </c>
      <c r="R330" s="18">
        <f t="shared" si="407"/>
        <v>3.2061908690950477E-2</v>
      </c>
      <c r="S330" t="str">
        <f t="shared" si="417"/>
        <v>E</v>
      </c>
      <c r="T330">
        <v>0</v>
      </c>
      <c r="V330" s="17">
        <f t="shared" si="426"/>
        <v>42855</v>
      </c>
      <c r="W330" s="1">
        <f t="shared" si="436"/>
        <v>0.2600562502882276</v>
      </c>
      <c r="X330" s="1" t="e">
        <f t="shared" si="437"/>
        <v>#N/A</v>
      </c>
      <c r="Y330" s="1" t="e">
        <f t="shared" si="438"/>
        <v>#N/A</v>
      </c>
      <c r="Z330" s="1" t="e">
        <f t="shared" si="439"/>
        <v>#N/A</v>
      </c>
      <c r="AA330">
        <v>0</v>
      </c>
      <c r="AB330" s="1">
        <v>-4.8</v>
      </c>
      <c r="AD330" s="17">
        <f t="shared" si="441"/>
        <v>42855</v>
      </c>
      <c r="AE330" s="1">
        <f t="shared" si="442"/>
        <v>0.2600562502882276</v>
      </c>
      <c r="AF330" s="1" t="e">
        <f t="shared" si="443"/>
        <v>#N/A</v>
      </c>
      <c r="AG330" s="1" t="e">
        <f t="shared" si="444"/>
        <v>#N/A</v>
      </c>
      <c r="AH330" s="1" t="e">
        <f t="shared" si="445"/>
        <v>#N/A</v>
      </c>
      <c r="AO330" s="17">
        <f t="shared" si="447"/>
        <v>42855</v>
      </c>
      <c r="AP330">
        <f t="shared" si="448"/>
        <v>4</v>
      </c>
      <c r="AQ330">
        <f t="shared" si="449"/>
        <v>4</v>
      </c>
    </row>
    <row r="331" spans="1:43">
      <c r="A331" s="7">
        <v>42886</v>
      </c>
      <c r="B331" s="8">
        <v>0.179926</v>
      </c>
      <c r="C331" s="8">
        <f t="shared" si="430"/>
        <v>0.20422122532359549</v>
      </c>
      <c r="D331" s="9">
        <f t="shared" si="427"/>
        <v>1.0211061266179773</v>
      </c>
      <c r="E331" s="8">
        <v>3.4</v>
      </c>
      <c r="F331" s="8">
        <f t="shared" si="431"/>
        <v>2.4456624233589221</v>
      </c>
      <c r="G331" s="9">
        <f t="shared" si="428"/>
        <v>0.22233294757808383</v>
      </c>
      <c r="H331" s="8">
        <v>2.4E-2</v>
      </c>
      <c r="I331" s="8">
        <f t="shared" si="432"/>
        <v>-2.5868154915752537E-3</v>
      </c>
      <c r="J331" s="9">
        <f t="shared" si="433"/>
        <v>0.19741318450842477</v>
      </c>
      <c r="K331" s="8">
        <v>0.746</v>
      </c>
      <c r="L331" s="8">
        <f t="shared" si="434"/>
        <v>0.33131894732962347</v>
      </c>
      <c r="M331" s="9">
        <f t="shared" si="429"/>
        <v>0.33131894732962347</v>
      </c>
      <c r="O331" s="11">
        <f t="shared" si="435"/>
        <v>0.31705558304699183</v>
      </c>
      <c r="P331" s="15" t="str">
        <f t="shared" si="440"/>
        <v>E</v>
      </c>
      <c r="Q331" t="str">
        <f t="shared" si="446"/>
        <v>E</v>
      </c>
      <c r="R331" s="18">
        <f t="shared" ref="R331:R394" si="450">IF(Q331&lt;&gt;P330,O331,R330)</f>
        <v>3.2061908690950477E-2</v>
      </c>
      <c r="S331" t="str">
        <f t="shared" si="417"/>
        <v>E</v>
      </c>
      <c r="T331">
        <v>0</v>
      </c>
      <c r="V331" s="17">
        <f t="shared" si="426"/>
        <v>42886</v>
      </c>
      <c r="W331" s="1">
        <f t="shared" si="436"/>
        <v>0.31705558304699183</v>
      </c>
      <c r="X331" s="1" t="e">
        <f t="shared" si="437"/>
        <v>#N/A</v>
      </c>
      <c r="Y331" s="1" t="e">
        <f t="shared" si="438"/>
        <v>#N/A</v>
      </c>
      <c r="Z331" s="1" t="e">
        <f t="shared" si="439"/>
        <v>#N/A</v>
      </c>
      <c r="AA331">
        <v>0</v>
      </c>
      <c r="AB331" s="1">
        <v>-38.200000000000003</v>
      </c>
      <c r="AD331" s="17">
        <f t="shared" si="441"/>
        <v>42886</v>
      </c>
      <c r="AE331" s="1">
        <f t="shared" si="442"/>
        <v>0.31705558304699183</v>
      </c>
      <c r="AF331" s="1" t="e">
        <f t="shared" si="443"/>
        <v>#N/A</v>
      </c>
      <c r="AG331" s="1" t="e">
        <f t="shared" si="444"/>
        <v>#N/A</v>
      </c>
      <c r="AH331" s="1" t="e">
        <f t="shared" si="445"/>
        <v>#N/A</v>
      </c>
      <c r="AO331" s="17">
        <f t="shared" si="447"/>
        <v>42886</v>
      </c>
      <c r="AP331">
        <f t="shared" si="448"/>
        <v>4</v>
      </c>
      <c r="AQ331">
        <f t="shared" si="449"/>
        <v>4</v>
      </c>
    </row>
    <row r="332" spans="1:43">
      <c r="A332" s="7">
        <v>42916</v>
      </c>
      <c r="B332" s="8">
        <v>9.4230999999999995E-2</v>
      </c>
      <c r="C332" s="8">
        <f t="shared" si="430"/>
        <v>0.17287401110637077</v>
      </c>
      <c r="D332" s="9">
        <f t="shared" si="427"/>
        <v>0.86437005553185375</v>
      </c>
      <c r="E332" s="8">
        <v>3.8</v>
      </c>
      <c r="F332" s="8">
        <f t="shared" si="431"/>
        <v>2.8316486327016293</v>
      </c>
      <c r="G332" s="9">
        <f t="shared" si="428"/>
        <v>0.25742260297287539</v>
      </c>
      <c r="H332" s="8">
        <v>-7.7200000000000005E-2</v>
      </c>
      <c r="I332" s="8">
        <f t="shared" si="432"/>
        <v>-2.3851573076476312E-2</v>
      </c>
      <c r="J332" s="9">
        <f t="shared" si="433"/>
        <v>0.1761484269235237</v>
      </c>
      <c r="K332" s="8">
        <v>0.745</v>
      </c>
      <c r="L332" s="8">
        <f t="shared" si="434"/>
        <v>0.44921804734068077</v>
      </c>
      <c r="M332" s="9">
        <f t="shared" si="429"/>
        <v>0.44921804734068077</v>
      </c>
      <c r="O332" s="11">
        <f t="shared" si="435"/>
        <v>0.34074683210587187</v>
      </c>
      <c r="P332" s="15" t="str">
        <f t="shared" si="440"/>
        <v>E</v>
      </c>
      <c r="Q332" t="str">
        <f t="shared" si="446"/>
        <v>E</v>
      </c>
      <c r="R332" s="18">
        <f t="shared" si="450"/>
        <v>3.2061908690950477E-2</v>
      </c>
      <c r="S332" t="str">
        <f t="shared" si="417"/>
        <v>E</v>
      </c>
      <c r="T332">
        <v>0</v>
      </c>
      <c r="V332" s="17">
        <f t="shared" si="426"/>
        <v>42916</v>
      </c>
      <c r="W332" s="1">
        <f t="shared" si="436"/>
        <v>0.34074683210587187</v>
      </c>
      <c r="X332" s="1" t="e">
        <f t="shared" si="437"/>
        <v>#N/A</v>
      </c>
      <c r="Y332" s="1" t="e">
        <f t="shared" si="438"/>
        <v>#N/A</v>
      </c>
      <c r="Z332" s="1" t="e">
        <f t="shared" si="439"/>
        <v>#N/A</v>
      </c>
      <c r="AA332">
        <v>0</v>
      </c>
      <c r="AB332" s="1">
        <v>-72.599999999999994</v>
      </c>
      <c r="AD332" s="17">
        <f t="shared" si="441"/>
        <v>42916</v>
      </c>
      <c r="AE332" s="1">
        <f t="shared" si="442"/>
        <v>0.34074683210587187</v>
      </c>
      <c r="AF332" s="1" t="e">
        <f t="shared" si="443"/>
        <v>#N/A</v>
      </c>
      <c r="AG332" s="1" t="e">
        <f t="shared" si="444"/>
        <v>#N/A</v>
      </c>
      <c r="AH332" s="1" t="e">
        <f t="shared" si="445"/>
        <v>#N/A</v>
      </c>
      <c r="AO332" s="17">
        <f t="shared" si="447"/>
        <v>42916</v>
      </c>
      <c r="AP332">
        <f t="shared" si="448"/>
        <v>4</v>
      </c>
      <c r="AQ332">
        <f t="shared" si="449"/>
        <v>4</v>
      </c>
    </row>
    <row r="333" spans="1:43">
      <c r="A333" s="7">
        <v>42947</v>
      </c>
      <c r="B333" s="8">
        <v>8.9453000000000005E-2</v>
      </c>
      <c r="C333" s="8">
        <f t="shared" si="430"/>
        <v>0.14909902294105509</v>
      </c>
      <c r="D333" s="9">
        <f t="shared" si="427"/>
        <v>0.74549511470527541</v>
      </c>
      <c r="E333" s="8">
        <v>3.9</v>
      </c>
      <c r="F333" s="8">
        <f t="shared" si="431"/>
        <v>3.1361287723816647</v>
      </c>
      <c r="G333" s="9">
        <f t="shared" si="428"/>
        <v>0.28510261567106043</v>
      </c>
      <c r="H333" s="8">
        <v>-0.21779999999999999</v>
      </c>
      <c r="I333" s="8">
        <f t="shared" si="432"/>
        <v>-7.9126874749680567E-2</v>
      </c>
      <c r="J333" s="9">
        <f t="shared" si="433"/>
        <v>0.12087312525031944</v>
      </c>
      <c r="K333" s="8">
        <v>0.874</v>
      </c>
      <c r="L333" s="8">
        <f t="shared" si="434"/>
        <v>0.57028090384858676</v>
      </c>
      <c r="M333" s="9">
        <f t="shared" si="429"/>
        <v>0.57028090384858676</v>
      </c>
      <c r="O333" s="11">
        <f t="shared" si="435"/>
        <v>0.35912250109206201</v>
      </c>
      <c r="P333" s="15" t="str">
        <f t="shared" si="440"/>
        <v>E</v>
      </c>
      <c r="Q333" t="str">
        <f t="shared" si="446"/>
        <v>E</v>
      </c>
      <c r="R333" s="18">
        <f t="shared" si="450"/>
        <v>3.2061908690950477E-2</v>
      </c>
      <c r="S333" t="str">
        <f t="shared" si="417"/>
        <v>E</v>
      </c>
      <c r="T333">
        <v>0</v>
      </c>
      <c r="V333" s="17">
        <f t="shared" si="426"/>
        <v>42947</v>
      </c>
      <c r="W333" s="1">
        <f t="shared" si="436"/>
        <v>0.35912250109206201</v>
      </c>
      <c r="X333" s="1">
        <f t="shared" si="437"/>
        <v>0.35912250109206201</v>
      </c>
      <c r="Y333" s="1" t="e">
        <f t="shared" si="438"/>
        <v>#N/A</v>
      </c>
      <c r="Z333" s="1" t="e">
        <f t="shared" si="439"/>
        <v>#N/A</v>
      </c>
      <c r="AA333">
        <v>0</v>
      </c>
      <c r="AB333" s="1">
        <v>-43.1</v>
      </c>
      <c r="AD333" s="17">
        <f t="shared" si="441"/>
        <v>42947</v>
      </c>
      <c r="AE333" s="1">
        <f t="shared" si="442"/>
        <v>0.35912250109206201</v>
      </c>
      <c r="AF333" s="1" t="e">
        <f t="shared" si="443"/>
        <v>#N/A</v>
      </c>
      <c r="AG333" s="1" t="e">
        <f t="shared" si="444"/>
        <v>#N/A</v>
      </c>
      <c r="AH333" s="1" t="e">
        <f t="shared" si="445"/>
        <v>#N/A</v>
      </c>
      <c r="AO333" s="17">
        <f t="shared" si="447"/>
        <v>42947</v>
      </c>
      <c r="AP333">
        <f t="shared" si="448"/>
        <v>4</v>
      </c>
      <c r="AQ333">
        <f t="shared" si="449"/>
        <v>4</v>
      </c>
    </row>
    <row r="334" spans="1:43">
      <c r="A334" s="7">
        <v>42978</v>
      </c>
      <c r="B334" s="8">
        <v>9.1273999999999994E-2</v>
      </c>
      <c r="C334" s="8">
        <f t="shared" si="430"/>
        <v>0.13261889140285438</v>
      </c>
      <c r="D334" s="9">
        <f t="shared" si="427"/>
        <v>0.66309445701427183</v>
      </c>
      <c r="E334" s="8">
        <v>4.2</v>
      </c>
      <c r="F334" s="8">
        <f t="shared" si="431"/>
        <v>3.4393320722528902</v>
      </c>
      <c r="G334" s="9">
        <f t="shared" si="428"/>
        <v>0.31266655202299004</v>
      </c>
      <c r="H334" s="8">
        <v>-0.32469999999999999</v>
      </c>
      <c r="I334" s="8">
        <f t="shared" si="432"/>
        <v>-0.1491152154460216</v>
      </c>
      <c r="J334" s="9">
        <f t="shared" si="433"/>
        <v>5.0884784553978407E-2</v>
      </c>
      <c r="K334" s="8">
        <v>0.629</v>
      </c>
      <c r="L334" s="8">
        <f t="shared" si="434"/>
        <v>0.58701584625173953</v>
      </c>
      <c r="M334" s="9">
        <f t="shared" si="429"/>
        <v>0.58701584625173953</v>
      </c>
      <c r="O334" s="11">
        <f t="shared" si="435"/>
        <v>0.34321041964446064</v>
      </c>
      <c r="P334" s="15" t="str">
        <f t="shared" si="440"/>
        <v>SD</v>
      </c>
      <c r="Q334" t="str">
        <f t="shared" si="446"/>
        <v>E</v>
      </c>
      <c r="R334" s="18">
        <f t="shared" si="450"/>
        <v>3.2061908690950477E-2</v>
      </c>
      <c r="S334" t="str">
        <f t="shared" si="417"/>
        <v>E</v>
      </c>
      <c r="T334">
        <v>0</v>
      </c>
      <c r="V334" s="17">
        <f t="shared" si="426"/>
        <v>42978</v>
      </c>
      <c r="W334" s="1">
        <f t="shared" si="436"/>
        <v>0.34321041964446064</v>
      </c>
      <c r="X334" s="1">
        <f t="shared" si="437"/>
        <v>0.34321041964446064</v>
      </c>
      <c r="Y334" s="1" t="e">
        <f t="shared" si="438"/>
        <v>#N/A</v>
      </c>
      <c r="Z334" s="1" t="e">
        <f t="shared" si="439"/>
        <v>#N/A</v>
      </c>
      <c r="AA334">
        <v>0</v>
      </c>
      <c r="AB334" s="1">
        <v>-23.1</v>
      </c>
      <c r="AD334" s="17">
        <f t="shared" si="441"/>
        <v>42978</v>
      </c>
      <c r="AE334" s="1">
        <f t="shared" si="442"/>
        <v>0.34321041964446064</v>
      </c>
      <c r="AF334" s="1" t="e">
        <f t="shared" si="443"/>
        <v>#N/A</v>
      </c>
      <c r="AG334" s="1" t="e">
        <f t="shared" si="444"/>
        <v>#N/A</v>
      </c>
      <c r="AH334" s="1" t="e">
        <f t="shared" si="445"/>
        <v>#N/A</v>
      </c>
      <c r="AO334" s="17">
        <f t="shared" si="447"/>
        <v>42978</v>
      </c>
      <c r="AP334">
        <f t="shared" si="448"/>
        <v>3</v>
      </c>
      <c r="AQ334">
        <f t="shared" si="449"/>
        <v>4</v>
      </c>
    </row>
    <row r="335" spans="1:43">
      <c r="A335" s="7">
        <v>43008</v>
      </c>
      <c r="B335" s="8">
        <v>3.7593000000000001E-2</v>
      </c>
      <c r="C335" s="8">
        <f t="shared" si="430"/>
        <v>0.10553651235304087</v>
      </c>
      <c r="D335" s="9">
        <f t="shared" si="427"/>
        <v>0.52768256176520434</v>
      </c>
      <c r="E335" s="8">
        <v>4.5</v>
      </c>
      <c r="F335" s="8">
        <f t="shared" si="431"/>
        <v>3.7416224316608164</v>
      </c>
      <c r="G335" s="9">
        <f t="shared" si="428"/>
        <v>0.34014749378734693</v>
      </c>
      <c r="H335" s="8">
        <v>0.16839999999999999</v>
      </c>
      <c r="I335" s="8">
        <f t="shared" si="432"/>
        <v>-5.8623379043905445E-2</v>
      </c>
      <c r="J335" s="9">
        <f t="shared" si="433"/>
        <v>0.14137662095609457</v>
      </c>
      <c r="K335" s="8">
        <v>0.875</v>
      </c>
      <c r="L335" s="8">
        <f t="shared" si="434"/>
        <v>0.66909133006999377</v>
      </c>
      <c r="M335" s="9">
        <f t="shared" si="429"/>
        <v>0.66909133006999377</v>
      </c>
      <c r="O335" s="11">
        <f t="shared" si="435"/>
        <v>0.38970860709124394</v>
      </c>
      <c r="P335" s="15" t="str">
        <f t="shared" si="440"/>
        <v>E</v>
      </c>
      <c r="Q335" t="str">
        <f t="shared" si="446"/>
        <v>E</v>
      </c>
      <c r="R335" s="18">
        <f t="shared" si="450"/>
        <v>0.38970860709124394</v>
      </c>
      <c r="S335" t="str">
        <f t="shared" si="417"/>
        <v>E</v>
      </c>
      <c r="T335">
        <v>0</v>
      </c>
      <c r="V335" s="17">
        <f t="shared" si="426"/>
        <v>43008</v>
      </c>
      <c r="W335" s="1">
        <f t="shared" si="436"/>
        <v>0.38970860709124394</v>
      </c>
      <c r="X335" s="1" t="e">
        <f t="shared" si="437"/>
        <v>#N/A</v>
      </c>
      <c r="Y335" s="1" t="e">
        <f t="shared" si="438"/>
        <v>#N/A</v>
      </c>
      <c r="Z335" s="1" t="e">
        <f t="shared" si="439"/>
        <v>#N/A</v>
      </c>
      <c r="AA335">
        <v>0</v>
      </c>
      <c r="AB335" s="1">
        <v>-9.3000000000000007</v>
      </c>
      <c r="AD335" s="17">
        <f t="shared" si="441"/>
        <v>43008</v>
      </c>
      <c r="AE335" s="1">
        <f t="shared" si="442"/>
        <v>0.38970860709124394</v>
      </c>
      <c r="AF335" s="1" t="e">
        <f t="shared" si="443"/>
        <v>#N/A</v>
      </c>
      <c r="AG335" s="1" t="e">
        <f t="shared" si="444"/>
        <v>#N/A</v>
      </c>
      <c r="AH335" s="1" t="e">
        <f t="shared" si="445"/>
        <v>#N/A</v>
      </c>
      <c r="AO335" s="17">
        <f t="shared" si="447"/>
        <v>43008</v>
      </c>
      <c r="AP335">
        <f t="shared" si="448"/>
        <v>4</v>
      </c>
      <c r="AQ335">
        <f t="shared" si="449"/>
        <v>4</v>
      </c>
    </row>
    <row r="336" spans="1:43">
      <c r="A336" s="7">
        <v>43039</v>
      </c>
      <c r="B336" s="8">
        <v>0.150811</v>
      </c>
      <c r="C336" s="8">
        <f t="shared" si="430"/>
        <v>0.11843974133242423</v>
      </c>
      <c r="D336" s="9">
        <f t="shared" si="427"/>
        <v>0.59219870666212115</v>
      </c>
      <c r="E336" s="8">
        <v>5.6</v>
      </c>
      <c r="F336" s="8">
        <f t="shared" si="431"/>
        <v>4.2712600386374842</v>
      </c>
      <c r="G336" s="9">
        <f t="shared" si="428"/>
        <v>0.38829636714886218</v>
      </c>
      <c r="H336" s="8">
        <v>0.623</v>
      </c>
      <c r="I336" s="8">
        <f t="shared" si="432"/>
        <v>0.13563928398360764</v>
      </c>
      <c r="J336" s="9">
        <f t="shared" si="433"/>
        <v>0.33563928398360765</v>
      </c>
      <c r="K336" s="8">
        <v>1.004</v>
      </c>
      <c r="L336" s="8">
        <f t="shared" si="434"/>
        <v>0.76454030100004555</v>
      </c>
      <c r="M336" s="9">
        <f t="shared" si="429"/>
        <v>0.76454030100004555</v>
      </c>
      <c r="O336" s="11">
        <f t="shared" si="435"/>
        <v>0.49131799429751211</v>
      </c>
      <c r="P336" s="15" t="str">
        <f t="shared" si="440"/>
        <v>E</v>
      </c>
      <c r="Q336" t="str">
        <f t="shared" si="446"/>
        <v>E</v>
      </c>
      <c r="R336" s="18">
        <f t="shared" si="450"/>
        <v>0.38970860709124394</v>
      </c>
      <c r="S336" t="str">
        <f t="shared" si="417"/>
        <v>E</v>
      </c>
      <c r="T336">
        <v>0</v>
      </c>
      <c r="V336" s="17">
        <f t="shared" si="426"/>
        <v>43039</v>
      </c>
      <c r="W336" s="1">
        <f t="shared" si="436"/>
        <v>0.49131799429751211</v>
      </c>
      <c r="X336" s="1" t="e">
        <f t="shared" si="437"/>
        <v>#N/A</v>
      </c>
      <c r="Y336" s="1" t="e">
        <f t="shared" si="438"/>
        <v>#N/A</v>
      </c>
      <c r="Z336" s="1" t="e">
        <f t="shared" si="439"/>
        <v>#N/A</v>
      </c>
      <c r="AA336">
        <v>0</v>
      </c>
      <c r="AB336" s="1">
        <v>40.200000000000003</v>
      </c>
      <c r="AD336" s="17">
        <f t="shared" si="441"/>
        <v>43039</v>
      </c>
      <c r="AE336" s="1">
        <f t="shared" si="442"/>
        <v>0.49131799429751211</v>
      </c>
      <c r="AF336" s="1" t="e">
        <f t="shared" si="443"/>
        <v>#N/A</v>
      </c>
      <c r="AG336" s="1" t="e">
        <f t="shared" si="444"/>
        <v>#N/A</v>
      </c>
      <c r="AH336" s="1" t="e">
        <f t="shared" si="445"/>
        <v>#N/A</v>
      </c>
      <c r="AO336" s="17">
        <f t="shared" si="447"/>
        <v>43039</v>
      </c>
      <c r="AP336">
        <f t="shared" si="448"/>
        <v>4</v>
      </c>
      <c r="AQ336">
        <f t="shared" si="449"/>
        <v>4</v>
      </c>
    </row>
    <row r="337" spans="1:43">
      <c r="A337" s="7">
        <v>43069</v>
      </c>
      <c r="B337" s="8">
        <v>0.23166900000000001</v>
      </c>
      <c r="C337" s="8">
        <f t="shared" si="430"/>
        <v>0.15071008005268333</v>
      </c>
      <c r="D337" s="9">
        <f t="shared" si="427"/>
        <v>0.75355040026341658</v>
      </c>
      <c r="E337" s="8">
        <v>6.1</v>
      </c>
      <c r="F337" s="8">
        <f t="shared" si="431"/>
        <v>4.7924509276258007</v>
      </c>
      <c r="G337" s="9">
        <f t="shared" si="428"/>
        <v>0.43567735705689098</v>
      </c>
      <c r="H337" s="8">
        <v>0.36909999999999998</v>
      </c>
      <c r="I337" s="8">
        <f t="shared" si="432"/>
        <v>0.20217558804827945</v>
      </c>
      <c r="J337" s="9">
        <f t="shared" si="433"/>
        <v>0.40217558804827946</v>
      </c>
      <c r="K337" s="8">
        <v>0.998</v>
      </c>
      <c r="L337" s="8">
        <f t="shared" si="434"/>
        <v>0.83107631521503267</v>
      </c>
      <c r="M337" s="9">
        <f t="shared" si="429"/>
        <v>0.83107631521503267</v>
      </c>
      <c r="O337" s="11">
        <f t="shared" si="435"/>
        <v>0.56181952114999389</v>
      </c>
      <c r="P337" s="15" t="str">
        <f t="shared" si="440"/>
        <v>E</v>
      </c>
      <c r="Q337" t="str">
        <f t="shared" si="446"/>
        <v>E</v>
      </c>
      <c r="R337" s="18">
        <f t="shared" si="450"/>
        <v>0.38970860709124394</v>
      </c>
      <c r="S337" t="str">
        <f t="shared" si="417"/>
        <v>E</v>
      </c>
      <c r="T337">
        <v>0</v>
      </c>
      <c r="V337" s="17">
        <f t="shared" si="426"/>
        <v>43069</v>
      </c>
      <c r="W337" s="1">
        <f t="shared" si="436"/>
        <v>0.56181952114999389</v>
      </c>
      <c r="X337" s="1" t="e">
        <f t="shared" si="437"/>
        <v>#N/A</v>
      </c>
      <c r="Y337" s="1" t="e">
        <f t="shared" si="438"/>
        <v>#N/A</v>
      </c>
      <c r="Z337" s="1" t="e">
        <f t="shared" si="439"/>
        <v>#N/A</v>
      </c>
      <c r="AA337">
        <v>0</v>
      </c>
      <c r="AB337" s="1">
        <v>59.4</v>
      </c>
      <c r="AD337" s="17">
        <f t="shared" si="441"/>
        <v>43069</v>
      </c>
      <c r="AE337" s="1">
        <f t="shared" si="442"/>
        <v>0.56181952114999389</v>
      </c>
      <c r="AF337" s="1" t="e">
        <f t="shared" si="443"/>
        <v>#N/A</v>
      </c>
      <c r="AG337" s="1" t="e">
        <f t="shared" si="444"/>
        <v>#N/A</v>
      </c>
      <c r="AH337" s="1" t="e">
        <f t="shared" si="445"/>
        <v>#N/A</v>
      </c>
      <c r="AO337" s="17">
        <f t="shared" si="447"/>
        <v>43069</v>
      </c>
      <c r="AP337">
        <f t="shared" si="448"/>
        <v>4</v>
      </c>
      <c r="AQ337">
        <f t="shared" si="449"/>
        <v>4</v>
      </c>
    </row>
    <row r="338" spans="1:43">
      <c r="A338" s="7">
        <v>43100</v>
      </c>
      <c r="B338" s="8">
        <v>0.28117799999999998</v>
      </c>
      <c r="C338" s="8">
        <f t="shared" si="430"/>
        <v>0.18789343723766858</v>
      </c>
      <c r="D338" s="9">
        <f t="shared" si="427"/>
        <v>0.9394671861883428</v>
      </c>
      <c r="E338" s="8">
        <v>6.3</v>
      </c>
      <c r="F338" s="8">
        <f t="shared" si="431"/>
        <v>5.222102413252447</v>
      </c>
      <c r="G338" s="9">
        <f t="shared" si="428"/>
        <v>0.47473658302294974</v>
      </c>
      <c r="H338" s="8">
        <v>-7.9000000000000001E-2</v>
      </c>
      <c r="I338" s="8">
        <f t="shared" si="432"/>
        <v>0.12204054545451978</v>
      </c>
      <c r="J338" s="9">
        <f t="shared" si="433"/>
        <v>0.32204054545451977</v>
      </c>
      <c r="K338" s="8">
        <v>0.81100000000000005</v>
      </c>
      <c r="L338" s="8">
        <f t="shared" si="434"/>
        <v>0.82535456537874841</v>
      </c>
      <c r="M338" s="9">
        <f t="shared" si="429"/>
        <v>0.82535456537874841</v>
      </c>
      <c r="O338" s="11">
        <f t="shared" si="435"/>
        <v>0.56886845898588201</v>
      </c>
      <c r="P338" s="15" t="str">
        <f t="shared" si="440"/>
        <v>E</v>
      </c>
      <c r="Q338" t="str">
        <f t="shared" si="446"/>
        <v>E</v>
      </c>
      <c r="R338" s="18">
        <f t="shared" si="450"/>
        <v>0.38970860709124394</v>
      </c>
      <c r="S338" t="str">
        <f t="shared" si="417"/>
        <v>E</v>
      </c>
      <c r="T338">
        <v>0</v>
      </c>
      <c r="V338" s="17">
        <f t="shared" si="426"/>
        <v>43100</v>
      </c>
      <c r="W338" s="1">
        <f t="shared" si="436"/>
        <v>0.56886845898588201</v>
      </c>
      <c r="X338" s="1">
        <f t="shared" si="437"/>
        <v>0.56886845898588201</v>
      </c>
      <c r="Y338" s="1" t="e">
        <f t="shared" si="438"/>
        <v>#N/A</v>
      </c>
      <c r="Z338" s="1" t="e">
        <f t="shared" si="439"/>
        <v>#N/A</v>
      </c>
      <c r="AA338">
        <v>0</v>
      </c>
      <c r="AB338" s="1">
        <v>75.7</v>
      </c>
      <c r="AD338" s="17">
        <f t="shared" si="441"/>
        <v>43100</v>
      </c>
      <c r="AE338" s="1">
        <f t="shared" si="442"/>
        <v>0.56886845898588201</v>
      </c>
      <c r="AF338" s="1" t="e">
        <f t="shared" si="443"/>
        <v>#N/A</v>
      </c>
      <c r="AG338" s="1" t="e">
        <f t="shared" si="444"/>
        <v>#N/A</v>
      </c>
      <c r="AH338" s="1" t="e">
        <f t="shared" si="445"/>
        <v>#N/A</v>
      </c>
      <c r="AO338" s="17">
        <f t="shared" si="447"/>
        <v>43100</v>
      </c>
      <c r="AP338">
        <f t="shared" si="448"/>
        <v>4</v>
      </c>
      <c r="AQ338">
        <f t="shared" si="449"/>
        <v>4</v>
      </c>
    </row>
    <row r="339" spans="1:43">
      <c r="A339" s="7">
        <v>43131</v>
      </c>
      <c r="B339" s="8">
        <v>0.17571500000000001</v>
      </c>
      <c r="C339" s="8">
        <f t="shared" si="430"/>
        <v>0.18442258262493305</v>
      </c>
      <c r="D339" s="9">
        <f t="shared" si="427"/>
        <v>0.92211291312466526</v>
      </c>
      <c r="E339" s="8">
        <v>6.4</v>
      </c>
      <c r="F339" s="8">
        <f t="shared" si="431"/>
        <v>5.5578032254754994</v>
      </c>
      <c r="G339" s="9">
        <f t="shared" si="428"/>
        <v>0.50525483867959087</v>
      </c>
      <c r="H339" s="8">
        <v>-0.38030000000000003</v>
      </c>
      <c r="I339" s="8">
        <f t="shared" si="432"/>
        <v>-2.1126510000018389E-2</v>
      </c>
      <c r="J339" s="9">
        <f t="shared" si="433"/>
        <v>0.17887348999998162</v>
      </c>
      <c r="K339" s="8">
        <v>0.78600000000000003</v>
      </c>
      <c r="L339" s="8">
        <f t="shared" si="434"/>
        <v>0.81413851424580508</v>
      </c>
      <c r="M339" s="9">
        <f t="shared" si="429"/>
        <v>0.81413851424580508</v>
      </c>
      <c r="O339" s="11">
        <f t="shared" si="435"/>
        <v>0.53253586749308746</v>
      </c>
      <c r="P339" s="15" t="str">
        <f t="shared" si="440"/>
        <v>SD</v>
      </c>
      <c r="Q339" t="str">
        <f t="shared" si="446"/>
        <v>E</v>
      </c>
      <c r="R339" s="18">
        <f t="shared" si="450"/>
        <v>0.38970860709124394</v>
      </c>
      <c r="S339" t="str">
        <f t="shared" si="417"/>
        <v>E</v>
      </c>
      <c r="T339">
        <v>0</v>
      </c>
      <c r="V339" s="17">
        <f t="shared" si="426"/>
        <v>43131</v>
      </c>
      <c r="W339" s="1" t="e">
        <f t="shared" si="436"/>
        <v>#N/A</v>
      </c>
      <c r="X339" s="1">
        <f t="shared" si="437"/>
        <v>0.53253586749308746</v>
      </c>
      <c r="Y339" s="1" t="e">
        <f t="shared" si="438"/>
        <v>#N/A</v>
      </c>
      <c r="Z339" s="1" t="e">
        <f t="shared" si="439"/>
        <v>#N/A</v>
      </c>
      <c r="AA339">
        <v>0</v>
      </c>
      <c r="AB339" s="1">
        <v>38.5</v>
      </c>
      <c r="AD339" s="17">
        <f t="shared" si="441"/>
        <v>43131</v>
      </c>
      <c r="AE339" s="1">
        <f t="shared" si="442"/>
        <v>0.53253586749308746</v>
      </c>
      <c r="AF339" s="1">
        <f t="shared" si="443"/>
        <v>0.53253586749308746</v>
      </c>
      <c r="AG339" s="1" t="e">
        <f t="shared" si="444"/>
        <v>#N/A</v>
      </c>
      <c r="AH339" s="1" t="e">
        <f t="shared" si="445"/>
        <v>#N/A</v>
      </c>
      <c r="AO339" s="17">
        <f t="shared" si="447"/>
        <v>43131</v>
      </c>
      <c r="AP339">
        <f t="shared" si="448"/>
        <v>3</v>
      </c>
      <c r="AQ339">
        <f t="shared" si="449"/>
        <v>4</v>
      </c>
    </row>
    <row r="340" spans="1:43">
      <c r="A340" s="7">
        <v>43159</v>
      </c>
      <c r="B340" s="8">
        <v>0.130525</v>
      </c>
      <c r="C340" s="8">
        <f t="shared" si="430"/>
        <v>0.16906177157682714</v>
      </c>
      <c r="D340" s="9">
        <f t="shared" si="427"/>
        <v>0.84530885788413568</v>
      </c>
      <c r="E340" s="8">
        <v>6.7</v>
      </c>
      <c r="F340" s="8">
        <f t="shared" si="431"/>
        <v>5.8833293062149821</v>
      </c>
      <c r="G340" s="9">
        <f t="shared" si="428"/>
        <v>0.53484811874681659</v>
      </c>
      <c r="H340" s="8">
        <v>0.1011</v>
      </c>
      <c r="I340" s="8">
        <f t="shared" si="432"/>
        <v>1.3708045349986854E-2</v>
      </c>
      <c r="J340" s="9">
        <f t="shared" si="433"/>
        <v>0.21370804534998686</v>
      </c>
      <c r="K340" s="8">
        <v>0.35599999999999998</v>
      </c>
      <c r="L340" s="8">
        <f t="shared" si="434"/>
        <v>0.68356903768575061</v>
      </c>
      <c r="M340" s="9">
        <f t="shared" si="429"/>
        <v>0.68356903768575061</v>
      </c>
      <c r="O340" s="11">
        <f t="shared" si="435"/>
        <v>0.50529046230301211</v>
      </c>
      <c r="P340" s="15" t="str">
        <f t="shared" si="440"/>
        <v>SD</v>
      </c>
      <c r="Q340" t="str">
        <f t="shared" si="446"/>
        <v>E</v>
      </c>
      <c r="R340" s="18">
        <f t="shared" si="450"/>
        <v>0.50529046230301211</v>
      </c>
      <c r="S340" t="str">
        <f t="shared" ref="S340:S403" si="451">IF(OR(ABS($R340-$R339)&gt;$V$2,R340*R339&lt;0,ABS(O340-MAX(O329:O339))&gt;$AJ$2),P340,S339)</f>
        <v>SD</v>
      </c>
      <c r="T340">
        <v>0</v>
      </c>
      <c r="V340" s="17">
        <f t="shared" si="426"/>
        <v>43159</v>
      </c>
      <c r="W340" s="1" t="e">
        <f t="shared" si="436"/>
        <v>#N/A</v>
      </c>
      <c r="X340" s="1">
        <f t="shared" si="437"/>
        <v>0.50529046230301211</v>
      </c>
      <c r="Y340" s="1" t="e">
        <f t="shared" si="438"/>
        <v>#N/A</v>
      </c>
      <c r="Z340" s="1" t="e">
        <f t="shared" si="439"/>
        <v>#N/A</v>
      </c>
      <c r="AA340">
        <v>0</v>
      </c>
      <c r="AB340" s="1">
        <v>32.9</v>
      </c>
      <c r="AD340" s="17">
        <f t="shared" si="441"/>
        <v>43159</v>
      </c>
      <c r="AE340" s="1" t="e">
        <f t="shared" si="442"/>
        <v>#N/A</v>
      </c>
      <c r="AF340" s="1">
        <f t="shared" si="443"/>
        <v>0.50529046230301211</v>
      </c>
      <c r="AG340" s="1" t="e">
        <f t="shared" si="444"/>
        <v>#N/A</v>
      </c>
      <c r="AH340" s="1" t="e">
        <f t="shared" si="445"/>
        <v>#N/A</v>
      </c>
      <c r="AO340" s="17">
        <f t="shared" si="447"/>
        <v>43159</v>
      </c>
      <c r="AP340">
        <f t="shared" si="448"/>
        <v>3</v>
      </c>
      <c r="AQ340">
        <f t="shared" si="449"/>
        <v>4</v>
      </c>
    </row>
    <row r="341" spans="1:43">
      <c r="A341" s="7">
        <v>43190</v>
      </c>
      <c r="B341" s="8">
        <v>8.6719000000000004E-2</v>
      </c>
      <c r="C341" s="8">
        <f t="shared" si="430"/>
        <v>0.1455940816774314</v>
      </c>
      <c r="D341" s="9">
        <f t="shared" si="427"/>
        <v>0.72797040838715699</v>
      </c>
      <c r="E341" s="8">
        <v>6.7</v>
      </c>
      <c r="F341" s="8">
        <f t="shared" si="431"/>
        <v>6.1160804539437121</v>
      </c>
      <c r="G341" s="9">
        <f t="shared" si="428"/>
        <v>0.5560073139948829</v>
      </c>
      <c r="H341" s="8">
        <v>0.14299999999999999</v>
      </c>
      <c r="I341" s="8">
        <f t="shared" si="432"/>
        <v>5.0556252425240603E-2</v>
      </c>
      <c r="J341" s="9">
        <f t="shared" si="433"/>
        <v>0.2505562524252406</v>
      </c>
      <c r="K341" s="8">
        <v>-0.24199999999999999</v>
      </c>
      <c r="L341" s="8">
        <f t="shared" si="434"/>
        <v>0.41978186194531164</v>
      </c>
      <c r="M341" s="9">
        <f t="shared" si="429"/>
        <v>0.41978186194531164</v>
      </c>
      <c r="O341" s="11">
        <f t="shared" si="435"/>
        <v>0.43435291077392629</v>
      </c>
      <c r="P341" s="15" t="str">
        <f t="shared" si="440"/>
        <v>SD</v>
      </c>
      <c r="Q341" t="str">
        <f t="shared" si="446"/>
        <v>SD</v>
      </c>
      <c r="R341" s="18">
        <f t="shared" si="450"/>
        <v>0.50529046230301211</v>
      </c>
      <c r="S341" t="str">
        <f t="shared" si="451"/>
        <v>SD</v>
      </c>
      <c r="T341">
        <v>0</v>
      </c>
      <c r="V341" s="17">
        <f t="shared" si="426"/>
        <v>43190</v>
      </c>
      <c r="W341" s="1" t="e">
        <f t="shared" si="436"/>
        <v>#N/A</v>
      </c>
      <c r="X341" s="1">
        <f t="shared" si="437"/>
        <v>0.43435291077392629</v>
      </c>
      <c r="Y341" s="1" t="e">
        <f t="shared" si="438"/>
        <v>#N/A</v>
      </c>
      <c r="Z341" s="1" t="e">
        <f t="shared" si="439"/>
        <v>#N/A</v>
      </c>
      <c r="AA341">
        <v>0</v>
      </c>
      <c r="AB341" s="1">
        <v>48.7</v>
      </c>
      <c r="AD341" s="17">
        <f t="shared" si="441"/>
        <v>43190</v>
      </c>
      <c r="AE341" s="1" t="e">
        <f t="shared" si="442"/>
        <v>#N/A</v>
      </c>
      <c r="AF341" s="1">
        <f t="shared" si="443"/>
        <v>0.43435291077392629</v>
      </c>
      <c r="AG341" s="1" t="e">
        <f t="shared" si="444"/>
        <v>#N/A</v>
      </c>
      <c r="AH341" s="1" t="e">
        <f t="shared" si="445"/>
        <v>#N/A</v>
      </c>
      <c r="AO341" s="17">
        <f t="shared" si="447"/>
        <v>43190</v>
      </c>
      <c r="AP341">
        <f t="shared" si="448"/>
        <v>3</v>
      </c>
      <c r="AQ341">
        <f t="shared" si="449"/>
        <v>3</v>
      </c>
    </row>
    <row r="342" spans="1:43">
      <c r="A342" s="7">
        <v>43220</v>
      </c>
      <c r="B342" s="8">
        <v>4.5430000000000002E-3</v>
      </c>
      <c r="C342" s="8">
        <f t="shared" si="430"/>
        <v>0.10539452339936345</v>
      </c>
      <c r="D342" s="9">
        <f t="shared" si="427"/>
        <v>0.52697261699681719</v>
      </c>
      <c r="E342" s="8">
        <v>6.9</v>
      </c>
      <c r="F342" s="8">
        <f t="shared" si="431"/>
        <v>6.3394975245697545</v>
      </c>
      <c r="G342" s="9">
        <f t="shared" si="428"/>
        <v>0.57631795677906861</v>
      </c>
      <c r="H342" s="8">
        <v>0.15620000000000001</v>
      </c>
      <c r="I342" s="8">
        <f t="shared" si="432"/>
        <v>8.0664720484047034E-2</v>
      </c>
      <c r="J342" s="9">
        <f t="shared" si="433"/>
        <v>0.28066472048404706</v>
      </c>
      <c r="K342" s="8">
        <v>8.6999999999999994E-2</v>
      </c>
      <c r="L342" s="8">
        <f t="shared" si="434"/>
        <v>0.3249390312908978</v>
      </c>
      <c r="M342" s="9">
        <f t="shared" si="429"/>
        <v>0.3249390312908978</v>
      </c>
      <c r="O342" s="11">
        <f t="shared" si="435"/>
        <v>0.40118058143063007</v>
      </c>
      <c r="P342" s="15" t="str">
        <f t="shared" si="440"/>
        <v>SD</v>
      </c>
      <c r="Q342" t="str">
        <f t="shared" si="446"/>
        <v>SD</v>
      </c>
      <c r="R342" s="18">
        <f t="shared" si="450"/>
        <v>0.50529046230301211</v>
      </c>
      <c r="S342" t="str">
        <f t="shared" si="451"/>
        <v>SD</v>
      </c>
      <c r="T342">
        <v>0</v>
      </c>
      <c r="V342" s="17">
        <f t="shared" si="426"/>
        <v>43220</v>
      </c>
      <c r="W342" s="1" t="e">
        <f t="shared" si="436"/>
        <v>#N/A</v>
      </c>
      <c r="X342" s="1">
        <f t="shared" si="437"/>
        <v>0.40118058143063007</v>
      </c>
      <c r="Y342" s="1" t="e">
        <f t="shared" si="438"/>
        <v>#N/A</v>
      </c>
      <c r="Z342" s="1" t="e">
        <f t="shared" si="439"/>
        <v>#N/A</v>
      </c>
      <c r="AA342">
        <v>0</v>
      </c>
      <c r="AB342" s="1">
        <v>41.8</v>
      </c>
      <c r="AD342" s="17">
        <f t="shared" si="441"/>
        <v>43220</v>
      </c>
      <c r="AE342" s="1" t="e">
        <f t="shared" si="442"/>
        <v>#N/A</v>
      </c>
      <c r="AF342" s="1">
        <f t="shared" si="443"/>
        <v>0.40118058143063007</v>
      </c>
      <c r="AG342" s="1" t="e">
        <f t="shared" si="444"/>
        <v>#N/A</v>
      </c>
      <c r="AH342" s="1" t="e">
        <f t="shared" si="445"/>
        <v>#N/A</v>
      </c>
      <c r="AO342" s="17">
        <f t="shared" si="447"/>
        <v>43220</v>
      </c>
      <c r="AP342">
        <f t="shared" si="448"/>
        <v>3</v>
      </c>
      <c r="AQ342">
        <f t="shared" si="449"/>
        <v>3</v>
      </c>
    </row>
    <row r="343" spans="1:43">
      <c r="A343" s="7">
        <v>43251</v>
      </c>
      <c r="B343" s="8">
        <v>1.1102000000000001E-2</v>
      </c>
      <c r="C343" s="8">
        <f t="shared" si="430"/>
        <v>7.8521154230544871E-2</v>
      </c>
      <c r="D343" s="9">
        <f t="shared" si="427"/>
        <v>0.39260577115272433</v>
      </c>
      <c r="E343" s="8">
        <v>6.9</v>
      </c>
      <c r="F343" s="8">
        <f t="shared" si="431"/>
        <v>6.499240730067374</v>
      </c>
      <c r="G343" s="9">
        <f t="shared" si="428"/>
        <v>0.59084006636976127</v>
      </c>
      <c r="H343" s="8">
        <v>-0.22539999999999999</v>
      </c>
      <c r="I343" s="8">
        <f t="shared" si="432"/>
        <v>-6.5637248539063761E-3</v>
      </c>
      <c r="J343" s="9">
        <f t="shared" si="433"/>
        <v>0.19343627514609363</v>
      </c>
      <c r="K343" s="8">
        <v>0.33900000000000002</v>
      </c>
      <c r="L343" s="8">
        <f t="shared" si="434"/>
        <v>0.32894640737299191</v>
      </c>
      <c r="M343" s="9">
        <f t="shared" si="429"/>
        <v>0.32894640737299191</v>
      </c>
      <c r="O343" s="11">
        <f t="shared" si="435"/>
        <v>0.36887076890471865</v>
      </c>
      <c r="P343" s="15" t="str">
        <f t="shared" si="440"/>
        <v>SD</v>
      </c>
      <c r="Q343" t="str">
        <f t="shared" si="446"/>
        <v>SD</v>
      </c>
      <c r="R343" s="18">
        <f t="shared" si="450"/>
        <v>0.50529046230301211</v>
      </c>
      <c r="S343" t="str">
        <f t="shared" si="451"/>
        <v>SD</v>
      </c>
      <c r="T343">
        <v>0</v>
      </c>
      <c r="V343" s="17">
        <f t="shared" si="426"/>
        <v>43251</v>
      </c>
      <c r="W343" s="1" t="e">
        <f t="shared" si="436"/>
        <v>#N/A</v>
      </c>
      <c r="X343" s="1">
        <f t="shared" si="437"/>
        <v>0.36887076890471865</v>
      </c>
      <c r="Y343" s="1" t="e">
        <f t="shared" si="438"/>
        <v>#N/A</v>
      </c>
      <c r="Z343" s="1" t="e">
        <f t="shared" si="439"/>
        <v>#N/A</v>
      </c>
      <c r="AA343">
        <v>0</v>
      </c>
      <c r="AB343" s="1">
        <v>11.1</v>
      </c>
      <c r="AD343" s="17">
        <f t="shared" si="441"/>
        <v>43251</v>
      </c>
      <c r="AE343" s="1" t="e">
        <f t="shared" si="442"/>
        <v>#N/A</v>
      </c>
      <c r="AF343" s="1">
        <f t="shared" si="443"/>
        <v>0.36887076890471865</v>
      </c>
      <c r="AG343" s="1" t="e">
        <f t="shared" si="444"/>
        <v>#N/A</v>
      </c>
      <c r="AH343" s="1" t="e">
        <f t="shared" si="445"/>
        <v>#N/A</v>
      </c>
      <c r="AO343" s="17">
        <f t="shared" si="447"/>
        <v>43251</v>
      </c>
      <c r="AP343">
        <f t="shared" si="448"/>
        <v>3</v>
      </c>
      <c r="AQ343">
        <f t="shared" si="449"/>
        <v>3</v>
      </c>
    </row>
    <row r="344" spans="1:43">
      <c r="A344" s="7">
        <v>43281</v>
      </c>
      <c r="B344" s="8">
        <v>-0.10295899999999999</v>
      </c>
      <c r="C344" s="8">
        <f t="shared" si="430"/>
        <v>2.6799310274839581E-2</v>
      </c>
      <c r="D344" s="9">
        <f t="shared" si="427"/>
        <v>0.13399655137419789</v>
      </c>
      <c r="E344" s="8">
        <v>7</v>
      </c>
      <c r="F344" s="8">
        <f t="shared" si="431"/>
        <v>6.6419571219981721</v>
      </c>
      <c r="G344" s="9">
        <f t="shared" si="428"/>
        <v>0.60381428381801561</v>
      </c>
      <c r="H344" s="8">
        <v>2.7000000000000001E-3</v>
      </c>
      <c r="I344" s="8">
        <f t="shared" si="432"/>
        <v>-3.9235632705430581E-3</v>
      </c>
      <c r="J344" s="9">
        <f t="shared" si="433"/>
        <v>0.19607643672945696</v>
      </c>
      <c r="K344" s="8">
        <v>0.32600000000000001</v>
      </c>
      <c r="L344" s="8">
        <f t="shared" si="434"/>
        <v>0.32810668127168924</v>
      </c>
      <c r="M344" s="9">
        <f t="shared" si="429"/>
        <v>0.32810668127168924</v>
      </c>
      <c r="O344" s="11">
        <f t="shared" si="435"/>
        <v>0.34790661044869203</v>
      </c>
      <c r="P344" s="15" t="str">
        <f t="shared" si="440"/>
        <v>SD</v>
      </c>
      <c r="Q344" t="str">
        <f t="shared" si="446"/>
        <v>SD</v>
      </c>
      <c r="R344" s="18">
        <f t="shared" si="450"/>
        <v>0.50529046230301211</v>
      </c>
      <c r="S344" t="str">
        <f t="shared" si="451"/>
        <v>SD</v>
      </c>
      <c r="T344">
        <v>0</v>
      </c>
      <c r="V344" s="17">
        <f t="shared" si="426"/>
        <v>43281</v>
      </c>
      <c r="W344" s="1">
        <f t="shared" si="436"/>
        <v>0.34790661044869203</v>
      </c>
      <c r="X344" s="1">
        <f t="shared" si="437"/>
        <v>0.34790661044869203</v>
      </c>
      <c r="Y344" s="1" t="e">
        <f t="shared" si="438"/>
        <v>#N/A</v>
      </c>
      <c r="Z344" s="1" t="e">
        <f t="shared" si="439"/>
        <v>#N/A</v>
      </c>
      <c r="AA344">
        <v>0</v>
      </c>
      <c r="AB344" s="1">
        <v>1.1000000000000001</v>
      </c>
      <c r="AD344" s="17">
        <f t="shared" si="441"/>
        <v>43281</v>
      </c>
      <c r="AE344" s="1">
        <f t="shared" si="442"/>
        <v>0.34790661044869203</v>
      </c>
      <c r="AF344" s="1">
        <f t="shared" si="443"/>
        <v>0.34790661044869203</v>
      </c>
      <c r="AG344" s="1" t="e">
        <f t="shared" si="444"/>
        <v>#N/A</v>
      </c>
      <c r="AH344" s="1" t="e">
        <f t="shared" si="445"/>
        <v>#N/A</v>
      </c>
      <c r="AO344" s="17">
        <f t="shared" si="447"/>
        <v>43281</v>
      </c>
      <c r="AP344">
        <f t="shared" si="448"/>
        <v>3</v>
      </c>
      <c r="AQ344">
        <f t="shared" si="449"/>
        <v>3</v>
      </c>
    </row>
    <row r="345" spans="1:43">
      <c r="A345" s="7">
        <v>43312</v>
      </c>
      <c r="B345" s="8">
        <v>-0.10636</v>
      </c>
      <c r="C345" s="8">
        <f t="shared" si="430"/>
        <v>-1.1151093153489701E-2</v>
      </c>
      <c r="D345" s="9">
        <f t="shared" si="427"/>
        <v>-5.5755465767448505E-2</v>
      </c>
      <c r="E345" s="8">
        <v>7.2</v>
      </c>
      <c r="F345" s="8">
        <f t="shared" si="431"/>
        <v>6.8009993422286934</v>
      </c>
      <c r="G345" s="9">
        <f t="shared" si="428"/>
        <v>0.61827266747533571</v>
      </c>
      <c r="H345" s="8">
        <v>2.8000000000000001E-2</v>
      </c>
      <c r="I345" s="8">
        <f t="shared" si="432"/>
        <v>5.1746522615617151E-3</v>
      </c>
      <c r="J345" s="9">
        <f t="shared" si="433"/>
        <v>0.20517465226156173</v>
      </c>
      <c r="K345" s="8">
        <v>0.73899999999999999</v>
      </c>
      <c r="L345" s="8">
        <f t="shared" si="434"/>
        <v>0.44521127710925779</v>
      </c>
      <c r="M345" s="9">
        <f t="shared" si="429"/>
        <v>0.44521127710925779</v>
      </c>
      <c r="O345" s="11">
        <f t="shared" si="435"/>
        <v>0.37068451737990565</v>
      </c>
      <c r="P345" s="15" t="str">
        <f t="shared" si="440"/>
        <v>E</v>
      </c>
      <c r="Q345" t="str">
        <f t="shared" si="446"/>
        <v>SD</v>
      </c>
      <c r="R345" s="18">
        <f t="shared" si="450"/>
        <v>0.50529046230301211</v>
      </c>
      <c r="S345" t="str">
        <f t="shared" si="451"/>
        <v>E</v>
      </c>
      <c r="T345">
        <v>0</v>
      </c>
      <c r="V345" s="17">
        <f t="shared" si="426"/>
        <v>43312</v>
      </c>
      <c r="W345" s="1">
        <f t="shared" si="436"/>
        <v>0.37068451737990565</v>
      </c>
      <c r="X345" s="1" t="e">
        <f t="shared" si="437"/>
        <v>#N/A</v>
      </c>
      <c r="Y345" s="1" t="e">
        <f t="shared" si="438"/>
        <v>#N/A</v>
      </c>
      <c r="Z345" s="1" t="e">
        <f t="shared" si="439"/>
        <v>#N/A</v>
      </c>
      <c r="AA345">
        <v>0</v>
      </c>
      <c r="AB345" s="1">
        <v>-2.2000000000000002</v>
      </c>
      <c r="AD345" s="17">
        <f t="shared" si="441"/>
        <v>43312</v>
      </c>
      <c r="AE345" s="1">
        <f t="shared" si="442"/>
        <v>0.37068451737990565</v>
      </c>
      <c r="AF345" s="1" t="e">
        <f t="shared" si="443"/>
        <v>#N/A</v>
      </c>
      <c r="AG345" s="1" t="e">
        <f t="shared" si="444"/>
        <v>#N/A</v>
      </c>
      <c r="AH345" s="1" t="e">
        <f t="shared" si="445"/>
        <v>#N/A</v>
      </c>
      <c r="AO345" s="17">
        <f t="shared" si="447"/>
        <v>43312</v>
      </c>
      <c r="AP345">
        <f t="shared" si="448"/>
        <v>4</v>
      </c>
      <c r="AQ345">
        <f t="shared" si="449"/>
        <v>3</v>
      </c>
    </row>
    <row r="346" spans="1:43">
      <c r="A346" s="7">
        <v>43343</v>
      </c>
      <c r="B346" s="8">
        <v>-4.9299000000000003E-2</v>
      </c>
      <c r="C346" s="8">
        <f t="shared" si="430"/>
        <v>-2.2023246604745139E-2</v>
      </c>
      <c r="D346" s="9">
        <f t="shared" si="427"/>
        <v>-0.1101162330237257</v>
      </c>
      <c r="E346" s="8">
        <v>7.1</v>
      </c>
      <c r="F346" s="8">
        <f t="shared" si="431"/>
        <v>6.8862145296935156</v>
      </c>
      <c r="G346" s="9">
        <f t="shared" si="428"/>
        <v>0.62601950269941053</v>
      </c>
      <c r="H346" s="8">
        <v>0.24940000000000001</v>
      </c>
      <c r="I346" s="8">
        <f t="shared" si="432"/>
        <v>7.4778876367016647E-2</v>
      </c>
      <c r="J346" s="9">
        <f t="shared" si="433"/>
        <v>0.27477887636701664</v>
      </c>
      <c r="K346" s="8">
        <v>0.84899999999999998</v>
      </c>
      <c r="L346" s="8">
        <f t="shared" si="434"/>
        <v>0.56029106313311927</v>
      </c>
      <c r="M346" s="9">
        <f t="shared" si="429"/>
        <v>0.56029106313311927</v>
      </c>
      <c r="O346" s="11">
        <f t="shared" si="435"/>
        <v>0.42499115879026894</v>
      </c>
      <c r="P346" s="15" t="str">
        <f t="shared" si="440"/>
        <v>E</v>
      </c>
      <c r="Q346" t="str">
        <f t="shared" si="446"/>
        <v>E</v>
      </c>
      <c r="R346" s="18">
        <f t="shared" si="450"/>
        <v>0.50529046230301211</v>
      </c>
      <c r="S346" t="str">
        <f t="shared" si="451"/>
        <v>E</v>
      </c>
      <c r="T346">
        <v>0</v>
      </c>
      <c r="V346" s="17">
        <f t="shared" si="426"/>
        <v>43343</v>
      </c>
      <c r="W346" s="1">
        <f t="shared" si="436"/>
        <v>0.42499115879026894</v>
      </c>
      <c r="X346" s="1" t="e">
        <f t="shared" si="437"/>
        <v>#N/A</v>
      </c>
      <c r="Y346" s="1" t="e">
        <f t="shared" si="438"/>
        <v>#N/A</v>
      </c>
      <c r="Z346" s="1" t="e">
        <f t="shared" si="439"/>
        <v>#N/A</v>
      </c>
      <c r="AA346">
        <v>0</v>
      </c>
      <c r="AB346" s="1">
        <v>-17.7</v>
      </c>
      <c r="AD346" s="17">
        <f t="shared" si="441"/>
        <v>43343</v>
      </c>
      <c r="AE346" s="1">
        <f t="shared" si="442"/>
        <v>0.42499115879026894</v>
      </c>
      <c r="AF346" s="1" t="e">
        <f t="shared" si="443"/>
        <v>#N/A</v>
      </c>
      <c r="AG346" s="1" t="e">
        <f t="shared" si="444"/>
        <v>#N/A</v>
      </c>
      <c r="AH346" s="1" t="e">
        <f t="shared" si="445"/>
        <v>#N/A</v>
      </c>
      <c r="AO346" s="17">
        <f t="shared" si="447"/>
        <v>43343</v>
      </c>
      <c r="AP346">
        <f t="shared" si="448"/>
        <v>4</v>
      </c>
      <c r="AQ346">
        <f t="shared" si="449"/>
        <v>4</v>
      </c>
    </row>
    <row r="347" spans="1:43">
      <c r="A347" s="7">
        <v>43373</v>
      </c>
      <c r="B347" s="8">
        <v>-3.6188999999999999E-2</v>
      </c>
      <c r="C347" s="8">
        <f t="shared" si="430"/>
        <v>-2.6060486322392773E-2</v>
      </c>
      <c r="D347" s="9">
        <f t="shared" si="427"/>
        <v>-0.13030243161196386</v>
      </c>
      <c r="E347" s="8">
        <v>7.3</v>
      </c>
      <c r="F347" s="8">
        <f t="shared" si="431"/>
        <v>7.0041433887308635</v>
      </c>
      <c r="G347" s="9">
        <f t="shared" si="428"/>
        <v>0.63674030806644211</v>
      </c>
      <c r="H347" s="8">
        <v>-0.32900000000000001</v>
      </c>
      <c r="I347" s="8">
        <f t="shared" si="432"/>
        <v>-4.0298103397583114E-2</v>
      </c>
      <c r="J347" s="9">
        <f t="shared" si="433"/>
        <v>0.1597018966024169</v>
      </c>
      <c r="K347" s="8">
        <v>0.97299999999999998</v>
      </c>
      <c r="L347" s="8">
        <f t="shared" si="434"/>
        <v>0.6779131101401803</v>
      </c>
      <c r="M347" s="9">
        <f t="shared" si="429"/>
        <v>0.6779131101401803</v>
      </c>
      <c r="O347" s="11">
        <f t="shared" si="435"/>
        <v>0.42606010967140595</v>
      </c>
      <c r="P347" s="15" t="str">
        <f t="shared" si="440"/>
        <v>E</v>
      </c>
      <c r="Q347" t="str">
        <f t="shared" si="446"/>
        <v>E</v>
      </c>
      <c r="R347" s="18">
        <f t="shared" si="450"/>
        <v>0.50529046230301211</v>
      </c>
      <c r="S347" t="str">
        <f t="shared" si="451"/>
        <v>E</v>
      </c>
      <c r="T347">
        <v>0</v>
      </c>
      <c r="V347" s="17">
        <f t="shared" si="426"/>
        <v>43373</v>
      </c>
      <c r="W347" s="1">
        <f t="shared" si="436"/>
        <v>0.42606010967140595</v>
      </c>
      <c r="X347" s="1">
        <f t="shared" si="437"/>
        <v>0.42606010967140595</v>
      </c>
      <c r="Y347" s="1" t="e">
        <f t="shared" si="438"/>
        <v>#N/A</v>
      </c>
      <c r="Z347" s="1" t="e">
        <f t="shared" si="439"/>
        <v>#N/A</v>
      </c>
      <c r="AA347">
        <v>0</v>
      </c>
      <c r="AB347" s="1">
        <v>-5.2</v>
      </c>
      <c r="AD347" s="17">
        <f t="shared" si="441"/>
        <v>43373</v>
      </c>
      <c r="AE347" s="1">
        <f t="shared" si="442"/>
        <v>0.42606010967140595</v>
      </c>
      <c r="AF347" s="1">
        <f t="shared" si="443"/>
        <v>0.42606010967140595</v>
      </c>
      <c r="AG347" s="1" t="e">
        <f t="shared" si="444"/>
        <v>#N/A</v>
      </c>
      <c r="AH347" s="1" t="e">
        <f t="shared" si="445"/>
        <v>#N/A</v>
      </c>
      <c r="AO347" s="17">
        <f t="shared" si="447"/>
        <v>43373</v>
      </c>
      <c r="AP347">
        <f t="shared" si="448"/>
        <v>4</v>
      </c>
      <c r="AQ347">
        <f t="shared" si="449"/>
        <v>4</v>
      </c>
    </row>
    <row r="348" spans="1:43">
      <c r="A348" s="7">
        <v>43404</v>
      </c>
      <c r="B348" s="8">
        <v>-8.3140000000000002E-3</v>
      </c>
      <c r="C348" s="8">
        <f t="shared" si="430"/>
        <v>-2.1002737720510832E-2</v>
      </c>
      <c r="D348" s="9">
        <f t="shared" si="427"/>
        <v>-0.10501368860255415</v>
      </c>
      <c r="E348" s="8">
        <v>6.3</v>
      </c>
      <c r="F348" s="8">
        <f t="shared" si="431"/>
        <v>6.8034625229425671</v>
      </c>
      <c r="G348" s="9">
        <f t="shared" si="428"/>
        <v>0.61849659299477888</v>
      </c>
      <c r="H348" s="8">
        <v>-0.46479999999999999</v>
      </c>
      <c r="I348" s="8">
        <f t="shared" si="432"/>
        <v>-0.16128114392927193</v>
      </c>
      <c r="J348" s="9">
        <f t="shared" si="433"/>
        <v>3.8718856070728086E-2</v>
      </c>
      <c r="K348" s="8">
        <v>0.30299999999999999</v>
      </c>
      <c r="L348" s="8">
        <f t="shared" si="434"/>
        <v>0.57106287375022891</v>
      </c>
      <c r="M348" s="9">
        <f t="shared" si="429"/>
        <v>0.57106287375022891</v>
      </c>
      <c r="O348" s="11">
        <f t="shared" si="435"/>
        <v>0.36345524250596428</v>
      </c>
      <c r="P348" s="15" t="str">
        <f t="shared" si="440"/>
        <v>SD</v>
      </c>
      <c r="Q348" t="str">
        <f t="shared" si="446"/>
        <v>SD</v>
      </c>
      <c r="R348" s="18">
        <f t="shared" si="450"/>
        <v>0.36345524250596428</v>
      </c>
      <c r="S348" t="str">
        <f t="shared" si="451"/>
        <v>SD</v>
      </c>
      <c r="T348">
        <v>0</v>
      </c>
      <c r="V348" s="17">
        <f t="shared" si="426"/>
        <v>43404</v>
      </c>
      <c r="W348" s="1" t="e">
        <f t="shared" si="436"/>
        <v>#N/A</v>
      </c>
      <c r="X348" s="1">
        <f t="shared" si="437"/>
        <v>0.36345524250596428</v>
      </c>
      <c r="Y348" s="1" t="e">
        <f t="shared" si="438"/>
        <v>#N/A</v>
      </c>
      <c r="Z348" s="1" t="e">
        <f t="shared" si="439"/>
        <v>#N/A</v>
      </c>
      <c r="AA348">
        <v>0</v>
      </c>
      <c r="AB348" s="1">
        <v>5.4</v>
      </c>
      <c r="AD348" s="17">
        <f t="shared" si="441"/>
        <v>43404</v>
      </c>
      <c r="AE348" s="1" t="e">
        <f t="shared" si="442"/>
        <v>#N/A</v>
      </c>
      <c r="AF348" s="1">
        <f t="shared" si="443"/>
        <v>0.36345524250596428</v>
      </c>
      <c r="AG348" s="1" t="e">
        <f t="shared" si="444"/>
        <v>#N/A</v>
      </c>
      <c r="AH348" s="1" t="e">
        <f t="shared" si="445"/>
        <v>#N/A</v>
      </c>
      <c r="AO348" s="17">
        <f t="shared" si="447"/>
        <v>43404</v>
      </c>
      <c r="AP348">
        <f t="shared" si="448"/>
        <v>3</v>
      </c>
      <c r="AQ348">
        <f t="shared" si="449"/>
        <v>3</v>
      </c>
    </row>
    <row r="349" spans="1:43">
      <c r="A349" s="7">
        <v>43434</v>
      </c>
      <c r="B349" s="8">
        <v>2.8389000000000001E-2</v>
      </c>
      <c r="C349" s="8">
        <f t="shared" si="430"/>
        <v>-6.9260924701652436E-3</v>
      </c>
      <c r="D349" s="9">
        <f t="shared" si="427"/>
        <v>-3.4630462350826216E-2</v>
      </c>
      <c r="E349" s="8">
        <v>5.7</v>
      </c>
      <c r="F349" s="8">
        <f t="shared" si="431"/>
        <v>6.488975703903936</v>
      </c>
      <c r="G349" s="9">
        <f t="shared" si="428"/>
        <v>0.58990688217308507</v>
      </c>
      <c r="H349" s="8">
        <v>-0.25230000000000002</v>
      </c>
      <c r="I349" s="8">
        <f t="shared" si="432"/>
        <v>-0.18722151790942942</v>
      </c>
      <c r="J349" s="9">
        <f t="shared" si="433"/>
        <v>1.2778482090570586E-2</v>
      </c>
      <c r="K349" s="8">
        <v>9.0999999999999998E-2</v>
      </c>
      <c r="L349" s="8">
        <f t="shared" si="434"/>
        <v>0.43424495473141361</v>
      </c>
      <c r="M349" s="9">
        <f t="shared" si="429"/>
        <v>0.43424495473141361</v>
      </c>
      <c r="O349" s="11">
        <f t="shared" si="435"/>
        <v>0.31619296270994623</v>
      </c>
      <c r="P349" s="15" t="str">
        <f t="shared" si="440"/>
        <v>SD</v>
      </c>
      <c r="Q349" t="str">
        <f t="shared" si="446"/>
        <v>SD</v>
      </c>
      <c r="R349" s="18">
        <f t="shared" si="450"/>
        <v>0.36345524250596428</v>
      </c>
      <c r="S349" t="str">
        <f t="shared" si="451"/>
        <v>SD</v>
      </c>
      <c r="T349">
        <v>0</v>
      </c>
      <c r="V349" s="17">
        <f t="shared" si="426"/>
        <v>43434</v>
      </c>
      <c r="W349" s="1" t="e">
        <f t="shared" si="436"/>
        <v>#N/A</v>
      </c>
      <c r="X349" s="1">
        <f t="shared" si="437"/>
        <v>0.31619296270994623</v>
      </c>
      <c r="Y349" s="1" t="e">
        <f t="shared" si="438"/>
        <v>#N/A</v>
      </c>
      <c r="Z349" s="1" t="e">
        <f t="shared" si="439"/>
        <v>#N/A</v>
      </c>
      <c r="AA349">
        <v>0</v>
      </c>
      <c r="AB349" s="1">
        <v>-5.3</v>
      </c>
      <c r="AD349" s="17">
        <f t="shared" si="441"/>
        <v>43434</v>
      </c>
      <c r="AE349" s="1" t="e">
        <f t="shared" si="442"/>
        <v>#N/A</v>
      </c>
      <c r="AF349" s="1">
        <f t="shared" si="443"/>
        <v>0.31619296270994623</v>
      </c>
      <c r="AG349" s="1" t="e">
        <f t="shared" si="444"/>
        <v>#N/A</v>
      </c>
      <c r="AH349" s="1" t="e">
        <f t="shared" si="445"/>
        <v>#N/A</v>
      </c>
      <c r="AO349" s="17">
        <f t="shared" si="447"/>
        <v>43434</v>
      </c>
      <c r="AP349">
        <f t="shared" si="448"/>
        <v>3</v>
      </c>
      <c r="AQ349">
        <f t="shared" si="449"/>
        <v>3</v>
      </c>
    </row>
    <row r="350" spans="1:43">
      <c r="A350" s="7">
        <v>43465</v>
      </c>
      <c r="B350" s="8">
        <v>-4.1277000000000001E-2</v>
      </c>
      <c r="C350" s="8">
        <f t="shared" si="430"/>
        <v>-1.6716101116168149E-2</v>
      </c>
      <c r="D350" s="9">
        <f t="shared" si="427"/>
        <v>-8.3580505580840736E-2</v>
      </c>
      <c r="E350" s="8">
        <v>5</v>
      </c>
      <c r="F350" s="8">
        <f t="shared" si="431"/>
        <v>6.0646176282913142</v>
      </c>
      <c r="G350" s="9">
        <f t="shared" si="428"/>
        <v>0.55132887529921037</v>
      </c>
      <c r="H350" s="8">
        <v>-0.23200000000000001</v>
      </c>
      <c r="I350" s="8">
        <f t="shared" si="432"/>
        <v>-0.19998338530524204</v>
      </c>
      <c r="J350" s="9">
        <f t="shared" si="433"/>
        <v>1.6614694757971504E-5</v>
      </c>
      <c r="K350" s="8">
        <v>-0.68500000000000005</v>
      </c>
      <c r="L350" s="8">
        <f t="shared" si="434"/>
        <v>0.11526014263296069</v>
      </c>
      <c r="M350" s="9">
        <f t="shared" si="429"/>
        <v>0.11526014263296069</v>
      </c>
      <c r="O350" s="11">
        <f t="shared" si="435"/>
        <v>0.20319704129215704</v>
      </c>
      <c r="P350" s="15" t="str">
        <f t="shared" si="440"/>
        <v>SD</v>
      </c>
      <c r="Q350" t="str">
        <f t="shared" si="446"/>
        <v>SD</v>
      </c>
      <c r="R350" s="18">
        <f t="shared" si="450"/>
        <v>0.36345524250596428</v>
      </c>
      <c r="S350" t="str">
        <f t="shared" si="451"/>
        <v>SD</v>
      </c>
      <c r="T350">
        <v>0</v>
      </c>
      <c r="V350" s="17">
        <f t="shared" si="426"/>
        <v>43465</v>
      </c>
      <c r="W350" s="1" t="e">
        <f t="shared" si="436"/>
        <v>#N/A</v>
      </c>
      <c r="X350" s="1">
        <f t="shared" si="437"/>
        <v>0.20319704129215704</v>
      </c>
      <c r="Y350" s="1" t="e">
        <f t="shared" si="438"/>
        <v>#N/A</v>
      </c>
      <c r="Z350" s="1" t="e">
        <f t="shared" si="439"/>
        <v>#N/A</v>
      </c>
      <c r="AA350">
        <v>0</v>
      </c>
      <c r="AB350" s="1">
        <v>-23.8</v>
      </c>
      <c r="AD350" s="17">
        <f t="shared" si="441"/>
        <v>43465</v>
      </c>
      <c r="AE350" s="1" t="e">
        <f t="shared" si="442"/>
        <v>#N/A</v>
      </c>
      <c r="AF350" s="1">
        <f t="shared" si="443"/>
        <v>0.20319704129215704</v>
      </c>
      <c r="AG350" s="1" t="e">
        <f t="shared" si="444"/>
        <v>#N/A</v>
      </c>
      <c r="AH350" s="1" t="e">
        <f t="shared" si="445"/>
        <v>#N/A</v>
      </c>
      <c r="AO350" s="17">
        <f t="shared" si="447"/>
        <v>43465</v>
      </c>
      <c r="AP350">
        <f t="shared" si="448"/>
        <v>3</v>
      </c>
      <c r="AQ350">
        <f t="shared" si="449"/>
        <v>3</v>
      </c>
    </row>
    <row r="351" spans="1:43">
      <c r="A351" s="7">
        <v>43496</v>
      </c>
      <c r="B351" s="8">
        <v>-0.12142699999999999</v>
      </c>
      <c r="C351" s="8">
        <f t="shared" si="430"/>
        <v>-4.6558707298060227E-2</v>
      </c>
      <c r="D351" s="9">
        <f t="shared" si="427"/>
        <v>-0.23279353649030113</v>
      </c>
      <c r="E351" s="8">
        <v>3.9</v>
      </c>
      <c r="F351" s="8">
        <f t="shared" si="431"/>
        <v>5.44770160422829</v>
      </c>
      <c r="G351" s="9">
        <f t="shared" si="428"/>
        <v>0.49524560038438997</v>
      </c>
      <c r="H351" s="8">
        <v>-0.56889999999999996</v>
      </c>
      <c r="I351" s="8">
        <f t="shared" si="432"/>
        <v>-0.30512462049324807</v>
      </c>
      <c r="J351" s="9">
        <f t="shared" si="433"/>
        <v>-0.10512462049324806</v>
      </c>
      <c r="K351" s="8">
        <v>0.21199999999999999</v>
      </c>
      <c r="L351" s="8">
        <f t="shared" si="434"/>
        <v>0.14283100198256687</v>
      </c>
      <c r="M351" s="9">
        <f t="shared" si="429"/>
        <v>0.14283100198256687</v>
      </c>
      <c r="O351" s="11">
        <f t="shared" si="435"/>
        <v>0.15343122338752863</v>
      </c>
      <c r="P351" s="15" t="str">
        <f t="shared" si="440"/>
        <v>SD</v>
      </c>
      <c r="Q351" t="str">
        <f t="shared" si="446"/>
        <v>SD</v>
      </c>
      <c r="R351" s="18">
        <f t="shared" si="450"/>
        <v>0.36345524250596428</v>
      </c>
      <c r="S351" t="str">
        <f t="shared" si="451"/>
        <v>SD</v>
      </c>
      <c r="T351">
        <v>0</v>
      </c>
      <c r="V351" s="17">
        <f t="shared" si="426"/>
        <v>43496</v>
      </c>
      <c r="W351" s="1">
        <f t="shared" si="436"/>
        <v>0.15343122338752863</v>
      </c>
      <c r="X351" s="1">
        <f t="shared" si="437"/>
        <v>0.15343122338752863</v>
      </c>
      <c r="Y351" s="1" t="e">
        <f t="shared" si="438"/>
        <v>#N/A</v>
      </c>
      <c r="Z351" s="1" t="e">
        <f t="shared" si="439"/>
        <v>#N/A</v>
      </c>
      <c r="AA351">
        <v>0</v>
      </c>
      <c r="AB351" s="1">
        <v>4.5</v>
      </c>
      <c r="AD351" s="17">
        <f t="shared" si="441"/>
        <v>43496</v>
      </c>
      <c r="AE351" s="1">
        <f t="shared" si="442"/>
        <v>0.15343122338752863</v>
      </c>
      <c r="AF351" s="1">
        <f t="shared" si="443"/>
        <v>0.15343122338752863</v>
      </c>
      <c r="AG351" s="1" t="e">
        <f t="shared" si="444"/>
        <v>#N/A</v>
      </c>
      <c r="AH351" s="1" t="e">
        <f t="shared" si="445"/>
        <v>#N/A</v>
      </c>
      <c r="AO351" s="17">
        <f t="shared" si="447"/>
        <v>43496</v>
      </c>
      <c r="AP351">
        <f t="shared" si="448"/>
        <v>3</v>
      </c>
      <c r="AQ351">
        <f t="shared" si="449"/>
        <v>3</v>
      </c>
    </row>
    <row r="352" spans="1:43">
      <c r="A352" s="7">
        <v>43524</v>
      </c>
      <c r="B352" s="8">
        <v>2.1866E-2</v>
      </c>
      <c r="C352" s="8">
        <f t="shared" si="430"/>
        <v>-2.705766571811306E-2</v>
      </c>
      <c r="D352" s="9">
        <f t="shared" si="427"/>
        <v>-0.1352883285905653</v>
      </c>
      <c r="E352" s="8">
        <v>3.4</v>
      </c>
      <c r="F352" s="8">
        <f t="shared" si="431"/>
        <v>4.8641066470232275</v>
      </c>
      <c r="G352" s="9">
        <f t="shared" si="428"/>
        <v>0.44219151336574797</v>
      </c>
      <c r="H352" s="8">
        <v>-0.55459999999999998</v>
      </c>
      <c r="I352" s="8">
        <f t="shared" si="432"/>
        <v>-0.37622510365267237</v>
      </c>
      <c r="J352" s="9">
        <f t="shared" si="433"/>
        <v>-0.17622510365267235</v>
      </c>
      <c r="K352" s="8">
        <v>0.73</v>
      </c>
      <c r="L352" s="8">
        <f t="shared" si="434"/>
        <v>0.31017416641753531</v>
      </c>
      <c r="M352" s="9">
        <f t="shared" si="429"/>
        <v>0.31017416641753531</v>
      </c>
      <c r="O352" s="11">
        <f t="shared" si="435"/>
        <v>0.17522956608571935</v>
      </c>
      <c r="P352" s="15" t="str">
        <f t="shared" si="440"/>
        <v>E</v>
      </c>
      <c r="Q352" t="str">
        <f t="shared" si="446"/>
        <v>SD</v>
      </c>
      <c r="R352" s="18">
        <f t="shared" si="450"/>
        <v>0.36345524250596428</v>
      </c>
      <c r="S352" t="str">
        <f t="shared" si="451"/>
        <v>E</v>
      </c>
      <c r="T352">
        <v>0</v>
      </c>
      <c r="V352" s="17">
        <f t="shared" si="426"/>
        <v>43524</v>
      </c>
      <c r="W352" s="1">
        <f t="shared" si="436"/>
        <v>0.17522956608571935</v>
      </c>
      <c r="X352" s="1" t="e">
        <f t="shared" si="437"/>
        <v>#N/A</v>
      </c>
      <c r="Y352" s="1" t="e">
        <f t="shared" si="438"/>
        <v>#N/A</v>
      </c>
      <c r="Z352" s="1" t="e">
        <f t="shared" si="439"/>
        <v>#N/A</v>
      </c>
      <c r="AA352">
        <v>0</v>
      </c>
      <c r="AB352" s="1">
        <v>-29.8</v>
      </c>
      <c r="AD352" s="17">
        <f t="shared" si="441"/>
        <v>43524</v>
      </c>
      <c r="AE352" s="1">
        <f t="shared" si="442"/>
        <v>0.17522956608571935</v>
      </c>
      <c r="AF352" s="1" t="e">
        <f t="shared" si="443"/>
        <v>#N/A</v>
      </c>
      <c r="AG352" s="1" t="e">
        <f t="shared" si="444"/>
        <v>#N/A</v>
      </c>
      <c r="AH352" s="1" t="e">
        <f t="shared" si="445"/>
        <v>#N/A</v>
      </c>
      <c r="AO352" s="17">
        <f t="shared" si="447"/>
        <v>43524</v>
      </c>
      <c r="AP352">
        <f t="shared" si="448"/>
        <v>4</v>
      </c>
      <c r="AQ352">
        <f t="shared" si="449"/>
        <v>3</v>
      </c>
    </row>
    <row r="353" spans="1:43">
      <c r="A353" s="7">
        <v>43555</v>
      </c>
      <c r="B353" s="8">
        <v>0.10335900000000001</v>
      </c>
      <c r="C353" s="8">
        <f t="shared" si="430"/>
        <v>1.0111084011549167E-2</v>
      </c>
      <c r="D353" s="9">
        <f t="shared" si="427"/>
        <v>5.0555420057745833E-2</v>
      </c>
      <c r="E353" s="8">
        <v>3.1</v>
      </c>
      <c r="F353" s="8">
        <f t="shared" si="431"/>
        <v>4.3613362526216077</v>
      </c>
      <c r="G353" s="9">
        <f t="shared" si="428"/>
        <v>0.3964851138746916</v>
      </c>
      <c r="H353" s="8">
        <v>-0.35470000000000002</v>
      </c>
      <c r="I353" s="8">
        <f t="shared" si="432"/>
        <v>-0.37009044911166072</v>
      </c>
      <c r="J353" s="9">
        <f t="shared" si="433"/>
        <v>-0.17009044911166071</v>
      </c>
      <c r="K353" s="8">
        <v>0.65800000000000003</v>
      </c>
      <c r="L353" s="8">
        <f t="shared" si="434"/>
        <v>0.40930452898853775</v>
      </c>
      <c r="M353" s="9">
        <f t="shared" si="429"/>
        <v>0.40930452898853775</v>
      </c>
      <c r="O353" s="11">
        <f t="shared" si="435"/>
        <v>0.20947721997856208</v>
      </c>
      <c r="P353" s="15" t="str">
        <f t="shared" si="440"/>
        <v>E</v>
      </c>
      <c r="Q353" t="str">
        <f t="shared" si="446"/>
        <v>SD</v>
      </c>
      <c r="R353" s="18">
        <f t="shared" si="450"/>
        <v>0.20947721997856208</v>
      </c>
      <c r="S353" t="str">
        <f t="shared" si="451"/>
        <v>E</v>
      </c>
      <c r="T353">
        <v>0</v>
      </c>
      <c r="V353" s="17">
        <f t="shared" si="426"/>
        <v>43555</v>
      </c>
      <c r="W353" s="1">
        <f t="shared" si="436"/>
        <v>0.20947721997856208</v>
      </c>
      <c r="X353" s="1" t="e">
        <f t="shared" si="437"/>
        <v>#N/A</v>
      </c>
      <c r="Y353" s="1" t="e">
        <f t="shared" si="438"/>
        <v>#N/A</v>
      </c>
      <c r="Z353" s="1" t="e">
        <f t="shared" si="439"/>
        <v>#N/A</v>
      </c>
      <c r="AA353">
        <v>0</v>
      </c>
      <c r="AB353" s="1">
        <v>-35.9</v>
      </c>
      <c r="AD353" s="17">
        <f t="shared" si="441"/>
        <v>43555</v>
      </c>
      <c r="AE353" s="1">
        <f t="shared" si="442"/>
        <v>0.20947721997856208</v>
      </c>
      <c r="AF353" s="1" t="e">
        <f t="shared" si="443"/>
        <v>#N/A</v>
      </c>
      <c r="AG353" s="1" t="e">
        <f t="shared" si="444"/>
        <v>#N/A</v>
      </c>
      <c r="AH353" s="1" t="e">
        <f t="shared" si="445"/>
        <v>#N/A</v>
      </c>
      <c r="AO353" s="17">
        <f t="shared" si="447"/>
        <v>43555</v>
      </c>
      <c r="AP353">
        <f t="shared" si="448"/>
        <v>4</v>
      </c>
      <c r="AQ353">
        <f t="shared" si="449"/>
        <v>3</v>
      </c>
    </row>
    <row r="354" spans="1:43">
      <c r="A354" s="7">
        <v>43585</v>
      </c>
      <c r="B354" s="8">
        <v>0.14546500000000001</v>
      </c>
      <c r="C354" s="8">
        <f t="shared" si="430"/>
        <v>4.8686950068257663E-2</v>
      </c>
      <c r="D354" s="9">
        <f t="shared" si="427"/>
        <v>0.24343475034128831</v>
      </c>
      <c r="E354" s="8">
        <v>2.8</v>
      </c>
      <c r="F354" s="8">
        <f t="shared" si="431"/>
        <v>3.9163554206244493</v>
      </c>
      <c r="G354" s="9">
        <f t="shared" si="428"/>
        <v>0.35603231096585902</v>
      </c>
      <c r="H354" s="8">
        <v>-0.66639999999999999</v>
      </c>
      <c r="I354" s="8">
        <f t="shared" si="432"/>
        <v>-0.45453867111483737</v>
      </c>
      <c r="J354" s="9">
        <f t="shared" si="433"/>
        <v>-0.25453867111483736</v>
      </c>
      <c r="K354" s="8">
        <v>0.94799999999999995</v>
      </c>
      <c r="L354" s="8">
        <f t="shared" si="434"/>
        <v>0.56283273822680457</v>
      </c>
      <c r="M354" s="9">
        <f t="shared" si="429"/>
        <v>0.56283273822680457</v>
      </c>
      <c r="O354" s="11">
        <f t="shared" si="435"/>
        <v>0.23577722933012649</v>
      </c>
      <c r="P354" s="15" t="str">
        <f t="shared" si="440"/>
        <v>E</v>
      </c>
      <c r="Q354" t="str">
        <f t="shared" si="446"/>
        <v>SD</v>
      </c>
      <c r="R354" s="18">
        <f t="shared" si="450"/>
        <v>0.23577722933012649</v>
      </c>
      <c r="S354" t="str">
        <f t="shared" si="451"/>
        <v>E</v>
      </c>
      <c r="T354">
        <v>0</v>
      </c>
      <c r="V354" s="17">
        <f t="shared" si="426"/>
        <v>43585</v>
      </c>
      <c r="W354" s="1">
        <f t="shared" si="436"/>
        <v>0.23577722933012649</v>
      </c>
      <c r="X354" s="1">
        <f t="shared" si="437"/>
        <v>0.23577722933012649</v>
      </c>
      <c r="Y354" s="1" t="e">
        <f t="shared" si="438"/>
        <v>#N/A</v>
      </c>
      <c r="Z354" s="1" t="e">
        <f t="shared" si="439"/>
        <v>#N/A</v>
      </c>
      <c r="AA354">
        <v>0</v>
      </c>
      <c r="AB354" s="1">
        <v>-58.7</v>
      </c>
      <c r="AD354" s="17">
        <f t="shared" si="441"/>
        <v>43585</v>
      </c>
      <c r="AE354" s="1">
        <f t="shared" si="442"/>
        <v>0.23577722933012649</v>
      </c>
      <c r="AF354" s="1">
        <f t="shared" si="443"/>
        <v>0.23577722933012649</v>
      </c>
      <c r="AG354" s="1" t="e">
        <f t="shared" si="444"/>
        <v>#N/A</v>
      </c>
      <c r="AH354" s="1" t="e">
        <f t="shared" si="445"/>
        <v>#N/A</v>
      </c>
      <c r="AO354" s="17">
        <f t="shared" si="447"/>
        <v>43585</v>
      </c>
      <c r="AP354">
        <f t="shared" si="448"/>
        <v>4</v>
      </c>
      <c r="AQ354">
        <f t="shared" si="449"/>
        <v>3</v>
      </c>
    </row>
    <row r="355" spans="1:43">
      <c r="A355" s="7">
        <v>43616</v>
      </c>
      <c r="B355" s="8">
        <v>-1.3218000000000001E-2</v>
      </c>
      <c r="C355" s="8">
        <f t="shared" si="430"/>
        <v>3.1044039298804227E-2</v>
      </c>
      <c r="D355" s="9">
        <f t="shared" si="427"/>
        <v>0.15522019649402113</v>
      </c>
      <c r="E355" s="8">
        <v>2.5</v>
      </c>
      <c r="F355" s="8">
        <f t="shared" si="431"/>
        <v>3.5126941257464814</v>
      </c>
      <c r="G355" s="9">
        <f t="shared" si="428"/>
        <v>0.31933582961331647</v>
      </c>
      <c r="H355" s="8">
        <v>-0.2266</v>
      </c>
      <c r="I355" s="8">
        <f t="shared" si="432"/>
        <v>-0.3895761498471087</v>
      </c>
      <c r="J355" s="9">
        <f t="shared" si="433"/>
        <v>-0.18957614984710869</v>
      </c>
      <c r="K355" s="8">
        <v>0.29599999999999999</v>
      </c>
      <c r="L355" s="8">
        <f t="shared" si="434"/>
        <v>0.48678540783216523</v>
      </c>
      <c r="M355" s="9">
        <f t="shared" si="429"/>
        <v>0.48678540783216523</v>
      </c>
      <c r="O355" s="11">
        <f t="shared" si="435"/>
        <v>0.21149449033467677</v>
      </c>
      <c r="P355" s="15" t="str">
        <f t="shared" si="440"/>
        <v>SD</v>
      </c>
      <c r="Q355" t="str">
        <f t="shared" si="446"/>
        <v>SD</v>
      </c>
      <c r="R355" s="18">
        <f t="shared" si="450"/>
        <v>0.21149449033467677</v>
      </c>
      <c r="S355" t="str">
        <f t="shared" si="451"/>
        <v>SD</v>
      </c>
      <c r="T355">
        <v>0</v>
      </c>
      <c r="V355" s="17">
        <f t="shared" ref="V355:V386" si="452">A355</f>
        <v>43616</v>
      </c>
      <c r="W355" s="1" t="e">
        <f t="shared" si="436"/>
        <v>#N/A</v>
      </c>
      <c r="X355" s="1">
        <f t="shared" si="437"/>
        <v>0.21149449033467677</v>
      </c>
      <c r="Y355" s="1" t="e">
        <f t="shared" si="438"/>
        <v>#N/A</v>
      </c>
      <c r="Z355" s="1" t="e">
        <f t="shared" si="439"/>
        <v>#N/A</v>
      </c>
      <c r="AA355">
        <v>0</v>
      </c>
      <c r="AB355" s="1">
        <v>-32.299999999999997</v>
      </c>
      <c r="AD355" s="17">
        <f t="shared" si="441"/>
        <v>43616</v>
      </c>
      <c r="AE355" s="1" t="e">
        <f t="shared" si="442"/>
        <v>#N/A</v>
      </c>
      <c r="AF355" s="1">
        <f t="shared" si="443"/>
        <v>0.21149449033467677</v>
      </c>
      <c r="AG355" s="1" t="e">
        <f t="shared" si="444"/>
        <v>#N/A</v>
      </c>
      <c r="AH355" s="1" t="e">
        <f t="shared" si="445"/>
        <v>#N/A</v>
      </c>
      <c r="AO355" s="17">
        <f t="shared" si="447"/>
        <v>43616</v>
      </c>
      <c r="AP355">
        <f t="shared" si="448"/>
        <v>3</v>
      </c>
      <c r="AQ355">
        <f t="shared" si="449"/>
        <v>3</v>
      </c>
    </row>
    <row r="356" spans="1:43">
      <c r="A356" s="7">
        <v>43646</v>
      </c>
      <c r="B356" s="8">
        <v>-0.184476</v>
      </c>
      <c r="C356" s="8">
        <f t="shared" si="430"/>
        <v>-3.0379171901354984E-2</v>
      </c>
      <c r="D356" s="9">
        <f t="shared" si="427"/>
        <v>-0.15189585950677492</v>
      </c>
      <c r="E356" s="8">
        <v>1.7</v>
      </c>
      <c r="F356" s="8">
        <f t="shared" si="431"/>
        <v>2.9960762999087343</v>
      </c>
      <c r="G356" s="9">
        <f t="shared" si="428"/>
        <v>0.27237057271897586</v>
      </c>
      <c r="H356" s="8">
        <v>-0.1202</v>
      </c>
      <c r="I356" s="8">
        <f t="shared" si="432"/>
        <v>-0.31280394714068271</v>
      </c>
      <c r="J356" s="9">
        <f t="shared" si="433"/>
        <v>-0.1128039471406827</v>
      </c>
      <c r="K356" s="8">
        <v>0.504</v>
      </c>
      <c r="L356" s="8">
        <f t="shared" si="434"/>
        <v>0.49169156659999813</v>
      </c>
      <c r="M356" s="9">
        <f t="shared" si="429"/>
        <v>0.49169156659999813</v>
      </c>
      <c r="O356" s="11">
        <f t="shared" si="435"/>
        <v>0.19427744877111208</v>
      </c>
      <c r="P356" s="15" t="str">
        <f t="shared" si="440"/>
        <v>SD</v>
      </c>
      <c r="Q356" t="str">
        <f t="shared" si="446"/>
        <v>SD</v>
      </c>
      <c r="R356" s="18">
        <f t="shared" si="450"/>
        <v>0.21149449033467677</v>
      </c>
      <c r="S356" t="str">
        <f t="shared" si="451"/>
        <v>SD</v>
      </c>
      <c r="T356">
        <v>0</v>
      </c>
      <c r="V356" s="17">
        <f t="shared" si="452"/>
        <v>43646</v>
      </c>
      <c r="W356" s="1">
        <f t="shared" si="436"/>
        <v>0.19427744877111208</v>
      </c>
      <c r="X356" s="1">
        <f t="shared" si="437"/>
        <v>0.19427744877111208</v>
      </c>
      <c r="Y356" s="1" t="e">
        <f t="shared" si="438"/>
        <v>#N/A</v>
      </c>
      <c r="Z356" s="1" t="e">
        <f t="shared" si="439"/>
        <v>#N/A</v>
      </c>
      <c r="AA356">
        <v>0</v>
      </c>
      <c r="AB356" s="1">
        <v>-68.3</v>
      </c>
      <c r="AD356" s="17">
        <f t="shared" si="441"/>
        <v>43646</v>
      </c>
      <c r="AE356" s="1">
        <f t="shared" si="442"/>
        <v>0.19427744877111208</v>
      </c>
      <c r="AF356" s="1">
        <f t="shared" si="443"/>
        <v>0.19427744877111208</v>
      </c>
      <c r="AG356" s="1" t="e">
        <f t="shared" si="444"/>
        <v>#N/A</v>
      </c>
      <c r="AH356" s="1" t="e">
        <f t="shared" si="445"/>
        <v>#N/A</v>
      </c>
      <c r="AO356" s="17">
        <f t="shared" si="447"/>
        <v>43646</v>
      </c>
      <c r="AP356">
        <f t="shared" si="448"/>
        <v>3</v>
      </c>
      <c r="AQ356">
        <f t="shared" si="449"/>
        <v>3</v>
      </c>
    </row>
    <row r="357" spans="1:43">
      <c r="A357" s="7">
        <v>43677</v>
      </c>
      <c r="B357" s="8">
        <v>-5.5878999999999998E-2</v>
      </c>
      <c r="C357" s="8">
        <f t="shared" si="430"/>
        <v>-3.764662290946881E-2</v>
      </c>
      <c r="D357" s="9">
        <f t="shared" si="427"/>
        <v>-0.18823311454734404</v>
      </c>
      <c r="E357" s="8">
        <v>1.4</v>
      </c>
      <c r="F357" s="8">
        <f t="shared" si="431"/>
        <v>2.5411945544347447</v>
      </c>
      <c r="G357" s="9">
        <f t="shared" si="428"/>
        <v>0.23101768676679499</v>
      </c>
      <c r="H357" s="8">
        <v>-0.26519999999999999</v>
      </c>
      <c r="I357" s="8">
        <f t="shared" si="432"/>
        <v>-0.29923682220558812</v>
      </c>
      <c r="J357" s="9">
        <f t="shared" si="433"/>
        <v>-9.9236822205588104E-2</v>
      </c>
      <c r="K357" s="8">
        <v>0.71299999999999997</v>
      </c>
      <c r="L357" s="8">
        <f t="shared" si="434"/>
        <v>0.55476447011899865</v>
      </c>
      <c r="M357" s="9">
        <f t="shared" si="429"/>
        <v>0.55476447011899865</v>
      </c>
      <c r="O357" s="11">
        <f t="shared" si="435"/>
        <v>0.19954615473498152</v>
      </c>
      <c r="P357" s="15" t="str">
        <f t="shared" si="440"/>
        <v>E</v>
      </c>
      <c r="Q357" t="str">
        <f t="shared" si="446"/>
        <v>SD</v>
      </c>
      <c r="R357" s="18">
        <f t="shared" si="450"/>
        <v>0.21149449033467677</v>
      </c>
      <c r="S357" t="str">
        <f t="shared" si="451"/>
        <v>E</v>
      </c>
      <c r="T357">
        <v>0</v>
      </c>
      <c r="V357" s="17">
        <f t="shared" si="452"/>
        <v>43677</v>
      </c>
      <c r="W357" s="1">
        <f t="shared" si="436"/>
        <v>0.19954615473498152</v>
      </c>
      <c r="X357" s="1">
        <f t="shared" si="437"/>
        <v>0.19954615473498152</v>
      </c>
      <c r="Y357" s="1" t="e">
        <f t="shared" si="438"/>
        <v>#N/A</v>
      </c>
      <c r="Z357" s="1" t="e">
        <f t="shared" si="439"/>
        <v>#N/A</v>
      </c>
      <c r="AA357">
        <v>0</v>
      </c>
      <c r="AB357" s="1">
        <v>-33.799999999999997</v>
      </c>
      <c r="AD357" s="17">
        <f t="shared" si="441"/>
        <v>43677</v>
      </c>
      <c r="AE357" s="1">
        <f t="shared" si="442"/>
        <v>0.19954615473498152</v>
      </c>
      <c r="AF357" s="1">
        <f t="shared" si="443"/>
        <v>0.19954615473498152</v>
      </c>
      <c r="AG357" s="1" t="e">
        <f t="shared" si="444"/>
        <v>#N/A</v>
      </c>
      <c r="AH357" s="1" t="e">
        <f t="shared" si="445"/>
        <v>#N/A</v>
      </c>
      <c r="AO357" s="17">
        <f t="shared" si="447"/>
        <v>43677</v>
      </c>
      <c r="AP357">
        <f t="shared" si="448"/>
        <v>4</v>
      </c>
      <c r="AQ357">
        <f t="shared" si="449"/>
        <v>3</v>
      </c>
    </row>
    <row r="358" spans="1:43">
      <c r="A358" s="7">
        <v>43708</v>
      </c>
      <c r="B358" s="8">
        <v>-0.31786300000000001</v>
      </c>
      <c r="C358" s="8">
        <f t="shared" si="430"/>
        <v>-0.11750829038027022</v>
      </c>
      <c r="D358" s="9">
        <f t="shared" si="427"/>
        <v>-0.5875414519013511</v>
      </c>
      <c r="E358" s="8">
        <v>0.9</v>
      </c>
      <c r="F358" s="8">
        <f t="shared" si="431"/>
        <v>2.0734541064208423</v>
      </c>
      <c r="G358" s="9">
        <f t="shared" si="428"/>
        <v>0.1884958278564402</v>
      </c>
      <c r="H358" s="8">
        <v>0.21759999999999999</v>
      </c>
      <c r="I358" s="8">
        <f t="shared" si="432"/>
        <v>-0.15193832787699552</v>
      </c>
      <c r="J358" s="9">
        <f t="shared" si="433"/>
        <v>4.8061672123004495E-2</v>
      </c>
      <c r="K358" s="8">
        <v>0.23300000000000001</v>
      </c>
      <c r="L358" s="8">
        <f t="shared" si="434"/>
        <v>0.46306159613508402</v>
      </c>
      <c r="M358" s="9">
        <f t="shared" si="429"/>
        <v>0.46306159613508402</v>
      </c>
      <c r="O358" s="11">
        <f t="shared" si="435"/>
        <v>0.16388814131732993</v>
      </c>
      <c r="P358" s="15" t="str">
        <f t="shared" si="440"/>
        <v>SD</v>
      </c>
      <c r="Q358" t="str">
        <f t="shared" si="446"/>
        <v>SD</v>
      </c>
      <c r="R358" s="18">
        <f t="shared" si="450"/>
        <v>0.16388814131732993</v>
      </c>
      <c r="S358" t="str">
        <f t="shared" si="451"/>
        <v>SD</v>
      </c>
      <c r="T358">
        <v>0</v>
      </c>
      <c r="V358" s="17">
        <f t="shared" si="452"/>
        <v>43708</v>
      </c>
      <c r="W358" s="1" t="e">
        <f t="shared" si="436"/>
        <v>#N/A</v>
      </c>
      <c r="X358" s="1">
        <f t="shared" si="437"/>
        <v>0.16388814131732993</v>
      </c>
      <c r="Y358" s="1" t="e">
        <f t="shared" si="438"/>
        <v>#N/A</v>
      </c>
      <c r="Z358" s="1" t="e">
        <f t="shared" si="439"/>
        <v>#N/A</v>
      </c>
      <c r="AA358">
        <v>0</v>
      </c>
      <c r="AB358" s="1">
        <v>-12.6</v>
      </c>
      <c r="AD358" s="17">
        <f t="shared" si="441"/>
        <v>43708</v>
      </c>
      <c r="AE358" s="1" t="e">
        <f t="shared" si="442"/>
        <v>#N/A</v>
      </c>
      <c r="AF358" s="1">
        <f t="shared" si="443"/>
        <v>0.16388814131732993</v>
      </c>
      <c r="AG358" s="1" t="e">
        <f t="shared" si="444"/>
        <v>#N/A</v>
      </c>
      <c r="AH358" s="1" t="e">
        <f t="shared" si="445"/>
        <v>#N/A</v>
      </c>
      <c r="AO358" s="17">
        <f t="shared" si="447"/>
        <v>43708</v>
      </c>
      <c r="AP358">
        <f t="shared" si="448"/>
        <v>3</v>
      </c>
      <c r="AQ358">
        <f t="shared" si="449"/>
        <v>3</v>
      </c>
    </row>
    <row r="359" spans="1:43">
      <c r="A359" s="7">
        <v>43738</v>
      </c>
      <c r="B359" s="8">
        <v>-0.184174</v>
      </c>
      <c r="C359" s="8">
        <f t="shared" si="430"/>
        <v>-0.13650801762189321</v>
      </c>
      <c r="D359" s="9">
        <f t="shared" si="427"/>
        <v>-0.68254008810946598</v>
      </c>
      <c r="E359" s="8">
        <v>0.1</v>
      </c>
      <c r="F359" s="8">
        <f t="shared" si="431"/>
        <v>1.5110196860909022</v>
      </c>
      <c r="G359" s="9">
        <f t="shared" si="428"/>
        <v>0.13736542600826385</v>
      </c>
      <c r="H359" s="8">
        <v>-0.50780000000000003</v>
      </c>
      <c r="I359" s="8">
        <f t="shared" si="432"/>
        <v>-0.25335890443205178</v>
      </c>
      <c r="J359" s="9">
        <f t="shared" si="433"/>
        <v>-5.3358904432051768E-2</v>
      </c>
      <c r="K359" s="8">
        <v>0.182</v>
      </c>
      <c r="L359" s="8">
        <f t="shared" si="434"/>
        <v>0.38295904123658508</v>
      </c>
      <c r="M359" s="9">
        <f t="shared" si="429"/>
        <v>0.38295904123658508</v>
      </c>
      <c r="O359" s="11">
        <f t="shared" si="435"/>
        <v>8.7174780587345443E-2</v>
      </c>
      <c r="P359" s="15" t="str">
        <f t="shared" si="440"/>
        <v>SD</v>
      </c>
      <c r="Q359" t="str">
        <f t="shared" si="446"/>
        <v>SD</v>
      </c>
      <c r="R359" s="18">
        <f t="shared" si="450"/>
        <v>0.16388814131732993</v>
      </c>
      <c r="S359" t="str">
        <f t="shared" si="451"/>
        <v>SD</v>
      </c>
      <c r="T359">
        <v>0</v>
      </c>
      <c r="V359" s="17">
        <f t="shared" si="452"/>
        <v>43738</v>
      </c>
      <c r="W359" s="1" t="e">
        <f t="shared" si="436"/>
        <v>#N/A</v>
      </c>
      <c r="X359" s="1">
        <f t="shared" si="437"/>
        <v>8.7174780587345443E-2</v>
      </c>
      <c r="Y359" s="1" t="e">
        <f t="shared" si="438"/>
        <v>#N/A</v>
      </c>
      <c r="Z359" s="1" t="e">
        <f t="shared" si="439"/>
        <v>#N/A</v>
      </c>
      <c r="AA359">
        <v>0</v>
      </c>
      <c r="AB359" s="1">
        <v>43</v>
      </c>
      <c r="AD359" s="17">
        <f t="shared" si="441"/>
        <v>43738</v>
      </c>
      <c r="AE359" s="1" t="e">
        <f t="shared" si="442"/>
        <v>#N/A</v>
      </c>
      <c r="AF359" s="1">
        <f t="shared" si="443"/>
        <v>8.7174780587345443E-2</v>
      </c>
      <c r="AG359" s="1" t="e">
        <f t="shared" si="444"/>
        <v>#N/A</v>
      </c>
      <c r="AH359" s="1" t="e">
        <f t="shared" si="445"/>
        <v>#N/A</v>
      </c>
      <c r="AO359" s="17">
        <f t="shared" si="447"/>
        <v>43738</v>
      </c>
      <c r="AP359">
        <f t="shared" si="448"/>
        <v>3</v>
      </c>
      <c r="AQ359">
        <f t="shared" si="449"/>
        <v>3</v>
      </c>
    </row>
    <row r="360" spans="1:43">
      <c r="A360" s="7">
        <v>43769</v>
      </c>
      <c r="B360" s="8">
        <v>-0.17119899999999999</v>
      </c>
      <c r="C360" s="8">
        <f t="shared" si="430"/>
        <v>-0.14639494759965366</v>
      </c>
      <c r="D360" s="9">
        <f t="shared" si="427"/>
        <v>-0.73197473799826829</v>
      </c>
      <c r="E360" s="8">
        <v>-0.4</v>
      </c>
      <c r="F360" s="8">
        <f t="shared" si="431"/>
        <v>0.96637907555499514</v>
      </c>
      <c r="G360" s="9">
        <f t="shared" si="428"/>
        <v>8.7852643232272279E-2</v>
      </c>
      <c r="H360" s="8">
        <v>-0.79590000000000005</v>
      </c>
      <c r="I360" s="8">
        <f t="shared" si="432"/>
        <v>-0.40798311666891707</v>
      </c>
      <c r="J360" s="9">
        <f t="shared" si="433"/>
        <v>-0.20798311666891706</v>
      </c>
      <c r="K360" s="8">
        <v>0.26200000000000001</v>
      </c>
      <c r="L360" s="8">
        <f t="shared" si="434"/>
        <v>0.34848571448415833</v>
      </c>
      <c r="M360" s="9">
        <f t="shared" si="429"/>
        <v>0.34848571448415833</v>
      </c>
      <c r="O360" s="11">
        <f t="shared" si="435"/>
        <v>1.0162933347224706E-2</v>
      </c>
      <c r="P360" s="15" t="str">
        <f t="shared" si="440"/>
        <v>SD</v>
      </c>
      <c r="Q360" t="str">
        <f t="shared" si="446"/>
        <v>SD</v>
      </c>
      <c r="R360" s="18">
        <f t="shared" si="450"/>
        <v>0.16388814131732993</v>
      </c>
      <c r="S360" t="str">
        <f t="shared" si="451"/>
        <v>SD</v>
      </c>
      <c r="T360">
        <v>0</v>
      </c>
      <c r="V360" s="17">
        <f t="shared" si="452"/>
        <v>43769</v>
      </c>
      <c r="W360" s="1">
        <f t="shared" si="436"/>
        <v>1.0162933347224706E-2</v>
      </c>
      <c r="X360" s="1">
        <f t="shared" si="437"/>
        <v>1.0162933347224706E-2</v>
      </c>
      <c r="Y360" s="1" t="e">
        <f t="shared" si="438"/>
        <v>#N/A</v>
      </c>
      <c r="Z360" s="1" t="e">
        <f t="shared" si="439"/>
        <v>#N/A</v>
      </c>
      <c r="AA360">
        <v>0</v>
      </c>
      <c r="AB360" s="1">
        <v>4.7</v>
      </c>
      <c r="AD360" s="17">
        <f t="shared" si="441"/>
        <v>43769</v>
      </c>
      <c r="AE360" s="1">
        <f t="shared" si="442"/>
        <v>1.0162933347224706E-2</v>
      </c>
      <c r="AF360" s="1">
        <f t="shared" si="443"/>
        <v>1.0162933347224706E-2</v>
      </c>
      <c r="AG360" s="1" t="e">
        <f t="shared" si="444"/>
        <v>#N/A</v>
      </c>
      <c r="AH360" s="1" t="e">
        <f t="shared" si="445"/>
        <v>#N/A</v>
      </c>
      <c r="AO360" s="17">
        <f t="shared" si="447"/>
        <v>43769</v>
      </c>
      <c r="AP360">
        <f t="shared" si="448"/>
        <v>3</v>
      </c>
      <c r="AQ360">
        <f t="shared" si="449"/>
        <v>3</v>
      </c>
    </row>
    <row r="361" spans="1:43">
      <c r="A361" s="7">
        <v>43799</v>
      </c>
      <c r="B361" s="8">
        <v>-3.0249000000000002E-2</v>
      </c>
      <c r="C361" s="8">
        <f t="shared" si="430"/>
        <v>-0.11329335253375236</v>
      </c>
      <c r="D361" s="9">
        <f t="shared" si="427"/>
        <v>-0.56646676266876173</v>
      </c>
      <c r="E361" s="8">
        <v>-0.3</v>
      </c>
      <c r="F361" s="8">
        <f t="shared" si="431"/>
        <v>0.60546103902182147</v>
      </c>
      <c r="G361" s="9">
        <f t="shared" si="428"/>
        <v>5.5041912638347408E-2</v>
      </c>
      <c r="H361" s="8">
        <v>-0.1105</v>
      </c>
      <c r="I361" s="8">
        <f t="shared" si="432"/>
        <v>-0.32320042841827568</v>
      </c>
      <c r="J361" s="9">
        <f t="shared" si="433"/>
        <v>-0.12320042841827566</v>
      </c>
      <c r="K361" s="8">
        <v>0.441</v>
      </c>
      <c r="L361" s="8">
        <f t="shared" si="434"/>
        <v>0.37485228585617325</v>
      </c>
      <c r="M361" s="9">
        <f t="shared" si="429"/>
        <v>0.37485228585617325</v>
      </c>
      <c r="O361" s="11">
        <f t="shared" si="435"/>
        <v>4.5204673934174787E-2</v>
      </c>
      <c r="P361" s="15" t="str">
        <f t="shared" si="440"/>
        <v>E</v>
      </c>
      <c r="Q361" t="str">
        <f t="shared" si="446"/>
        <v>SD</v>
      </c>
      <c r="R361" s="18">
        <f t="shared" si="450"/>
        <v>0.16388814131732993</v>
      </c>
      <c r="S361" t="str">
        <f t="shared" si="451"/>
        <v>E</v>
      </c>
      <c r="T361">
        <v>0</v>
      </c>
      <c r="V361" s="17">
        <f t="shared" si="452"/>
        <v>43799</v>
      </c>
      <c r="W361" s="1">
        <f t="shared" si="436"/>
        <v>4.5204673934174787E-2</v>
      </c>
      <c r="X361" s="1" t="e">
        <f t="shared" si="437"/>
        <v>#N/A</v>
      </c>
      <c r="Y361" s="1" t="e">
        <f t="shared" si="438"/>
        <v>#N/A</v>
      </c>
      <c r="Z361" s="1" t="e">
        <f t="shared" si="439"/>
        <v>#N/A</v>
      </c>
      <c r="AA361">
        <v>0</v>
      </c>
      <c r="AB361" s="1">
        <v>13.8</v>
      </c>
      <c r="AD361" s="17">
        <f t="shared" si="441"/>
        <v>43799</v>
      </c>
      <c r="AE361" s="1">
        <f t="shared" si="442"/>
        <v>4.5204673934174787E-2</v>
      </c>
      <c r="AF361" s="1" t="e">
        <f t="shared" si="443"/>
        <v>#N/A</v>
      </c>
      <c r="AG361" s="1" t="e">
        <f t="shared" si="444"/>
        <v>#N/A</v>
      </c>
      <c r="AH361" s="1" t="e">
        <f t="shared" si="445"/>
        <v>#N/A</v>
      </c>
      <c r="AO361" s="17">
        <f t="shared" si="447"/>
        <v>43799</v>
      </c>
      <c r="AP361">
        <f t="shared" si="448"/>
        <v>4</v>
      </c>
      <c r="AQ361">
        <f t="shared" si="449"/>
        <v>3</v>
      </c>
    </row>
    <row r="362" spans="1:43">
      <c r="A362" s="7">
        <v>43830</v>
      </c>
      <c r="B362" s="8">
        <v>0.14103299999999999</v>
      </c>
      <c r="C362" s="8">
        <f t="shared" si="430"/>
        <v>-4.0810342061632934E-2</v>
      </c>
      <c r="D362" s="9">
        <f t="shared" si="427"/>
        <v>-0.20405171030816466</v>
      </c>
      <c r="E362" s="8">
        <v>-0.4</v>
      </c>
      <c r="F362" s="8">
        <f t="shared" si="431"/>
        <v>0.31890464290060228</v>
      </c>
      <c r="G362" s="9">
        <f t="shared" si="428"/>
        <v>2.8991331172782023E-2</v>
      </c>
      <c r="H362" s="8">
        <v>-0.43309999999999998</v>
      </c>
      <c r="I362" s="8">
        <f t="shared" si="432"/>
        <v>-0.3545218063190671</v>
      </c>
      <c r="J362" s="9">
        <f t="shared" si="433"/>
        <v>-0.15452180631906709</v>
      </c>
      <c r="K362" s="8">
        <v>0.53300000000000003</v>
      </c>
      <c r="L362" s="8">
        <f t="shared" si="434"/>
        <v>0.4199243843871639</v>
      </c>
      <c r="M362" s="9">
        <f t="shared" si="429"/>
        <v>0.4199243843871639</v>
      </c>
      <c r="O362" s="11">
        <f t="shared" si="435"/>
        <v>7.5728176181116796E-2</v>
      </c>
      <c r="P362" s="15" t="str">
        <f t="shared" si="440"/>
        <v>E</v>
      </c>
      <c r="Q362" t="str">
        <f t="shared" si="446"/>
        <v>SD</v>
      </c>
      <c r="R362" s="18">
        <f t="shared" si="450"/>
        <v>7.5728176181116796E-2</v>
      </c>
      <c r="S362" t="str">
        <f t="shared" si="451"/>
        <v>E</v>
      </c>
      <c r="T362">
        <v>0</v>
      </c>
      <c r="V362" s="17">
        <f t="shared" si="452"/>
        <v>43830</v>
      </c>
      <c r="W362" s="1">
        <f t="shared" si="436"/>
        <v>7.5728176181116796E-2</v>
      </c>
      <c r="X362" s="1" t="e">
        <f t="shared" si="437"/>
        <v>#N/A</v>
      </c>
      <c r="Y362" s="1" t="e">
        <f t="shared" si="438"/>
        <v>#N/A</v>
      </c>
      <c r="Z362" s="1" t="e">
        <f t="shared" si="439"/>
        <v>#N/A</v>
      </c>
      <c r="AA362">
        <v>0</v>
      </c>
      <c r="AB362" s="1">
        <v>-3.1</v>
      </c>
      <c r="AD362" s="17">
        <f t="shared" si="441"/>
        <v>43830</v>
      </c>
      <c r="AE362" s="1">
        <f t="shared" si="442"/>
        <v>7.5728176181116796E-2</v>
      </c>
      <c r="AF362" s="1" t="e">
        <f t="shared" si="443"/>
        <v>#N/A</v>
      </c>
      <c r="AG362" s="1" t="e">
        <f t="shared" si="444"/>
        <v>#N/A</v>
      </c>
      <c r="AH362" s="1" t="e">
        <f t="shared" si="445"/>
        <v>#N/A</v>
      </c>
      <c r="AO362" s="17">
        <f t="shared" si="447"/>
        <v>43830</v>
      </c>
      <c r="AP362">
        <f t="shared" si="448"/>
        <v>4</v>
      </c>
      <c r="AQ362">
        <f t="shared" si="449"/>
        <v>3</v>
      </c>
    </row>
    <row r="363" spans="1:43">
      <c r="A363" s="7">
        <v>43861</v>
      </c>
      <c r="B363" s="8">
        <v>6.9419999999999996E-2</v>
      </c>
      <c r="C363" s="8">
        <f t="shared" si="430"/>
        <v>-9.3946945740675455E-3</v>
      </c>
      <c r="D363" s="9">
        <f t="shared" si="427"/>
        <v>-4.6973472870337728E-2</v>
      </c>
      <c r="E363" s="8">
        <v>0.3</v>
      </c>
      <c r="F363" s="8">
        <f t="shared" si="431"/>
        <v>0.31351681967393064</v>
      </c>
      <c r="G363" s="9">
        <f t="shared" si="428"/>
        <v>2.850152906126642E-2</v>
      </c>
      <c r="H363" s="8">
        <v>-2.41E-2</v>
      </c>
      <c r="I363" s="8">
        <f t="shared" si="432"/>
        <v>-0.26035159151813297</v>
      </c>
      <c r="J363" s="9">
        <f t="shared" si="433"/>
        <v>-6.0351591518132963E-2</v>
      </c>
      <c r="K363" s="8">
        <v>0.49</v>
      </c>
      <c r="L363" s="8">
        <f t="shared" si="434"/>
        <v>0.43989593483682221</v>
      </c>
      <c r="M363" s="9">
        <f t="shared" si="429"/>
        <v>0.43989593483682221</v>
      </c>
      <c r="O363" s="11">
        <f t="shared" si="435"/>
        <v>0.1178633550604076</v>
      </c>
      <c r="P363" s="15" t="str">
        <f t="shared" si="440"/>
        <v>E</v>
      </c>
      <c r="Q363" t="str">
        <f t="shared" si="446"/>
        <v>SD</v>
      </c>
      <c r="R363" s="18">
        <f t="shared" si="450"/>
        <v>0.1178633550604076</v>
      </c>
      <c r="S363" t="str">
        <f t="shared" si="451"/>
        <v>E</v>
      </c>
      <c r="T363">
        <v>0</v>
      </c>
      <c r="V363" s="17">
        <f t="shared" si="452"/>
        <v>43861</v>
      </c>
      <c r="W363" s="1">
        <f t="shared" si="436"/>
        <v>0.1178633550604076</v>
      </c>
      <c r="X363" s="1" t="e">
        <f t="shared" si="437"/>
        <v>#N/A</v>
      </c>
      <c r="Y363" s="1">
        <f t="shared" si="438"/>
        <v>0.1178633550604076</v>
      </c>
      <c r="Z363" s="1" t="e">
        <f t="shared" si="439"/>
        <v>#N/A</v>
      </c>
      <c r="AA363">
        <v>0</v>
      </c>
      <c r="AB363" s="1">
        <v>7.6</v>
      </c>
      <c r="AD363" s="17">
        <f t="shared" si="441"/>
        <v>43861</v>
      </c>
      <c r="AE363" s="1">
        <f t="shared" si="442"/>
        <v>0.1178633550604076</v>
      </c>
      <c r="AF363" s="1" t="e">
        <f t="shared" si="443"/>
        <v>#N/A</v>
      </c>
      <c r="AG363" s="1">
        <f t="shared" si="444"/>
        <v>0.1178633550604076</v>
      </c>
      <c r="AH363" s="1" t="e">
        <f t="shared" si="445"/>
        <v>#N/A</v>
      </c>
      <c r="AO363" s="17">
        <f t="shared" si="447"/>
        <v>43861</v>
      </c>
      <c r="AP363">
        <f t="shared" si="448"/>
        <v>4</v>
      </c>
      <c r="AQ363">
        <f t="shared" si="449"/>
        <v>3</v>
      </c>
    </row>
    <row r="364" spans="1:43">
      <c r="A364" s="7">
        <v>43890</v>
      </c>
      <c r="B364" s="8">
        <v>-6.1602999999999998E-2</v>
      </c>
      <c r="C364" s="8">
        <f t="shared" si="430"/>
        <v>-2.4274061620458295E-2</v>
      </c>
      <c r="D364" s="9">
        <f t="shared" si="427"/>
        <v>-0.12137030810229148</v>
      </c>
      <c r="E364" s="8">
        <v>0</v>
      </c>
      <c r="F364" s="8">
        <f t="shared" si="431"/>
        <v>0.22416452606686038</v>
      </c>
      <c r="G364" s="9">
        <f t="shared" si="428"/>
        <v>2.037859327880549E-2</v>
      </c>
      <c r="H364" s="8">
        <v>-1.6142000000000001</v>
      </c>
      <c r="I364" s="8">
        <f t="shared" si="432"/>
        <v>-0.64619838793546514</v>
      </c>
      <c r="J364" s="9">
        <f t="shared" si="433"/>
        <v>-0.44619838793546512</v>
      </c>
      <c r="K364" s="8">
        <v>-1.3560000000000001</v>
      </c>
      <c r="L364" s="8">
        <f t="shared" si="434"/>
        <v>-7.1934406591672218E-2</v>
      </c>
      <c r="M364" s="9">
        <f t="shared" si="429"/>
        <v>-3.5967203295836109E-2</v>
      </c>
      <c r="O364" s="11">
        <f t="shared" si="435"/>
        <v>-0.14823624946123959</v>
      </c>
      <c r="P364" s="15" t="str">
        <f t="shared" si="440"/>
        <v>C</v>
      </c>
      <c r="Q364" t="str">
        <f t="shared" si="446"/>
        <v>C</v>
      </c>
      <c r="R364" s="18">
        <f t="shared" si="450"/>
        <v>-0.14823624946123959</v>
      </c>
      <c r="S364" t="str">
        <f t="shared" si="451"/>
        <v>C</v>
      </c>
      <c r="T364">
        <v>0</v>
      </c>
      <c r="V364" s="17">
        <f t="shared" si="452"/>
        <v>43890</v>
      </c>
      <c r="W364" s="1" t="e">
        <f t="shared" si="436"/>
        <v>#N/A</v>
      </c>
      <c r="X364" s="1" t="e">
        <f t="shared" si="437"/>
        <v>#N/A</v>
      </c>
      <c r="Y364" s="1">
        <f t="shared" si="438"/>
        <v>-0.14823624946123959</v>
      </c>
      <c r="Z364" s="1" t="e">
        <f t="shared" si="439"/>
        <v>#N/A</v>
      </c>
      <c r="AA364">
        <v>0</v>
      </c>
      <c r="AB364" s="1">
        <v>49.3</v>
      </c>
      <c r="AD364" s="17">
        <f t="shared" si="441"/>
        <v>43890</v>
      </c>
      <c r="AE364" s="1" t="e">
        <f t="shared" si="442"/>
        <v>#N/A</v>
      </c>
      <c r="AF364" s="1" t="e">
        <f t="shared" si="443"/>
        <v>#N/A</v>
      </c>
      <c r="AG364" s="1">
        <f t="shared" si="444"/>
        <v>-0.14823624946123959</v>
      </c>
      <c r="AH364" s="1" t="e">
        <f t="shared" si="445"/>
        <v>#N/A</v>
      </c>
      <c r="AO364" s="17">
        <f t="shared" si="447"/>
        <v>43890</v>
      </c>
      <c r="AP364">
        <f t="shared" si="448"/>
        <v>1</v>
      </c>
      <c r="AQ364">
        <f t="shared" si="449"/>
        <v>1</v>
      </c>
    </row>
    <row r="365" spans="1:43">
      <c r="A365" s="7">
        <v>43921</v>
      </c>
      <c r="B365" s="8">
        <v>-0.50619800000000004</v>
      </c>
      <c r="C365" s="8">
        <f t="shared" si="430"/>
        <v>-0.16162238405862772</v>
      </c>
      <c r="D365" s="9">
        <f t="shared" si="427"/>
        <v>-0.80811192029313861</v>
      </c>
      <c r="E365" s="8">
        <v>-5.0999999999999996</v>
      </c>
      <c r="F365" s="8">
        <f t="shared" si="431"/>
        <v>-1.2932223638621949</v>
      </c>
      <c r="G365" s="9">
        <f t="shared" si="428"/>
        <v>-0.11756566944201773</v>
      </c>
      <c r="H365" s="8">
        <v>-21.689299999999999</v>
      </c>
      <c r="I365" s="8">
        <f t="shared" si="432"/>
        <v>-6.6434823473738582</v>
      </c>
      <c r="J365" s="9">
        <f t="shared" si="433"/>
        <v>-1.8</v>
      </c>
      <c r="K365" s="8">
        <v>-5.0449999999999999</v>
      </c>
      <c r="L365" s="8">
        <f t="shared" si="434"/>
        <v>-1.4892581007130459</v>
      </c>
      <c r="M365" s="9">
        <f t="shared" si="429"/>
        <v>-1.2203516299464863</v>
      </c>
      <c r="O365" s="11">
        <f t="shared" si="435"/>
        <v>-0.98080310302961815</v>
      </c>
      <c r="P365" s="15" t="str">
        <f t="shared" si="440"/>
        <v>C</v>
      </c>
      <c r="Q365" t="str">
        <f t="shared" si="446"/>
        <v>C</v>
      </c>
      <c r="R365" s="18">
        <f t="shared" si="450"/>
        <v>-0.14823624946123959</v>
      </c>
      <c r="S365" t="str">
        <f t="shared" si="451"/>
        <v>C</v>
      </c>
      <c r="T365">
        <v>0</v>
      </c>
      <c r="V365" s="17">
        <f t="shared" si="452"/>
        <v>43921</v>
      </c>
      <c r="W365" s="1" t="e">
        <f t="shared" si="436"/>
        <v>#N/A</v>
      </c>
      <c r="X365" s="1" t="e">
        <f t="shared" si="437"/>
        <v>#N/A</v>
      </c>
      <c r="Y365" s="1">
        <f t="shared" si="438"/>
        <v>-0.98080310302961815</v>
      </c>
      <c r="Z365" s="1" t="e">
        <f t="shared" si="439"/>
        <v>#N/A</v>
      </c>
      <c r="AA365">
        <v>0</v>
      </c>
      <c r="AB365" s="1">
        <v>-2.9</v>
      </c>
      <c r="AD365" s="17">
        <f t="shared" si="441"/>
        <v>43921</v>
      </c>
      <c r="AE365" s="1" t="e">
        <f t="shared" si="442"/>
        <v>#N/A</v>
      </c>
      <c r="AF365" s="1" t="e">
        <f t="shared" si="443"/>
        <v>#N/A</v>
      </c>
      <c r="AG365" s="1">
        <f t="shared" si="444"/>
        <v>-0.98080310302961815</v>
      </c>
      <c r="AH365" s="1" t="e">
        <f t="shared" si="445"/>
        <v>#N/A</v>
      </c>
      <c r="AO365" s="17">
        <f t="shared" si="447"/>
        <v>43921</v>
      </c>
      <c r="AP365">
        <f t="shared" si="448"/>
        <v>1</v>
      </c>
      <c r="AQ365">
        <f t="shared" si="449"/>
        <v>1</v>
      </c>
    </row>
    <row r="366" spans="1:43">
      <c r="A366" s="7">
        <v>43951</v>
      </c>
      <c r="B366" s="8">
        <v>-0.63177300000000003</v>
      </c>
      <c r="C366" s="8">
        <f t="shared" si="430"/>
        <v>-0.29561530960191884</v>
      </c>
      <c r="D366" s="9">
        <f t="shared" si="427"/>
        <v>-1.4780765480095941</v>
      </c>
      <c r="E366" s="8">
        <v>-10.3</v>
      </c>
      <c r="F366" s="8">
        <f t="shared" si="431"/>
        <v>-3.8601539901614701</v>
      </c>
      <c r="G366" s="9">
        <f t="shared" si="428"/>
        <v>-0.35092309001467908</v>
      </c>
      <c r="H366" s="8">
        <v>-20.143599999999999</v>
      </c>
      <c r="I366" s="8">
        <f t="shared" si="432"/>
        <v>-10.491015878372309</v>
      </c>
      <c r="J366" s="9">
        <f t="shared" si="433"/>
        <v>-1.8</v>
      </c>
      <c r="K366" s="8">
        <v>-1.9159999999999999</v>
      </c>
      <c r="L366" s="8">
        <f t="shared" si="434"/>
        <v>-1.6108795420098276</v>
      </c>
      <c r="M366" s="9">
        <f t="shared" si="429"/>
        <v>-1.2692042948279949</v>
      </c>
      <c r="O366" s="11">
        <f t="shared" si="435"/>
        <v>-1.1038386440819632</v>
      </c>
      <c r="P366" s="15" t="str">
        <f t="shared" si="440"/>
        <v>C</v>
      </c>
      <c r="Q366" t="str">
        <f t="shared" si="446"/>
        <v>C</v>
      </c>
      <c r="R366" s="18">
        <f t="shared" si="450"/>
        <v>-0.14823624946123959</v>
      </c>
      <c r="S366" t="str">
        <f t="shared" si="451"/>
        <v>C</v>
      </c>
      <c r="T366">
        <v>0</v>
      </c>
      <c r="V366" s="17">
        <f t="shared" si="452"/>
        <v>43951</v>
      </c>
      <c r="W366" s="1" t="e">
        <f t="shared" si="436"/>
        <v>#N/A</v>
      </c>
      <c r="X366" s="1" t="e">
        <f t="shared" si="437"/>
        <v>#N/A</v>
      </c>
      <c r="Y366" s="1">
        <f t="shared" si="438"/>
        <v>-1.1038386440819632</v>
      </c>
      <c r="Z366" s="1" t="e">
        <f t="shared" si="439"/>
        <v>#N/A</v>
      </c>
      <c r="AA366">
        <v>0</v>
      </c>
      <c r="AB366" s="1">
        <v>-144.6</v>
      </c>
      <c r="AD366" s="17">
        <f t="shared" si="441"/>
        <v>43951</v>
      </c>
      <c r="AE366" s="1" t="e">
        <f t="shared" si="442"/>
        <v>#N/A</v>
      </c>
      <c r="AF366" s="1" t="e">
        <f t="shared" si="443"/>
        <v>#N/A</v>
      </c>
      <c r="AG366" s="1">
        <f t="shared" si="444"/>
        <v>-1.1038386440819632</v>
      </c>
      <c r="AH366" s="1" t="e">
        <f t="shared" si="445"/>
        <v>#N/A</v>
      </c>
      <c r="AO366" s="17">
        <f t="shared" si="447"/>
        <v>43951</v>
      </c>
      <c r="AP366">
        <f t="shared" si="448"/>
        <v>1</v>
      </c>
      <c r="AQ366">
        <f t="shared" si="449"/>
        <v>1</v>
      </c>
    </row>
    <row r="367" spans="1:43">
      <c r="A367" s="7">
        <v>43982</v>
      </c>
      <c r="B367" s="8">
        <v>-0.64444100000000004</v>
      </c>
      <c r="C367" s="8">
        <f t="shared" si="430"/>
        <v>-0.39503063136537198</v>
      </c>
      <c r="D367" s="9">
        <f t="shared" si="427"/>
        <v>-1.9751531568268599</v>
      </c>
      <c r="E367" s="8">
        <v>-8.8000000000000007</v>
      </c>
      <c r="F367" s="8">
        <f t="shared" si="431"/>
        <v>-5.2680101029654516</v>
      </c>
      <c r="G367" s="9">
        <f t="shared" si="428"/>
        <v>-0.4789100093604956</v>
      </c>
      <c r="H367" s="8">
        <v>7.3106999999999998</v>
      </c>
      <c r="I367" s="8">
        <f t="shared" si="432"/>
        <v>-5.4175268530362004</v>
      </c>
      <c r="J367" s="9">
        <f t="shared" si="433"/>
        <v>-1.8</v>
      </c>
      <c r="K367" s="8">
        <v>-0.60299999999999998</v>
      </c>
      <c r="L367" s="8">
        <f t="shared" si="434"/>
        <v>-1.3236338725370267</v>
      </c>
      <c r="M367" s="9">
        <f t="shared" si="429"/>
        <v>-1.1504928824364915</v>
      </c>
      <c r="O367" s="11">
        <f t="shared" si="435"/>
        <v>-1.1879401074180371</v>
      </c>
      <c r="P367" s="15" t="str">
        <f t="shared" si="440"/>
        <v>C</v>
      </c>
      <c r="Q367" t="str">
        <f t="shared" si="446"/>
        <v>C</v>
      </c>
      <c r="R367" s="18">
        <f t="shared" si="450"/>
        <v>-0.14823624946123959</v>
      </c>
      <c r="S367" t="str">
        <f t="shared" si="451"/>
        <v>C</v>
      </c>
      <c r="T367">
        <v>0</v>
      </c>
      <c r="V367" s="17">
        <f t="shared" si="452"/>
        <v>43982</v>
      </c>
      <c r="W367" s="1" t="e">
        <f t="shared" si="436"/>
        <v>#N/A</v>
      </c>
      <c r="X367" s="1" t="e">
        <f t="shared" si="437"/>
        <v>#N/A</v>
      </c>
      <c r="Y367" s="1">
        <f t="shared" si="438"/>
        <v>-1.1879401074180371</v>
      </c>
      <c r="Z367" s="1">
        <f t="shared" si="439"/>
        <v>-1.1879401074180371</v>
      </c>
      <c r="AA367">
        <v>0</v>
      </c>
      <c r="AB367" s="1">
        <v>-55.1</v>
      </c>
      <c r="AD367" s="17">
        <f t="shared" si="441"/>
        <v>43982</v>
      </c>
      <c r="AE367" s="1" t="e">
        <f t="shared" si="442"/>
        <v>#N/A</v>
      </c>
      <c r="AF367" s="1" t="e">
        <f t="shared" si="443"/>
        <v>#N/A</v>
      </c>
      <c r="AG367" s="1">
        <f t="shared" si="444"/>
        <v>-1.1879401074180371</v>
      </c>
      <c r="AH367" s="1">
        <f t="shared" si="445"/>
        <v>-1.1879401074180371</v>
      </c>
      <c r="AO367" s="17">
        <f t="shared" si="447"/>
        <v>43982</v>
      </c>
      <c r="AP367">
        <f t="shared" si="448"/>
        <v>1</v>
      </c>
      <c r="AQ367">
        <f t="shared" si="449"/>
        <v>1</v>
      </c>
    </row>
    <row r="368" spans="1:43">
      <c r="A368" s="7">
        <v>44012</v>
      </c>
      <c r="B368" s="8">
        <v>-0.572492</v>
      </c>
      <c r="C368" s="8">
        <f t="shared" si="430"/>
        <v>-0.44560712142624098</v>
      </c>
      <c r="D368" s="9">
        <f t="shared" si="427"/>
        <v>-2.2280356071312046</v>
      </c>
      <c r="E368" s="8">
        <v>-6.7</v>
      </c>
      <c r="F368" s="8">
        <f t="shared" si="431"/>
        <v>-5.6761272236202975</v>
      </c>
      <c r="G368" s="9">
        <f t="shared" si="428"/>
        <v>-0.51601156578366336</v>
      </c>
      <c r="H368" s="8">
        <v>8.6822999999999997</v>
      </c>
      <c r="I368" s="8">
        <f t="shared" si="432"/>
        <v>-1.3990761999208829</v>
      </c>
      <c r="J368" s="9">
        <f t="shared" si="433"/>
        <v>-0.98282551541674268</v>
      </c>
      <c r="K368" s="8">
        <v>-0.52100000000000002</v>
      </c>
      <c r="L368" s="8">
        <f t="shared" si="434"/>
        <v>-1.0948832188639741</v>
      </c>
      <c r="M368" s="9">
        <f t="shared" si="429"/>
        <v>-1.0463666751497651</v>
      </c>
      <c r="O368" s="11">
        <f t="shared" si="435"/>
        <v>-0.97523422069122134</v>
      </c>
      <c r="P368" s="15" t="str">
        <f t="shared" si="440"/>
        <v>R</v>
      </c>
      <c r="Q368" t="str">
        <f t="shared" si="446"/>
        <v>R</v>
      </c>
      <c r="R368" s="18">
        <f t="shared" si="450"/>
        <v>-0.97523422069122134</v>
      </c>
      <c r="S368" t="str">
        <f t="shared" si="451"/>
        <v>R</v>
      </c>
      <c r="T368">
        <v>0</v>
      </c>
      <c r="V368" s="17">
        <f t="shared" si="452"/>
        <v>44012</v>
      </c>
      <c r="W368" s="1" t="e">
        <f t="shared" si="436"/>
        <v>#N/A</v>
      </c>
      <c r="X368" s="1" t="e">
        <f t="shared" si="437"/>
        <v>#N/A</v>
      </c>
      <c r="Y368" s="1" t="e">
        <f t="shared" si="438"/>
        <v>#N/A</v>
      </c>
      <c r="Z368" s="1">
        <f t="shared" si="439"/>
        <v>-0.97523422069122134</v>
      </c>
      <c r="AA368">
        <v>0</v>
      </c>
      <c r="AB368" s="1">
        <v>181.2</v>
      </c>
      <c r="AD368" s="17">
        <f t="shared" si="441"/>
        <v>44012</v>
      </c>
      <c r="AE368" s="1" t="e">
        <f t="shared" si="442"/>
        <v>#N/A</v>
      </c>
      <c r="AF368" s="1" t="e">
        <f t="shared" si="443"/>
        <v>#N/A</v>
      </c>
      <c r="AG368" s="1" t="e">
        <f t="shared" si="444"/>
        <v>#N/A</v>
      </c>
      <c r="AH368" s="1">
        <f t="shared" si="445"/>
        <v>-0.97523422069122134</v>
      </c>
      <c r="AO368" s="17">
        <f t="shared" si="447"/>
        <v>44012</v>
      </c>
      <c r="AP368">
        <f t="shared" si="448"/>
        <v>2</v>
      </c>
      <c r="AQ368">
        <f t="shared" si="449"/>
        <v>2</v>
      </c>
    </row>
    <row r="369" spans="1:43">
      <c r="A369" s="7">
        <v>44043</v>
      </c>
      <c r="B369" s="8">
        <v>-0.454702</v>
      </c>
      <c r="C369" s="8">
        <f t="shared" si="430"/>
        <v>-0.44819916181976227</v>
      </c>
      <c r="D369" s="9">
        <f t="shared" si="427"/>
        <v>-2.2409958090988114</v>
      </c>
      <c r="E369" s="8">
        <v>-5.3</v>
      </c>
      <c r="F369" s="8">
        <f t="shared" si="431"/>
        <v>-5.568930964888513</v>
      </c>
      <c r="G369" s="9">
        <f t="shared" si="428"/>
        <v>-0.50626645135350123</v>
      </c>
      <c r="H369" s="8">
        <v>5.2610000000000001</v>
      </c>
      <c r="I369" s="8">
        <f t="shared" si="432"/>
        <v>0.49904551705656885</v>
      </c>
      <c r="J369" s="9">
        <f t="shared" si="433"/>
        <v>0.69904551705656881</v>
      </c>
      <c r="K369" s="8">
        <v>3.5000000000000003E-2</v>
      </c>
      <c r="L369" s="8">
        <f t="shared" si="434"/>
        <v>-0.7728665014877415</v>
      </c>
      <c r="M369" s="9">
        <f t="shared" si="429"/>
        <v>-0.38643325074387075</v>
      </c>
      <c r="O369" s="11">
        <f t="shared" si="435"/>
        <v>-0.28511937075117072</v>
      </c>
      <c r="P369" s="15" t="str">
        <f t="shared" si="440"/>
        <v>R</v>
      </c>
      <c r="Q369" t="str">
        <f t="shared" si="446"/>
        <v>R</v>
      </c>
      <c r="R369" s="18">
        <f t="shared" si="450"/>
        <v>-0.97523422069122134</v>
      </c>
      <c r="S369" t="str">
        <f t="shared" si="451"/>
        <v>R</v>
      </c>
      <c r="T369">
        <v>0</v>
      </c>
      <c r="V369" s="17">
        <f t="shared" si="452"/>
        <v>44043</v>
      </c>
      <c r="W369" s="1" t="e">
        <f t="shared" si="436"/>
        <v>#N/A</v>
      </c>
      <c r="X369" s="1" t="e">
        <f t="shared" si="437"/>
        <v>#N/A</v>
      </c>
      <c r="Y369" s="1" t="e">
        <f t="shared" si="438"/>
        <v>#N/A</v>
      </c>
      <c r="Z369" s="1">
        <f t="shared" si="439"/>
        <v>-0.28511937075117072</v>
      </c>
      <c r="AA369">
        <v>0</v>
      </c>
      <c r="AB369" s="1">
        <v>246.8</v>
      </c>
      <c r="AD369" s="17">
        <f t="shared" si="441"/>
        <v>44043</v>
      </c>
      <c r="AE369" s="1" t="e">
        <f t="shared" si="442"/>
        <v>#N/A</v>
      </c>
      <c r="AF369" s="1" t="e">
        <f t="shared" si="443"/>
        <v>#N/A</v>
      </c>
      <c r="AG369" s="1" t="e">
        <f t="shared" si="444"/>
        <v>#N/A</v>
      </c>
      <c r="AH369" s="1">
        <f t="shared" si="445"/>
        <v>-0.28511937075117072</v>
      </c>
      <c r="AO369" s="17">
        <f t="shared" si="447"/>
        <v>44043</v>
      </c>
      <c r="AP369">
        <f t="shared" si="448"/>
        <v>2</v>
      </c>
      <c r="AQ369">
        <f t="shared" si="449"/>
        <v>2</v>
      </c>
    </row>
    <row r="370" spans="1:43">
      <c r="A370" s="7">
        <v>44074</v>
      </c>
      <c r="B370" s="8">
        <v>-0.34943400000000002</v>
      </c>
      <c r="C370" s="8">
        <f t="shared" si="430"/>
        <v>-0.42005109070113006</v>
      </c>
      <c r="D370" s="9">
        <f t="shared" si="427"/>
        <v>-2.1002554535056501</v>
      </c>
      <c r="E370" s="8">
        <v>-4.3</v>
      </c>
      <c r="F370" s="8">
        <f t="shared" si="431"/>
        <v>-5.2072856398952867</v>
      </c>
      <c r="G370" s="9">
        <f t="shared" si="428"/>
        <v>-0.47338960362684424</v>
      </c>
      <c r="H370" s="8">
        <v>2.4660000000000002</v>
      </c>
      <c r="I370" s="8">
        <f t="shared" si="432"/>
        <v>1.0596275446954468</v>
      </c>
      <c r="J370" s="9">
        <f t="shared" si="433"/>
        <v>1.2293821179209627</v>
      </c>
      <c r="K370" s="8">
        <v>0.14299999999999999</v>
      </c>
      <c r="L370" s="8">
        <f t="shared" si="434"/>
        <v>-0.51184454856373518</v>
      </c>
      <c r="M370" s="9">
        <f t="shared" si="429"/>
        <v>-0.25592227428186759</v>
      </c>
      <c r="O370" s="11">
        <f t="shared" si="435"/>
        <v>-6.9867527664886853E-2</v>
      </c>
      <c r="P370" s="15" t="str">
        <f t="shared" si="440"/>
        <v>R</v>
      </c>
      <c r="Q370" t="str">
        <f t="shared" si="446"/>
        <v>R</v>
      </c>
      <c r="R370" s="18">
        <f t="shared" si="450"/>
        <v>-0.97523422069122134</v>
      </c>
      <c r="S370" t="str">
        <f t="shared" si="451"/>
        <v>R</v>
      </c>
      <c r="T370">
        <v>0</v>
      </c>
      <c r="V370" s="17">
        <f t="shared" si="452"/>
        <v>44074</v>
      </c>
      <c r="W370" s="1">
        <f t="shared" si="436"/>
        <v>-6.9867527664886853E-2</v>
      </c>
      <c r="X370" s="1" t="e">
        <f t="shared" si="437"/>
        <v>#N/A</v>
      </c>
      <c r="Y370" s="1" t="e">
        <f t="shared" si="438"/>
        <v>#N/A</v>
      </c>
      <c r="Z370" s="1">
        <f t="shared" si="439"/>
        <v>-6.9867527664886853E-2</v>
      </c>
      <c r="AA370">
        <v>0</v>
      </c>
      <c r="AB370" s="1">
        <v>210.8</v>
      </c>
      <c r="AD370" s="17">
        <f t="shared" si="441"/>
        <v>44074</v>
      </c>
      <c r="AE370" s="1">
        <f t="shared" si="442"/>
        <v>-6.9867527664886853E-2</v>
      </c>
      <c r="AF370" s="1" t="e">
        <f t="shared" si="443"/>
        <v>#N/A</v>
      </c>
      <c r="AG370" s="1" t="e">
        <f t="shared" si="444"/>
        <v>#N/A</v>
      </c>
      <c r="AH370" s="1">
        <f t="shared" si="445"/>
        <v>-6.9867527664886853E-2</v>
      </c>
      <c r="AO370" s="17">
        <f t="shared" si="447"/>
        <v>44074</v>
      </c>
      <c r="AP370">
        <f t="shared" si="448"/>
        <v>2</v>
      </c>
      <c r="AQ370">
        <f t="shared" si="449"/>
        <v>2</v>
      </c>
    </row>
    <row r="371" spans="1:43">
      <c r="A371" s="7">
        <v>44104</v>
      </c>
      <c r="B371" s="8">
        <v>-0.256187</v>
      </c>
      <c r="C371" s="8">
        <f t="shared" si="430"/>
        <v>-0.37334982485130797</v>
      </c>
      <c r="D371" s="9">
        <f t="shared" si="427"/>
        <v>-1.8667491242565397</v>
      </c>
      <c r="E371" s="8">
        <v>-3.5</v>
      </c>
      <c r="F371" s="8">
        <f t="shared" si="431"/>
        <v>-4.7207092325251301</v>
      </c>
      <c r="G371" s="9">
        <f t="shared" si="428"/>
        <v>-0.42915538477501181</v>
      </c>
      <c r="H371" s="8">
        <v>1.3404</v>
      </c>
      <c r="I371" s="8">
        <f t="shared" si="432"/>
        <v>1.1396476944572447</v>
      </c>
      <c r="J371" s="9">
        <f t="shared" si="433"/>
        <v>1.2675428302682963</v>
      </c>
      <c r="K371" s="8">
        <v>0.08</v>
      </c>
      <c r="L371" s="8">
        <f t="shared" si="434"/>
        <v>-0.34316885222307064</v>
      </c>
      <c r="M371" s="9">
        <f t="shared" si="429"/>
        <v>-0.17158442611153532</v>
      </c>
      <c r="O371" s="11">
        <f t="shared" si="435"/>
        <v>9.5727733321004926E-5</v>
      </c>
      <c r="P371" s="15" t="str">
        <f t="shared" si="440"/>
        <v>E</v>
      </c>
      <c r="Q371" t="str">
        <f t="shared" si="446"/>
        <v>E</v>
      </c>
      <c r="R371" s="18">
        <f t="shared" si="450"/>
        <v>9.5727733321004926E-5</v>
      </c>
      <c r="S371" t="str">
        <f t="shared" si="451"/>
        <v>E</v>
      </c>
      <c r="T371">
        <v>0</v>
      </c>
      <c r="V371" s="17">
        <f t="shared" si="452"/>
        <v>44104</v>
      </c>
      <c r="W371" s="1">
        <f t="shared" si="436"/>
        <v>9.5727733321004926E-5</v>
      </c>
      <c r="X371" s="1" t="e">
        <f t="shared" si="437"/>
        <v>#N/A</v>
      </c>
      <c r="Y371" s="1" t="e">
        <f t="shared" si="438"/>
        <v>#N/A</v>
      </c>
      <c r="Z371" s="1" t="e">
        <f t="shared" si="439"/>
        <v>#N/A</v>
      </c>
      <c r="AA371">
        <v>0</v>
      </c>
      <c r="AB371" s="1">
        <v>172.9</v>
      </c>
      <c r="AD371" s="17">
        <f t="shared" si="441"/>
        <v>44104</v>
      </c>
      <c r="AE371" s="1">
        <f t="shared" si="442"/>
        <v>9.5727733321004926E-5</v>
      </c>
      <c r="AF371" s="1" t="e">
        <f t="shared" si="443"/>
        <v>#N/A</v>
      </c>
      <c r="AG371" s="1" t="e">
        <f t="shared" si="444"/>
        <v>#N/A</v>
      </c>
      <c r="AH371" s="1" t="e">
        <f t="shared" si="445"/>
        <v>#N/A</v>
      </c>
      <c r="AO371" s="17">
        <f t="shared" si="447"/>
        <v>44104</v>
      </c>
      <c r="AP371">
        <f t="shared" si="448"/>
        <v>4</v>
      </c>
      <c r="AQ371">
        <f t="shared" si="449"/>
        <v>4</v>
      </c>
    </row>
    <row r="372" spans="1:43">
      <c r="A372" s="7">
        <v>44135</v>
      </c>
      <c r="B372" s="8">
        <v>-0.17221600000000001</v>
      </c>
      <c r="C372" s="8">
        <f t="shared" si="430"/>
        <v>-0.31602668476868523</v>
      </c>
      <c r="D372" s="9">
        <f t="shared" si="427"/>
        <v>-1.5801334238434261</v>
      </c>
      <c r="E372" s="8">
        <v>-2.5</v>
      </c>
      <c r="F372" s="8">
        <f t="shared" si="431"/>
        <v>-4.0878071012554678</v>
      </c>
      <c r="G372" s="9">
        <f t="shared" si="428"/>
        <v>-0.3716188273868607</v>
      </c>
      <c r="H372" s="8">
        <v>0.69840000000000002</v>
      </c>
      <c r="I372" s="8">
        <f t="shared" si="432"/>
        <v>1.01389210153693</v>
      </c>
      <c r="J372" s="9">
        <f t="shared" si="433"/>
        <v>1.206922093082146</v>
      </c>
      <c r="K372" s="8">
        <v>-0.50800000000000001</v>
      </c>
      <c r="L372" s="8">
        <f t="shared" si="434"/>
        <v>-0.39014572933949554</v>
      </c>
      <c r="M372" s="9">
        <f t="shared" si="429"/>
        <v>-0.19507286466974777</v>
      </c>
      <c r="O372" s="11">
        <f t="shared" si="435"/>
        <v>1.6794810706873275E-2</v>
      </c>
      <c r="P372" s="15" t="str">
        <f t="shared" si="440"/>
        <v>E</v>
      </c>
      <c r="Q372" t="str">
        <f t="shared" si="446"/>
        <v>E</v>
      </c>
      <c r="R372" s="18">
        <f t="shared" si="450"/>
        <v>9.5727733321004926E-5</v>
      </c>
      <c r="S372" t="str">
        <f t="shared" si="451"/>
        <v>E</v>
      </c>
      <c r="T372">
        <v>0</v>
      </c>
      <c r="V372" s="17">
        <f t="shared" si="452"/>
        <v>44135</v>
      </c>
      <c r="W372" s="1">
        <f t="shared" si="436"/>
        <v>1.6794810706873275E-2</v>
      </c>
      <c r="X372" s="1" t="e">
        <f t="shared" si="437"/>
        <v>#N/A</v>
      </c>
      <c r="Y372" s="1" t="e">
        <f t="shared" si="438"/>
        <v>#N/A</v>
      </c>
      <c r="Z372" s="1" t="e">
        <f t="shared" si="439"/>
        <v>#N/A</v>
      </c>
      <c r="AA372">
        <v>0</v>
      </c>
      <c r="AB372" s="1">
        <v>114.5</v>
      </c>
      <c r="AD372" s="17">
        <f t="shared" si="441"/>
        <v>44135</v>
      </c>
      <c r="AE372" s="1">
        <f t="shared" si="442"/>
        <v>1.6794810706873275E-2</v>
      </c>
      <c r="AF372" s="1" t="e">
        <f t="shared" si="443"/>
        <v>#N/A</v>
      </c>
      <c r="AG372" s="1" t="e">
        <f t="shared" si="444"/>
        <v>#N/A</v>
      </c>
      <c r="AH372" s="1" t="e">
        <f t="shared" si="445"/>
        <v>#N/A</v>
      </c>
      <c r="AO372" s="17">
        <f t="shared" si="447"/>
        <v>44135</v>
      </c>
      <c r="AP372">
        <f t="shared" si="448"/>
        <v>4</v>
      </c>
      <c r="AQ372">
        <f t="shared" si="449"/>
        <v>4</v>
      </c>
    </row>
    <row r="373" spans="1:43">
      <c r="A373" s="7">
        <v>44165</v>
      </c>
      <c r="B373" s="8">
        <v>-0.10988000000000001</v>
      </c>
      <c r="C373" s="8">
        <f t="shared" si="430"/>
        <v>-0.25727487960960993</v>
      </c>
      <c r="D373" s="9">
        <f t="shared" si="427"/>
        <v>-1.2863743980480495</v>
      </c>
      <c r="E373" s="8">
        <v>-1.9</v>
      </c>
      <c r="F373" s="8">
        <f t="shared" si="431"/>
        <v>-3.4642820773976593</v>
      </c>
      <c r="G373" s="9">
        <f t="shared" si="428"/>
        <v>-0.31493473430887814</v>
      </c>
      <c r="H373" s="8">
        <v>-6.6E-3</v>
      </c>
      <c r="I373" s="8">
        <f t="shared" si="432"/>
        <v>0.72305185259890492</v>
      </c>
      <c r="J373" s="9">
        <f t="shared" si="433"/>
        <v>0.92305185259890488</v>
      </c>
      <c r="K373" s="8">
        <v>0.55600000000000005</v>
      </c>
      <c r="L373" s="8">
        <f t="shared" si="434"/>
        <v>-0.12049419647773923</v>
      </c>
      <c r="M373" s="9">
        <f t="shared" si="429"/>
        <v>-6.0247098238869617E-2</v>
      </c>
      <c r="O373" s="11">
        <f t="shared" si="435"/>
        <v>1.8718338287147418E-2</v>
      </c>
      <c r="P373" s="15" t="str">
        <f t="shared" si="440"/>
        <v>E</v>
      </c>
      <c r="Q373" t="str">
        <f t="shared" si="446"/>
        <v>E</v>
      </c>
      <c r="R373" s="18">
        <f t="shared" si="450"/>
        <v>9.5727733321004926E-5</v>
      </c>
      <c r="S373" t="str">
        <f t="shared" si="451"/>
        <v>E</v>
      </c>
      <c r="T373">
        <v>0</v>
      </c>
      <c r="V373" s="17">
        <f t="shared" si="452"/>
        <v>44165</v>
      </c>
      <c r="W373" s="1">
        <f t="shared" si="436"/>
        <v>1.8718338287147418E-2</v>
      </c>
      <c r="X373" s="1" t="e">
        <f t="shared" si="437"/>
        <v>#N/A</v>
      </c>
      <c r="Y373" s="1" t="e">
        <f t="shared" si="438"/>
        <v>#N/A</v>
      </c>
      <c r="Z373" s="1" t="e">
        <f t="shared" si="439"/>
        <v>#N/A</v>
      </c>
      <c r="AA373">
        <v>0</v>
      </c>
      <c r="AB373" s="1">
        <v>77.8</v>
      </c>
      <c r="AD373" s="17">
        <f t="shared" si="441"/>
        <v>44165</v>
      </c>
      <c r="AE373" s="1">
        <f t="shared" si="442"/>
        <v>1.8718338287147418E-2</v>
      </c>
      <c r="AF373" s="1" t="e">
        <f t="shared" si="443"/>
        <v>#N/A</v>
      </c>
      <c r="AG373" s="1" t="e">
        <f t="shared" si="444"/>
        <v>#N/A</v>
      </c>
      <c r="AH373" s="1" t="e">
        <f t="shared" si="445"/>
        <v>#N/A</v>
      </c>
      <c r="AO373" s="17">
        <f t="shared" si="447"/>
        <v>44165</v>
      </c>
      <c r="AP373">
        <f t="shared" si="448"/>
        <v>4</v>
      </c>
      <c r="AQ373">
        <f t="shared" si="449"/>
        <v>4</v>
      </c>
    </row>
    <row r="374" spans="1:43">
      <c r="A374" s="7">
        <v>44196</v>
      </c>
      <c r="B374" s="8">
        <v>-0.16081999999999999</v>
      </c>
      <c r="C374" s="8">
        <f t="shared" si="430"/>
        <v>-0.2297852389208711</v>
      </c>
      <c r="D374" s="9">
        <f t="shared" si="427"/>
        <v>-1.1489261946043554</v>
      </c>
      <c r="E374" s="8">
        <v>-1.1000000000000001</v>
      </c>
      <c r="F374" s="8">
        <f t="shared" si="431"/>
        <v>-2.7904616853393263</v>
      </c>
      <c r="G374" s="9">
        <f t="shared" si="428"/>
        <v>-0.25367833503084786</v>
      </c>
      <c r="H374" s="8">
        <v>0.51290000000000002</v>
      </c>
      <c r="I374" s="8">
        <f t="shared" si="432"/>
        <v>0.66315857460821703</v>
      </c>
      <c r="J374" s="9">
        <f t="shared" si="433"/>
        <v>0.8631585746082171</v>
      </c>
      <c r="K374" s="8">
        <v>0.59099999999999997</v>
      </c>
      <c r="L374" s="8">
        <f t="shared" si="434"/>
        <v>8.2281649518416447E-2</v>
      </c>
      <c r="M374" s="9">
        <f t="shared" si="429"/>
        <v>8.2281649518416447E-2</v>
      </c>
      <c r="O374" s="11">
        <f t="shared" si="435"/>
        <v>7.4259027484891049E-2</v>
      </c>
      <c r="P374" s="15" t="str">
        <f t="shared" si="440"/>
        <v>E</v>
      </c>
      <c r="Q374" t="str">
        <f t="shared" si="446"/>
        <v>E</v>
      </c>
      <c r="R374" s="18">
        <f t="shared" si="450"/>
        <v>9.5727733321004926E-5</v>
      </c>
      <c r="S374" t="str">
        <f t="shared" si="451"/>
        <v>E</v>
      </c>
      <c r="T374">
        <v>0</v>
      </c>
      <c r="V374" s="17">
        <f t="shared" si="452"/>
        <v>44196</v>
      </c>
      <c r="W374" s="1">
        <f t="shared" si="436"/>
        <v>7.4259027484891049E-2</v>
      </c>
      <c r="X374" s="1">
        <f t="shared" si="437"/>
        <v>7.4259027484891049E-2</v>
      </c>
      <c r="Y374" s="1" t="e">
        <f t="shared" si="438"/>
        <v>#N/A</v>
      </c>
      <c r="Z374" s="1" t="e">
        <f t="shared" si="439"/>
        <v>#N/A</v>
      </c>
      <c r="AA374">
        <v>0</v>
      </c>
      <c r="AB374" s="1">
        <v>48.2</v>
      </c>
      <c r="AD374" s="17">
        <f t="shared" si="441"/>
        <v>44196</v>
      </c>
      <c r="AE374" s="1">
        <f t="shared" si="442"/>
        <v>7.4259027484891049E-2</v>
      </c>
      <c r="AF374" s="1" t="e">
        <f t="shared" si="443"/>
        <v>#N/A</v>
      </c>
      <c r="AG374" s="1" t="e">
        <f t="shared" si="444"/>
        <v>#N/A</v>
      </c>
      <c r="AH374" s="1" t="e">
        <f t="shared" si="445"/>
        <v>#N/A</v>
      </c>
      <c r="AO374" s="17">
        <f t="shared" si="447"/>
        <v>44196</v>
      </c>
      <c r="AP374">
        <f t="shared" si="448"/>
        <v>4</v>
      </c>
      <c r="AQ374">
        <f t="shared" si="449"/>
        <v>4</v>
      </c>
    </row>
    <row r="375" spans="1:43">
      <c r="A375" s="7">
        <v>44227</v>
      </c>
      <c r="B375" s="8">
        <v>-0.11755699999999999</v>
      </c>
      <c r="C375" s="8">
        <f t="shared" si="430"/>
        <v>-0.19780019082842284</v>
      </c>
      <c r="D375" s="9">
        <f t="shared" si="427"/>
        <v>-0.9890009541421142</v>
      </c>
      <c r="E375" s="8">
        <v>-0.9</v>
      </c>
      <c r="F375" s="8">
        <f t="shared" si="431"/>
        <v>-2.2516801050176181</v>
      </c>
      <c r="G375" s="9">
        <f t="shared" si="428"/>
        <v>-0.20469819136523801</v>
      </c>
      <c r="H375" s="8">
        <v>0.13009999999999999</v>
      </c>
      <c r="I375" s="8">
        <f t="shared" si="432"/>
        <v>0.51123688084487517</v>
      </c>
      <c r="J375" s="9">
        <f t="shared" si="433"/>
        <v>0.71123688084487524</v>
      </c>
      <c r="K375" s="8">
        <v>0.105</v>
      </c>
      <c r="L375" s="8">
        <f t="shared" si="434"/>
        <v>8.875637940566776E-2</v>
      </c>
      <c r="M375" s="9">
        <f t="shared" si="429"/>
        <v>8.875637940566776E-2</v>
      </c>
      <c r="O375" s="11">
        <f t="shared" si="435"/>
        <v>6.4994382151697103E-2</v>
      </c>
      <c r="P375" s="15" t="str">
        <f t="shared" si="440"/>
        <v>SD</v>
      </c>
      <c r="Q375" t="str">
        <f t="shared" si="446"/>
        <v>E</v>
      </c>
      <c r="R375" s="18">
        <f t="shared" si="450"/>
        <v>9.5727733321004926E-5</v>
      </c>
      <c r="S375" t="str">
        <f t="shared" si="451"/>
        <v>E</v>
      </c>
      <c r="T375">
        <v>0</v>
      </c>
      <c r="V375" s="17">
        <f t="shared" si="452"/>
        <v>44227</v>
      </c>
      <c r="W375" s="1" t="e">
        <f t="shared" si="436"/>
        <v>#N/A</v>
      </c>
      <c r="X375" s="1">
        <f t="shared" si="437"/>
        <v>6.4994382151697103E-2</v>
      </c>
      <c r="Y375" s="1" t="e">
        <f t="shared" si="438"/>
        <v>#N/A</v>
      </c>
      <c r="Z375" s="1" t="e">
        <f t="shared" si="439"/>
        <v>#N/A</v>
      </c>
      <c r="AA375">
        <v>0</v>
      </c>
      <c r="AB375" s="1">
        <v>65.3</v>
      </c>
      <c r="AD375" s="17">
        <f t="shared" si="441"/>
        <v>44227</v>
      </c>
      <c r="AE375" s="1">
        <f t="shared" si="442"/>
        <v>6.4994382151697103E-2</v>
      </c>
      <c r="AF375" s="1" t="e">
        <f t="shared" si="443"/>
        <v>#N/A</v>
      </c>
      <c r="AG375" s="1" t="e">
        <f t="shared" si="444"/>
        <v>#N/A</v>
      </c>
      <c r="AH375" s="1" t="e">
        <f t="shared" si="445"/>
        <v>#N/A</v>
      </c>
      <c r="AO375" s="17">
        <f t="shared" si="447"/>
        <v>44227</v>
      </c>
      <c r="AP375">
        <f t="shared" si="448"/>
        <v>3</v>
      </c>
      <c r="AQ375">
        <f t="shared" si="449"/>
        <v>4</v>
      </c>
    </row>
    <row r="376" spans="1:43">
      <c r="A376" s="7">
        <v>44255</v>
      </c>
      <c r="B376" s="8">
        <v>-1.3077E-2</v>
      </c>
      <c r="C376" s="8">
        <f t="shared" si="430"/>
        <v>-0.14515408144232234</v>
      </c>
      <c r="D376" s="9">
        <f t="shared" si="427"/>
        <v>-0.72577040721161168</v>
      </c>
      <c r="E376" s="8">
        <v>-0.9</v>
      </c>
      <c r="F376" s="8">
        <f t="shared" si="431"/>
        <v>-1.8664512750875968</v>
      </c>
      <c r="G376" s="9">
        <f t="shared" si="428"/>
        <v>-0.16967738864432699</v>
      </c>
      <c r="H376" s="8">
        <v>-0.99019999999999997</v>
      </c>
      <c r="I376" s="8">
        <f t="shared" si="432"/>
        <v>8.3327369804085671E-2</v>
      </c>
      <c r="J376" s="9">
        <f t="shared" si="433"/>
        <v>0.28332736980408568</v>
      </c>
      <c r="K376" s="8">
        <v>0.47299999999999998</v>
      </c>
      <c r="L376" s="8">
        <f t="shared" si="434"/>
        <v>0.19826581127505244</v>
      </c>
      <c r="M376" s="9">
        <f t="shared" si="429"/>
        <v>0.19826581127505244</v>
      </c>
      <c r="O376" s="11">
        <f t="shared" si="435"/>
        <v>1.0491456193008869E-2</v>
      </c>
      <c r="P376" s="15" t="str">
        <f t="shared" si="440"/>
        <v>SD</v>
      </c>
      <c r="Q376" t="str">
        <f t="shared" si="446"/>
        <v>SD</v>
      </c>
      <c r="R376" s="18">
        <f t="shared" si="450"/>
        <v>9.5727733321004926E-5</v>
      </c>
      <c r="S376" t="str">
        <f t="shared" si="451"/>
        <v>E</v>
      </c>
      <c r="T376">
        <v>0</v>
      </c>
      <c r="V376" s="17">
        <f t="shared" si="452"/>
        <v>44255</v>
      </c>
      <c r="W376" s="1">
        <f t="shared" si="436"/>
        <v>1.0491456193008869E-2</v>
      </c>
      <c r="X376" s="1">
        <f t="shared" si="437"/>
        <v>1.0491456193008869E-2</v>
      </c>
      <c r="Y376" s="1" t="e">
        <f t="shared" si="438"/>
        <v>#N/A</v>
      </c>
      <c r="Z376" s="1" t="e">
        <f t="shared" si="439"/>
        <v>#N/A</v>
      </c>
      <c r="AA376">
        <v>0</v>
      </c>
      <c r="AB376" s="1">
        <v>86.5</v>
      </c>
      <c r="AD376" s="17">
        <f t="shared" si="441"/>
        <v>44255</v>
      </c>
      <c r="AE376" s="1">
        <f t="shared" si="442"/>
        <v>1.0491456193008869E-2</v>
      </c>
      <c r="AF376" s="1" t="e">
        <f t="shared" si="443"/>
        <v>#N/A</v>
      </c>
      <c r="AG376" s="1" t="e">
        <f t="shared" si="444"/>
        <v>#N/A</v>
      </c>
      <c r="AH376" s="1" t="e">
        <f t="shared" si="445"/>
        <v>#N/A</v>
      </c>
      <c r="AO376" s="17">
        <f t="shared" si="447"/>
        <v>44255</v>
      </c>
      <c r="AP376">
        <f t="shared" si="448"/>
        <v>3</v>
      </c>
      <c r="AQ376">
        <f t="shared" si="449"/>
        <v>3</v>
      </c>
    </row>
    <row r="377" spans="1:43">
      <c r="A377" s="7">
        <v>44286</v>
      </c>
      <c r="B377" s="8">
        <v>5.9064999999999999E-2</v>
      </c>
      <c r="C377" s="8">
        <f t="shared" si="430"/>
        <v>-8.6951643231260464E-2</v>
      </c>
      <c r="D377" s="9">
        <f t="shared" si="427"/>
        <v>-0.43475821615630228</v>
      </c>
      <c r="E377" s="8">
        <v>5.2</v>
      </c>
      <c r="F377" s="8">
        <f t="shared" si="431"/>
        <v>0.14748733831236849</v>
      </c>
      <c r="G377" s="9">
        <f t="shared" si="428"/>
        <v>1.3407939846578953E-2</v>
      </c>
      <c r="H377" s="8">
        <v>1.9377</v>
      </c>
      <c r="I377" s="8">
        <f t="shared" si="432"/>
        <v>0.61182356940992133</v>
      </c>
      <c r="J377" s="9">
        <f t="shared" si="433"/>
        <v>0.8118235694099214</v>
      </c>
      <c r="K377" s="8">
        <v>0.89600000000000002</v>
      </c>
      <c r="L377" s="8">
        <f t="shared" si="434"/>
        <v>0.39712005506166248</v>
      </c>
      <c r="M377" s="9">
        <f t="shared" si="429"/>
        <v>0.39712005506166248</v>
      </c>
      <c r="O377" s="11">
        <f t="shared" si="435"/>
        <v>0.2683040491325468</v>
      </c>
      <c r="P377" s="15" t="str">
        <f t="shared" si="440"/>
        <v>E</v>
      </c>
      <c r="Q377" t="str">
        <f t="shared" si="446"/>
        <v>E</v>
      </c>
      <c r="R377" s="18">
        <f t="shared" si="450"/>
        <v>0.2683040491325468</v>
      </c>
      <c r="S377" t="str">
        <f t="shared" si="451"/>
        <v>E</v>
      </c>
      <c r="T377">
        <v>0</v>
      </c>
      <c r="V377" s="17">
        <f t="shared" si="452"/>
        <v>44286</v>
      </c>
      <c r="W377" s="1">
        <f t="shared" si="436"/>
        <v>0.2683040491325468</v>
      </c>
      <c r="X377" s="1" t="e">
        <f t="shared" si="437"/>
        <v>#N/A</v>
      </c>
      <c r="Y377" s="1" t="e">
        <f t="shared" si="438"/>
        <v>#N/A</v>
      </c>
      <c r="Z377" s="1" t="e">
        <f t="shared" si="439"/>
        <v>#N/A</v>
      </c>
      <c r="AA377">
        <v>0</v>
      </c>
      <c r="AB377" s="1">
        <v>28.1</v>
      </c>
      <c r="AD377" s="17">
        <f t="shared" si="441"/>
        <v>44286</v>
      </c>
      <c r="AE377" s="1">
        <f t="shared" si="442"/>
        <v>0.2683040491325468</v>
      </c>
      <c r="AF377" s="1" t="e">
        <f t="shared" si="443"/>
        <v>#N/A</v>
      </c>
      <c r="AG377" s="1" t="e">
        <f t="shared" si="444"/>
        <v>#N/A</v>
      </c>
      <c r="AH377" s="1" t="e">
        <f t="shared" si="445"/>
        <v>#N/A</v>
      </c>
      <c r="AO377" s="17">
        <f t="shared" si="447"/>
        <v>44286</v>
      </c>
      <c r="AP377">
        <f t="shared" si="448"/>
        <v>4</v>
      </c>
      <c r="AQ377">
        <f t="shared" si="449"/>
        <v>4</v>
      </c>
    </row>
    <row r="378" spans="1:43">
      <c r="A378" s="7">
        <v>44316</v>
      </c>
      <c r="B378" s="8">
        <v>7.8452999999999995E-2</v>
      </c>
      <c r="C378" s="8">
        <f t="shared" si="430"/>
        <v>-3.9811319910351223E-2</v>
      </c>
      <c r="D378" s="9">
        <f t="shared" si="427"/>
        <v>-0.19905659955175611</v>
      </c>
      <c r="E378" s="8">
        <v>12.3</v>
      </c>
      <c r="F378" s="8">
        <f t="shared" si="431"/>
        <v>3.610953446893344</v>
      </c>
      <c r="G378" s="9">
        <f t="shared" si="428"/>
        <v>0.3282684951721222</v>
      </c>
      <c r="H378" s="8">
        <v>0.68920000000000003</v>
      </c>
      <c r="I378" s="8">
        <f t="shared" si="432"/>
        <v>0.63387585212809383</v>
      </c>
      <c r="J378" s="9">
        <f t="shared" si="433"/>
        <v>0.83387585212809379</v>
      </c>
      <c r="K378" s="8">
        <v>1.1180000000000001</v>
      </c>
      <c r="L378" s="8">
        <f t="shared" si="434"/>
        <v>0.60257083936908873</v>
      </c>
      <c r="M378" s="9">
        <f t="shared" si="429"/>
        <v>0.60257083936908873</v>
      </c>
      <c r="O378" s="11">
        <f t="shared" si="435"/>
        <v>0.41505072944795279</v>
      </c>
      <c r="P378" s="15" t="str">
        <f t="shared" si="440"/>
        <v>E</v>
      </c>
      <c r="Q378" t="str">
        <f t="shared" si="446"/>
        <v>E</v>
      </c>
      <c r="R378" s="18">
        <f t="shared" si="450"/>
        <v>0.2683040491325468</v>
      </c>
      <c r="S378" t="str">
        <f t="shared" si="451"/>
        <v>E</v>
      </c>
      <c r="T378">
        <v>0</v>
      </c>
      <c r="V378" s="17">
        <f t="shared" si="452"/>
        <v>44316</v>
      </c>
      <c r="W378" s="1">
        <f t="shared" si="436"/>
        <v>0.41505072944795279</v>
      </c>
      <c r="X378" s="1" t="e">
        <f t="shared" si="437"/>
        <v>#N/A</v>
      </c>
      <c r="Y378" s="1" t="e">
        <f t="shared" si="438"/>
        <v>#N/A</v>
      </c>
      <c r="Z378" s="1" t="e">
        <f t="shared" si="439"/>
        <v>#N/A</v>
      </c>
      <c r="AA378">
        <v>0</v>
      </c>
      <c r="AB378" s="1">
        <v>42</v>
      </c>
      <c r="AD378" s="17">
        <f t="shared" si="441"/>
        <v>44316</v>
      </c>
      <c r="AE378" s="1">
        <f t="shared" si="442"/>
        <v>0.41505072944795279</v>
      </c>
      <c r="AF378" s="1" t="e">
        <f t="shared" si="443"/>
        <v>#N/A</v>
      </c>
      <c r="AG378" s="1" t="e">
        <f t="shared" si="444"/>
        <v>#N/A</v>
      </c>
      <c r="AH378" s="1" t="e">
        <f t="shared" si="445"/>
        <v>#N/A</v>
      </c>
      <c r="AO378" s="17">
        <f t="shared" si="447"/>
        <v>44316</v>
      </c>
      <c r="AP378">
        <f t="shared" si="448"/>
        <v>4</v>
      </c>
      <c r="AQ378">
        <f t="shared" si="449"/>
        <v>4</v>
      </c>
    </row>
    <row r="379" spans="1:43">
      <c r="A379" s="7">
        <v>44347</v>
      </c>
      <c r="B379" s="8">
        <v>9.1447000000000001E-2</v>
      </c>
      <c r="C379" s="8">
        <f t="shared" si="430"/>
        <v>-2.4026987359011195E-3</v>
      </c>
      <c r="D379" s="9">
        <f t="shared" si="427"/>
        <v>-1.2013493679505598E-2</v>
      </c>
      <c r="E379" s="8">
        <v>11.5</v>
      </c>
      <c r="F379" s="8">
        <f t="shared" si="431"/>
        <v>5.8593317145287411</v>
      </c>
      <c r="G379" s="9">
        <f t="shared" si="428"/>
        <v>0.53266651950261279</v>
      </c>
      <c r="H379" s="8">
        <v>0.29480000000000001</v>
      </c>
      <c r="I379" s="8">
        <f t="shared" si="432"/>
        <v>0.53723923427158704</v>
      </c>
      <c r="J379" s="9">
        <f t="shared" si="433"/>
        <v>0.737239234271587</v>
      </c>
      <c r="K379" s="8">
        <v>1.319</v>
      </c>
      <c r="L379" s="8">
        <f t="shared" si="434"/>
        <v>0.80675315014889848</v>
      </c>
      <c r="M379" s="9">
        <f t="shared" si="429"/>
        <v>0.80675315014889848</v>
      </c>
      <c r="O379" s="11">
        <f t="shared" si="435"/>
        <v>0.56047691450983173</v>
      </c>
      <c r="P379" s="15" t="str">
        <f t="shared" si="440"/>
        <v>E</v>
      </c>
      <c r="Q379" t="str">
        <f t="shared" si="446"/>
        <v>E</v>
      </c>
      <c r="R379" s="18">
        <f t="shared" si="450"/>
        <v>0.2683040491325468</v>
      </c>
      <c r="S379" t="str">
        <f t="shared" si="451"/>
        <v>E</v>
      </c>
      <c r="T379">
        <v>0</v>
      </c>
      <c r="V379" s="17">
        <f t="shared" si="452"/>
        <v>44347</v>
      </c>
      <c r="W379" s="1">
        <f t="shared" si="436"/>
        <v>0.56047691450983173</v>
      </c>
      <c r="X379" s="1" t="e">
        <f t="shared" si="437"/>
        <v>#N/A</v>
      </c>
      <c r="Y379" s="1" t="e">
        <f t="shared" si="438"/>
        <v>#N/A</v>
      </c>
      <c r="Z379" s="1" t="e">
        <f t="shared" si="439"/>
        <v>#N/A</v>
      </c>
      <c r="AA379">
        <v>0</v>
      </c>
      <c r="AB379" s="1">
        <v>4.4000000000000004</v>
      </c>
      <c r="AD379" s="17">
        <f t="shared" si="441"/>
        <v>44347</v>
      </c>
      <c r="AE379" s="1">
        <f t="shared" si="442"/>
        <v>0.56047691450983173</v>
      </c>
      <c r="AF379" s="1" t="e">
        <f t="shared" si="443"/>
        <v>#N/A</v>
      </c>
      <c r="AG379" s="1" t="e">
        <f t="shared" si="444"/>
        <v>#N/A</v>
      </c>
      <c r="AH379" s="1" t="e">
        <f t="shared" si="445"/>
        <v>#N/A</v>
      </c>
      <c r="AO379" s="17">
        <f t="shared" si="447"/>
        <v>44347</v>
      </c>
      <c r="AP379">
        <f t="shared" si="448"/>
        <v>4</v>
      </c>
      <c r="AQ379">
        <f t="shared" si="449"/>
        <v>4</v>
      </c>
    </row>
    <row r="380" spans="1:43">
      <c r="A380" s="7">
        <v>44377</v>
      </c>
      <c r="B380" s="8">
        <v>7.9035999999999995E-2</v>
      </c>
      <c r="C380" s="8">
        <f t="shared" si="430"/>
        <v>2.08073304038307E-2</v>
      </c>
      <c r="D380" s="9">
        <f t="shared" si="427"/>
        <v>0.10403665201915349</v>
      </c>
      <c r="E380" s="8">
        <v>9.6999999999999993</v>
      </c>
      <c r="F380" s="8">
        <f t="shared" si="431"/>
        <v>6.9539221758880494</v>
      </c>
      <c r="G380" s="9">
        <f t="shared" si="428"/>
        <v>0.63217474326254997</v>
      </c>
      <c r="H380" s="8">
        <v>0.71389999999999998</v>
      </c>
      <c r="I380" s="8">
        <f t="shared" si="432"/>
        <v>0.58758755250418471</v>
      </c>
      <c r="J380" s="9">
        <f t="shared" si="433"/>
        <v>0.78758755250418466</v>
      </c>
      <c r="K380" s="8">
        <v>1.3169999999999999</v>
      </c>
      <c r="L380" s="8">
        <f t="shared" si="434"/>
        <v>0.95217350235646248</v>
      </c>
      <c r="M380" s="9">
        <f t="shared" si="429"/>
        <v>0.95217350235646248</v>
      </c>
      <c r="O380" s="11">
        <f t="shared" si="435"/>
        <v>0.6921319375108933</v>
      </c>
      <c r="P380" s="15" t="str">
        <f t="shared" si="440"/>
        <v>E</v>
      </c>
      <c r="Q380" t="str">
        <f t="shared" si="446"/>
        <v>E</v>
      </c>
      <c r="R380" s="18">
        <f t="shared" si="450"/>
        <v>0.2683040491325468</v>
      </c>
      <c r="S380" t="str">
        <f t="shared" si="451"/>
        <v>E</v>
      </c>
      <c r="T380">
        <v>0</v>
      </c>
      <c r="V380" s="17">
        <f t="shared" si="452"/>
        <v>44377</v>
      </c>
      <c r="W380" s="1">
        <f t="shared" si="436"/>
        <v>0.6921319375108933</v>
      </c>
      <c r="X380" s="1" t="e">
        <f t="shared" si="437"/>
        <v>#N/A</v>
      </c>
      <c r="Y380" s="1" t="e">
        <f t="shared" si="438"/>
        <v>#N/A</v>
      </c>
      <c r="Z380" s="1" t="e">
        <f t="shared" si="439"/>
        <v>#N/A</v>
      </c>
      <c r="AA380">
        <v>0</v>
      </c>
      <c r="AB380" s="1">
        <v>18.8</v>
      </c>
      <c r="AD380" s="17">
        <f t="shared" si="441"/>
        <v>44377</v>
      </c>
      <c r="AE380" s="1">
        <f t="shared" si="442"/>
        <v>0.6921319375108933</v>
      </c>
      <c r="AF380" s="1" t="e">
        <f t="shared" si="443"/>
        <v>#N/A</v>
      </c>
      <c r="AG380" s="1" t="e">
        <f t="shared" si="444"/>
        <v>#N/A</v>
      </c>
      <c r="AH380" s="1" t="e">
        <f t="shared" si="445"/>
        <v>#N/A</v>
      </c>
      <c r="AO380" s="17">
        <f t="shared" si="447"/>
        <v>44377</v>
      </c>
      <c r="AP380">
        <f t="shared" si="448"/>
        <v>4</v>
      </c>
      <c r="AQ380">
        <f t="shared" si="449"/>
        <v>4</v>
      </c>
    </row>
    <row r="381" spans="1:43">
      <c r="A381" s="7">
        <v>44408</v>
      </c>
      <c r="B381" s="8">
        <v>5.1228000000000003E-2</v>
      </c>
      <c r="C381" s="8">
        <f t="shared" si="430"/>
        <v>2.947722123873895E-2</v>
      </c>
      <c r="D381" s="9">
        <f t="shared" si="427"/>
        <v>0.14738610619369474</v>
      </c>
      <c r="E381" s="8">
        <v>8.9</v>
      </c>
      <c r="F381" s="8">
        <f t="shared" si="431"/>
        <v>7.508554355759955</v>
      </c>
      <c r="G381" s="9">
        <f t="shared" si="428"/>
        <v>0.68259585052363225</v>
      </c>
      <c r="H381" s="8">
        <v>0.59050000000000002</v>
      </c>
      <c r="I381" s="8">
        <f t="shared" si="432"/>
        <v>0.58841760004049204</v>
      </c>
      <c r="J381" s="9">
        <f t="shared" si="433"/>
        <v>0.78841760004049211</v>
      </c>
      <c r="K381" s="8">
        <v>1.179</v>
      </c>
      <c r="L381" s="8">
        <f t="shared" si="434"/>
        <v>1.0168190541848707</v>
      </c>
      <c r="M381" s="9">
        <f t="shared" si="429"/>
        <v>1.0168190541848707</v>
      </c>
      <c r="O381" s="11">
        <f t="shared" si="435"/>
        <v>0.74596202986574323</v>
      </c>
      <c r="P381" s="15" t="str">
        <f t="shared" si="440"/>
        <v>E</v>
      </c>
      <c r="Q381" t="str">
        <f t="shared" si="446"/>
        <v>E</v>
      </c>
      <c r="R381" s="18">
        <f t="shared" si="450"/>
        <v>0.2683040491325468</v>
      </c>
      <c r="S381" t="str">
        <f t="shared" si="451"/>
        <v>E</v>
      </c>
      <c r="T381">
        <v>0</v>
      </c>
      <c r="V381" s="17">
        <f t="shared" si="452"/>
        <v>44408</v>
      </c>
      <c r="W381" s="1">
        <f t="shared" si="436"/>
        <v>0.74596202986574323</v>
      </c>
      <c r="X381" s="1">
        <f t="shared" si="437"/>
        <v>0.74596202986574323</v>
      </c>
      <c r="Y381" s="1" t="e">
        <f t="shared" si="438"/>
        <v>#N/A</v>
      </c>
      <c r="Z381" s="1" t="e">
        <f t="shared" si="439"/>
        <v>#N/A</v>
      </c>
      <c r="AA381">
        <v>0</v>
      </c>
      <c r="AB381" s="1">
        <v>3.2</v>
      </c>
      <c r="AD381" s="17">
        <f t="shared" si="441"/>
        <v>44408</v>
      </c>
      <c r="AE381" s="1">
        <f t="shared" si="442"/>
        <v>0.74596202986574323</v>
      </c>
      <c r="AF381" s="1" t="e">
        <f t="shared" si="443"/>
        <v>#N/A</v>
      </c>
      <c r="AG381" s="1" t="e">
        <f t="shared" si="444"/>
        <v>#N/A</v>
      </c>
      <c r="AH381" s="1" t="e">
        <f t="shared" si="445"/>
        <v>#N/A</v>
      </c>
      <c r="AO381" s="17">
        <f t="shared" si="447"/>
        <v>44408</v>
      </c>
      <c r="AP381">
        <f t="shared" si="448"/>
        <v>4</v>
      </c>
      <c r="AQ381">
        <f t="shared" si="449"/>
        <v>4</v>
      </c>
    </row>
    <row r="382" spans="1:43">
      <c r="A382" s="7">
        <v>44439</v>
      </c>
      <c r="B382" s="8">
        <v>-2.0424999999999999E-2</v>
      </c>
      <c r="C382" s="8">
        <f t="shared" si="430"/>
        <v>1.5255088185698349E-2</v>
      </c>
      <c r="D382" s="9">
        <f t="shared" si="427"/>
        <v>7.6275440928491742E-2</v>
      </c>
      <c r="E382" s="8">
        <v>8.6999999999999993</v>
      </c>
      <c r="F382" s="8">
        <f t="shared" si="431"/>
        <v>7.8481163643683676</v>
      </c>
      <c r="G382" s="9">
        <f t="shared" si="428"/>
        <v>0.71346512403348794</v>
      </c>
      <c r="H382" s="8">
        <v>-0.22239999999999999</v>
      </c>
      <c r="I382" s="8">
        <f t="shared" si="432"/>
        <v>0.3573345840289518</v>
      </c>
      <c r="J382" s="9">
        <f t="shared" si="433"/>
        <v>0.55733458402895186</v>
      </c>
      <c r="K382" s="8">
        <v>1.276</v>
      </c>
      <c r="L382" s="8">
        <f t="shared" si="434"/>
        <v>1.0906856237421825</v>
      </c>
      <c r="M382" s="9">
        <f t="shared" si="429"/>
        <v>1.0906856237421825</v>
      </c>
      <c r="O382" s="11">
        <f t="shared" si="435"/>
        <v>0.70681236158127914</v>
      </c>
      <c r="P382" s="15" t="str">
        <f t="shared" si="440"/>
        <v>SD</v>
      </c>
      <c r="Q382" t="str">
        <f t="shared" si="446"/>
        <v>E</v>
      </c>
      <c r="R382" s="18">
        <f t="shared" si="450"/>
        <v>0.2683040491325468</v>
      </c>
      <c r="S382" t="str">
        <f t="shared" si="451"/>
        <v>E</v>
      </c>
      <c r="T382">
        <v>0</v>
      </c>
      <c r="V382" s="17">
        <f t="shared" si="452"/>
        <v>44439</v>
      </c>
      <c r="W382" s="1" t="e">
        <f t="shared" si="436"/>
        <v>#N/A</v>
      </c>
      <c r="X382" s="1">
        <f t="shared" si="437"/>
        <v>0.70681236158127914</v>
      </c>
      <c r="Y382" s="1" t="e">
        <f t="shared" si="438"/>
        <v>#N/A</v>
      </c>
      <c r="Z382" s="1" t="e">
        <f t="shared" si="439"/>
        <v>#N/A</v>
      </c>
      <c r="AA382">
        <v>0</v>
      </c>
      <c r="AB382" s="1">
        <v>-56.3</v>
      </c>
      <c r="AD382" s="17">
        <f t="shared" si="441"/>
        <v>44439</v>
      </c>
      <c r="AE382" s="1">
        <f t="shared" si="442"/>
        <v>0.70681236158127914</v>
      </c>
      <c r="AF382" s="1" t="e">
        <f t="shared" si="443"/>
        <v>#N/A</v>
      </c>
      <c r="AG382" s="1" t="e">
        <f t="shared" si="444"/>
        <v>#N/A</v>
      </c>
      <c r="AH382" s="1" t="e">
        <f t="shared" si="445"/>
        <v>#N/A</v>
      </c>
      <c r="AO382" s="17">
        <f t="shared" si="447"/>
        <v>44439</v>
      </c>
      <c r="AP382">
        <f t="shared" si="448"/>
        <v>3</v>
      </c>
      <c r="AQ382">
        <f t="shared" si="449"/>
        <v>4</v>
      </c>
    </row>
    <row r="383" spans="1:43">
      <c r="A383" s="7">
        <v>44469</v>
      </c>
      <c r="B383" s="8">
        <v>-7.9319000000000001E-2</v>
      </c>
      <c r="C383" s="8">
        <f t="shared" si="430"/>
        <v>-1.1698526947225686E-2</v>
      </c>
      <c r="D383" s="9">
        <f t="shared" si="427"/>
        <v>-5.8492634736128424E-2</v>
      </c>
      <c r="E383" s="8">
        <v>8.3000000000000007</v>
      </c>
      <c r="F383" s="8">
        <f t="shared" si="431"/>
        <v>7.9769032005233829</v>
      </c>
      <c r="G383" s="9">
        <f t="shared" si="428"/>
        <v>0.72517301822939839</v>
      </c>
      <c r="H383" s="8">
        <v>-1.21E-2</v>
      </c>
      <c r="I383" s="8">
        <f t="shared" si="432"/>
        <v>0.25204572758070048</v>
      </c>
      <c r="J383" s="9">
        <f t="shared" si="433"/>
        <v>0.4520457275807005</v>
      </c>
      <c r="K383" s="8">
        <v>0.89200000000000002</v>
      </c>
      <c r="L383" s="8">
        <f t="shared" si="434"/>
        <v>1.0340602209756604</v>
      </c>
      <c r="M383" s="9">
        <f t="shared" si="429"/>
        <v>1.0340602209756604</v>
      </c>
      <c r="O383" s="11">
        <f t="shared" si="435"/>
        <v>0.65402205830334181</v>
      </c>
      <c r="P383" s="15" t="str">
        <f t="shared" si="440"/>
        <v>SD</v>
      </c>
      <c r="Q383" t="str">
        <f t="shared" si="446"/>
        <v>SD</v>
      </c>
      <c r="R383" s="18">
        <f t="shared" si="450"/>
        <v>0.2683040491325468</v>
      </c>
      <c r="S383" t="str">
        <f t="shared" si="451"/>
        <v>E</v>
      </c>
      <c r="T383">
        <v>0</v>
      </c>
      <c r="V383" s="17">
        <f t="shared" si="452"/>
        <v>44469</v>
      </c>
      <c r="W383" s="1">
        <f t="shared" si="436"/>
        <v>0.65402205830334181</v>
      </c>
      <c r="X383" s="1">
        <f t="shared" si="437"/>
        <v>0.65402205830334181</v>
      </c>
      <c r="Y383" s="1" t="e">
        <f t="shared" si="438"/>
        <v>#N/A</v>
      </c>
      <c r="Z383" s="1" t="e">
        <f t="shared" si="439"/>
        <v>#N/A</v>
      </c>
      <c r="AA383">
        <v>0</v>
      </c>
      <c r="AB383" s="1">
        <v>-33.200000000000003</v>
      </c>
      <c r="AD383" s="17">
        <f t="shared" si="441"/>
        <v>44469</v>
      </c>
      <c r="AE383" s="1">
        <f t="shared" si="442"/>
        <v>0.65402205830334181</v>
      </c>
      <c r="AF383" s="1" t="e">
        <f t="shared" si="443"/>
        <v>#N/A</v>
      </c>
      <c r="AG383" s="1" t="e">
        <f t="shared" si="444"/>
        <v>#N/A</v>
      </c>
      <c r="AH383" s="1" t="e">
        <f t="shared" si="445"/>
        <v>#N/A</v>
      </c>
      <c r="AO383" s="17">
        <f t="shared" si="447"/>
        <v>44469</v>
      </c>
      <c r="AP383">
        <f t="shared" si="448"/>
        <v>3</v>
      </c>
      <c r="AQ383">
        <f t="shared" si="449"/>
        <v>3</v>
      </c>
    </row>
    <row r="384" spans="1:43">
      <c r="A384" s="7">
        <v>44500</v>
      </c>
      <c r="B384" s="8">
        <v>-0.117018</v>
      </c>
      <c r="C384" s="8">
        <f t="shared" si="430"/>
        <v>-4.1714576767266372E-2</v>
      </c>
      <c r="D384" s="9">
        <f t="shared" si="427"/>
        <v>-0.20857288383633185</v>
      </c>
      <c r="E384" s="8">
        <v>8.1</v>
      </c>
      <c r="F384" s="8">
        <f t="shared" si="431"/>
        <v>8.0119857883742185</v>
      </c>
      <c r="G384" s="9">
        <f t="shared" si="428"/>
        <v>0.72836234439765624</v>
      </c>
      <c r="H384" s="8">
        <v>1.1326000000000001</v>
      </c>
      <c r="I384" s="8">
        <f t="shared" si="432"/>
        <v>0.50300369522020083</v>
      </c>
      <c r="J384" s="9">
        <f t="shared" si="433"/>
        <v>0.70300369522020079</v>
      </c>
      <c r="K384" s="8">
        <v>1.2529999999999999</v>
      </c>
      <c r="L384" s="8">
        <f t="shared" si="434"/>
        <v>1.0964580579975971</v>
      </c>
      <c r="M384" s="9">
        <f t="shared" si="429"/>
        <v>1.0964580579975971</v>
      </c>
      <c r="O384" s="11">
        <f t="shared" si="435"/>
        <v>0.73653314305052564</v>
      </c>
      <c r="P384" s="15" t="str">
        <f t="shared" si="440"/>
        <v>E</v>
      </c>
      <c r="Q384" t="str">
        <f t="shared" si="446"/>
        <v>E</v>
      </c>
      <c r="R384" s="18">
        <f t="shared" si="450"/>
        <v>0.73653314305052564</v>
      </c>
      <c r="S384" t="str">
        <f t="shared" si="451"/>
        <v>E</v>
      </c>
      <c r="T384">
        <v>0</v>
      </c>
      <c r="V384" s="17">
        <f t="shared" si="452"/>
        <v>44500</v>
      </c>
      <c r="W384" s="1">
        <f t="shared" si="436"/>
        <v>0.73653314305052564</v>
      </c>
      <c r="X384" s="1">
        <f t="shared" si="437"/>
        <v>0.73653314305052564</v>
      </c>
      <c r="Y384" s="1" t="e">
        <f t="shared" si="438"/>
        <v>#N/A</v>
      </c>
      <c r="Z384" s="1" t="e">
        <f t="shared" si="439"/>
        <v>#N/A</v>
      </c>
      <c r="AA384">
        <v>0</v>
      </c>
      <c r="AB384" s="1">
        <v>-16.100000000000001</v>
      </c>
      <c r="AD384" s="17">
        <f t="shared" si="441"/>
        <v>44500</v>
      </c>
      <c r="AE384" s="1">
        <f t="shared" si="442"/>
        <v>0.73653314305052564</v>
      </c>
      <c r="AF384" s="1" t="e">
        <f t="shared" si="443"/>
        <v>#N/A</v>
      </c>
      <c r="AG384" s="1" t="e">
        <f t="shared" si="444"/>
        <v>#N/A</v>
      </c>
      <c r="AH384" s="1" t="e">
        <f t="shared" si="445"/>
        <v>#N/A</v>
      </c>
      <c r="AO384" s="17">
        <f t="shared" si="447"/>
        <v>44500</v>
      </c>
      <c r="AP384">
        <f t="shared" si="448"/>
        <v>4</v>
      </c>
      <c r="AQ384">
        <f t="shared" si="449"/>
        <v>4</v>
      </c>
    </row>
    <row r="385" spans="1:43">
      <c r="A385" s="7">
        <v>44530</v>
      </c>
      <c r="B385" s="8">
        <v>9.9253999999999995E-2</v>
      </c>
      <c r="C385" s="8">
        <f t="shared" si="430"/>
        <v>-1.5385323885954531E-3</v>
      </c>
      <c r="D385" s="9">
        <f t="shared" si="427"/>
        <v>-7.6926619429772657E-3</v>
      </c>
      <c r="E385" s="8">
        <v>7.9</v>
      </c>
      <c r="F385" s="8">
        <f t="shared" si="431"/>
        <v>7.9800698386875659</v>
      </c>
      <c r="G385" s="9">
        <f t="shared" si="428"/>
        <v>0.72546089442614237</v>
      </c>
      <c r="H385" s="8">
        <v>0.70199999999999996</v>
      </c>
      <c r="I385" s="8">
        <f t="shared" si="432"/>
        <v>0.55971764208244357</v>
      </c>
      <c r="J385" s="9">
        <f t="shared" si="433"/>
        <v>0.75971764208244363</v>
      </c>
      <c r="K385" s="8">
        <v>0.61399999999999999</v>
      </c>
      <c r="L385" s="8">
        <f t="shared" si="434"/>
        <v>0.9589575114682819</v>
      </c>
      <c r="M385" s="9">
        <f t="shared" si="429"/>
        <v>0.9589575114682819</v>
      </c>
      <c r="O385" s="11">
        <f t="shared" si="435"/>
        <v>0.73334198319021671</v>
      </c>
      <c r="P385" s="15" t="str">
        <f t="shared" si="440"/>
        <v>SD</v>
      </c>
      <c r="Q385" t="str">
        <f t="shared" si="446"/>
        <v>E</v>
      </c>
      <c r="R385" s="18">
        <f t="shared" si="450"/>
        <v>0.73653314305052564</v>
      </c>
      <c r="S385" t="str">
        <f t="shared" si="451"/>
        <v>E</v>
      </c>
      <c r="T385">
        <v>0</v>
      </c>
      <c r="V385" s="17">
        <f t="shared" si="452"/>
        <v>44530</v>
      </c>
      <c r="W385" s="1" t="e">
        <f t="shared" si="436"/>
        <v>#N/A</v>
      </c>
      <c r="X385" s="1">
        <f t="shared" si="437"/>
        <v>0.73334198319021671</v>
      </c>
      <c r="Y385" s="1" t="e">
        <f t="shared" si="438"/>
        <v>#N/A</v>
      </c>
      <c r="Z385" s="1" t="e">
        <f t="shared" si="439"/>
        <v>#N/A</v>
      </c>
      <c r="AA385">
        <v>0</v>
      </c>
      <c r="AB385" s="1">
        <v>22.5</v>
      </c>
      <c r="AD385" s="17">
        <f t="shared" si="441"/>
        <v>44530</v>
      </c>
      <c r="AE385" s="1">
        <f t="shared" si="442"/>
        <v>0.73334198319021671</v>
      </c>
      <c r="AF385" s="1" t="e">
        <f t="shared" si="443"/>
        <v>#N/A</v>
      </c>
      <c r="AG385" s="1" t="e">
        <f t="shared" si="444"/>
        <v>#N/A</v>
      </c>
      <c r="AH385" s="1" t="e">
        <f t="shared" si="445"/>
        <v>#N/A</v>
      </c>
      <c r="AO385" s="17">
        <f t="shared" si="447"/>
        <v>44530</v>
      </c>
      <c r="AP385">
        <f t="shared" si="448"/>
        <v>3</v>
      </c>
      <c r="AQ385">
        <f t="shared" si="449"/>
        <v>4</v>
      </c>
    </row>
    <row r="386" spans="1:43">
      <c r="A386" s="7">
        <v>44561</v>
      </c>
      <c r="B386" s="8">
        <v>3.5701999999999998E-2</v>
      </c>
      <c r="C386" s="8">
        <f t="shared" si="430"/>
        <v>9.0750193421542513E-3</v>
      </c>
      <c r="D386" s="9">
        <f t="shared" si="427"/>
        <v>4.5375096710771251E-2</v>
      </c>
      <c r="E386" s="8">
        <v>7.7</v>
      </c>
      <c r="F386" s="8">
        <f t="shared" si="431"/>
        <v>7.9002499346616091</v>
      </c>
      <c r="G386" s="9">
        <f t="shared" si="428"/>
        <v>0.71820453951469176</v>
      </c>
      <c r="H386" s="8">
        <v>-0.2195</v>
      </c>
      <c r="I386" s="8">
        <f t="shared" si="432"/>
        <v>0.33764061408894713</v>
      </c>
      <c r="J386" s="9">
        <f t="shared" si="433"/>
        <v>0.53764061408894714</v>
      </c>
      <c r="K386" s="8">
        <v>1.0580000000000001</v>
      </c>
      <c r="L386" s="8">
        <f t="shared" si="434"/>
        <v>0.9871846206998216</v>
      </c>
      <c r="M386" s="9">
        <f t="shared" si="429"/>
        <v>0.9871846206998216</v>
      </c>
      <c r="O386" s="11">
        <f t="shared" si="435"/>
        <v>0.6796233484355505</v>
      </c>
      <c r="P386" s="15" t="str">
        <f t="shared" si="440"/>
        <v>SD</v>
      </c>
      <c r="Q386" t="str">
        <f t="shared" si="446"/>
        <v>SD</v>
      </c>
      <c r="R386" s="18">
        <f t="shared" si="450"/>
        <v>0.73653314305052564</v>
      </c>
      <c r="S386" t="str">
        <f t="shared" si="451"/>
        <v>E</v>
      </c>
      <c r="T386">
        <v>0</v>
      </c>
      <c r="V386" s="17">
        <f t="shared" si="452"/>
        <v>44561</v>
      </c>
      <c r="W386" s="1" t="e">
        <f t="shared" si="436"/>
        <v>#N/A</v>
      </c>
      <c r="X386" s="1">
        <f t="shared" si="437"/>
        <v>0.6796233484355505</v>
      </c>
      <c r="Y386" s="1" t="e">
        <f t="shared" si="438"/>
        <v>#N/A</v>
      </c>
      <c r="Z386" s="1" t="e">
        <f t="shared" si="439"/>
        <v>#N/A</v>
      </c>
      <c r="AA386">
        <v>0</v>
      </c>
      <c r="AB386" s="1">
        <v>19.5</v>
      </c>
      <c r="AD386" s="17">
        <f t="shared" si="441"/>
        <v>44561</v>
      </c>
      <c r="AE386" s="1">
        <f t="shared" si="442"/>
        <v>0.6796233484355505</v>
      </c>
      <c r="AF386" s="1">
        <f t="shared" si="443"/>
        <v>0.6796233484355505</v>
      </c>
      <c r="AG386" s="1" t="e">
        <f t="shared" si="444"/>
        <v>#N/A</v>
      </c>
      <c r="AH386" s="1" t="e">
        <f t="shared" si="445"/>
        <v>#N/A</v>
      </c>
      <c r="AO386" s="17">
        <f t="shared" si="447"/>
        <v>44561</v>
      </c>
      <c r="AP386">
        <f t="shared" si="448"/>
        <v>3</v>
      </c>
      <c r="AQ386">
        <f t="shared" si="449"/>
        <v>3</v>
      </c>
    </row>
    <row r="387" spans="1:43">
      <c r="A387" s="7">
        <v>44592</v>
      </c>
      <c r="B387" s="8">
        <v>-2.3987999999999999E-2</v>
      </c>
      <c r="C387" s="8">
        <f t="shared" si="430"/>
        <v>-3.4794117035971076E-4</v>
      </c>
      <c r="D387" s="9">
        <f t="shared" si="427"/>
        <v>-1.7397058517985538E-3</v>
      </c>
      <c r="E387" s="8">
        <v>6.3</v>
      </c>
      <c r="F387" s="8">
        <f t="shared" si="431"/>
        <v>7.4441787032830504</v>
      </c>
      <c r="G387" s="9">
        <f t="shared" si="428"/>
        <v>0.67674351848027736</v>
      </c>
      <c r="H387" s="8">
        <v>-0.3347</v>
      </c>
      <c r="I387" s="8">
        <f t="shared" si="432"/>
        <v>0.14602353907359716</v>
      </c>
      <c r="J387" s="9">
        <f t="shared" si="433"/>
        <v>0.34602353907359717</v>
      </c>
      <c r="K387" s="8">
        <v>0.41799999999999998</v>
      </c>
      <c r="L387" s="8">
        <f t="shared" si="434"/>
        <v>0.82496700380037247</v>
      </c>
      <c r="M387" s="9">
        <f t="shared" si="429"/>
        <v>0.82496700380037247</v>
      </c>
      <c r="O387" s="11">
        <f t="shared" si="435"/>
        <v>0.56658455413141851</v>
      </c>
      <c r="P387" s="15" t="str">
        <f t="shared" si="440"/>
        <v>SD</v>
      </c>
      <c r="Q387" t="str">
        <f t="shared" si="446"/>
        <v>SD</v>
      </c>
      <c r="R387" s="18">
        <f t="shared" si="450"/>
        <v>0.73653314305052564</v>
      </c>
      <c r="S387" t="str">
        <f t="shared" si="451"/>
        <v>SD</v>
      </c>
      <c r="T387">
        <v>0</v>
      </c>
      <c r="V387" s="17">
        <f t="shared" ref="V387:V419" si="453">A387</f>
        <v>44592</v>
      </c>
      <c r="W387" s="1" t="e">
        <f t="shared" si="436"/>
        <v>#N/A</v>
      </c>
      <c r="X387" s="1">
        <f t="shared" si="437"/>
        <v>0.56658455413141851</v>
      </c>
      <c r="Y387" s="1" t="e">
        <f t="shared" si="438"/>
        <v>#N/A</v>
      </c>
      <c r="Z387" s="1" t="e">
        <f t="shared" si="439"/>
        <v>#N/A</v>
      </c>
      <c r="AA387">
        <v>0</v>
      </c>
      <c r="AB387" s="1">
        <v>-6.7</v>
      </c>
      <c r="AD387" s="17">
        <f t="shared" si="441"/>
        <v>44592</v>
      </c>
      <c r="AE387" s="1" t="e">
        <f t="shared" si="442"/>
        <v>#N/A</v>
      </c>
      <c r="AF387" s="1">
        <f t="shared" si="443"/>
        <v>0.56658455413141851</v>
      </c>
      <c r="AG387" s="1" t="e">
        <f t="shared" si="444"/>
        <v>#N/A</v>
      </c>
      <c r="AH387" s="1" t="e">
        <f t="shared" si="445"/>
        <v>#N/A</v>
      </c>
      <c r="AO387" s="17">
        <f t="shared" si="447"/>
        <v>44592</v>
      </c>
      <c r="AP387">
        <f t="shared" si="448"/>
        <v>3</v>
      </c>
      <c r="AQ387">
        <f t="shared" si="449"/>
        <v>3</v>
      </c>
    </row>
    <row r="388" spans="1:43">
      <c r="A388" s="7">
        <v>44620</v>
      </c>
      <c r="B388" s="8">
        <v>-3.3026E-2</v>
      </c>
      <c r="C388" s="8">
        <f t="shared" si="430"/>
        <v>-9.6611879368071942E-3</v>
      </c>
      <c r="D388" s="9">
        <f t="shared" ref="D388:D400" si="454">C388/0.2</f>
        <v>-4.8305939684035966E-2</v>
      </c>
      <c r="E388" s="8">
        <v>7.2</v>
      </c>
      <c r="F388" s="8">
        <f t="shared" si="431"/>
        <v>7.3745877728473817</v>
      </c>
      <c r="G388" s="9">
        <f t="shared" ref="G388:G400" si="455">F388/11</f>
        <v>0.67041707025885289</v>
      </c>
      <c r="H388" s="8">
        <v>0.16980000000000001</v>
      </c>
      <c r="I388" s="8">
        <f t="shared" si="432"/>
        <v>0.15279983043762196</v>
      </c>
      <c r="J388" s="9">
        <f t="shared" si="433"/>
        <v>0.35279983043762198</v>
      </c>
      <c r="K388" s="8">
        <v>-8.6999999999999994E-2</v>
      </c>
      <c r="L388" s="8">
        <f t="shared" si="434"/>
        <v>0.56505640771726628</v>
      </c>
      <c r="M388" s="9">
        <f t="shared" ref="M388:M400" si="456">IF(L388&lt;-1,-(-L388^(0.5)),IF(L388&lt;0,0.5*L388,L388))*1+0*IF(L388&gt;0,L388*6,L388)/6</f>
        <v>0.56505640771726628</v>
      </c>
      <c r="O388" s="11">
        <f t="shared" si="435"/>
        <v>0.47354933302214608</v>
      </c>
      <c r="P388" s="15" t="str">
        <f t="shared" si="440"/>
        <v>SD</v>
      </c>
      <c r="Q388" t="str">
        <f t="shared" si="446"/>
        <v>SD</v>
      </c>
      <c r="R388" s="18">
        <f t="shared" si="450"/>
        <v>0.73653314305052564</v>
      </c>
      <c r="S388" t="str">
        <f t="shared" si="451"/>
        <v>SD</v>
      </c>
      <c r="T388">
        <v>0</v>
      </c>
      <c r="V388" s="17">
        <f t="shared" si="453"/>
        <v>44620</v>
      </c>
      <c r="W388" s="1" t="e">
        <f t="shared" si="436"/>
        <v>#N/A</v>
      </c>
      <c r="X388" s="1">
        <f t="shared" si="437"/>
        <v>0.47354933302214608</v>
      </c>
      <c r="Y388" s="1" t="e">
        <f t="shared" si="438"/>
        <v>#N/A</v>
      </c>
      <c r="Z388" s="1" t="e">
        <f t="shared" si="439"/>
        <v>#N/A</v>
      </c>
      <c r="AA388">
        <v>0</v>
      </c>
      <c r="AB388" s="1">
        <v>40.1</v>
      </c>
      <c r="AD388" s="17">
        <f t="shared" si="441"/>
        <v>44620</v>
      </c>
      <c r="AE388" s="1" t="e">
        <f t="shared" si="442"/>
        <v>#N/A</v>
      </c>
      <c r="AF388" s="1">
        <f t="shared" si="443"/>
        <v>0.47354933302214608</v>
      </c>
      <c r="AG388" s="1" t="e">
        <f t="shared" si="444"/>
        <v>#N/A</v>
      </c>
      <c r="AH388" s="1" t="e">
        <f t="shared" si="445"/>
        <v>#N/A</v>
      </c>
      <c r="AO388" s="17">
        <f t="shared" si="447"/>
        <v>44620</v>
      </c>
      <c r="AP388">
        <f t="shared" si="448"/>
        <v>3</v>
      </c>
      <c r="AQ388">
        <f t="shared" si="449"/>
        <v>3</v>
      </c>
    </row>
    <row r="389" spans="1:43">
      <c r="A389" s="7">
        <v>44651</v>
      </c>
      <c r="B389" s="8">
        <v>-0.21782000000000001</v>
      </c>
      <c r="C389" s="8">
        <f t="shared" ref="C389:C415" si="457">C388*$V$1+(1-$V$1)*B389</f>
        <v>-6.8986449374817155E-2</v>
      </c>
      <c r="D389" s="9">
        <f t="shared" si="454"/>
        <v>-0.34493224687408575</v>
      </c>
      <c r="E389" s="8">
        <v>6</v>
      </c>
      <c r="F389" s="8">
        <f t="shared" ref="F389:F415" si="458">F388*$V$1+(1-$V$1)*E389</f>
        <v>6.9828302575858778</v>
      </c>
      <c r="G389" s="9">
        <f t="shared" si="455"/>
        <v>0.63480275068962522</v>
      </c>
      <c r="H389" s="8">
        <v>-6.2100000000000002E-2</v>
      </c>
      <c r="I389" s="8">
        <f t="shared" ref="I389:I415" si="459">I388*$V$1+(1-$V$1)*H389</f>
        <v>9.1553378762899693E-2</v>
      </c>
      <c r="J389" s="9">
        <f t="shared" ref="J389:J403" si="460">MAX(IF(I389&lt;-1,-1*SQRT(-I389),IF(I389&gt;1,SQRT(I389),I389)),-2)+0.2</f>
        <v>0.29155337876289972</v>
      </c>
      <c r="K389" s="8">
        <v>-0.123</v>
      </c>
      <c r="L389" s="8">
        <f t="shared" ref="L389:L400" si="461">L388*$V$1+(1-$V$1)*K389</f>
        <v>0.36896033151784535</v>
      </c>
      <c r="M389" s="9">
        <f t="shared" si="456"/>
        <v>0.36896033151784535</v>
      </c>
      <c r="O389" s="11">
        <f t="shared" ref="O389:O414" si="462">0.3*M389+0.3*J389+0.3*G388+0.1*D389</f>
        <v>0.36478600947447082</v>
      </c>
      <c r="P389" s="15" t="str">
        <f t="shared" si="440"/>
        <v>SD</v>
      </c>
      <c r="Q389" t="str">
        <f t="shared" si="446"/>
        <v>SD</v>
      </c>
      <c r="R389" s="18">
        <f t="shared" si="450"/>
        <v>0.73653314305052564</v>
      </c>
      <c r="S389" t="str">
        <f t="shared" si="451"/>
        <v>SD</v>
      </c>
      <c r="T389">
        <v>0</v>
      </c>
      <c r="V389" s="17">
        <f t="shared" si="453"/>
        <v>44651</v>
      </c>
      <c r="W389" s="1" t="e">
        <f t="shared" ref="W389:W419" si="463">IF(OR($P389=W$4,$P390=W$4),$O389,NA())</f>
        <v>#N/A</v>
      </c>
      <c r="X389" s="1">
        <f t="shared" ref="X389:X424" si="464">IF(OR($P389=X$4,$P390=X$4),$O389,NA())</f>
        <v>0.36478600947447082</v>
      </c>
      <c r="Y389" s="1" t="e">
        <f t="shared" ref="Y389:Y424" si="465">IF(OR($P389=Y$4,$P390=Y$4),$O389,NA())</f>
        <v>#N/A</v>
      </c>
      <c r="Z389" s="1" t="e">
        <f t="shared" ref="Z389:Z424" si="466">IF(OR($P389=Z$4,$P390=Z$4),$O389,NA())</f>
        <v>#N/A</v>
      </c>
      <c r="AA389">
        <v>0</v>
      </c>
      <c r="AB389" s="1">
        <v>55.4</v>
      </c>
      <c r="AD389" s="17">
        <f t="shared" si="441"/>
        <v>44651</v>
      </c>
      <c r="AE389" s="1" t="e">
        <f t="shared" si="442"/>
        <v>#N/A</v>
      </c>
      <c r="AF389" s="1">
        <f t="shared" si="443"/>
        <v>0.36478600947447082</v>
      </c>
      <c r="AG389" s="1" t="e">
        <f t="shared" si="444"/>
        <v>#N/A</v>
      </c>
      <c r="AH389" s="1" t="e">
        <f t="shared" si="445"/>
        <v>#N/A</v>
      </c>
      <c r="AO389" s="17">
        <f t="shared" si="447"/>
        <v>44651</v>
      </c>
      <c r="AP389">
        <f t="shared" si="448"/>
        <v>3</v>
      </c>
      <c r="AQ389">
        <f t="shared" si="449"/>
        <v>3</v>
      </c>
    </row>
    <row r="390" spans="1:43">
      <c r="A390" s="7">
        <v>44681</v>
      </c>
      <c r="B390" s="8">
        <v>-6.2139E-2</v>
      </c>
      <c r="C390" s="8">
        <f t="shared" si="457"/>
        <v>-6.7034926302994263E-2</v>
      </c>
      <c r="D390" s="9">
        <f t="shared" si="454"/>
        <v>-0.33517463151497129</v>
      </c>
      <c r="E390" s="8">
        <v>4.3</v>
      </c>
      <c r="F390" s="8">
        <f t="shared" si="458"/>
        <v>6.2182236341739028</v>
      </c>
      <c r="G390" s="9">
        <f t="shared" si="455"/>
        <v>0.56529305765217297</v>
      </c>
      <c r="H390" s="8">
        <v>-0.35099999999999998</v>
      </c>
      <c r="I390" s="8">
        <f t="shared" si="459"/>
        <v>-3.4574334184526725E-2</v>
      </c>
      <c r="J390" s="9">
        <f t="shared" si="460"/>
        <v>0.1654256658154733</v>
      </c>
      <c r="K390" s="8">
        <v>-0.69899999999999995</v>
      </c>
      <c r="L390" s="8">
        <f t="shared" si="461"/>
        <v>6.4591637035259414E-2</v>
      </c>
      <c r="M390" s="9">
        <f t="shared" si="456"/>
        <v>6.4591637035259414E-2</v>
      </c>
      <c r="O390" s="11">
        <f t="shared" si="462"/>
        <v>0.22592855291061026</v>
      </c>
      <c r="P390" s="15" t="str">
        <f t="shared" ref="P390:P400" si="467">IF(O390-O389&gt;0,IF(O390&gt;=0,"E","R"),IF(O390&gt;=0,"SD","C"))</f>
        <v>SD</v>
      </c>
      <c r="Q390" t="str">
        <f t="shared" si="446"/>
        <v>SD</v>
      </c>
      <c r="R390" s="18">
        <f t="shared" si="450"/>
        <v>0.73653314305052564</v>
      </c>
      <c r="S390" t="str">
        <f t="shared" si="451"/>
        <v>SD</v>
      </c>
      <c r="T390">
        <v>0</v>
      </c>
      <c r="V390" s="17">
        <f t="shared" si="453"/>
        <v>44681</v>
      </c>
      <c r="W390" s="1" t="e">
        <f t="shared" si="463"/>
        <v>#N/A</v>
      </c>
      <c r="X390" s="1">
        <f t="shared" si="464"/>
        <v>0.22592855291061026</v>
      </c>
      <c r="Y390" s="1" t="e">
        <f t="shared" si="465"/>
        <v>#N/A</v>
      </c>
      <c r="Z390" s="1" t="e">
        <f t="shared" si="466"/>
        <v>#N/A</v>
      </c>
      <c r="AA390">
        <v>0</v>
      </c>
      <c r="AB390" s="1">
        <v>62</v>
      </c>
      <c r="AD390" s="17">
        <f t="shared" ref="AD390:AD419" si="468">A390</f>
        <v>44681</v>
      </c>
      <c r="AE390" s="1" t="e">
        <f t="shared" ref="AE390:AE424" si="469">IF(OR($S390=AE$4,$S391=AE$4),$O390,NA())</f>
        <v>#N/A</v>
      </c>
      <c r="AF390" s="1">
        <f t="shared" ref="AF390:AF424" si="470">IF(OR($S390=AF$4,$S391=AF$4),$O390,NA())</f>
        <v>0.22592855291061026</v>
      </c>
      <c r="AG390" s="1" t="e">
        <f t="shared" ref="AG390:AG424" si="471">IF(OR($S390=AG$4,$S391=AG$4),$O390,NA())</f>
        <v>#N/A</v>
      </c>
      <c r="AH390" s="1" t="e">
        <f t="shared" ref="AH390:AH418" si="472">IF(OR($S390=AH$4,$S391=AH$4),$O390,NA())</f>
        <v>#N/A</v>
      </c>
      <c r="AO390" s="17">
        <f t="shared" si="447"/>
        <v>44681</v>
      </c>
      <c r="AP390">
        <f t="shared" si="448"/>
        <v>3</v>
      </c>
      <c r="AQ390">
        <f t="shared" si="449"/>
        <v>3</v>
      </c>
    </row>
    <row r="391" spans="1:43">
      <c r="A391" s="7">
        <v>44712</v>
      </c>
      <c r="B391" s="8">
        <v>-9.0469999999999995E-2</v>
      </c>
      <c r="C391" s="8">
        <f t="shared" si="457"/>
        <v>-7.3713922306640894E-2</v>
      </c>
      <c r="D391" s="9">
        <f t="shared" si="454"/>
        <v>-0.36856961153320444</v>
      </c>
      <c r="E391" s="8">
        <v>2.7</v>
      </c>
      <c r="F391" s="8">
        <f t="shared" si="458"/>
        <v>5.2155298984343403</v>
      </c>
      <c r="G391" s="9">
        <f t="shared" si="455"/>
        <v>0.47413908167584912</v>
      </c>
      <c r="H391" s="8">
        <v>-0.6411</v>
      </c>
      <c r="I391" s="8">
        <f t="shared" si="459"/>
        <v>-0.20743414894193662</v>
      </c>
      <c r="J391" s="9">
        <f t="shared" si="460"/>
        <v>-7.4341489419366136E-3</v>
      </c>
      <c r="K391" s="8">
        <v>-0.50600000000000001</v>
      </c>
      <c r="L391" s="8">
        <f t="shared" si="461"/>
        <v>-9.8026979519789531E-2</v>
      </c>
      <c r="M391" s="9">
        <f t="shared" si="456"/>
        <v>-4.9013489759894766E-2</v>
      </c>
      <c r="O391" s="11">
        <f t="shared" si="462"/>
        <v>0.11579666453178204</v>
      </c>
      <c r="P391" s="15" t="str">
        <f t="shared" si="467"/>
        <v>SD</v>
      </c>
      <c r="Q391" t="str">
        <f t="shared" si="446"/>
        <v>SD</v>
      </c>
      <c r="R391" s="18">
        <f t="shared" si="450"/>
        <v>0.73653314305052564</v>
      </c>
      <c r="S391" t="str">
        <f t="shared" si="451"/>
        <v>SD</v>
      </c>
      <c r="T391">
        <v>0</v>
      </c>
      <c r="V391" s="17">
        <f t="shared" si="453"/>
        <v>44712</v>
      </c>
      <c r="W391" s="1" t="e">
        <f t="shared" si="463"/>
        <v>#N/A</v>
      </c>
      <c r="X391" s="1">
        <f t="shared" si="464"/>
        <v>0.11579666453178204</v>
      </c>
      <c r="Y391" s="1" t="e">
        <f t="shared" si="465"/>
        <v>#N/A</v>
      </c>
      <c r="Z391" s="1" t="e">
        <f t="shared" si="466"/>
        <v>#N/A</v>
      </c>
      <c r="AA391">
        <v>0</v>
      </c>
      <c r="AB391" s="1">
        <v>-37.799999999999997</v>
      </c>
      <c r="AD391" s="17">
        <f t="shared" si="468"/>
        <v>44712</v>
      </c>
      <c r="AE391" s="1" t="e">
        <f t="shared" si="469"/>
        <v>#N/A</v>
      </c>
      <c r="AF391" s="1">
        <f t="shared" si="470"/>
        <v>0.11579666453178204</v>
      </c>
      <c r="AG391" s="1" t="e">
        <f t="shared" si="471"/>
        <v>#N/A</v>
      </c>
      <c r="AH391" s="1" t="e">
        <f t="shared" si="472"/>
        <v>#N/A</v>
      </c>
      <c r="AO391" s="17">
        <f t="shared" si="447"/>
        <v>44712</v>
      </c>
      <c r="AP391">
        <f t="shared" si="448"/>
        <v>3</v>
      </c>
      <c r="AQ391">
        <f t="shared" si="449"/>
        <v>3</v>
      </c>
    </row>
    <row r="392" spans="1:43">
      <c r="A392" s="7">
        <v>44742</v>
      </c>
      <c r="B392" s="8">
        <v>-0.19217999999999999</v>
      </c>
      <c r="C392" s="8">
        <f t="shared" si="457"/>
        <v>-0.10747675444924823</v>
      </c>
      <c r="D392" s="9">
        <f t="shared" si="454"/>
        <v>-0.53738377224624112</v>
      </c>
      <c r="E392" s="8">
        <v>1.4</v>
      </c>
      <c r="F392" s="8">
        <f t="shared" si="458"/>
        <v>4.1281038773805534</v>
      </c>
      <c r="G392" s="9">
        <f t="shared" si="455"/>
        <v>0.37528217067095943</v>
      </c>
      <c r="H392" s="8">
        <v>-0.28749999999999998</v>
      </c>
      <c r="I392" s="8">
        <f t="shared" si="459"/>
        <v>-0.23025291649348467</v>
      </c>
      <c r="J392" s="9">
        <f t="shared" si="460"/>
        <v>-3.0252916493484661E-2</v>
      </c>
      <c r="K392" s="8">
        <v>-1.1319999999999999</v>
      </c>
      <c r="L392" s="8">
        <f t="shared" si="461"/>
        <v>-0.39270929035664953</v>
      </c>
      <c r="M392" s="9">
        <f t="shared" si="456"/>
        <v>-0.19635464517832477</v>
      </c>
      <c r="O392" s="11">
        <f t="shared" si="462"/>
        <v>2.0521078776587792E-2</v>
      </c>
      <c r="P392" s="15" t="str">
        <f t="shared" si="467"/>
        <v>SD</v>
      </c>
      <c r="Q392" t="str">
        <f t="shared" ref="Q392:Q418" si="473">IF(OR(ABS($O392-$O391)&gt;$V$2,O392*O391&lt;0),P392,Q391)</f>
        <v>SD</v>
      </c>
      <c r="R392" s="18">
        <f t="shared" si="450"/>
        <v>0.73653314305052564</v>
      </c>
      <c r="S392" t="str">
        <f t="shared" si="451"/>
        <v>SD</v>
      </c>
      <c r="T392">
        <v>0</v>
      </c>
      <c r="V392" s="17">
        <f t="shared" si="453"/>
        <v>44742</v>
      </c>
      <c r="W392" s="1">
        <f t="shared" si="463"/>
        <v>2.0521078776587792E-2</v>
      </c>
      <c r="X392" s="1">
        <f t="shared" si="464"/>
        <v>2.0521078776587792E-2</v>
      </c>
      <c r="Y392" s="1" t="e">
        <f t="shared" si="465"/>
        <v>#N/A</v>
      </c>
      <c r="Z392" s="1" t="e">
        <f t="shared" si="466"/>
        <v>#N/A</v>
      </c>
      <c r="AA392">
        <v>0</v>
      </c>
      <c r="AB392" s="1">
        <v>-71.599999999999994</v>
      </c>
      <c r="AD392" s="17">
        <f t="shared" si="468"/>
        <v>44742</v>
      </c>
      <c r="AE392" s="1">
        <f t="shared" si="469"/>
        <v>2.0521078776587792E-2</v>
      </c>
      <c r="AF392" s="1">
        <f t="shared" si="470"/>
        <v>2.0521078776587792E-2</v>
      </c>
      <c r="AG392" s="1" t="e">
        <f t="shared" si="471"/>
        <v>#N/A</v>
      </c>
      <c r="AH392" s="1" t="e">
        <f t="shared" si="472"/>
        <v>#N/A</v>
      </c>
      <c r="AO392" s="17">
        <f t="shared" ref="AO392:AO419" si="474">A392</f>
        <v>44742</v>
      </c>
      <c r="AP392">
        <f t="shared" ref="AP392:AP423" si="475">IF($P392="E",4,IF($P392="R",2,IF($P392="SD",3,1)))</f>
        <v>3</v>
      </c>
      <c r="AQ392">
        <f t="shared" ref="AQ392:AQ423" si="476">IF($Q392="E",4,IF($Q392="R",2,IF($Q392="SD",3,1)))</f>
        <v>3</v>
      </c>
    </row>
    <row r="393" spans="1:43">
      <c r="A393" s="7">
        <v>44773</v>
      </c>
      <c r="B393" s="8">
        <v>-0.217005</v>
      </c>
      <c r="C393" s="8">
        <f t="shared" si="457"/>
        <v>-0.1386923044312125</v>
      </c>
      <c r="D393" s="9">
        <f t="shared" si="454"/>
        <v>-0.69346152215606249</v>
      </c>
      <c r="E393" s="8">
        <v>-0.2</v>
      </c>
      <c r="F393" s="8">
        <f t="shared" si="458"/>
        <v>2.8945942723270957</v>
      </c>
      <c r="G393" s="9">
        <f t="shared" si="455"/>
        <v>0.26314493384791776</v>
      </c>
      <c r="H393" s="8">
        <v>0.41120000000000001</v>
      </c>
      <c r="I393" s="8">
        <f t="shared" si="459"/>
        <v>-4.7438835292841514E-2</v>
      </c>
      <c r="J393" s="9">
        <f t="shared" si="460"/>
        <v>0.1525611647071585</v>
      </c>
      <c r="K393" s="8">
        <v>-0.52700000000000002</v>
      </c>
      <c r="L393" s="8">
        <f t="shared" si="461"/>
        <v>-0.43098214260500445</v>
      </c>
      <c r="M393" s="9">
        <f t="shared" si="456"/>
        <v>-0.21549107130250222</v>
      </c>
      <c r="O393" s="11">
        <f t="shared" si="462"/>
        <v>2.4359527007078469E-2</v>
      </c>
      <c r="P393" s="15" t="str">
        <f t="shared" si="467"/>
        <v>E</v>
      </c>
      <c r="Q393" t="str">
        <f t="shared" si="473"/>
        <v>SD</v>
      </c>
      <c r="R393" s="18">
        <f t="shared" si="450"/>
        <v>0.73653314305052564</v>
      </c>
      <c r="S393" t="str">
        <f t="shared" si="451"/>
        <v>E</v>
      </c>
      <c r="T393">
        <v>0</v>
      </c>
      <c r="V393" s="17">
        <f t="shared" si="453"/>
        <v>44773</v>
      </c>
      <c r="W393" s="1">
        <f t="shared" si="463"/>
        <v>2.4359527007078469E-2</v>
      </c>
      <c r="X393" s="1">
        <f t="shared" si="464"/>
        <v>2.4359527007078469E-2</v>
      </c>
      <c r="Y393" s="1" t="e">
        <f t="shared" si="465"/>
        <v>#N/A</v>
      </c>
      <c r="Z393" s="1" t="e">
        <f t="shared" si="466"/>
        <v>#N/A</v>
      </c>
      <c r="AA393">
        <v>0</v>
      </c>
      <c r="AB393" s="1">
        <v>-61.8</v>
      </c>
      <c r="AD393" s="17">
        <f t="shared" si="468"/>
        <v>44773</v>
      </c>
      <c r="AE393" s="1">
        <f t="shared" si="469"/>
        <v>2.4359527007078469E-2</v>
      </c>
      <c r="AF393" s="1">
        <f t="shared" si="470"/>
        <v>2.4359527007078469E-2</v>
      </c>
      <c r="AG393" s="1" t="e">
        <f t="shared" si="471"/>
        <v>#N/A</v>
      </c>
      <c r="AH393" s="1" t="e">
        <f t="shared" si="472"/>
        <v>#N/A</v>
      </c>
      <c r="AO393" s="17">
        <f t="shared" si="474"/>
        <v>44773</v>
      </c>
      <c r="AP393">
        <f t="shared" si="475"/>
        <v>4</v>
      </c>
      <c r="AQ393">
        <f t="shared" si="476"/>
        <v>3</v>
      </c>
    </row>
    <row r="394" spans="1:43">
      <c r="A394" s="7">
        <v>44804</v>
      </c>
      <c r="B394" s="8">
        <v>-0.111026</v>
      </c>
      <c r="C394" s="8">
        <f t="shared" si="457"/>
        <v>-0.13080740766831694</v>
      </c>
      <c r="D394" s="9">
        <f t="shared" si="454"/>
        <v>-0.65403703834158466</v>
      </c>
      <c r="E394" s="8">
        <v>-0.9</v>
      </c>
      <c r="F394" s="8">
        <f t="shared" si="458"/>
        <v>1.8131349047138734</v>
      </c>
      <c r="G394" s="9">
        <f t="shared" si="455"/>
        <v>0.16483044588307941</v>
      </c>
      <c r="H394" s="8">
        <v>0.25259999999999999</v>
      </c>
      <c r="I394" s="8">
        <f t="shared" si="459"/>
        <v>3.8072232765618316E-2</v>
      </c>
      <c r="J394" s="9">
        <f t="shared" si="460"/>
        <v>0.23807223276561834</v>
      </c>
      <c r="K394" s="8">
        <v>-0.41499999999999998</v>
      </c>
      <c r="L394" s="8">
        <f t="shared" si="461"/>
        <v>-0.4264272319625782</v>
      </c>
      <c r="M394" s="9">
        <f t="shared" si="456"/>
        <v>-0.2132136159812891</v>
      </c>
      <c r="O394" s="11">
        <f t="shared" si="462"/>
        <v>2.0997361355515623E-2</v>
      </c>
      <c r="P394" s="15" t="str">
        <f t="shared" si="467"/>
        <v>SD</v>
      </c>
      <c r="Q394" t="str">
        <f t="shared" si="473"/>
        <v>SD</v>
      </c>
      <c r="R394" s="18">
        <f t="shared" si="450"/>
        <v>2.0997361355515623E-2</v>
      </c>
      <c r="S394" t="str">
        <f t="shared" si="451"/>
        <v>SD</v>
      </c>
      <c r="T394">
        <v>0</v>
      </c>
      <c r="V394" s="17">
        <f t="shared" si="453"/>
        <v>44804</v>
      </c>
      <c r="W394" s="1" t="e">
        <f t="shared" si="463"/>
        <v>#N/A</v>
      </c>
      <c r="X394" s="1">
        <f t="shared" si="464"/>
        <v>2.0997361355515623E-2</v>
      </c>
      <c r="Y394" s="1">
        <f t="shared" si="465"/>
        <v>2.0997361355515623E-2</v>
      </c>
      <c r="Z394" s="1" t="e">
        <f t="shared" si="466"/>
        <v>#N/A</v>
      </c>
      <c r="AA394">
        <v>0</v>
      </c>
      <c r="AB394" s="1">
        <v>-27.6</v>
      </c>
      <c r="AD394" s="17">
        <f t="shared" si="468"/>
        <v>44804</v>
      </c>
      <c r="AE394" s="1" t="e">
        <f t="shared" si="469"/>
        <v>#N/A</v>
      </c>
      <c r="AF394" s="1">
        <f t="shared" si="470"/>
        <v>2.0997361355515623E-2</v>
      </c>
      <c r="AG394" s="1">
        <f t="shared" si="471"/>
        <v>2.0997361355515623E-2</v>
      </c>
      <c r="AH394" s="1" t="e">
        <f t="shared" si="472"/>
        <v>#N/A</v>
      </c>
      <c r="AO394" s="17">
        <f t="shared" si="474"/>
        <v>44804</v>
      </c>
      <c r="AP394">
        <f t="shared" si="475"/>
        <v>3</v>
      </c>
      <c r="AQ394">
        <f t="shared" si="476"/>
        <v>3</v>
      </c>
    </row>
    <row r="395" spans="1:43">
      <c r="A395" s="7">
        <v>44834</v>
      </c>
      <c r="B395" s="8">
        <v>-0.17638000000000001</v>
      </c>
      <c r="C395" s="8">
        <f t="shared" si="457"/>
        <v>-0.14379559648284662</v>
      </c>
      <c r="D395" s="9">
        <f t="shared" si="454"/>
        <v>-0.71897798241423305</v>
      </c>
      <c r="E395" s="8">
        <v>-1.4</v>
      </c>
      <c r="F395" s="8">
        <f t="shared" si="458"/>
        <v>0.89739145687041932</v>
      </c>
      <c r="G395" s="9">
        <f t="shared" si="455"/>
        <v>8.1581041533674487E-2</v>
      </c>
      <c r="H395" s="8">
        <v>3.6499999999999998E-2</v>
      </c>
      <c r="I395" s="8">
        <f t="shared" si="459"/>
        <v>3.7624146427417092E-2</v>
      </c>
      <c r="J395" s="9">
        <f t="shared" si="460"/>
        <v>0.23762414642741711</v>
      </c>
      <c r="K395" s="8">
        <v>-1.345</v>
      </c>
      <c r="L395" s="8">
        <f t="shared" si="461"/>
        <v>-0.68822047085324345</v>
      </c>
      <c r="M395" s="9">
        <f t="shared" si="456"/>
        <v>-0.34411023542662172</v>
      </c>
      <c r="O395" s="11">
        <f t="shared" si="462"/>
        <v>-5.4394491176260877E-2</v>
      </c>
      <c r="P395" s="15" t="str">
        <f t="shared" si="467"/>
        <v>C</v>
      </c>
      <c r="Q395" t="str">
        <f t="shared" si="473"/>
        <v>C</v>
      </c>
      <c r="R395" s="18">
        <f t="shared" ref="R395:R408" si="477">IF(Q395&lt;&gt;P394,O395,R394)</f>
        <v>-5.4394491176260877E-2</v>
      </c>
      <c r="S395" t="str">
        <f t="shared" si="451"/>
        <v>C</v>
      </c>
      <c r="T395">
        <v>0</v>
      </c>
      <c r="V395" s="17">
        <f t="shared" si="453"/>
        <v>44834</v>
      </c>
      <c r="W395" s="1" t="e">
        <f t="shared" si="463"/>
        <v>#N/A</v>
      </c>
      <c r="X395" s="1" t="e">
        <f t="shared" si="464"/>
        <v>#N/A</v>
      </c>
      <c r="Y395" s="1">
        <f t="shared" si="465"/>
        <v>-5.4394491176260877E-2</v>
      </c>
      <c r="Z395" s="1" t="e">
        <f t="shared" si="466"/>
        <v>#N/A</v>
      </c>
      <c r="AA395">
        <v>0</v>
      </c>
      <c r="AB395" s="1">
        <v>17.899999999999999</v>
      </c>
      <c r="AD395" s="17">
        <f t="shared" si="468"/>
        <v>44834</v>
      </c>
      <c r="AE395" s="1" t="e">
        <f t="shared" si="469"/>
        <v>#N/A</v>
      </c>
      <c r="AF395" s="1" t="e">
        <f t="shared" si="470"/>
        <v>#N/A</v>
      </c>
      <c r="AG395" s="1">
        <f t="shared" si="471"/>
        <v>-5.4394491176260877E-2</v>
      </c>
      <c r="AH395" s="1" t="e">
        <f t="shared" si="472"/>
        <v>#N/A</v>
      </c>
      <c r="AO395" s="17">
        <f t="shared" si="474"/>
        <v>44834</v>
      </c>
      <c r="AP395">
        <f t="shared" si="475"/>
        <v>1</v>
      </c>
      <c r="AQ395">
        <f t="shared" si="476"/>
        <v>1</v>
      </c>
    </row>
    <row r="396" spans="1:43">
      <c r="A396" s="7">
        <v>44865</v>
      </c>
      <c r="B396" s="8">
        <v>-0.20913300000000001</v>
      </c>
      <c r="C396" s="8">
        <f t="shared" si="457"/>
        <v>-0.16241675648523535</v>
      </c>
      <c r="D396" s="9">
        <f t="shared" si="454"/>
        <v>-0.81208378242617674</v>
      </c>
      <c r="E396" s="8">
        <v>-2.7</v>
      </c>
      <c r="F396" s="8">
        <f t="shared" si="458"/>
        <v>-0.12786510833765041</v>
      </c>
      <c r="G396" s="9">
        <f t="shared" si="455"/>
        <v>-1.1624100757968219E-2</v>
      </c>
      <c r="H396" s="8">
        <v>-0.34499999999999997</v>
      </c>
      <c r="I396" s="8">
        <f t="shared" si="459"/>
        <v>-7.1423735304396788E-2</v>
      </c>
      <c r="J396" s="9">
        <f t="shared" si="460"/>
        <v>0.12857626469560324</v>
      </c>
      <c r="K396" s="8">
        <v>-1.0349999999999999</v>
      </c>
      <c r="L396" s="8">
        <f t="shared" si="461"/>
        <v>-0.78705263666006897</v>
      </c>
      <c r="M396" s="9">
        <f t="shared" si="456"/>
        <v>-0.39352631833003449</v>
      </c>
      <c r="O396" s="11">
        <f t="shared" si="462"/>
        <v>-0.13621908187284471</v>
      </c>
      <c r="P396" s="15" t="str">
        <f t="shared" si="467"/>
        <v>C</v>
      </c>
      <c r="Q396" t="str">
        <f t="shared" si="473"/>
        <v>C</v>
      </c>
      <c r="R396" s="18">
        <f t="shared" si="477"/>
        <v>-5.4394491176260877E-2</v>
      </c>
      <c r="S396" t="str">
        <f t="shared" si="451"/>
        <v>C</v>
      </c>
      <c r="T396">
        <v>0</v>
      </c>
      <c r="V396" s="17">
        <f t="shared" si="453"/>
        <v>44865</v>
      </c>
      <c r="W396" s="1" t="e">
        <f t="shared" si="463"/>
        <v>#N/A</v>
      </c>
      <c r="X396" s="1" t="e">
        <f t="shared" si="464"/>
        <v>#N/A</v>
      </c>
      <c r="Y396" s="1">
        <f t="shared" si="465"/>
        <v>-0.13621908187284471</v>
      </c>
      <c r="Z396" s="1" t="e">
        <f t="shared" si="466"/>
        <v>#N/A</v>
      </c>
      <c r="AA396">
        <v>0</v>
      </c>
      <c r="AB396" s="1">
        <v>8.1</v>
      </c>
      <c r="AD396" s="17">
        <f t="shared" si="468"/>
        <v>44865</v>
      </c>
      <c r="AE396" s="1" t="e">
        <f t="shared" si="469"/>
        <v>#N/A</v>
      </c>
      <c r="AF396" s="1" t="e">
        <f t="shared" si="470"/>
        <v>#N/A</v>
      </c>
      <c r="AG396" s="1">
        <f t="shared" si="471"/>
        <v>-0.13621908187284471</v>
      </c>
      <c r="AH396" s="1" t="e">
        <f t="shared" si="472"/>
        <v>#N/A</v>
      </c>
      <c r="AO396" s="17">
        <f t="shared" si="474"/>
        <v>44865</v>
      </c>
      <c r="AP396">
        <f t="shared" si="475"/>
        <v>1</v>
      </c>
      <c r="AQ396">
        <f t="shared" si="476"/>
        <v>1</v>
      </c>
    </row>
    <row r="397" spans="1:43">
      <c r="A397" s="7">
        <v>44895</v>
      </c>
      <c r="B397" s="8">
        <v>-0.12005200000000001</v>
      </c>
      <c r="C397" s="8">
        <f t="shared" si="457"/>
        <v>-0.1503428008869433</v>
      </c>
      <c r="D397" s="9">
        <f t="shared" si="454"/>
        <v>-0.75171400443471648</v>
      </c>
      <c r="E397" s="8">
        <v>-4.5</v>
      </c>
      <c r="F397" s="8">
        <f t="shared" si="458"/>
        <v>-1.3739235524614202</v>
      </c>
      <c r="G397" s="9">
        <f t="shared" si="455"/>
        <v>-0.12490214113285637</v>
      </c>
      <c r="H397" s="8">
        <v>-0.76439999999999997</v>
      </c>
      <c r="I397" s="8">
        <f t="shared" si="459"/>
        <v>-0.26892197074264373</v>
      </c>
      <c r="J397" s="9">
        <f t="shared" si="460"/>
        <v>-6.8921970742643723E-2</v>
      </c>
      <c r="K397" s="8">
        <v>-0.502</v>
      </c>
      <c r="L397" s="8">
        <f t="shared" si="461"/>
        <v>-0.70581263521194937</v>
      </c>
      <c r="M397" s="9">
        <f t="shared" si="456"/>
        <v>-0.35290631760597468</v>
      </c>
      <c r="O397" s="11">
        <f t="shared" si="462"/>
        <v>-0.20520711717544765</v>
      </c>
      <c r="P397" s="15" t="str">
        <f t="shared" si="467"/>
        <v>C</v>
      </c>
      <c r="Q397" t="str">
        <f t="shared" si="473"/>
        <v>C</v>
      </c>
      <c r="R397" s="18">
        <f t="shared" si="477"/>
        <v>-5.4394491176260877E-2</v>
      </c>
      <c r="S397" t="str">
        <f t="shared" si="451"/>
        <v>C</v>
      </c>
      <c r="T397">
        <v>0</v>
      </c>
      <c r="V397" s="17">
        <f t="shared" si="453"/>
        <v>44895</v>
      </c>
      <c r="W397" s="1" t="e">
        <f t="shared" si="463"/>
        <v>#N/A</v>
      </c>
      <c r="X397" s="1" t="e">
        <f t="shared" si="464"/>
        <v>#N/A</v>
      </c>
      <c r="Y397" s="1">
        <f t="shared" si="465"/>
        <v>-0.20520711717544765</v>
      </c>
      <c r="Z397" s="1" t="e">
        <f t="shared" si="466"/>
        <v>#N/A</v>
      </c>
      <c r="AA397">
        <v>0</v>
      </c>
      <c r="AB397" s="1">
        <v>8.9</v>
      </c>
      <c r="AD397" s="17">
        <f t="shared" si="468"/>
        <v>44895</v>
      </c>
      <c r="AE397" s="1" t="e">
        <f t="shared" si="469"/>
        <v>#N/A</v>
      </c>
      <c r="AF397" s="1" t="e">
        <f t="shared" si="470"/>
        <v>#N/A</v>
      </c>
      <c r="AG397" s="1">
        <f t="shared" si="471"/>
        <v>-0.20520711717544765</v>
      </c>
      <c r="AH397" s="1" t="e">
        <f t="shared" si="472"/>
        <v>#N/A</v>
      </c>
      <c r="AO397" s="17">
        <f t="shared" si="474"/>
        <v>44895</v>
      </c>
      <c r="AP397">
        <f t="shared" si="475"/>
        <v>1</v>
      </c>
      <c r="AQ397">
        <f t="shared" si="476"/>
        <v>1</v>
      </c>
    </row>
    <row r="398" spans="1:43">
      <c r="A398" s="7">
        <v>44926</v>
      </c>
      <c r="B398" s="8">
        <v>-0.125832</v>
      </c>
      <c r="C398" s="8">
        <f t="shared" si="457"/>
        <v>-0.14335722263416445</v>
      </c>
      <c r="D398" s="9">
        <f t="shared" si="454"/>
        <v>-0.71678611317082219</v>
      </c>
      <c r="E398" s="8">
        <v>-6</v>
      </c>
      <c r="F398" s="8">
        <f t="shared" si="458"/>
        <v>-2.6923553400099154</v>
      </c>
      <c r="G398" s="9">
        <f t="shared" si="455"/>
        <v>-0.24475957636453777</v>
      </c>
      <c r="H398" s="8">
        <v>-0.4733</v>
      </c>
      <c r="I398" s="8">
        <f t="shared" si="459"/>
        <v>-0.3271697090809903</v>
      </c>
      <c r="J398" s="9">
        <f t="shared" si="460"/>
        <v>-0.12716970908099029</v>
      </c>
      <c r="K398" s="8">
        <v>-0.27</v>
      </c>
      <c r="L398" s="8">
        <f t="shared" si="461"/>
        <v>-0.58160603417654388</v>
      </c>
      <c r="M398" s="9">
        <f t="shared" si="456"/>
        <v>-0.29080301708827194</v>
      </c>
      <c r="O398" s="11">
        <f t="shared" si="462"/>
        <v>-0.2345410715077178</v>
      </c>
      <c r="P398" s="15" t="str">
        <f t="shared" si="467"/>
        <v>C</v>
      </c>
      <c r="Q398" t="str">
        <f t="shared" si="473"/>
        <v>C</v>
      </c>
      <c r="R398" s="18">
        <f t="shared" si="477"/>
        <v>-5.4394491176260877E-2</v>
      </c>
      <c r="S398" t="str">
        <f t="shared" si="451"/>
        <v>C</v>
      </c>
      <c r="T398">
        <v>0</v>
      </c>
      <c r="V398" s="17">
        <f t="shared" si="453"/>
        <v>44926</v>
      </c>
      <c r="W398" s="1" t="e">
        <f t="shared" si="463"/>
        <v>#N/A</v>
      </c>
      <c r="X398" s="1" t="e">
        <f t="shared" si="464"/>
        <v>#N/A</v>
      </c>
      <c r="Y398" s="1">
        <f t="shared" si="465"/>
        <v>-0.2345410715077178</v>
      </c>
      <c r="Z398" s="1">
        <f t="shared" si="466"/>
        <v>-0.2345410715077178</v>
      </c>
      <c r="AA398">
        <v>0</v>
      </c>
      <c r="AB398" s="1">
        <v>-4.4000000000000004</v>
      </c>
      <c r="AD398" s="17">
        <f t="shared" si="468"/>
        <v>44926</v>
      </c>
      <c r="AE398" s="1" t="e">
        <f t="shared" si="469"/>
        <v>#N/A</v>
      </c>
      <c r="AF398" s="1" t="e">
        <f t="shared" si="470"/>
        <v>#N/A</v>
      </c>
      <c r="AG398" s="1">
        <f t="shared" si="471"/>
        <v>-0.2345410715077178</v>
      </c>
      <c r="AH398" s="1">
        <f t="shared" si="472"/>
        <v>-0.2345410715077178</v>
      </c>
      <c r="AO398" s="17">
        <f t="shared" si="474"/>
        <v>44926</v>
      </c>
      <c r="AP398">
        <f t="shared" si="475"/>
        <v>1</v>
      </c>
      <c r="AQ398">
        <f t="shared" si="476"/>
        <v>1</v>
      </c>
    </row>
    <row r="399" spans="1:43">
      <c r="A399" s="7">
        <v>44957</v>
      </c>
      <c r="B399" s="8">
        <v>-0.17625199999999999</v>
      </c>
      <c r="C399" s="8">
        <f t="shared" si="457"/>
        <v>-0.15273223418342757</v>
      </c>
      <c r="D399" s="9">
        <f t="shared" si="454"/>
        <v>-0.76366117091713781</v>
      </c>
      <c r="E399" s="8">
        <v>-5.9</v>
      </c>
      <c r="F399" s="8">
        <f t="shared" si="458"/>
        <v>-3.6065340681070897</v>
      </c>
      <c r="G399" s="9">
        <f t="shared" si="455"/>
        <v>-0.32786673346428086</v>
      </c>
      <c r="H399" s="8">
        <v>0.40189999999999998</v>
      </c>
      <c r="I399" s="8">
        <f t="shared" si="459"/>
        <v>-0.11938484199290804</v>
      </c>
      <c r="J399" s="9">
        <f t="shared" si="460"/>
        <v>8.0615158007091972E-2</v>
      </c>
      <c r="K399" s="8">
        <v>0.29899999999999999</v>
      </c>
      <c r="L399" s="8">
        <f t="shared" si="461"/>
        <v>-0.3306333144362289</v>
      </c>
      <c r="M399" s="9">
        <f t="shared" si="456"/>
        <v>-0.16531665721811445</v>
      </c>
      <c r="O399" s="11">
        <f t="shared" si="462"/>
        <v>-0.17520443976438185</v>
      </c>
      <c r="P399" s="15" t="str">
        <f t="shared" si="467"/>
        <v>R</v>
      </c>
      <c r="Q399" t="str">
        <f t="shared" si="473"/>
        <v>R</v>
      </c>
      <c r="R399" s="18">
        <f t="shared" si="477"/>
        <v>-0.17520443976438185</v>
      </c>
      <c r="S399" t="str">
        <f t="shared" si="451"/>
        <v>R</v>
      </c>
      <c r="T399">
        <v>0</v>
      </c>
      <c r="V399" s="17">
        <f t="shared" si="453"/>
        <v>44957</v>
      </c>
      <c r="W399" s="1" t="e">
        <f t="shared" si="463"/>
        <v>#N/A</v>
      </c>
      <c r="X399" s="1" t="e">
        <f t="shared" si="464"/>
        <v>#N/A</v>
      </c>
      <c r="Y399" s="1" t="e">
        <f t="shared" si="465"/>
        <v>#N/A</v>
      </c>
      <c r="Z399" s="1">
        <f t="shared" si="466"/>
        <v>-0.17520443976438185</v>
      </c>
      <c r="AA399">
        <v>0</v>
      </c>
      <c r="AB399" s="1">
        <v>-6.1</v>
      </c>
      <c r="AD399" s="17">
        <f t="shared" si="468"/>
        <v>44957</v>
      </c>
      <c r="AE399" s="1" t="e">
        <f t="shared" si="469"/>
        <v>#N/A</v>
      </c>
      <c r="AF399" s="1" t="e">
        <f t="shared" si="470"/>
        <v>#N/A</v>
      </c>
      <c r="AG399" s="1" t="e">
        <f t="shared" si="471"/>
        <v>#N/A</v>
      </c>
      <c r="AH399" s="1">
        <f t="shared" si="472"/>
        <v>-0.17520443976438185</v>
      </c>
      <c r="AO399" s="17">
        <f t="shared" si="474"/>
        <v>44957</v>
      </c>
      <c r="AP399">
        <f t="shared" si="475"/>
        <v>2</v>
      </c>
      <c r="AQ399">
        <f t="shared" si="476"/>
        <v>2</v>
      </c>
    </row>
    <row r="400" spans="1:43">
      <c r="A400" s="7">
        <v>44985</v>
      </c>
      <c r="B400" s="8">
        <v>-6.87E-4</v>
      </c>
      <c r="C400" s="8">
        <f t="shared" si="457"/>
        <v>-0.10939934244115071</v>
      </c>
      <c r="D400" s="9">
        <f t="shared" si="454"/>
        <v>-0.54699671220575352</v>
      </c>
      <c r="E400" s="8">
        <v>-6.5</v>
      </c>
      <c r="F400" s="8">
        <f t="shared" si="458"/>
        <v>-4.4311718586965689</v>
      </c>
      <c r="G400" s="9">
        <f t="shared" si="455"/>
        <v>-0.40283380533605173</v>
      </c>
      <c r="H400" s="8">
        <v>-0.2399</v>
      </c>
      <c r="I400" s="8">
        <f t="shared" si="459"/>
        <v>-0.15373166202492924</v>
      </c>
      <c r="J400" s="9">
        <f t="shared" si="460"/>
        <v>4.6268337975070767E-2</v>
      </c>
      <c r="K400" s="8">
        <v>0.186</v>
      </c>
      <c r="L400" s="8">
        <f t="shared" si="461"/>
        <v>-0.18339281982190364</v>
      </c>
      <c r="M400" s="9">
        <f t="shared" si="456"/>
        <v>-9.169640991095182E-2</v>
      </c>
      <c r="O400" s="11">
        <f t="shared" si="462"/>
        <v>-0.1666881128406239</v>
      </c>
      <c r="P400" s="15" t="str">
        <f t="shared" si="467"/>
        <v>R</v>
      </c>
      <c r="Q400" t="str">
        <f t="shared" si="473"/>
        <v>R</v>
      </c>
      <c r="R400" s="18">
        <f t="shared" si="477"/>
        <v>-0.17520443976438185</v>
      </c>
      <c r="S400" t="str">
        <f t="shared" si="451"/>
        <v>R</v>
      </c>
      <c r="T400">
        <v>0</v>
      </c>
      <c r="V400" s="17">
        <f t="shared" si="453"/>
        <v>44985</v>
      </c>
      <c r="W400" s="1" t="e">
        <f t="shared" si="463"/>
        <v>#N/A</v>
      </c>
      <c r="X400" s="1" t="e">
        <f t="shared" si="464"/>
        <v>#N/A</v>
      </c>
      <c r="Y400" s="1">
        <f t="shared" si="465"/>
        <v>-0.1666881128406239</v>
      </c>
      <c r="Z400" s="1">
        <f t="shared" si="466"/>
        <v>-0.1666881128406239</v>
      </c>
      <c r="AA400">
        <v>0</v>
      </c>
      <c r="AB400" s="1">
        <v>38.6</v>
      </c>
      <c r="AD400" s="17">
        <f t="shared" si="468"/>
        <v>44985</v>
      </c>
      <c r="AE400" s="1" t="e">
        <f t="shared" si="469"/>
        <v>#N/A</v>
      </c>
      <c r="AF400" s="1" t="e">
        <f t="shared" si="470"/>
        <v>#N/A</v>
      </c>
      <c r="AG400" s="1">
        <f t="shared" si="471"/>
        <v>-0.1666881128406239</v>
      </c>
      <c r="AH400" s="1">
        <f t="shared" si="472"/>
        <v>-0.1666881128406239</v>
      </c>
      <c r="AO400" s="17">
        <f t="shared" si="474"/>
        <v>44985</v>
      </c>
      <c r="AP400">
        <f t="shared" si="475"/>
        <v>2</v>
      </c>
      <c r="AQ400">
        <f t="shared" si="476"/>
        <v>2</v>
      </c>
    </row>
    <row r="401" spans="1:43">
      <c r="A401" s="7">
        <v>45016</v>
      </c>
      <c r="B401" s="8">
        <v>-0.26307999999999998</v>
      </c>
      <c r="C401" s="8">
        <f t="shared" si="457"/>
        <v>-0.15319832984542275</v>
      </c>
      <c r="D401" s="9">
        <f t="shared" ref="D401:D407" si="478">C401/0.2</f>
        <v>-0.76599164922711371</v>
      </c>
      <c r="E401" s="8">
        <v>-7.8</v>
      </c>
      <c r="F401" s="8">
        <f t="shared" si="458"/>
        <v>-5.391287878968047</v>
      </c>
      <c r="G401" s="9">
        <f t="shared" ref="G401:G407" si="479">F401/11</f>
        <v>-0.49011707990618608</v>
      </c>
      <c r="H401" s="8">
        <v>-0.38629999999999998</v>
      </c>
      <c r="I401" s="8">
        <f t="shared" si="459"/>
        <v>-0.22001363834782439</v>
      </c>
      <c r="J401" s="9">
        <f t="shared" si="460"/>
        <v>-2.0013638347824381E-2</v>
      </c>
      <c r="K401" s="8">
        <v>-0.40500000000000003</v>
      </c>
      <c r="L401" s="8">
        <f t="shared" ref="L401:L406" si="480">L400*$V$1+(1-$V$1)*K401</f>
        <v>-0.24655086617266109</v>
      </c>
      <c r="M401" s="9">
        <f t="shared" ref="M401:M407" si="481">IF(L401&lt;-1,-(-L401^(0.5)),IF(L401&lt;0,0.5*L401,L401))*1+0*IF(L401&gt;0,L401*6,L401)/6</f>
        <v>-0.12327543308633054</v>
      </c>
      <c r="O401" s="11">
        <f t="shared" si="462"/>
        <v>-0.24043602795377336</v>
      </c>
      <c r="P401" s="15" t="str">
        <f t="shared" ref="P401:P407" si="482">IF(O401-O400&gt;0,IF(O401&gt;=0,"E","R"),IF(O401&gt;=0,"SD","C"))</f>
        <v>C</v>
      </c>
      <c r="Q401" t="str">
        <f t="shared" si="473"/>
        <v>C</v>
      </c>
      <c r="R401" s="18">
        <f t="shared" si="477"/>
        <v>-0.24043602795377336</v>
      </c>
      <c r="S401" t="str">
        <f t="shared" si="451"/>
        <v>C</v>
      </c>
      <c r="T401">
        <v>0</v>
      </c>
      <c r="V401" s="17">
        <f t="shared" si="453"/>
        <v>45016</v>
      </c>
      <c r="W401" s="1" t="e">
        <f t="shared" si="463"/>
        <v>#N/A</v>
      </c>
      <c r="X401" s="1" t="e">
        <f t="shared" si="464"/>
        <v>#N/A</v>
      </c>
      <c r="Y401" s="1">
        <f t="shared" si="465"/>
        <v>-0.24043602795377336</v>
      </c>
      <c r="Z401" s="1" t="e">
        <f t="shared" si="466"/>
        <v>#N/A</v>
      </c>
      <c r="AA401">
        <v>0</v>
      </c>
      <c r="AB401" s="1">
        <v>57</v>
      </c>
      <c r="AD401" s="17">
        <f t="shared" si="468"/>
        <v>45016</v>
      </c>
      <c r="AE401" s="1" t="e">
        <f t="shared" si="469"/>
        <v>#N/A</v>
      </c>
      <c r="AF401" s="1" t="e">
        <f t="shared" si="470"/>
        <v>#N/A</v>
      </c>
      <c r="AG401" s="1">
        <f t="shared" si="471"/>
        <v>-0.24043602795377336</v>
      </c>
      <c r="AH401" s="1" t="e">
        <f t="shared" si="472"/>
        <v>#N/A</v>
      </c>
      <c r="AO401" s="17">
        <f t="shared" si="474"/>
        <v>45016</v>
      </c>
      <c r="AP401">
        <f t="shared" si="475"/>
        <v>1</v>
      </c>
      <c r="AQ401">
        <f t="shared" si="476"/>
        <v>1</v>
      </c>
    </row>
    <row r="402" spans="1:43">
      <c r="A402" s="7">
        <v>45046</v>
      </c>
      <c r="B402" s="8">
        <v>-0.180087</v>
      </c>
      <c r="C402" s="8">
        <f t="shared" si="457"/>
        <v>-0.16086160083947726</v>
      </c>
      <c r="D402" s="9">
        <f t="shared" si="478"/>
        <v>-0.80430800419738624</v>
      </c>
      <c r="E402" s="8">
        <v>-8</v>
      </c>
      <c r="F402" s="8">
        <f t="shared" si="458"/>
        <v>-6.134770833462154</v>
      </c>
      <c r="G402" s="9">
        <f t="shared" si="479"/>
        <v>-0.55770643940565034</v>
      </c>
      <c r="H402" s="8">
        <v>-9.2299999999999993E-2</v>
      </c>
      <c r="I402" s="8">
        <f t="shared" si="459"/>
        <v>-0.18361525141869445</v>
      </c>
      <c r="J402" s="9">
        <f t="shared" si="460"/>
        <v>1.6384748581305564E-2</v>
      </c>
      <c r="K402" s="8">
        <v>1.7000000000000001E-2</v>
      </c>
      <c r="L402" s="8">
        <f t="shared" si="480"/>
        <v>-0.17143886931345267</v>
      </c>
      <c r="M402" s="9">
        <f t="shared" si="481"/>
        <v>-8.5719434656726337E-2</v>
      </c>
      <c r="O402" s="11">
        <f t="shared" si="462"/>
        <v>-0.24826633021422068</v>
      </c>
      <c r="P402" s="15" t="str">
        <f t="shared" si="482"/>
        <v>C</v>
      </c>
      <c r="Q402" t="str">
        <f t="shared" si="473"/>
        <v>C</v>
      </c>
      <c r="R402" s="18">
        <f t="shared" si="477"/>
        <v>-0.24043602795377336</v>
      </c>
      <c r="S402" t="str">
        <f t="shared" si="451"/>
        <v>C</v>
      </c>
      <c r="T402">
        <v>0</v>
      </c>
      <c r="V402" s="17">
        <f t="shared" si="453"/>
        <v>45046</v>
      </c>
      <c r="W402" s="1" t="e">
        <f t="shared" si="463"/>
        <v>#N/A</v>
      </c>
      <c r="X402" s="1" t="e">
        <f t="shared" si="464"/>
        <v>#N/A</v>
      </c>
      <c r="Y402" s="1">
        <f t="shared" si="465"/>
        <v>-0.24826633021422068</v>
      </c>
      <c r="Z402" s="1" t="e">
        <f t="shared" si="466"/>
        <v>#N/A</v>
      </c>
      <c r="AA402">
        <v>0</v>
      </c>
      <c r="AB402" s="1">
        <v>22</v>
      </c>
      <c r="AD402" s="17">
        <f t="shared" si="468"/>
        <v>45046</v>
      </c>
      <c r="AE402" s="1" t="e">
        <f t="shared" si="469"/>
        <v>#N/A</v>
      </c>
      <c r="AF402" s="1" t="e">
        <f t="shared" si="470"/>
        <v>#N/A</v>
      </c>
      <c r="AG402" s="1">
        <f t="shared" si="471"/>
        <v>-0.24826633021422068</v>
      </c>
      <c r="AH402" s="1" t="e">
        <f t="shared" si="472"/>
        <v>#N/A</v>
      </c>
      <c r="AO402" s="17">
        <f t="shared" si="474"/>
        <v>45046</v>
      </c>
      <c r="AP402">
        <f t="shared" si="475"/>
        <v>1</v>
      </c>
      <c r="AQ402">
        <f t="shared" si="476"/>
        <v>1</v>
      </c>
    </row>
    <row r="403" spans="1:43">
      <c r="A403" s="7">
        <v>45077</v>
      </c>
      <c r="B403" s="8">
        <v>-0.36055999999999999</v>
      </c>
      <c r="C403" s="8">
        <f t="shared" si="457"/>
        <v>-0.21777564460022625</v>
      </c>
      <c r="D403" s="9">
        <f t="shared" si="478"/>
        <v>-1.0888782230011311</v>
      </c>
      <c r="E403" s="8">
        <v>-7.9</v>
      </c>
      <c r="F403" s="8">
        <f t="shared" si="458"/>
        <v>-6.6378611459254397</v>
      </c>
      <c r="G403" s="9">
        <f t="shared" si="479"/>
        <v>-0.60344192235685812</v>
      </c>
      <c r="H403" s="8">
        <v>-0.22950000000000001</v>
      </c>
      <c r="I403" s="8">
        <f t="shared" si="459"/>
        <v>-0.19669240476436653</v>
      </c>
      <c r="J403" s="9">
        <f t="shared" si="460"/>
        <v>3.3075952356334815E-3</v>
      </c>
      <c r="K403" s="8">
        <v>-5.1999999999999998E-2</v>
      </c>
      <c r="L403" s="8">
        <f t="shared" si="480"/>
        <v>-0.13739879155911866</v>
      </c>
      <c r="M403" s="9">
        <f t="shared" si="481"/>
        <v>-6.869939577955933E-2</v>
      </c>
      <c r="O403" s="11">
        <f t="shared" si="462"/>
        <v>-0.29581729428498599</v>
      </c>
      <c r="P403" s="15" t="str">
        <f t="shared" si="482"/>
        <v>C</v>
      </c>
      <c r="Q403" t="str">
        <f t="shared" si="473"/>
        <v>C</v>
      </c>
      <c r="R403" s="18">
        <f t="shared" si="477"/>
        <v>-0.24043602795377336</v>
      </c>
      <c r="S403" t="str">
        <f t="shared" si="451"/>
        <v>C</v>
      </c>
      <c r="T403">
        <v>0</v>
      </c>
      <c r="V403" s="17">
        <f t="shared" si="453"/>
        <v>45077</v>
      </c>
      <c r="W403" s="1" t="e">
        <f t="shared" si="463"/>
        <v>#N/A</v>
      </c>
      <c r="X403" s="1" t="e">
        <f t="shared" si="464"/>
        <v>#N/A</v>
      </c>
      <c r="Y403" s="1">
        <f t="shared" si="465"/>
        <v>-0.29581729428498599</v>
      </c>
      <c r="Z403" s="1">
        <f t="shared" si="466"/>
        <v>-0.29581729428498599</v>
      </c>
      <c r="AA403">
        <v>0</v>
      </c>
      <c r="AB403" s="1">
        <v>23.7</v>
      </c>
      <c r="AD403" s="17">
        <f t="shared" si="468"/>
        <v>45077</v>
      </c>
      <c r="AE403" s="1" t="e">
        <f t="shared" si="469"/>
        <v>#N/A</v>
      </c>
      <c r="AF403" s="1" t="e">
        <f t="shared" si="470"/>
        <v>#N/A</v>
      </c>
      <c r="AG403" s="1">
        <f t="shared" si="471"/>
        <v>-0.29581729428498599</v>
      </c>
      <c r="AH403" s="1">
        <f t="shared" si="472"/>
        <v>-0.29581729428498599</v>
      </c>
      <c r="AO403" s="17">
        <f t="shared" si="474"/>
        <v>45077</v>
      </c>
      <c r="AP403">
        <f t="shared" si="475"/>
        <v>1</v>
      </c>
      <c r="AQ403">
        <f t="shared" si="476"/>
        <v>1</v>
      </c>
    </row>
    <row r="404" spans="1:43">
      <c r="A404" s="7">
        <v>45107</v>
      </c>
      <c r="B404" s="8">
        <v>-0.21912599999999999</v>
      </c>
      <c r="C404" s="8">
        <f t="shared" si="457"/>
        <v>-0.21816049588916175</v>
      </c>
      <c r="D404" s="9">
        <f t="shared" si="478"/>
        <v>-1.0908024794458087</v>
      </c>
      <c r="E404" s="8">
        <v>-7.8</v>
      </c>
      <c r="F404" s="8">
        <f t="shared" si="458"/>
        <v>-6.9690707193366901</v>
      </c>
      <c r="G404" s="9">
        <f t="shared" si="479"/>
        <v>-0.63355188357606274</v>
      </c>
      <c r="H404" s="8">
        <v>-0.2296</v>
      </c>
      <c r="I404" s="8">
        <f t="shared" si="459"/>
        <v>-0.20607106940652209</v>
      </c>
      <c r="J404" s="9">
        <f t="shared" ref="J404" si="483">MAX(IF(I404&lt;-1,-1*SQRT(-I404),IF(I404&gt;1,SQRT(I404),I404)),-2)+0.2</f>
        <v>-6.0710694065220783E-3</v>
      </c>
      <c r="K404" s="8">
        <v>0.32100000000000001</v>
      </c>
      <c r="L404" s="8">
        <f t="shared" si="480"/>
        <v>-6.7551359647698289E-3</v>
      </c>
      <c r="M404" s="9">
        <f t="shared" si="481"/>
        <v>-3.3775679823849145E-3</v>
      </c>
      <c r="O404" s="11">
        <f t="shared" si="462"/>
        <v>-0.29294741586831041</v>
      </c>
      <c r="P404" s="15" t="str">
        <f t="shared" si="482"/>
        <v>R</v>
      </c>
      <c r="Q404" t="str">
        <f t="shared" si="473"/>
        <v>C</v>
      </c>
      <c r="R404" s="18">
        <f t="shared" si="477"/>
        <v>-0.24043602795377336</v>
      </c>
      <c r="S404" t="str">
        <f t="shared" ref="S404:S420" si="484">IF(OR(ABS($R404-$R403)&gt;$V$2,R404*R403&lt;0,ABS(O404-MAX(O393:O403))&gt;$AJ$2),P404,S403)</f>
        <v>R</v>
      </c>
      <c r="T404">
        <v>0</v>
      </c>
      <c r="V404" s="17">
        <f t="shared" si="453"/>
        <v>45107</v>
      </c>
      <c r="W404" s="1" t="e">
        <f t="shared" si="463"/>
        <v>#N/A</v>
      </c>
      <c r="X404" s="1" t="e">
        <f t="shared" si="464"/>
        <v>#N/A</v>
      </c>
      <c r="Y404" s="1" t="e">
        <f t="shared" si="465"/>
        <v>#N/A</v>
      </c>
      <c r="Z404" s="1">
        <f t="shared" si="466"/>
        <v>-0.29294741586831041</v>
      </c>
      <c r="AA404">
        <v>0</v>
      </c>
      <c r="AB404" s="1">
        <v>54.4</v>
      </c>
      <c r="AD404" s="17">
        <f t="shared" si="468"/>
        <v>45107</v>
      </c>
      <c r="AE404" s="1" t="e">
        <f t="shared" si="469"/>
        <v>#N/A</v>
      </c>
      <c r="AF404" s="1" t="e">
        <f t="shared" si="470"/>
        <v>#N/A</v>
      </c>
      <c r="AG404" s="1" t="e">
        <f t="shared" si="471"/>
        <v>#N/A</v>
      </c>
      <c r="AH404" s="1">
        <f t="shared" si="472"/>
        <v>-0.29294741586831041</v>
      </c>
      <c r="AO404" s="17">
        <f t="shared" si="474"/>
        <v>45107</v>
      </c>
      <c r="AP404">
        <f t="shared" si="475"/>
        <v>2</v>
      </c>
      <c r="AQ404">
        <f t="shared" si="476"/>
        <v>1</v>
      </c>
    </row>
    <row r="405" spans="1:43">
      <c r="A405" s="7">
        <v>45138</v>
      </c>
      <c r="B405" s="8">
        <v>-3.8394999999999999E-2</v>
      </c>
      <c r="C405" s="8">
        <f t="shared" si="457"/>
        <v>-0.16692732956075065</v>
      </c>
      <c r="D405" s="9">
        <f t="shared" si="478"/>
        <v>-0.83463664780375324</v>
      </c>
      <c r="E405" s="8">
        <v>-7.5</v>
      </c>
      <c r="F405" s="8">
        <f t="shared" si="458"/>
        <v>-7.1203855643257334</v>
      </c>
      <c r="G405" s="9">
        <f t="shared" si="479"/>
        <v>-0.64730777857506672</v>
      </c>
      <c r="H405" s="8">
        <v>0.2732</v>
      </c>
      <c r="I405" s="8">
        <f t="shared" si="459"/>
        <v>-6.9478814625663271E-2</v>
      </c>
      <c r="J405" s="9">
        <f t="shared" ref="J405" si="485">MAX(IF(I405&lt;-1,-1*SQRT(-I405),IF(I405&gt;1,SQRT(I405),I405)),-2)+0.2</f>
        <v>0.13052118537433674</v>
      </c>
      <c r="K405" s="8">
        <v>0.53800000000000003</v>
      </c>
      <c r="L405" s="8">
        <f t="shared" si="480"/>
        <v>0.14850007778518959</v>
      </c>
      <c r="M405" s="9">
        <f t="shared" si="481"/>
        <v>0.14850007778518959</v>
      </c>
      <c r="O405" s="11">
        <f t="shared" si="462"/>
        <v>-0.18982285090533624</v>
      </c>
      <c r="P405" s="15" t="str">
        <f t="shared" si="482"/>
        <v>R</v>
      </c>
      <c r="Q405" t="str">
        <f t="shared" si="473"/>
        <v>R</v>
      </c>
      <c r="R405" s="18">
        <f t="shared" si="477"/>
        <v>-0.24043602795377336</v>
      </c>
      <c r="S405" t="str">
        <f t="shared" si="484"/>
        <v>R</v>
      </c>
      <c r="T405">
        <v>0</v>
      </c>
      <c r="V405" s="17">
        <f t="shared" si="453"/>
        <v>45138</v>
      </c>
      <c r="W405" s="1" t="e">
        <f t="shared" si="463"/>
        <v>#N/A</v>
      </c>
      <c r="X405" s="1" t="e">
        <f t="shared" si="464"/>
        <v>#N/A</v>
      </c>
      <c r="Y405" s="1" t="e">
        <f t="shared" si="465"/>
        <v>#N/A</v>
      </c>
      <c r="Z405" s="1">
        <f t="shared" si="466"/>
        <v>-0.18982285090533624</v>
      </c>
      <c r="AA405">
        <v>0</v>
      </c>
      <c r="AB405" s="1">
        <v>76.099999999999994</v>
      </c>
      <c r="AD405" s="17">
        <f t="shared" si="468"/>
        <v>45138</v>
      </c>
      <c r="AE405" s="1" t="e">
        <f t="shared" si="469"/>
        <v>#N/A</v>
      </c>
      <c r="AF405" s="1" t="e">
        <f t="shared" si="470"/>
        <v>#N/A</v>
      </c>
      <c r="AG405" s="1" t="e">
        <f t="shared" si="471"/>
        <v>#N/A</v>
      </c>
      <c r="AH405" s="1">
        <f t="shared" si="472"/>
        <v>-0.18982285090533624</v>
      </c>
      <c r="AO405" s="17">
        <f t="shared" si="474"/>
        <v>45138</v>
      </c>
      <c r="AP405">
        <f t="shared" si="475"/>
        <v>2</v>
      </c>
      <c r="AQ405">
        <f t="shared" si="476"/>
        <v>2</v>
      </c>
    </row>
    <row r="406" spans="1:43">
      <c r="A406" s="7">
        <v>45169</v>
      </c>
      <c r="B406" s="8">
        <v>-1.6633999999999999E-2</v>
      </c>
      <c r="C406" s="8">
        <f t="shared" si="457"/>
        <v>-0.12409373063593672</v>
      </c>
      <c r="D406" s="9">
        <f t="shared" si="478"/>
        <v>-0.62046865317968358</v>
      </c>
      <c r="E406" s="8">
        <v>-7.6</v>
      </c>
      <c r="F406" s="8">
        <f t="shared" si="458"/>
        <v>-7.2570756784928996</v>
      </c>
      <c r="G406" s="9">
        <f t="shared" si="479"/>
        <v>-0.65973415259026358</v>
      </c>
      <c r="H406" s="8">
        <v>5.4999999999999997E-3</v>
      </c>
      <c r="I406" s="8">
        <f t="shared" si="459"/>
        <v>-4.8109852457349236E-2</v>
      </c>
      <c r="J406" s="9">
        <f t="shared" ref="J406" si="486">MAX(IF(I406&lt;-1,-1*SQRT(-I406),IF(I406&gt;1,SQRT(I406),I406)),-2)+0.2</f>
        <v>0.15189014754265079</v>
      </c>
      <c r="K406" s="8">
        <v>0.438</v>
      </c>
      <c r="L406" s="8">
        <f t="shared" si="480"/>
        <v>0.23100755561641056</v>
      </c>
      <c r="M406" s="9">
        <f t="shared" si="481"/>
        <v>0.23100755561641056</v>
      </c>
      <c r="O406" s="11">
        <f t="shared" si="462"/>
        <v>-0.14136988794276995</v>
      </c>
      <c r="P406" s="15" t="str">
        <f t="shared" si="482"/>
        <v>R</v>
      </c>
      <c r="Q406" t="str">
        <f t="shared" si="473"/>
        <v>R</v>
      </c>
      <c r="R406" s="18">
        <f t="shared" si="477"/>
        <v>-0.24043602795377336</v>
      </c>
      <c r="S406" t="str">
        <f t="shared" si="484"/>
        <v>R</v>
      </c>
      <c r="T406">
        <v>0</v>
      </c>
      <c r="V406" s="17">
        <f t="shared" si="453"/>
        <v>45169</v>
      </c>
      <c r="W406" s="1" t="e">
        <f t="shared" si="463"/>
        <v>#N/A</v>
      </c>
      <c r="X406" s="1" t="e">
        <f t="shared" si="464"/>
        <v>#N/A</v>
      </c>
      <c r="Y406" s="1">
        <f t="shared" si="465"/>
        <v>-0.14136988794276995</v>
      </c>
      <c r="Z406" s="1">
        <f t="shared" si="466"/>
        <v>-0.14136988794276995</v>
      </c>
      <c r="AA406">
        <v>0</v>
      </c>
      <c r="AB406" s="1">
        <v>46.4</v>
      </c>
      <c r="AD406" s="17">
        <f t="shared" si="468"/>
        <v>45169</v>
      </c>
      <c r="AE406" s="1" t="e">
        <f t="shared" si="469"/>
        <v>#N/A</v>
      </c>
      <c r="AF406" s="1" t="e">
        <f t="shared" si="470"/>
        <v>#N/A</v>
      </c>
      <c r="AG406" s="1" t="e">
        <f t="shared" si="471"/>
        <v>#N/A</v>
      </c>
      <c r="AH406" s="1">
        <f t="shared" si="472"/>
        <v>-0.14136988794276995</v>
      </c>
      <c r="AO406" s="17">
        <f t="shared" si="474"/>
        <v>45169</v>
      </c>
      <c r="AP406">
        <f t="shared" si="475"/>
        <v>2</v>
      </c>
      <c r="AQ406">
        <f t="shared" si="476"/>
        <v>2</v>
      </c>
    </row>
    <row r="407" spans="1:43">
      <c r="A407" s="7">
        <v>45199</v>
      </c>
      <c r="B407" s="8">
        <v>-3.6601000000000002E-2</v>
      </c>
      <c r="C407" s="8">
        <f t="shared" si="457"/>
        <v>-9.9158302404694754E-2</v>
      </c>
      <c r="D407" s="9">
        <f t="shared" si="478"/>
        <v>-0.49579151202347377</v>
      </c>
      <c r="E407" s="8">
        <v>-7.8</v>
      </c>
      <c r="F407" s="8">
        <f t="shared" si="458"/>
        <v>-7.411809110122423</v>
      </c>
      <c r="G407" s="9">
        <f t="shared" si="479"/>
        <v>-0.67380082819294751</v>
      </c>
      <c r="H407" s="8">
        <v>-0.10630000000000001</v>
      </c>
      <c r="I407" s="8">
        <f t="shared" si="459"/>
        <v>-6.4694044507004708E-2</v>
      </c>
      <c r="J407" s="9">
        <f t="shared" ref="J407" si="487">MAX(IF(I407&lt;-1,-1*SQRT(-I407),IF(I407&gt;1,SQRT(I407),I407)),-2)+0.2</f>
        <v>0.13530595549299529</v>
      </c>
      <c r="K407" s="8">
        <v>6.9000000000000006E-2</v>
      </c>
      <c r="L407" s="8">
        <f t="shared" ref="L407" si="488">L406*$V$1+(1-$V$1)*K407</f>
        <v>0.18483540226573356</v>
      </c>
      <c r="M407" s="9">
        <f t="shared" si="481"/>
        <v>0.18483540226573356</v>
      </c>
      <c r="O407" s="11">
        <f t="shared" si="462"/>
        <v>-0.15145698965180779</v>
      </c>
      <c r="P407" s="15" t="str">
        <f t="shared" si="482"/>
        <v>C</v>
      </c>
      <c r="Q407" t="str">
        <f t="shared" si="473"/>
        <v>R</v>
      </c>
      <c r="R407" s="18">
        <f t="shared" si="477"/>
        <v>-0.24043602795377336</v>
      </c>
      <c r="S407" t="str">
        <f t="shared" si="484"/>
        <v>R</v>
      </c>
      <c r="T407">
        <v>0</v>
      </c>
      <c r="V407" s="17">
        <f t="shared" si="453"/>
        <v>45199</v>
      </c>
      <c r="W407" s="1" t="e">
        <f t="shared" si="463"/>
        <v>#N/A</v>
      </c>
      <c r="X407" s="1" t="e">
        <f t="shared" si="464"/>
        <v>#N/A</v>
      </c>
      <c r="Y407" s="1">
        <f t="shared" si="465"/>
        <v>-0.15145698965180779</v>
      </c>
      <c r="Z407" s="1" t="e">
        <f t="shared" si="466"/>
        <v>#N/A</v>
      </c>
      <c r="AA407">
        <v>0</v>
      </c>
      <c r="AB407" s="1">
        <v>45.1</v>
      </c>
      <c r="AD407" s="17">
        <f t="shared" si="468"/>
        <v>45199</v>
      </c>
      <c r="AE407" s="1" t="e">
        <f t="shared" si="469"/>
        <v>#N/A</v>
      </c>
      <c r="AF407" s="1" t="e">
        <f t="shared" si="470"/>
        <v>#N/A</v>
      </c>
      <c r="AG407" s="1" t="e">
        <f t="shared" si="471"/>
        <v>#N/A</v>
      </c>
      <c r="AH407" s="1">
        <f t="shared" si="472"/>
        <v>-0.15145698965180779</v>
      </c>
      <c r="AO407" s="17">
        <f t="shared" si="474"/>
        <v>45199</v>
      </c>
      <c r="AP407">
        <f t="shared" si="475"/>
        <v>1</v>
      </c>
      <c r="AQ407">
        <f t="shared" si="476"/>
        <v>2</v>
      </c>
    </row>
    <row r="408" spans="1:43">
      <c r="A408" s="7">
        <v>45230</v>
      </c>
      <c r="B408" s="8">
        <v>-8.7329000000000004E-2</v>
      </c>
      <c r="C408" s="8">
        <f t="shared" si="457"/>
        <v>-9.578695121935675E-2</v>
      </c>
      <c r="D408" s="9">
        <f t="shared" ref="D408" si="489">C408/0.2</f>
        <v>-0.47893475609678371</v>
      </c>
      <c r="E408" s="8">
        <v>-7.6</v>
      </c>
      <c r="F408" s="8">
        <f t="shared" si="458"/>
        <v>-7.465443513737533</v>
      </c>
      <c r="G408" s="9">
        <f t="shared" ref="G408" si="490">F408/11</f>
        <v>-0.67867668306704843</v>
      </c>
      <c r="H408" s="8">
        <v>-0.45619999999999999</v>
      </c>
      <c r="I408" s="8">
        <f t="shared" si="459"/>
        <v>-0.17627324182250839</v>
      </c>
      <c r="J408" s="9">
        <f t="shared" ref="J408" si="491">MAX(IF(I408&lt;-1,-1*SQRT(-I408),IF(I408&gt;1,SQRT(I408),I408)),-2)+0.2</f>
        <v>2.3726758177491619E-2</v>
      </c>
      <c r="K408" s="8">
        <v>-0.10100000000000001</v>
      </c>
      <c r="L408" s="8">
        <f t="shared" ref="L408" si="492">L407*$V$1+(1-$V$1)*K408</f>
        <v>0.10337231261999949</v>
      </c>
      <c r="M408" s="9">
        <f t="shared" ref="M408" si="493">IF(L408&lt;-1,-(-L408^(0.5)),IF(L408&lt;0,0.5*L408,L408))*1+0*IF(L408&gt;0,L408*6,L408)/6</f>
        <v>0.10337231261999949</v>
      </c>
      <c r="O408" s="11">
        <f t="shared" si="462"/>
        <v>-0.21190400282831531</v>
      </c>
      <c r="P408" s="15" t="str">
        <f t="shared" ref="P408" si="494">IF(O408-O407&gt;0,IF(O408&gt;=0,"E","R"),IF(O408&gt;=0,"SD","C"))</f>
        <v>C</v>
      </c>
      <c r="Q408" t="str">
        <f t="shared" si="473"/>
        <v>C</v>
      </c>
      <c r="R408" s="18">
        <f t="shared" si="477"/>
        <v>-0.24043602795377336</v>
      </c>
      <c r="S408" t="str">
        <f t="shared" si="484"/>
        <v>R</v>
      </c>
      <c r="T408">
        <v>0</v>
      </c>
      <c r="V408" s="17">
        <f t="shared" si="453"/>
        <v>45230</v>
      </c>
      <c r="W408" s="1" t="e">
        <f t="shared" si="463"/>
        <v>#N/A</v>
      </c>
      <c r="X408" s="1" t="e">
        <f t="shared" si="464"/>
        <v>#N/A</v>
      </c>
      <c r="Y408" s="1">
        <f t="shared" si="465"/>
        <v>-0.21190400282831531</v>
      </c>
      <c r="Z408" s="1">
        <f t="shared" si="466"/>
        <v>-0.21190400282831531</v>
      </c>
      <c r="AA408">
        <v>0</v>
      </c>
      <c r="AB408" s="1">
        <v>61.4</v>
      </c>
      <c r="AD408" s="17">
        <f t="shared" si="468"/>
        <v>45230</v>
      </c>
      <c r="AE408" s="1" t="e">
        <f t="shared" si="469"/>
        <v>#N/A</v>
      </c>
      <c r="AF408" s="1" t="e">
        <f t="shared" si="470"/>
        <v>#N/A</v>
      </c>
      <c r="AG408" s="1" t="e">
        <f t="shared" si="471"/>
        <v>#N/A</v>
      </c>
      <c r="AH408" s="1">
        <f t="shared" si="472"/>
        <v>-0.21190400282831531</v>
      </c>
      <c r="AO408" s="17">
        <f t="shared" si="474"/>
        <v>45230</v>
      </c>
      <c r="AP408">
        <f t="shared" si="475"/>
        <v>1</v>
      </c>
      <c r="AQ408">
        <f t="shared" si="476"/>
        <v>1</v>
      </c>
    </row>
    <row r="409" spans="1:43">
      <c r="A409" s="7">
        <v>45260</v>
      </c>
      <c r="B409" s="8">
        <v>5.6277000000000001E-2</v>
      </c>
      <c r="C409" s="8">
        <f t="shared" si="457"/>
        <v>-5.2448725121840081E-2</v>
      </c>
      <c r="D409" s="9">
        <f t="shared" ref="D409" si="495">C409/0.2</f>
        <v>-0.26224362560920039</v>
      </c>
      <c r="E409" s="8">
        <v>-7.6</v>
      </c>
      <c r="F409" s="8">
        <f t="shared" si="458"/>
        <v>-7.5037921123223352</v>
      </c>
      <c r="G409" s="9">
        <f t="shared" ref="G409" si="496">F409/11</f>
        <v>-0.68216291930203043</v>
      </c>
      <c r="H409" s="8">
        <v>4.02E-2</v>
      </c>
      <c r="I409" s="8">
        <f t="shared" si="459"/>
        <v>-0.1145783679030935</v>
      </c>
      <c r="J409" s="9">
        <f t="shared" ref="J409" si="497">MAX(IF(I409&lt;-1,-1*SQRT(-I409),IF(I409&gt;1,SQRT(I409),I409)),-2)+0.2</f>
        <v>8.5421632096906508E-2</v>
      </c>
      <c r="K409" s="8">
        <v>0.51700000000000002</v>
      </c>
      <c r="L409" s="8">
        <f t="shared" ref="L409" si="498">L408*$V$1+(1-$V$1)*K409</f>
        <v>0.22125620352329967</v>
      </c>
      <c r="M409" s="9">
        <f t="shared" ref="M409" si="499">IF(L409&lt;-1,-(-L409^(0.5)),IF(L409&lt;0,0.5*L409,L409))*1+0*IF(L409&gt;0,L409*6,L409)/6</f>
        <v>0.22125620352329967</v>
      </c>
      <c r="O409" s="11">
        <f t="shared" si="462"/>
        <v>-0.13782401679497272</v>
      </c>
      <c r="P409" s="15" t="str">
        <f t="shared" ref="P409" si="500">IF(O409-O408&gt;0,IF(O409&gt;=0,"E","R"),IF(O409&gt;=0,"SD","C"))</f>
        <v>R</v>
      </c>
      <c r="Q409" t="str">
        <f t="shared" si="473"/>
        <v>R</v>
      </c>
      <c r="R409" s="18">
        <f t="shared" ref="R409:R416" si="501">IF(Q409&lt;&gt;P408,O409,R408)</f>
        <v>-0.13782401679497272</v>
      </c>
      <c r="S409" t="str">
        <f t="shared" si="484"/>
        <v>R</v>
      </c>
      <c r="T409">
        <v>0</v>
      </c>
      <c r="V409" s="17">
        <f t="shared" si="453"/>
        <v>45260</v>
      </c>
      <c r="W409" s="1" t="e">
        <f t="shared" si="463"/>
        <v>#N/A</v>
      </c>
      <c r="X409" s="1" t="e">
        <f t="shared" si="464"/>
        <v>#N/A</v>
      </c>
      <c r="Y409" s="1" t="e">
        <f t="shared" si="465"/>
        <v>#N/A</v>
      </c>
      <c r="Z409" s="1">
        <f t="shared" si="466"/>
        <v>-0.13782401679497272</v>
      </c>
      <c r="AA409">
        <v>0</v>
      </c>
      <c r="AB409" s="1">
        <v>28</v>
      </c>
      <c r="AD409" s="17">
        <f t="shared" si="468"/>
        <v>45260</v>
      </c>
      <c r="AE409" s="1" t="e">
        <f t="shared" si="469"/>
        <v>#N/A</v>
      </c>
      <c r="AF409" s="1" t="e">
        <f t="shared" si="470"/>
        <v>#N/A</v>
      </c>
      <c r="AG409" s="1" t="e">
        <f t="shared" si="471"/>
        <v>#N/A</v>
      </c>
      <c r="AH409" s="1">
        <f t="shared" si="472"/>
        <v>-0.13782401679497272</v>
      </c>
      <c r="AO409" s="17">
        <f t="shared" si="474"/>
        <v>45260</v>
      </c>
      <c r="AP409">
        <f t="shared" si="475"/>
        <v>2</v>
      </c>
      <c r="AQ409">
        <f t="shared" si="476"/>
        <v>2</v>
      </c>
    </row>
    <row r="410" spans="1:43">
      <c r="A410" s="7">
        <v>45291</v>
      </c>
      <c r="B410" s="8">
        <v>0.118633</v>
      </c>
      <c r="C410" s="8">
        <f t="shared" si="457"/>
        <v>-3.6904334621156581E-3</v>
      </c>
      <c r="D410" s="9">
        <f t="shared" ref="D410" si="502">C410/0.2</f>
        <v>-1.8452167310578291E-2</v>
      </c>
      <c r="E410" s="8">
        <v>-7.1</v>
      </c>
      <c r="F410" s="8">
        <f t="shared" si="458"/>
        <v>-7.3887113603104702</v>
      </c>
      <c r="G410" s="9">
        <f t="shared" ref="G410" si="503">F410/11</f>
        <v>-0.67170103275549731</v>
      </c>
      <c r="H410" s="8">
        <v>-0.2893</v>
      </c>
      <c r="I410" s="8">
        <f t="shared" si="459"/>
        <v>-0.16437403305071185</v>
      </c>
      <c r="J410" s="9">
        <f t="shared" ref="J410" si="504">MAX(IF(I410&lt;-1,-1*SQRT(-I410),IF(I410&gt;1,SQRT(I410),I410)),-2)+0.2</f>
        <v>3.5625966949288157E-2</v>
      </c>
      <c r="K410" s="8">
        <v>0.55000000000000004</v>
      </c>
      <c r="L410" s="8">
        <f t="shared" ref="L410" si="505">L409*$V$1+(1-$V$1)*K410</f>
        <v>0.31494818551915926</v>
      </c>
      <c r="M410" s="9">
        <f t="shared" ref="M410" si="506">IF(L410&lt;-1,-(-L410^(0.5)),IF(L410&lt;0,0.5*L410,L410))*1+0*IF(L410&gt;0,L410*6,L410)/6</f>
        <v>0.31494818551915926</v>
      </c>
      <c r="O410" s="11">
        <f t="shared" si="462"/>
        <v>-0.10132184678113274</v>
      </c>
      <c r="P410" s="15" t="str">
        <f t="shared" ref="P410" si="507">IF(O410-O409&gt;0,IF(O410&gt;=0,"E","R"),IF(O410&gt;=0,"SD","C"))</f>
        <v>R</v>
      </c>
      <c r="Q410" t="str">
        <f t="shared" si="473"/>
        <v>R</v>
      </c>
      <c r="R410" s="18">
        <f t="shared" si="501"/>
        <v>-0.13782401679497272</v>
      </c>
      <c r="S410" t="str">
        <f t="shared" si="484"/>
        <v>R</v>
      </c>
      <c r="T410">
        <v>0</v>
      </c>
      <c r="V410" s="17">
        <f t="shared" si="453"/>
        <v>45291</v>
      </c>
      <c r="W410" s="1" t="e">
        <f t="shared" si="463"/>
        <v>#N/A</v>
      </c>
      <c r="X410" s="1" t="e">
        <f t="shared" si="464"/>
        <v>#N/A</v>
      </c>
      <c r="Y410" s="1" t="e">
        <f t="shared" si="465"/>
        <v>#N/A</v>
      </c>
      <c r="Z410" s="1">
        <f t="shared" si="466"/>
        <v>-0.10132184678113274</v>
      </c>
      <c r="AA410">
        <v>0</v>
      </c>
      <c r="AB410" s="1">
        <v>8.1999999999999993</v>
      </c>
      <c r="AD410" s="17">
        <f t="shared" si="468"/>
        <v>45291</v>
      </c>
      <c r="AE410" s="1" t="e">
        <f t="shared" si="469"/>
        <v>#N/A</v>
      </c>
      <c r="AF410" s="1" t="e">
        <f t="shared" si="470"/>
        <v>#N/A</v>
      </c>
      <c r="AG410" s="1" t="e">
        <f t="shared" si="471"/>
        <v>#N/A</v>
      </c>
      <c r="AH410" s="1">
        <f t="shared" si="472"/>
        <v>-0.10132184678113274</v>
      </c>
      <c r="AO410" s="17">
        <f t="shared" si="474"/>
        <v>45291</v>
      </c>
      <c r="AP410">
        <f t="shared" si="475"/>
        <v>2</v>
      </c>
      <c r="AQ410">
        <f t="shared" si="476"/>
        <v>2</v>
      </c>
    </row>
    <row r="411" spans="1:43">
      <c r="A411" s="7">
        <v>45322</v>
      </c>
      <c r="B411" s="8">
        <v>7.9535999999999996E-2</v>
      </c>
      <c r="C411" s="8">
        <f t="shared" si="457"/>
        <v>2.0029100074587306E-2</v>
      </c>
      <c r="D411" s="9">
        <f t="shared" ref="D411" si="508">C411/0.2</f>
        <v>0.10014550037293653</v>
      </c>
      <c r="E411" s="8">
        <v>-7</v>
      </c>
      <c r="F411" s="8">
        <f t="shared" si="458"/>
        <v>-7.2779286226219861</v>
      </c>
      <c r="G411" s="9">
        <f t="shared" ref="G411" si="509">F411/11</f>
        <v>-0.66162987478381696</v>
      </c>
      <c r="H411" s="8">
        <v>-0.71240000000000003</v>
      </c>
      <c r="I411" s="8">
        <f t="shared" si="459"/>
        <v>-0.320561433631259</v>
      </c>
      <c r="J411" s="9">
        <f t="shared" ref="J411" si="510">MAX(IF(I411&lt;-1,-1*SQRT(-I411),IF(I411&gt;1,SQRT(I411),I411)),-2)+0.2</f>
        <v>-0.12056143363125899</v>
      </c>
      <c r="K411" s="8">
        <v>0.84499999999999997</v>
      </c>
      <c r="L411" s="8">
        <f t="shared" ref="L411" si="511">L410*$V$1+(1-$V$1)*K411</f>
        <v>0.46601295264619891</v>
      </c>
      <c r="M411" s="9">
        <f t="shared" ref="M411" si="512">IF(L411&lt;-1,-(-L411^(0.5)),IF(L411&lt;0,0.5*L411,L411))*1+0*IF(L411&gt;0,L411*6,L411)/6</f>
        <v>0.46601295264619891</v>
      </c>
      <c r="O411" s="11">
        <f t="shared" si="462"/>
        <v>-8.7860304084873581E-2</v>
      </c>
      <c r="P411" s="15" t="str">
        <f t="shared" ref="P411" si="513">IF(O411-O410&gt;0,IF(O411&gt;=0,"E","R"),IF(O411&gt;=0,"SD","C"))</f>
        <v>R</v>
      </c>
      <c r="Q411" t="str">
        <f t="shared" si="473"/>
        <v>R</v>
      </c>
      <c r="R411" s="18">
        <f t="shared" si="501"/>
        <v>-0.13782401679497272</v>
      </c>
      <c r="S411" t="str">
        <f t="shared" si="484"/>
        <v>R</v>
      </c>
      <c r="T411">
        <v>0</v>
      </c>
      <c r="V411" s="17">
        <f t="shared" si="453"/>
        <v>45322</v>
      </c>
      <c r="W411" s="1">
        <f t="shared" si="463"/>
        <v>-8.7860304084873581E-2</v>
      </c>
      <c r="X411" s="1" t="e">
        <f t="shared" si="464"/>
        <v>#N/A</v>
      </c>
      <c r="Y411" s="1" t="e">
        <f t="shared" si="465"/>
        <v>#N/A</v>
      </c>
      <c r="Z411" s="1">
        <f t="shared" si="466"/>
        <v>-8.7860304084873581E-2</v>
      </c>
      <c r="AA411">
        <v>0</v>
      </c>
      <c r="AB411" s="1" cm="1">
        <f t="array" ref="AB411">_xll.BDH(AB$4,"px_last",$V411-2)</f>
        <v>30</v>
      </c>
      <c r="AD411" s="17">
        <f t="shared" si="468"/>
        <v>45322</v>
      </c>
      <c r="AE411" s="1">
        <f t="shared" si="469"/>
        <v>-8.7860304084873581E-2</v>
      </c>
      <c r="AF411" s="1" t="e">
        <f t="shared" si="470"/>
        <v>#N/A</v>
      </c>
      <c r="AG411" s="1" t="e">
        <f t="shared" si="471"/>
        <v>#N/A</v>
      </c>
      <c r="AH411" s="1">
        <f t="shared" si="472"/>
        <v>-8.7860304084873581E-2</v>
      </c>
      <c r="AO411" s="17">
        <f t="shared" si="474"/>
        <v>45322</v>
      </c>
      <c r="AP411">
        <f t="shared" si="475"/>
        <v>2</v>
      </c>
      <c r="AQ411">
        <f t="shared" si="476"/>
        <v>2</v>
      </c>
    </row>
    <row r="412" spans="1:43">
      <c r="A412" s="7">
        <v>45351</v>
      </c>
      <c r="B412" s="8">
        <v>0.144423</v>
      </c>
      <c r="C412" s="8">
        <f t="shared" si="457"/>
        <v>5.5481361553329923E-2</v>
      </c>
      <c r="D412" s="9">
        <f t="shared" ref="D412" si="514">C412/0.2</f>
        <v>0.27740680776664961</v>
      </c>
      <c r="E412" s="8">
        <v>-6.3</v>
      </c>
      <c r="F412" s="8">
        <f t="shared" si="458"/>
        <v>-6.9992189651747196</v>
      </c>
      <c r="G412" s="9">
        <f t="shared" ref="G412" si="515">F412/11</f>
        <v>-0.6362926331977018</v>
      </c>
      <c r="H412" s="8">
        <v>-4.4400000000000002E-2</v>
      </c>
      <c r="I412" s="8">
        <f t="shared" si="459"/>
        <v>-0.24185542504635016</v>
      </c>
      <c r="J412" s="9">
        <f t="shared" ref="J412" si="516">MAX(IF(I412&lt;-1,-1*SQRT(-I412),IF(I412&gt;1,SQRT(I412),I412)),-2)+0.2</f>
        <v>-4.1855425046350148E-2</v>
      </c>
      <c r="K412" s="8">
        <v>1.1000000000000001</v>
      </c>
      <c r="L412" s="8">
        <f t="shared" ref="L412" si="517">L411*$V$1+(1-$V$1)*K412</f>
        <v>0.64669926114203224</v>
      </c>
      <c r="M412" s="9">
        <f t="shared" ref="M412" si="518">IF(L412&lt;-1,-(-L412^(0.5)),IF(L412&lt;0,0.5*L412,L412))*1+0*IF(L412&gt;0,L412*6,L412)/6</f>
        <v>0.64669926114203224</v>
      </c>
      <c r="O412" s="11">
        <f t="shared" si="462"/>
        <v>1.0704869170224496E-2</v>
      </c>
      <c r="P412" s="15" t="str">
        <f t="shared" ref="P412" si="519">IF(O412-O411&gt;0,IF(O412&gt;=0,"E","R"),IF(O412&gt;=0,"SD","C"))</f>
        <v>E</v>
      </c>
      <c r="Q412" t="str">
        <f t="shared" si="473"/>
        <v>E</v>
      </c>
      <c r="R412" s="18">
        <f t="shared" si="501"/>
        <v>1.0704869170224496E-2</v>
      </c>
      <c r="S412" t="str">
        <f t="shared" si="484"/>
        <v>E</v>
      </c>
      <c r="T412">
        <v>0</v>
      </c>
      <c r="V412" s="17">
        <f t="shared" si="453"/>
        <v>45351</v>
      </c>
      <c r="W412" s="1">
        <f t="shared" si="463"/>
        <v>1.0704869170224496E-2</v>
      </c>
      <c r="X412" s="1" t="e">
        <f t="shared" si="464"/>
        <v>#N/A</v>
      </c>
      <c r="Y412" s="1" t="e">
        <f t="shared" si="465"/>
        <v>#N/A</v>
      </c>
      <c r="Z412" s="1" t="e">
        <f t="shared" si="466"/>
        <v>#N/A</v>
      </c>
      <c r="AA412">
        <v>0</v>
      </c>
      <c r="AB412" s="1">
        <v>38.299999999999997</v>
      </c>
      <c r="AD412" s="17">
        <f t="shared" si="468"/>
        <v>45351</v>
      </c>
      <c r="AE412" s="1">
        <f t="shared" si="469"/>
        <v>1.0704869170224496E-2</v>
      </c>
      <c r="AF412" s="1" t="e">
        <f t="shared" si="470"/>
        <v>#N/A</v>
      </c>
      <c r="AG412" s="1" t="e">
        <f t="shared" si="471"/>
        <v>#N/A</v>
      </c>
      <c r="AH412" s="1" t="e">
        <f t="shared" si="472"/>
        <v>#N/A</v>
      </c>
      <c r="AO412" s="17">
        <f t="shared" si="474"/>
        <v>45351</v>
      </c>
      <c r="AP412">
        <f t="shared" si="475"/>
        <v>4</v>
      </c>
      <c r="AQ412">
        <f t="shared" si="476"/>
        <v>4</v>
      </c>
    </row>
    <row r="413" spans="1:43">
      <c r="A413" s="7">
        <v>45382</v>
      </c>
      <c r="B413" s="8">
        <v>0.15298</v>
      </c>
      <c r="C413" s="8">
        <f t="shared" si="457"/>
        <v>8.3268473510630908E-2</v>
      </c>
      <c r="D413" s="9">
        <f t="shared" ref="D413" si="520">C413/0.2</f>
        <v>0.41634236755315451</v>
      </c>
      <c r="E413" s="8">
        <v>-5.5</v>
      </c>
      <c r="F413" s="8">
        <f t="shared" si="458"/>
        <v>-6.5719415600999245</v>
      </c>
      <c r="G413" s="9">
        <f t="shared" ref="G413" si="521">F413/11</f>
        <v>-0.59744923273635675</v>
      </c>
      <c r="H413" s="8">
        <v>-0.1118</v>
      </c>
      <c r="I413" s="8">
        <f t="shared" si="459"/>
        <v>-0.20478962890814037</v>
      </c>
      <c r="J413" s="9">
        <f t="shared" ref="J413" si="522">MAX(IF(I413&lt;-1,-1*SQRT(-I413),IF(I413&gt;1,SQRT(I413),I413)),-2)+0.2</f>
        <v>-4.7896289081403587E-3</v>
      </c>
      <c r="K413" s="8">
        <v>1.079</v>
      </c>
      <c r="L413" s="8">
        <f t="shared" ref="L413" si="523">L412*$V$1+(1-$V$1)*K413</f>
        <v>0.76990497171655314</v>
      </c>
      <c r="M413" s="9">
        <f t="shared" ref="M413" si="524">IF(L413&lt;-1,-(-L413^(0.5)),IF(L413&lt;0,0.5*L413,L413))*1+0*IF(L413&gt;0,L413*6,L413)/6</f>
        <v>0.76990497171655314</v>
      </c>
      <c r="O413" s="11">
        <f t="shared" si="462"/>
        <v>8.0281049638528765E-2</v>
      </c>
      <c r="P413" s="15" t="str">
        <f t="shared" ref="P413" si="525">IF(O413-O412&gt;0,IF(O413&gt;=0,"E","R"),IF(O413&gt;=0,"SD","C"))</f>
        <v>E</v>
      </c>
      <c r="Q413" t="str">
        <f t="shared" si="473"/>
        <v>E</v>
      </c>
      <c r="R413" s="18">
        <f t="shared" si="501"/>
        <v>1.0704869170224496E-2</v>
      </c>
      <c r="S413" t="str">
        <f t="shared" si="484"/>
        <v>E</v>
      </c>
      <c r="T413">
        <v>0</v>
      </c>
      <c r="V413" s="17">
        <f t="shared" si="453"/>
        <v>45382</v>
      </c>
      <c r="W413" s="1">
        <f t="shared" si="463"/>
        <v>8.0281049638528765E-2</v>
      </c>
      <c r="X413" s="1" t="e">
        <f t="shared" si="464"/>
        <v>#N/A</v>
      </c>
      <c r="Y413" s="1" t="e">
        <f t="shared" si="465"/>
        <v>#N/A</v>
      </c>
      <c r="Z413" s="1" t="e">
        <f t="shared" si="466"/>
        <v>#N/A</v>
      </c>
      <c r="AA413">
        <v>0</v>
      </c>
      <c r="AB413" s="1">
        <v>33.5</v>
      </c>
      <c r="AD413" s="17">
        <f t="shared" si="468"/>
        <v>45382</v>
      </c>
      <c r="AE413" s="1">
        <f t="shared" si="469"/>
        <v>8.0281049638528765E-2</v>
      </c>
      <c r="AF413" s="1" t="e">
        <f t="shared" si="470"/>
        <v>#N/A</v>
      </c>
      <c r="AG413" s="1" t="e">
        <f t="shared" si="471"/>
        <v>#N/A</v>
      </c>
      <c r="AH413" s="1" t="e">
        <f t="shared" si="472"/>
        <v>#N/A</v>
      </c>
      <c r="AO413" s="17">
        <f t="shared" si="474"/>
        <v>45382</v>
      </c>
      <c r="AP413">
        <f t="shared" si="475"/>
        <v>4</v>
      </c>
      <c r="AQ413">
        <f t="shared" si="476"/>
        <v>4</v>
      </c>
    </row>
    <row r="414" spans="1:43">
      <c r="A414" s="7">
        <v>45412</v>
      </c>
      <c r="B414" s="8">
        <v>7.7211000000000002E-2</v>
      </c>
      <c r="C414" s="8">
        <f t="shared" si="457"/>
        <v>8.15420935601011E-2</v>
      </c>
      <c r="D414" s="9">
        <f t="shared" ref="D414" si="526">C414/0.2</f>
        <v>0.40771046780050546</v>
      </c>
      <c r="E414" s="8">
        <v>-5.4</v>
      </c>
      <c r="F414" s="8">
        <f t="shared" si="458"/>
        <v>-6.2379382154714467</v>
      </c>
      <c r="G414" s="9">
        <f t="shared" ref="G414" si="527">F414/11</f>
        <v>-0.56708529231558602</v>
      </c>
      <c r="H414" s="8">
        <v>-0.23100000000000001</v>
      </c>
      <c r="I414" s="8">
        <f t="shared" si="459"/>
        <v>-0.21225958466932035</v>
      </c>
      <c r="J414" s="9">
        <f t="shared" ref="J414" si="528">MAX(IF(I414&lt;-1,-1*SQRT(-I414),IF(I414&gt;1,SQRT(I414),I414)),-2)+0.2</f>
        <v>-1.2259584669320339E-2</v>
      </c>
      <c r="K414" s="8">
        <v>1.0209999999999999</v>
      </c>
      <c r="L414" s="8">
        <f t="shared" ref="L414" si="529">L413*$V$1+(1-$V$1)*K414</f>
        <v>0.84146705477733552</v>
      </c>
      <c r="M414" s="9">
        <f t="shared" ref="M414" si="530">IF(L414&lt;-1,-(-L414^(0.5)),IF(L414&lt;0,0.5*L414,L414))*1+0*IF(L414&gt;0,L414*6,L414)/6</f>
        <v>0.84146705477733552</v>
      </c>
      <c r="O414" s="11">
        <f t="shared" si="462"/>
        <v>0.11029851799154805</v>
      </c>
      <c r="P414" s="15" t="str">
        <f t="shared" ref="P414" si="531">IF(O414-O413&gt;0,IF(O414&gt;=0,"E","R"),IF(O414&gt;=0,"SD","C"))</f>
        <v>E</v>
      </c>
      <c r="Q414" t="str">
        <f t="shared" si="473"/>
        <v>E</v>
      </c>
      <c r="R414" s="18">
        <f t="shared" si="501"/>
        <v>1.0704869170224496E-2</v>
      </c>
      <c r="S414" t="str">
        <f t="shared" si="484"/>
        <v>E</v>
      </c>
      <c r="T414">
        <v>0</v>
      </c>
      <c r="V414" s="17">
        <f t="shared" si="453"/>
        <v>45412</v>
      </c>
      <c r="W414" s="1">
        <f t="shared" si="463"/>
        <v>0.11029851799154805</v>
      </c>
      <c r="X414" s="1" t="e">
        <f t="shared" si="464"/>
        <v>#N/A</v>
      </c>
      <c r="Y414" s="1" t="e">
        <f t="shared" si="465"/>
        <v>#N/A</v>
      </c>
      <c r="Z414" s="1" t="e">
        <f t="shared" si="466"/>
        <v>#N/A</v>
      </c>
      <c r="AA414">
        <v>0</v>
      </c>
      <c r="AB414" s="1">
        <v>7.6</v>
      </c>
      <c r="AD414" s="17">
        <f t="shared" si="468"/>
        <v>45412</v>
      </c>
      <c r="AE414" s="1">
        <f t="shared" si="469"/>
        <v>0.11029851799154805</v>
      </c>
      <c r="AF414" s="1" t="e">
        <f t="shared" si="470"/>
        <v>#N/A</v>
      </c>
      <c r="AG414" s="1" t="e">
        <f t="shared" si="471"/>
        <v>#N/A</v>
      </c>
      <c r="AH414" s="1" t="e">
        <f t="shared" si="472"/>
        <v>#N/A</v>
      </c>
      <c r="AO414" s="17">
        <f t="shared" si="474"/>
        <v>45412</v>
      </c>
      <c r="AP414">
        <f t="shared" si="475"/>
        <v>4</v>
      </c>
      <c r="AQ414">
        <f t="shared" si="476"/>
        <v>4</v>
      </c>
    </row>
    <row r="415" spans="1:43">
      <c r="A415" s="7">
        <v>45443</v>
      </c>
      <c r="B415" s="8">
        <v>8.1139000000000003E-2</v>
      </c>
      <c r="C415" s="8">
        <f t="shared" si="457"/>
        <v>8.1427211895472293E-2</v>
      </c>
      <c r="D415" s="9">
        <f t="shared" ref="D415" si="532">C415/0.2</f>
        <v>0.40713605947736142</v>
      </c>
      <c r="E415" s="8">
        <v>-5.3</v>
      </c>
      <c r="F415" s="8">
        <f t="shared" si="458"/>
        <v>-5.9706258240620844</v>
      </c>
      <c r="G415" s="9">
        <f t="shared" ref="G415" si="533">F415/11</f>
        <v>-0.54278416582382583</v>
      </c>
      <c r="H415" s="8">
        <v>-8.8700000000000001E-2</v>
      </c>
      <c r="I415" s="8">
        <f t="shared" si="459"/>
        <v>-0.17704510303856405</v>
      </c>
      <c r="J415" s="9">
        <f t="shared" ref="J415" si="534">MAX(IF(I415&lt;-1,-1*SQRT(-I415),IF(I415&gt;1,SQRT(I415),I415)),-2)+0.2</f>
        <v>2.2954896961435961E-2</v>
      </c>
      <c r="K415" s="8">
        <v>1.0189999999999999</v>
      </c>
      <c r="L415" s="8">
        <f t="shared" ref="L415" si="535">L414*$V$1+(1-$V$1)*K415</f>
        <v>0.89206394416579482</v>
      </c>
      <c r="M415" s="9">
        <f t="shared" ref="M415" si="536">IF(L415&lt;-1,-(-L415^(0.5)),IF(L415&lt;0,0.5*L415,L415))*1+0*IF(L415&gt;0,L415*6,L415)/6</f>
        <v>0.89206394416579482</v>
      </c>
      <c r="O415" s="11">
        <f t="shared" ref="O415" si="537">0.3*M415+0.3*J415+0.3*G414+0.1*D415</f>
        <v>0.14509367059122955</v>
      </c>
      <c r="P415" s="15" t="str">
        <f t="shared" ref="P415" si="538">IF(O415-O414&gt;0,IF(O415&gt;=0,"E","R"),IF(O415&gt;=0,"SD","C"))</f>
        <v>E</v>
      </c>
      <c r="Q415" t="str">
        <f t="shared" si="473"/>
        <v>E</v>
      </c>
      <c r="R415" s="18">
        <f t="shared" si="501"/>
        <v>1.0704869170224496E-2</v>
      </c>
      <c r="S415" t="str">
        <f t="shared" si="484"/>
        <v>E</v>
      </c>
      <c r="T415">
        <v>0</v>
      </c>
      <c r="V415" s="17">
        <f t="shared" si="453"/>
        <v>45443</v>
      </c>
      <c r="W415" s="1">
        <f t="shared" si="463"/>
        <v>0.14509367059122955</v>
      </c>
      <c r="X415" s="1" t="e">
        <f t="shared" si="464"/>
        <v>#N/A</v>
      </c>
      <c r="Y415" s="1" t="e">
        <f t="shared" si="465"/>
        <v>#N/A</v>
      </c>
      <c r="Z415" s="1" t="e">
        <f t="shared" si="466"/>
        <v>#N/A</v>
      </c>
      <c r="AA415">
        <f t="shared" ref="AA415:AA424" si="539">AA414</f>
        <v>0</v>
      </c>
      <c r="AB415" s="1">
        <v>-7.6</v>
      </c>
      <c r="AD415" s="17">
        <f t="shared" si="468"/>
        <v>45443</v>
      </c>
      <c r="AE415" s="1">
        <f t="shared" si="469"/>
        <v>0.14509367059122955</v>
      </c>
      <c r="AF415" s="1" t="e">
        <f t="shared" si="470"/>
        <v>#N/A</v>
      </c>
      <c r="AG415" s="1" t="e">
        <f t="shared" si="471"/>
        <v>#N/A</v>
      </c>
      <c r="AH415" s="1" t="e">
        <f t="shared" si="472"/>
        <v>#N/A</v>
      </c>
      <c r="AO415" s="17">
        <f t="shared" si="474"/>
        <v>45443</v>
      </c>
      <c r="AP415">
        <f t="shared" si="475"/>
        <v>4</v>
      </c>
      <c r="AQ415">
        <f t="shared" si="476"/>
        <v>4</v>
      </c>
    </row>
    <row r="416" spans="1:43">
      <c r="A416" s="7">
        <v>45473</v>
      </c>
      <c r="B416" s="8">
        <v>5.3060999999999997E-2</v>
      </c>
      <c r="C416" s="8">
        <f t="shared" ref="C416" si="540">C415*$V$1+(1-$V$1)*B416</f>
        <v>7.3342841505262685E-2</v>
      </c>
      <c r="D416" s="9">
        <f>C416/0.2</f>
        <v>0.3667142075263134</v>
      </c>
      <c r="E416" s="8">
        <v>-4.8</v>
      </c>
      <c r="F416" s="8">
        <f t="shared" ref="F416" si="541">F415*$V$1+(1-$V$1)*E416</f>
        <v>-5.6369974642043905</v>
      </c>
      <c r="G416" s="9">
        <f t="shared" ref="G416" si="542">F416/11</f>
        <v>-0.51245431492767191</v>
      </c>
      <c r="H416" s="8">
        <v>0.2954</v>
      </c>
      <c r="I416" s="8">
        <f t="shared" ref="I416" si="543">I415*$V$1+(1-$V$1)*H416</f>
        <v>-4.2398248672573274E-2</v>
      </c>
      <c r="J416" s="9">
        <f t="shared" ref="J416" si="544">MAX(IF(I416&lt;-1,-1*SQRT(-I416),IF(I416&gt;1,SQRT(I416),I416)),-2)+0.2</f>
        <v>0.15760175132742674</v>
      </c>
      <c r="K416" s="8">
        <v>1.032</v>
      </c>
      <c r="L416" s="8">
        <f t="shared" ref="L416" si="545">L415*$V$1+(1-$V$1)*K416</f>
        <v>0.93194572007854337</v>
      </c>
      <c r="M416" s="9">
        <f t="shared" ref="M416" si="546">IF(L416&lt;-1,-(-L416^(0.5)),IF(L416&lt;0,0.5*L416,L416))*1+0*IF(L416&gt;0,L416*6,L416)/6</f>
        <v>0.93194572007854337</v>
      </c>
      <c r="O416" s="11">
        <f t="shared" ref="O416:O420" si="547">0.3*M416+0.3*J416+0.3*G415+0.1*D416</f>
        <v>0.20070041242727465</v>
      </c>
      <c r="P416" s="15" t="str">
        <f t="shared" ref="P416" si="548">IF(O416-O415&gt;0,IF(O416&gt;=0,"E","R"),IF(O416&gt;=0,"SD","C"))</f>
        <v>E</v>
      </c>
      <c r="Q416" t="str">
        <f t="shared" si="473"/>
        <v>E</v>
      </c>
      <c r="R416" s="18">
        <f t="shared" si="501"/>
        <v>1.0704869170224496E-2</v>
      </c>
      <c r="S416" t="str">
        <f t="shared" si="484"/>
        <v>E</v>
      </c>
      <c r="T416">
        <v>0</v>
      </c>
      <c r="V416" s="17">
        <f t="shared" si="453"/>
        <v>45473</v>
      </c>
      <c r="W416" s="1">
        <f t="shared" si="463"/>
        <v>0.20070041242727465</v>
      </c>
      <c r="X416" s="1">
        <f t="shared" si="464"/>
        <v>0.20070041242727465</v>
      </c>
      <c r="Y416" s="1" t="e">
        <f t="shared" si="465"/>
        <v>#N/A</v>
      </c>
      <c r="Z416" s="1" t="e">
        <f t="shared" si="466"/>
        <v>#N/A</v>
      </c>
      <c r="AA416">
        <f t="shared" si="539"/>
        <v>0</v>
      </c>
      <c r="AB416" s="1">
        <v>-28.5</v>
      </c>
      <c r="AD416" s="17">
        <f t="shared" si="468"/>
        <v>45473</v>
      </c>
      <c r="AE416" s="1">
        <f t="shared" si="469"/>
        <v>0.20070041242727465</v>
      </c>
      <c r="AF416" s="1">
        <f t="shared" si="470"/>
        <v>0.20070041242727465</v>
      </c>
      <c r="AG416" s="1" t="e">
        <f t="shared" si="471"/>
        <v>#N/A</v>
      </c>
      <c r="AH416" s="1" t="e">
        <f t="shared" si="472"/>
        <v>#N/A</v>
      </c>
      <c r="AO416" s="17">
        <f t="shared" si="474"/>
        <v>45473</v>
      </c>
      <c r="AP416">
        <f t="shared" si="475"/>
        <v>4</v>
      </c>
      <c r="AQ416">
        <f t="shared" si="476"/>
        <v>4</v>
      </c>
    </row>
    <row r="417" spans="1:43">
      <c r="A417" s="7">
        <v>45504</v>
      </c>
      <c r="B417" s="8">
        <v>8.7025000000000005E-2</v>
      </c>
      <c r="C417" s="8">
        <v>7.7242256676262819E-2</v>
      </c>
      <c r="D417" s="9">
        <v>0.38621128338131405</v>
      </c>
      <c r="E417" s="8">
        <v>-5.2</v>
      </c>
      <c r="F417" s="8">
        <v>-5.5124531869061393</v>
      </c>
      <c r="G417" s="9">
        <v>-0.50113210790055807</v>
      </c>
      <c r="H417" s="8">
        <v>-0.60499999999999998</v>
      </c>
      <c r="I417" s="8">
        <v>-0.20273974780088991</v>
      </c>
      <c r="J417" s="9">
        <v>-2.7397478008898968E-3</v>
      </c>
      <c r="K417" s="8">
        <v>0.53500000000000003</v>
      </c>
      <c r="L417" s="8">
        <v>0.81881618985615856</v>
      </c>
      <c r="M417" s="9">
        <v>0.81881618985615856</v>
      </c>
      <c r="O417" s="11">
        <f t="shared" si="547"/>
        <v>0.12970776647641047</v>
      </c>
      <c r="P417" s="15" t="str">
        <f>IF(O417-O416&gt;0,IF(O417&gt;=0,"E","R"),IF(O417&gt;=0,"SD","C"))</f>
        <v>SD</v>
      </c>
      <c r="Q417" t="str">
        <f>IF(OR(ABS($O417-$O416)&gt;$V$2,O417*O416&lt;0),P417,Q416)</f>
        <v>SD</v>
      </c>
      <c r="R417" s="18">
        <f>IF(Q417&lt;&gt;P416,O417,R416)</f>
        <v>0.12970776647641047</v>
      </c>
      <c r="S417" t="str">
        <f t="shared" si="484"/>
        <v>SD</v>
      </c>
      <c r="T417">
        <v>0</v>
      </c>
      <c r="V417" s="17">
        <f t="shared" si="453"/>
        <v>45504</v>
      </c>
      <c r="W417" s="1">
        <f t="shared" si="463"/>
        <v>0.12970776647641047</v>
      </c>
      <c r="X417" s="1">
        <f t="shared" si="464"/>
        <v>0.12970776647641047</v>
      </c>
      <c r="Y417" s="1" t="e">
        <f t="shared" si="465"/>
        <v>#N/A</v>
      </c>
      <c r="Z417" s="1" t="e">
        <f t="shared" si="466"/>
        <v>#N/A</v>
      </c>
      <c r="AA417">
        <f t="shared" si="539"/>
        <v>0</v>
      </c>
      <c r="AB417" s="1" cm="1">
        <f t="array" ref="AB417">_xll.BDH(AB$4,"px_last",$V417)</f>
        <v>-25.2</v>
      </c>
      <c r="AD417" s="17">
        <f t="shared" si="468"/>
        <v>45504</v>
      </c>
      <c r="AE417" s="1" t="e">
        <f t="shared" si="469"/>
        <v>#N/A</v>
      </c>
      <c r="AF417" s="1">
        <f t="shared" si="470"/>
        <v>0.12970776647641047</v>
      </c>
      <c r="AG417" s="1" t="e">
        <f t="shared" si="471"/>
        <v>#N/A</v>
      </c>
      <c r="AH417" s="1" t="e">
        <f t="shared" si="472"/>
        <v>#N/A</v>
      </c>
      <c r="AO417" s="17">
        <f t="shared" si="474"/>
        <v>45504</v>
      </c>
      <c r="AP417">
        <f t="shared" si="475"/>
        <v>3</v>
      </c>
      <c r="AQ417">
        <f t="shared" si="476"/>
        <v>3</v>
      </c>
    </row>
    <row r="418" spans="1:43">
      <c r="A418" s="7">
        <v>45534</v>
      </c>
      <c r="B418" s="8">
        <v>7.4673000000000003E-2</v>
      </c>
      <c r="C418" s="8">
        <v>7.6510018523527915E-2</v>
      </c>
      <c r="D418" s="9">
        <v>0.38255009261763956</v>
      </c>
      <c r="E418" s="8">
        <v>-5</v>
      </c>
      <c r="F418" s="8">
        <v>-5.3664040286378896</v>
      </c>
      <c r="G418" s="9">
        <v>-0.48785491169435402</v>
      </c>
      <c r="H418" s="8">
        <v>0.127</v>
      </c>
      <c r="I418" s="8">
        <v>-0.10876391967763627</v>
      </c>
      <c r="J418" s="9">
        <v>9.1236080322363744E-2</v>
      </c>
      <c r="K418" s="8">
        <v>0.86</v>
      </c>
      <c r="L418" s="8">
        <v>0.83055357574715338</v>
      </c>
      <c r="M418" s="9">
        <v>0.83055357574715338</v>
      </c>
      <c r="O418" s="11">
        <f t="shared" si="547"/>
        <v>0.16445227371245166</v>
      </c>
      <c r="P418" s="15" t="str">
        <f>IF(O418-O417&gt;0,IF(O418&gt;=0,"E","R"),IF(O418&gt;=0,"SD","C"))</f>
        <v>E</v>
      </c>
      <c r="Q418" t="str">
        <f t="shared" si="473"/>
        <v>SD</v>
      </c>
      <c r="R418" s="18">
        <f>IF(Q418&lt;&gt;P417,O418,R417)</f>
        <v>0.12970776647641047</v>
      </c>
      <c r="S418" t="str">
        <f t="shared" si="484"/>
        <v>SD</v>
      </c>
      <c r="T418">
        <v>0</v>
      </c>
      <c r="V418" s="17">
        <f t="shared" si="453"/>
        <v>45534</v>
      </c>
      <c r="W418" s="1">
        <f t="shared" si="463"/>
        <v>0.16445227371245166</v>
      </c>
      <c r="X418" s="1" t="e">
        <f t="shared" si="464"/>
        <v>#N/A</v>
      </c>
      <c r="Y418" s="1" t="e">
        <f t="shared" si="465"/>
        <v>#N/A</v>
      </c>
      <c r="Z418" s="1" t="e">
        <f t="shared" si="466"/>
        <v>#N/A</v>
      </c>
      <c r="AA418">
        <f t="shared" si="539"/>
        <v>0</v>
      </c>
      <c r="AB418" s="1" cm="1">
        <f t="array" ref="AB418">_xll.BDH(AB$4,"px_last",$V418)</f>
        <v>-24.2</v>
      </c>
      <c r="AD418" s="17">
        <f t="shared" si="468"/>
        <v>45534</v>
      </c>
      <c r="AE418" s="1">
        <f t="shared" si="469"/>
        <v>0.16445227371245166</v>
      </c>
      <c r="AF418" s="1">
        <f t="shared" si="470"/>
        <v>0.16445227371245166</v>
      </c>
      <c r="AG418" s="1" t="e">
        <f t="shared" si="471"/>
        <v>#N/A</v>
      </c>
      <c r="AH418" s="1" t="e">
        <f t="shared" si="472"/>
        <v>#N/A</v>
      </c>
      <c r="AO418" s="17">
        <f t="shared" si="474"/>
        <v>45534</v>
      </c>
      <c r="AP418">
        <f t="shared" si="475"/>
        <v>4</v>
      </c>
      <c r="AQ418">
        <f t="shared" si="476"/>
        <v>3</v>
      </c>
    </row>
    <row r="419" spans="1:43">
      <c r="A419" s="7">
        <v>45565</v>
      </c>
      <c r="B419" s="8">
        <v>0.100504</v>
      </c>
      <c r="C419" s="8">
        <v>8.3348303244322464E-2</v>
      </c>
      <c r="D419" s="9">
        <v>0.41674151622161232</v>
      </c>
      <c r="E419" s="32">
        <v>-5</v>
      </c>
      <c r="F419" s="8">
        <v>-5.2619788804760912</v>
      </c>
      <c r="G419" s="9">
        <v>-0.47836171640691738</v>
      </c>
      <c r="H419" s="8">
        <v>0.19159999999999999</v>
      </c>
      <c r="I419" s="8">
        <v>-2.316020256950993E-2</v>
      </c>
      <c r="J419" s="9">
        <v>0.17683979743049008</v>
      </c>
      <c r="K419" s="8">
        <v>0.70499999999999996</v>
      </c>
      <c r="L419" s="8">
        <v>0.79477080665921462</v>
      </c>
      <c r="M419" s="9">
        <v>0.79477080665921462</v>
      </c>
      <c r="O419" s="11">
        <f t="shared" si="547"/>
        <v>0.18680085934076646</v>
      </c>
      <c r="P419" s="15" t="str">
        <f>IF(O419-O418&gt;0,IF(O419&gt;=0,"E","R"),IF(O419&gt;=0,"SD","C"))</f>
        <v>E</v>
      </c>
      <c r="Q419" t="str">
        <f>IF(OR(ABS($O419-$O418)&gt;$V$2,O419*O418&lt;0),P419,Q418)</f>
        <v>SD</v>
      </c>
      <c r="R419" s="18">
        <f>IF(Q419&lt;&gt;P418,O419,R418)</f>
        <v>0.18680085934076646</v>
      </c>
      <c r="S419" t="str">
        <f t="shared" si="484"/>
        <v>E</v>
      </c>
      <c r="T419">
        <v>0</v>
      </c>
      <c r="V419" s="17">
        <f t="shared" si="453"/>
        <v>45565</v>
      </c>
      <c r="W419" s="1">
        <f t="shared" si="463"/>
        <v>0.18680085934076646</v>
      </c>
      <c r="X419" s="1">
        <f t="shared" si="464"/>
        <v>0.18680085934076646</v>
      </c>
      <c r="Y419" s="1" t="e">
        <f t="shared" si="465"/>
        <v>#N/A</v>
      </c>
      <c r="Z419" s="1" t="e">
        <f t="shared" si="466"/>
        <v>#N/A</v>
      </c>
      <c r="AA419">
        <f t="shared" si="539"/>
        <v>0</v>
      </c>
      <c r="AB419" s="1" cm="1">
        <f t="array" ref="AB419">_xll.BDH(AB$4,"px_last",$V419)</f>
        <v>-0.8</v>
      </c>
      <c r="AD419" s="17">
        <f t="shared" si="468"/>
        <v>45565</v>
      </c>
      <c r="AE419" s="1">
        <f t="shared" si="469"/>
        <v>0.18680085934076646</v>
      </c>
      <c r="AF419" s="1" t="e">
        <f t="shared" si="470"/>
        <v>#N/A</v>
      </c>
      <c r="AG419" s="1" t="e">
        <f t="shared" si="471"/>
        <v>#N/A</v>
      </c>
      <c r="AH419" s="1" t="e">
        <f>IF(OR($S419=AH$4,$S420=AH$4),$O419,NA())</f>
        <v>#N/A</v>
      </c>
      <c r="AO419" s="17">
        <f t="shared" si="474"/>
        <v>45565</v>
      </c>
      <c r="AP419">
        <f t="shared" si="475"/>
        <v>4</v>
      </c>
      <c r="AQ419">
        <f t="shared" si="476"/>
        <v>3</v>
      </c>
    </row>
    <row r="420" spans="1:43">
      <c r="A420" s="7">
        <v>45596</v>
      </c>
      <c r="B420" s="8">
        <v>0.198069</v>
      </c>
      <c r="C420" s="8">
        <v>0.11604370181969056</v>
      </c>
      <c r="D420" s="9">
        <v>0.58021850909845274</v>
      </c>
      <c r="E420" s="8">
        <v>-4.0999999999999996</v>
      </c>
      <c r="F420" s="8">
        <v>-4.9308148995404055</v>
      </c>
      <c r="G420" s="9">
        <v>-0.44825589995821868</v>
      </c>
      <c r="H420" s="8">
        <v>-0.48049999999999998</v>
      </c>
      <c r="I420" s="8">
        <v>-0.15350204483719962</v>
      </c>
      <c r="J420" s="9">
        <v>4.6497955162800392E-2</v>
      </c>
      <c r="K420" s="8">
        <v>0.54100000000000004</v>
      </c>
      <c r="L420" s="8">
        <v>0.72244612676133846</v>
      </c>
      <c r="M420" s="9">
        <v>0.72244612676133846</v>
      </c>
      <c r="O420" s="11">
        <f t="shared" si="547"/>
        <v>0.14519656056501173</v>
      </c>
      <c r="P420" s="15" t="str">
        <f>IF(O420-O419&gt;0,IF(O420&gt;=0,"E","R"),IF(O420&gt;=0,"SD","C"))</f>
        <v>SD</v>
      </c>
      <c r="Q420" t="str">
        <f>IF(OR(ABS($O420-$O419)&gt;$V$2,O420*O419&lt;0),P420,Q419)</f>
        <v>SD</v>
      </c>
      <c r="R420" s="18">
        <f>IF(Q420&lt;&gt;P419,O420,R419)</f>
        <v>0.14519656056501173</v>
      </c>
      <c r="S420" t="str">
        <f t="shared" si="484"/>
        <v>E</v>
      </c>
      <c r="T420">
        <v>0</v>
      </c>
      <c r="V420" s="17">
        <v>45596</v>
      </c>
      <c r="W420" s="1">
        <v>0.14519656056501173</v>
      </c>
      <c r="X420" s="1">
        <v>0.14519656056501173</v>
      </c>
      <c r="Y420" s="1" t="e">
        <v>#N/A</v>
      </c>
      <c r="Z420" s="1" t="e">
        <v>#N/A</v>
      </c>
      <c r="AA420">
        <v>0</v>
      </c>
      <c r="AB420" s="1">
        <v>38.6</v>
      </c>
      <c r="AD420" s="17">
        <v>45596</v>
      </c>
      <c r="AE420" s="1">
        <v>0.14519656056501173</v>
      </c>
      <c r="AF420" s="1" t="e">
        <v>#N/A</v>
      </c>
      <c r="AG420" s="1" t="e">
        <v>#N/A</v>
      </c>
      <c r="AH420" s="1" t="e">
        <v>#N/A</v>
      </c>
      <c r="AO420" s="17">
        <v>45596</v>
      </c>
      <c r="AP420">
        <v>3</v>
      </c>
      <c r="AQ420">
        <v>3</v>
      </c>
    </row>
    <row r="421" spans="1:43">
      <c r="A421" s="7">
        <v>45626</v>
      </c>
      <c r="B421" s="8">
        <v>0.24704200000000001</v>
      </c>
      <c r="C421" s="8">
        <v>0.15337821680107877</v>
      </c>
      <c r="D421" s="9">
        <v>0.76689108400539385</v>
      </c>
      <c r="E421" s="8">
        <v>-3.5</v>
      </c>
      <c r="F421" s="8">
        <v>-4.5230326531713896</v>
      </c>
      <c r="G421" s="9">
        <v>-0.41118478665194452</v>
      </c>
      <c r="H421" s="8">
        <v>-0.2858</v>
      </c>
      <c r="I421" s="8">
        <v>-0.19120696205859772</v>
      </c>
      <c r="J421" s="9">
        <v>8.793037941402293E-3</v>
      </c>
      <c r="K421" s="8">
        <v>0.83299999999999996</v>
      </c>
      <c r="L421" s="8">
        <v>0.75395398063435692</v>
      </c>
      <c r="M421" s="9">
        <v>0.75395398063435692</v>
      </c>
      <c r="O421" s="11">
        <v>0.17103644398580153</v>
      </c>
      <c r="P421" s="15" t="s">
        <v>26</v>
      </c>
      <c r="Q421" t="s">
        <v>23</v>
      </c>
      <c r="R421" s="18">
        <v>0.14519656056501173</v>
      </c>
      <c r="S421" t="s">
        <v>26</v>
      </c>
      <c r="T421">
        <v>0</v>
      </c>
      <c r="V421" s="17">
        <v>45626</v>
      </c>
      <c r="W421" s="1">
        <v>0.17103644398580153</v>
      </c>
      <c r="X421" s="1">
        <v>0.17103644398580153</v>
      </c>
      <c r="Y421" s="1" t="e">
        <v>#N/A</v>
      </c>
      <c r="Z421" s="1" t="e">
        <v>#N/A</v>
      </c>
      <c r="AA421">
        <v>0</v>
      </c>
      <c r="AB421" s="1" t="s">
        <v>19</v>
      </c>
      <c r="AD421" s="17">
        <v>45626</v>
      </c>
      <c r="AE421" s="1">
        <v>0.17103644398580153</v>
      </c>
      <c r="AF421" s="1" t="e">
        <v>#N/A</v>
      </c>
      <c r="AG421" s="1" t="e">
        <v>#N/A</v>
      </c>
      <c r="AH421" s="1" t="e">
        <v>#N/A</v>
      </c>
      <c r="AO421" s="17">
        <v>45626</v>
      </c>
      <c r="AP421">
        <v>4</v>
      </c>
      <c r="AQ421">
        <v>3</v>
      </c>
    </row>
    <row r="422" spans="1:43">
      <c r="A422" s="7">
        <v>45657</v>
      </c>
      <c r="B422" s="8">
        <v>0.118898</v>
      </c>
      <c r="C422" s="8">
        <v>0.14355135501277133</v>
      </c>
      <c r="D422" s="9">
        <v>0.7177567750638566</v>
      </c>
      <c r="E422" s="8">
        <v>-3</v>
      </c>
      <c r="F422" s="8">
        <v>-4.088968347017544</v>
      </c>
      <c r="G422" s="9">
        <v>-0.3717243951834131</v>
      </c>
      <c r="H422" s="8">
        <v>-8.6199999999999999E-2</v>
      </c>
      <c r="I422" s="8">
        <v>-0.16127997787189738</v>
      </c>
      <c r="J422" s="9">
        <v>3.8720022128102632E-2</v>
      </c>
      <c r="K422" s="8">
        <v>0.56100000000000005</v>
      </c>
      <c r="L422" s="8">
        <v>0.69896209615356519</v>
      </c>
      <c r="M422" s="9">
        <v>0.69896209615356519</v>
      </c>
      <c r="O422" s="11">
        <f t="shared" ref="O422" si="549">0.3*M422+0.3*J422+0.3*G421+0.1*D422</f>
        <v>0.16972487699530267</v>
      </c>
      <c r="P422" s="15" t="str">
        <f>IF(O422-O421&gt;0,IF(O422&gt;=0,"E","R"),IF(O422&gt;=0,"SD","C"))</f>
        <v>SD</v>
      </c>
      <c r="Q422" t="str">
        <f>IF(OR(ABS($O422-$O421)&gt;$V$2,O422*O421&lt;0),P422,Q421)</f>
        <v>SD</v>
      </c>
      <c r="R422" s="18">
        <f>IF(Q422&lt;&gt;P421,O422,R421)</f>
        <v>0.16972487699530267</v>
      </c>
      <c r="S422" t="str">
        <f>IF(OR(ABS($R422-$R421)&gt;$V$2,R422*R421&lt;0,ABS(O422-MAX(O411:O421))&gt;$AJ$2),P422,S421)</f>
        <v>E</v>
      </c>
      <c r="T422">
        <v>0</v>
      </c>
      <c r="V422" s="17">
        <f t="shared" ref="V422" si="550">A422</f>
        <v>45657</v>
      </c>
      <c r="W422" s="1">
        <f>IF(OR($P422=W$4,$P423=W$4),$O422,NA())</f>
        <v>0.16972487699530267</v>
      </c>
      <c r="X422" s="1">
        <f t="shared" si="464"/>
        <v>0.16972487699530267</v>
      </c>
      <c r="Y422" s="1" t="e">
        <f t="shared" si="465"/>
        <v>#N/A</v>
      </c>
      <c r="Z422" s="1" t="e">
        <f t="shared" si="466"/>
        <v>#N/A</v>
      </c>
      <c r="AA422">
        <f t="shared" si="539"/>
        <v>0</v>
      </c>
      <c r="AB422" s="1" cm="1">
        <f t="array" ref="AB422">_xll.BDH(AB$4,"px_last",$V422)</f>
        <v>-1.7</v>
      </c>
      <c r="AD422" s="17">
        <f t="shared" ref="AD422" si="551">A422</f>
        <v>45657</v>
      </c>
      <c r="AE422" s="1">
        <f t="shared" si="469"/>
        <v>0.16972487699530267</v>
      </c>
      <c r="AF422" s="1" t="e">
        <f t="shared" si="470"/>
        <v>#N/A</v>
      </c>
      <c r="AG422" s="1" t="e">
        <f t="shared" si="471"/>
        <v>#N/A</v>
      </c>
      <c r="AH422" s="1" t="e">
        <f>IF(OR($S422=AH$4,$S423=AH$4),$O422,NA())</f>
        <v>#N/A</v>
      </c>
      <c r="AO422" s="17">
        <f t="shared" ref="AO422" si="552">A422</f>
        <v>45657</v>
      </c>
      <c r="AP422">
        <f t="shared" si="475"/>
        <v>3</v>
      </c>
      <c r="AQ422">
        <f t="shared" si="476"/>
        <v>3</v>
      </c>
    </row>
    <row r="423" spans="1:43">
      <c r="A423" s="7">
        <v>45688</v>
      </c>
      <c r="B423" s="8">
        <v>8.2958000000000004E-2</v>
      </c>
      <c r="C423" s="8">
        <v>0.1262822488341315</v>
      </c>
      <c r="D423" s="9">
        <v>0.63141124417065742</v>
      </c>
      <c r="E423" s="8">
        <v>-2.6</v>
      </c>
      <c r="F423" s="8">
        <v>-3.664612368117544</v>
      </c>
      <c r="G423" s="9">
        <v>-0.33314657891977673</v>
      </c>
      <c r="H423" s="8">
        <v>-5.1999999999999998E-3</v>
      </c>
      <c r="I423" s="8">
        <v>-0.11679718417840662</v>
      </c>
      <c r="J423" s="9">
        <v>8.320281582159339E-2</v>
      </c>
      <c r="K423" s="8">
        <v>0.80900000000000005</v>
      </c>
      <c r="L423" s="8">
        <v>0.73032289874979917</v>
      </c>
      <c r="M423" s="9">
        <v>0.73032289874979917</v>
      </c>
      <c r="O423" s="11">
        <f t="shared" ref="O423" si="553">0.3*M423+0.3*J423+0.3*G422+0.1*D423</f>
        <v>0.19568152023345958</v>
      </c>
      <c r="P423" s="15" t="str">
        <f>IF(O423-O422&gt;0,IF(O423&gt;=0,"E","R"),IF(O423&gt;=0,"SD","C"))</f>
        <v>E</v>
      </c>
      <c r="Q423" t="str">
        <f>IF(OR(ABS($O423-$O422)&gt;$V$2,O423*O422&lt;0),P423,Q422)</f>
        <v>SD</v>
      </c>
      <c r="R423" s="18">
        <f>IF(Q423&lt;&gt;P422,O423,R422)</f>
        <v>0.16972487699530267</v>
      </c>
      <c r="S423" t="str">
        <f>IF(OR(ABS($R423-$R422)&gt;$V$2,R423*R422&lt;0,ABS(O423-MAX(O412:O422))&gt;$AJ$2),P423,S422)</f>
        <v>E</v>
      </c>
      <c r="T423">
        <v>0</v>
      </c>
      <c r="V423" s="17">
        <f t="shared" ref="V423" si="554">A423</f>
        <v>45688</v>
      </c>
      <c r="W423" s="1">
        <f>IF(OR($P423=W$4,$P424=W$4),$O423,NA())</f>
        <v>0.19568152023345958</v>
      </c>
      <c r="X423" s="1" t="e">
        <f t="shared" si="464"/>
        <v>#N/A</v>
      </c>
      <c r="Y423" s="1" t="e">
        <f t="shared" si="465"/>
        <v>#N/A</v>
      </c>
      <c r="Z423" s="1" t="e">
        <f t="shared" si="466"/>
        <v>#N/A</v>
      </c>
      <c r="AA423">
        <f t="shared" si="539"/>
        <v>0</v>
      </c>
      <c r="AB423" s="1" cm="1">
        <f t="array" ref="AB423">_xll.BDH(AB$4,"px_last",$V423)</f>
        <v>12.4</v>
      </c>
      <c r="AD423" s="17">
        <f t="shared" ref="AD423" si="555">A423</f>
        <v>45688</v>
      </c>
      <c r="AE423" s="1">
        <f t="shared" si="469"/>
        <v>0.19568152023345958</v>
      </c>
      <c r="AF423" s="1" t="e">
        <f t="shared" si="470"/>
        <v>#N/A</v>
      </c>
      <c r="AG423" s="1" t="e">
        <f t="shared" si="471"/>
        <v>#N/A</v>
      </c>
      <c r="AH423" s="1" t="e">
        <f>IF(OR($S423=AH$4,$S424=AH$4),$O423,NA())</f>
        <v>#N/A</v>
      </c>
      <c r="AO423" s="17">
        <f t="shared" ref="AO423" si="556">A423</f>
        <v>45688</v>
      </c>
      <c r="AP423">
        <f t="shared" si="475"/>
        <v>4</v>
      </c>
      <c r="AQ423">
        <f t="shared" si="476"/>
        <v>3</v>
      </c>
    </row>
    <row r="424" spans="1:43">
      <c r="A424" s="7">
        <v>45716</v>
      </c>
      <c r="B424" s="8">
        <f>_xll.BDH(B$2,"PX_LAST",$A424-10,$A424-10)</f>
        <v>0.102784</v>
      </c>
      <c r="C424" s="8">
        <f>C423*$V$1+(1-$V$1)*B424</f>
        <v>0.11958524791640403</v>
      </c>
      <c r="D424" s="9">
        <f t="shared" ref="D424" si="557">C424/0.2</f>
        <v>0.59792623958202007</v>
      </c>
      <c r="E424" s="8">
        <f>_xll.BDH(E$2,"PX_LAST",$A424,$A424)</f>
        <v>-3</v>
      </c>
      <c r="F424" s="8">
        <f>F423*$V$1+(1-$V$1)*E424</f>
        <v>-3.475197843204044</v>
      </c>
      <c r="G424" s="9">
        <f>F424/11</f>
        <v>-0.3159270766549131</v>
      </c>
      <c r="H424" s="8">
        <f>_xll.BDH(H$2,"PX_LAST",$A424-11,$A424-11)</f>
        <v>2.6200000000000001E-2</v>
      </c>
      <c r="I424" s="8">
        <f t="shared" ref="I424" si="558">I423*$V$1+(1-$V$1)*H424</f>
        <v>-7.6042986687560724E-2</v>
      </c>
      <c r="J424" s="9">
        <f t="shared" ref="J424" si="559">MAX(IF(I424&lt;-1,-1*SQRT(-I424),IF(I424&gt;1,SQRT(I424),I424)),-2)+0.2</f>
        <v>0.12395701331243929</v>
      </c>
      <c r="K424" s="8">
        <f>_xll.BDH(K$2,"PX_LAST",$A424-1)</f>
        <v>0.75700000000000001</v>
      </c>
      <c r="L424" s="8">
        <f t="shared" ref="L424" si="560">L423*$V$1+(1-$V$1)*K424</f>
        <v>0.73792587260610643</v>
      </c>
      <c r="M424" s="9">
        <f t="shared" ref="M424" si="561">IF(L424&lt;-1,-(-L424^(0.5)),IF(L424&lt;0,0.5*L424,L424))*1+0*IF(L424&gt;0,L424*6,L424)/6</f>
        <v>0.73792587260610643</v>
      </c>
      <c r="O424" s="11">
        <f t="shared" ref="O424" si="562">0.3*M424+0.3*J424+0.3*G423+0.1*D424</f>
        <v>0.21841351605783271</v>
      </c>
      <c r="P424" s="15" t="str">
        <f>IF(O424-O423&gt;0,IF(O424&gt;=0,"E","R"),IF(O424&gt;=0,"SD","C"))</f>
        <v>E</v>
      </c>
      <c r="Q424" t="str">
        <f>IF(OR(ABS($O424-$O423)&gt;$V$2,O424*O423&lt;0),P424,Q423)</f>
        <v>SD</v>
      </c>
      <c r="R424" s="18">
        <f>IF(Q424&lt;&gt;P423,O424,R423)</f>
        <v>0.21841351605783271</v>
      </c>
      <c r="S424" t="str">
        <f>IF(OR(ABS($R424-$R423)&gt;$V$2,R424*R423&lt;0,ABS(O424-MAX(O413:O423))&gt;$AJ$2),P424,S423)</f>
        <v>E</v>
      </c>
      <c r="T424">
        <v>1</v>
      </c>
      <c r="V424" s="17">
        <f t="shared" ref="V424" si="563">A424</f>
        <v>45716</v>
      </c>
      <c r="W424" s="1">
        <f>IF(OR($P424=W$4,$P425=W$4),$O424,NA())</f>
        <v>0.21841351605783271</v>
      </c>
      <c r="X424" s="1" t="e">
        <f t="shared" si="464"/>
        <v>#N/A</v>
      </c>
      <c r="Y424" s="1" t="e">
        <f t="shared" si="465"/>
        <v>#N/A</v>
      </c>
      <c r="Z424" s="1" t="e">
        <f t="shared" si="466"/>
        <v>#N/A</v>
      </c>
      <c r="AA424">
        <f t="shared" si="539"/>
        <v>0</v>
      </c>
      <c r="AB424" s="1" cm="1">
        <f t="array" ref="AB424">_xll.BDH(AB$4,"px_last",$V424)</f>
        <v>-16.5</v>
      </c>
      <c r="AD424" s="17">
        <f t="shared" ref="AD424" si="564">A424</f>
        <v>45716</v>
      </c>
      <c r="AE424" s="1">
        <f t="shared" si="469"/>
        <v>0.21841351605783271</v>
      </c>
      <c r="AF424" s="1" t="e">
        <f t="shared" si="470"/>
        <v>#N/A</v>
      </c>
      <c r="AG424" s="1" t="e">
        <f t="shared" si="471"/>
        <v>#N/A</v>
      </c>
      <c r="AH424" s="1" t="e">
        <f>IF(OR($S424=AH$4,$S425=AH$4),$O424,NA())</f>
        <v>#N/A</v>
      </c>
    </row>
    <row r="425" spans="1:43">
      <c r="A425" s="7">
        <v>45747</v>
      </c>
      <c r="B425" s="8">
        <f>_xll.BDH(B$2,"PX_LAST",$A425-10,$A425-10)</f>
        <v>-0.122057</v>
      </c>
      <c r="C425" s="8">
        <f t="shared" ref="C425:C442" si="565">C424*$V$1+(1-$V$1)*B425</f>
        <v>5.0717207260228873E-2</v>
      </c>
      <c r="D425" s="9">
        <f t="shared" ref="D425:D442" si="566">C425/0.2</f>
        <v>0.25358603630114435</v>
      </c>
      <c r="E425" s="8">
        <f>_xll.BDH(E$2,"PX_LAST",$A425,$A425)</f>
        <v>-3.3</v>
      </c>
      <c r="F425" s="8">
        <f t="shared" ref="F425:F442" si="567">F424*$V$1+(1-$V$1)*E425</f>
        <v>-3.4252664578908916</v>
      </c>
      <c r="G425" s="9">
        <f t="shared" ref="G425:G442" si="568">F425/11</f>
        <v>-0.31138785980826289</v>
      </c>
      <c r="H425" s="8">
        <f>_xll.BDH(H$2,"PX_LAST",$A425-11,$A425-11)</f>
        <v>7.0099999999999996E-2</v>
      </c>
      <c r="I425" s="8">
        <f t="shared" ref="I425:I442" si="569">I424*$V$1+(1-$V$1)*H425</f>
        <v>-3.4392235481605915E-2</v>
      </c>
      <c r="J425" s="9">
        <f t="shared" ref="J425:J442" si="570">MAX(IF(I425&lt;-1,-1*SQRT(-I425),IF(I425&gt;1,SQRT(I425),I425)),-2)+0.2</f>
        <v>0.1656077645183941</v>
      </c>
      <c r="K425" s="8">
        <f>_xll.BDH(K$2,"PX_LAST",$A425)</f>
        <v>0.441</v>
      </c>
      <c r="L425" s="8">
        <f t="shared" ref="L425:L442" si="571">L424*$V$1+(1-$V$1)*K425</f>
        <v>0.65330199891336616</v>
      </c>
      <c r="M425" s="9">
        <f t="shared" ref="M425:M442" si="572">IF(L425&lt;-1,-(-L425^(0.5)),IF(L425&lt;0,0.5*L425,L425))*1+0*IF(L425&gt;0,L425*6,L425)/6</f>
        <v>0.65330199891336616</v>
      </c>
    </row>
    <row r="426" spans="1:43">
      <c r="A426" s="7">
        <v>45777</v>
      </c>
      <c r="B426" s="8">
        <f>_xll.BDH(B$2,"PX_LAST",$A426-10,$A426-10)</f>
        <v>-0.14075499999999999</v>
      </c>
      <c r="C426" s="8">
        <f t="shared" si="565"/>
        <v>-3.8523718089363626E-3</v>
      </c>
      <c r="D426" s="9">
        <f t="shared" si="566"/>
        <v>-1.9261859044681813E-2</v>
      </c>
      <c r="E426" s="8">
        <f>_xll.BDH(E$2,"PX_LAST",$A426,$A426)</f>
        <v>-4.0999999999999996</v>
      </c>
      <c r="F426" s="8">
        <f t="shared" si="567"/>
        <v>-3.6175655173919878</v>
      </c>
      <c r="G426" s="9">
        <f t="shared" si="568"/>
        <v>-0.32886959249018072</v>
      </c>
      <c r="H426" s="8">
        <f>_xll.BDH(H$2,"PX_LAST",$A426-11,$A426-11)</f>
        <v>-0.29220000000000002</v>
      </c>
      <c r="I426" s="8">
        <f t="shared" si="569"/>
        <v>-0.10786744836934825</v>
      </c>
      <c r="J426" s="9">
        <f t="shared" si="570"/>
        <v>9.213255163065176E-2</v>
      </c>
      <c r="K426" s="8">
        <f>_xll.BDH(K$2,"PX_LAST",$A426-1)</f>
        <v>0.03</v>
      </c>
      <c r="L426" s="8">
        <f t="shared" si="571"/>
        <v>0.47566092922305681</v>
      </c>
      <c r="M426" s="9">
        <f t="shared" si="572"/>
        <v>0.47566092922305681</v>
      </c>
    </row>
    <row r="427" spans="1:43">
      <c r="A427" s="7">
        <v>45808</v>
      </c>
      <c r="B427" s="8">
        <f>_xll.BDH(B$2,"PX_LAST",$A427-10,$A427-10)</f>
        <v>-6.0180999999999998E-2</v>
      </c>
      <c r="C427" s="8">
        <f t="shared" si="565"/>
        <v>-1.9906030843389499E-2</v>
      </c>
      <c r="D427" s="9">
        <f t="shared" si="566"/>
        <v>-9.9530154216947483E-2</v>
      </c>
      <c r="E427" s="8">
        <f>_xll.BDH(E$2,"PX_LAST",$A427,$A427)</f>
        <v>-3.7</v>
      </c>
      <c r="F427" s="8">
        <f t="shared" si="567"/>
        <v>-3.6410593449352717</v>
      </c>
      <c r="G427" s="9">
        <f t="shared" si="568"/>
        <v>-0.33100539499411563</v>
      </c>
      <c r="H427" s="8">
        <f>_xll.BDH(H$2,"PX_LAST",$A427-11,$A427-11)</f>
        <v>-0.5585</v>
      </c>
      <c r="I427" s="8">
        <f t="shared" si="569"/>
        <v>-0.23629772558408402</v>
      </c>
      <c r="J427" s="9">
        <f t="shared" si="570"/>
        <v>-3.6297725584084006E-2</v>
      </c>
      <c r="K427" s="8">
        <f>_xll.BDH(K$2,"PX_LAST",$A427-1)</f>
        <v>0.58099999999999996</v>
      </c>
      <c r="L427" s="8">
        <f t="shared" si="571"/>
        <v>0.50568256439448556</v>
      </c>
      <c r="M427" s="9">
        <f t="shared" si="572"/>
        <v>0.50568256439448556</v>
      </c>
    </row>
    <row r="428" spans="1:43">
      <c r="A428" s="7">
        <v>45838</v>
      </c>
      <c r="B428" s="8">
        <f>_xll.BDH(B$2,"PX_LAST",$A428-10,$A428-10)</f>
        <v>-7.7035000000000006E-2</v>
      </c>
      <c r="C428" s="8">
        <f t="shared" si="565"/>
        <v>-3.6187787053023494E-2</v>
      </c>
      <c r="D428" s="9">
        <f t="shared" si="566"/>
        <v>-0.18093893526511745</v>
      </c>
      <c r="E428" s="8">
        <f>_xll.BDH(E$2,"PX_LAST",$A428,$A428)</f>
        <v>-3.8</v>
      </c>
      <c r="F428" s="8">
        <f t="shared" si="567"/>
        <v>-3.6863574316287195</v>
      </c>
      <c r="G428" s="9">
        <f t="shared" si="568"/>
        <v>-0.33512340287533815</v>
      </c>
      <c r="H428" s="8">
        <f>_xll.BDH(H$2,"PX_LAST",$A428-11,$A428-11)</f>
        <v>-2.2599999999999999E-2</v>
      </c>
      <c r="I428" s="8">
        <f t="shared" si="569"/>
        <v>-0.17539387379262006</v>
      </c>
      <c r="J428" s="9">
        <f t="shared" si="570"/>
        <v>2.4606126207379952E-2</v>
      </c>
      <c r="K428" s="8">
        <f>_xll.BDH(K$2,"PX_LAST",$A428)</f>
        <v>0.73499999999999999</v>
      </c>
      <c r="L428" s="8">
        <f t="shared" si="571"/>
        <v>0.57103803354205718</v>
      </c>
      <c r="M428" s="9">
        <f t="shared" si="572"/>
        <v>0.57103803354205718</v>
      </c>
    </row>
    <row r="429" spans="1:43">
      <c r="A429" s="7">
        <v>45869</v>
      </c>
      <c r="B429" s="8">
        <f>_xll.BDH(B$2,"PX_LAST",$A429-10,$A429-10)</f>
        <v>-2.7959999999999999E-2</v>
      </c>
      <c r="C429" s="8">
        <f t="shared" si="565"/>
        <v>-3.38428677429118E-2</v>
      </c>
      <c r="D429" s="9">
        <f t="shared" si="566"/>
        <v>-0.16921433871455899</v>
      </c>
      <c r="E429" s="8">
        <f>_xll.BDH(E$2,"PX_LAST",$A429,$A429)</f>
        <v>-3.4</v>
      </c>
      <c r="F429" s="8">
        <f t="shared" si="567"/>
        <v>-3.604745563614534</v>
      </c>
      <c r="G429" s="9">
        <f t="shared" si="568"/>
        <v>-0.32770414214677585</v>
      </c>
      <c r="H429" s="8">
        <f>_xll.BDH(H$2,"PX_LAST",$A429-11,$A429-11)</f>
        <v>0.15989999999999999</v>
      </c>
      <c r="I429" s="8">
        <f t="shared" si="569"/>
        <v>-7.9835119761723347E-2</v>
      </c>
      <c r="J429" s="9">
        <f t="shared" si="570"/>
        <v>0.12016488023827666</v>
      </c>
      <c r="K429" s="8">
        <f>_xll.BDH(K$2,"PX_LAST",$A429-1)</f>
        <v>1.0149999999999999</v>
      </c>
      <c r="L429" s="8">
        <f t="shared" si="571"/>
        <v>0.69756719398257094</v>
      </c>
      <c r="M429" s="9">
        <f t="shared" si="572"/>
        <v>0.69756719398257094</v>
      </c>
    </row>
    <row r="430" spans="1:43">
      <c r="A430" s="7">
        <v>45900</v>
      </c>
      <c r="B430" s="8">
        <f>_xll.BDH(B$2,"PX_LAST",$A430-10,$A430-10)</f>
        <v>5.3378000000000002E-2</v>
      </c>
      <c r="C430" s="8">
        <f t="shared" si="565"/>
        <v>-8.984920436181933E-3</v>
      </c>
      <c r="D430" s="9">
        <f t="shared" si="566"/>
        <v>-4.4924602180909663E-2</v>
      </c>
      <c r="E430" s="8">
        <f>_xll.BDH(E$2,"PX_LAST",$A430,$A430)</f>
        <v>-3.5</v>
      </c>
      <c r="F430" s="8">
        <f t="shared" si="567"/>
        <v>-3.5748930779843917</v>
      </c>
      <c r="G430" s="9">
        <f t="shared" si="568"/>
        <v>-0.32499027981676287</v>
      </c>
      <c r="H430" s="8">
        <f>_xll.BDH(H$2,"PX_LAST",$A430-11,$A430-11)</f>
        <v>-0.44529999999999997</v>
      </c>
      <c r="I430" s="8">
        <f t="shared" si="569"/>
        <v>-0.18399261062963221</v>
      </c>
      <c r="J430" s="9">
        <f t="shared" si="570"/>
        <v>1.6007389370367803E-2</v>
      </c>
      <c r="K430" s="8">
        <f>_xll.BDH(K$2,"PX_LAST",$A430-2)</f>
        <v>0.98099999999999998</v>
      </c>
      <c r="L430" s="8">
        <f t="shared" si="571"/>
        <v>0.77834554369753817</v>
      </c>
      <c r="M430" s="9">
        <f t="shared" si="572"/>
        <v>0.77834554369753817</v>
      </c>
    </row>
    <row r="431" spans="1:43">
      <c r="A431" s="7">
        <v>45930</v>
      </c>
      <c r="B431" s="8">
        <f>_xll.BDH(B$2,"PX_LAST",$A431-10,$A431-10)</f>
        <v>-6.2190000000000002E-2</v>
      </c>
      <c r="C431" s="8">
        <f t="shared" si="565"/>
        <v>-2.4148368111870083E-2</v>
      </c>
      <c r="D431" s="9">
        <f t="shared" si="566"/>
        <v>-0.1207418405593504</v>
      </c>
      <c r="E431" s="8">
        <f>_xll.BDH(E$2,"PX_LAST",$A431,$A431)</f>
        <v>-3.2</v>
      </c>
      <c r="F431" s="8">
        <f t="shared" si="567"/>
        <v>-3.4680485507588399</v>
      </c>
      <c r="G431" s="9">
        <f t="shared" si="568"/>
        <v>-0.31527714097807635</v>
      </c>
      <c r="H431" s="8">
        <f>_xll.BDH(H$2,"PX_LAST",$A431-11,$A431-11)</f>
        <v>-0.52359999999999995</v>
      </c>
      <c r="I431" s="8">
        <f t="shared" si="569"/>
        <v>-0.280780716600187</v>
      </c>
      <c r="J431" s="9">
        <f t="shared" si="570"/>
        <v>-8.0780716600186986E-2</v>
      </c>
      <c r="K431" s="8">
        <f>_xll.BDH(K$2,"PX_LAST",$A431-1)</f>
        <v>1.0269999999999999</v>
      </c>
      <c r="L431" s="8">
        <f t="shared" si="571"/>
        <v>0.8492120637437397</v>
      </c>
      <c r="M431" s="9">
        <f t="shared" si="572"/>
        <v>0.8492120637437397</v>
      </c>
    </row>
    <row r="432" spans="1:43">
      <c r="A432" s="7">
        <v>45961</v>
      </c>
      <c r="B432" s="8">
        <f>_xll.BDH(B$2,"PX_LAST",$A432-10,$A432-10)</f>
        <v>-0.121305</v>
      </c>
      <c r="C432" s="8">
        <f t="shared" si="565"/>
        <v>-5.1838008199987115E-2</v>
      </c>
      <c r="D432" s="9">
        <f t="shared" si="566"/>
        <v>-0.25919004099993553</v>
      </c>
      <c r="E432" s="8">
        <f>_xll.BDH(E$2,"PX_LAST",$A432,$A432)</f>
        <v>-3.1</v>
      </c>
      <c r="F432" s="8">
        <f t="shared" si="567"/>
        <v>-3.3631547137925706</v>
      </c>
      <c r="G432" s="9">
        <f t="shared" si="568"/>
        <v>-0.30574133761750644</v>
      </c>
      <c r="H432" s="8">
        <f>_xll.BDH(H$2,"PX_LAST",$A432-11,$A432-11)</f>
        <v>-0.81740000000000002</v>
      </c>
      <c r="I432" s="8">
        <f t="shared" si="569"/>
        <v>-0.43371721236913374</v>
      </c>
      <c r="J432" s="9">
        <f t="shared" si="570"/>
        <v>-0.23371721236913373</v>
      </c>
      <c r="K432" s="8">
        <f>_xll.BDH(K$2,"PX_LAST",$A432-1)</f>
        <v>0.97099999999999997</v>
      </c>
      <c r="L432" s="8">
        <f t="shared" si="571"/>
        <v>0.8839216255767739</v>
      </c>
      <c r="M432" s="9">
        <f t="shared" si="572"/>
        <v>0.8839216255767739</v>
      </c>
    </row>
    <row r="433" spans="1:13">
      <c r="A433" s="7">
        <v>45991</v>
      </c>
      <c r="B433" s="8">
        <f>_xll.BDH(B$2,"PX_LAST",$A433-10,$A433-10)</f>
        <v>-6.6944000000000004E-2</v>
      </c>
      <c r="C433" s="8">
        <f t="shared" si="565"/>
        <v>-5.6143215862990786E-2</v>
      </c>
      <c r="D433" s="9">
        <f t="shared" si="566"/>
        <v>-0.2807160793149539</v>
      </c>
      <c r="E433" s="8">
        <f>_xll.BDH(E$2,"PX_LAST",$A433,$A433)</f>
        <v>-3.7</v>
      </c>
      <c r="F433" s="8">
        <f t="shared" si="567"/>
        <v>-3.4591556203616882</v>
      </c>
      <c r="G433" s="9">
        <f t="shared" si="568"/>
        <v>-0.31446869276015349</v>
      </c>
      <c r="H433" s="8">
        <f>_xll.BDH(H$2,"PX_LAST",$A433-11,$A433-11)</f>
        <v>-0.4632</v>
      </c>
      <c r="I433" s="8">
        <f t="shared" si="569"/>
        <v>-0.44211980684393065</v>
      </c>
      <c r="J433" s="9">
        <f t="shared" si="570"/>
        <v>-0.24211980684393064</v>
      </c>
      <c r="K433" s="8">
        <f>_xll.BDH(K$2,"PX_LAST",$A433-2)</f>
        <v>0.97699999999999998</v>
      </c>
      <c r="L433" s="8">
        <f t="shared" si="571"/>
        <v>0.91044896228739325</v>
      </c>
      <c r="M433" s="9">
        <f t="shared" si="572"/>
        <v>0.91044896228739325</v>
      </c>
    </row>
    <row r="434" spans="1:13">
      <c r="A434" s="7">
        <v>46022</v>
      </c>
      <c r="B434" s="8">
        <f>_xll.BDH(B$2,"PX_LAST",$A434-10,$A434-10)</f>
        <v>-2.8927999999999999E-2</v>
      </c>
      <c r="C434" s="8">
        <f t="shared" si="565"/>
        <v>-4.8386879342038412E-2</v>
      </c>
      <c r="D434" s="9">
        <f t="shared" si="566"/>
        <v>-0.24193439671019204</v>
      </c>
      <c r="E434" s="8">
        <f>_xll.BDH(E$2,"PX_LAST",$A434,$A434)</f>
        <v>-3.7</v>
      </c>
      <c r="F434" s="8">
        <f t="shared" si="567"/>
        <v>-3.5277962685586068</v>
      </c>
      <c r="G434" s="9">
        <f t="shared" si="568"/>
        <v>-0.32070875168714608</v>
      </c>
      <c r="H434" s="8">
        <f>_xll.BDH(H$2,"PX_LAST",$A434-11,$A434-11)</f>
        <v>-2.9600000000000001E-2</v>
      </c>
      <c r="I434" s="8">
        <f t="shared" si="569"/>
        <v>-0.32455166189341039</v>
      </c>
      <c r="J434" s="9">
        <f t="shared" si="570"/>
        <v>-0.12455166189341038</v>
      </c>
      <c r="K434" s="8">
        <f>_xll.BDH(K$2,"PX_LAST",$A434-1)</f>
        <v>0.96099999999999997</v>
      </c>
      <c r="L434" s="8">
        <f t="shared" si="571"/>
        <v>0.92485600803548618</v>
      </c>
      <c r="M434" s="9">
        <f t="shared" si="572"/>
        <v>0.92485600803548618</v>
      </c>
    </row>
    <row r="435" spans="1:13">
      <c r="A435" s="7">
        <v>46053</v>
      </c>
      <c r="B435" s="8">
        <f>_xll.BDH(B$2,"PX_LAST",$A435-10,$A435-10)</f>
        <v>-4.9800000000000001E-3</v>
      </c>
      <c r="C435" s="8">
        <f t="shared" si="565"/>
        <v>-3.6015918729557464E-2</v>
      </c>
      <c r="D435" s="9">
        <f t="shared" si="566"/>
        <v>-0.18007959364778731</v>
      </c>
      <c r="E435" s="8">
        <f>_xll.BDH(E$2,"PX_LAST",$A435,$A435)</f>
        <v>-3.6</v>
      </c>
      <c r="F435" s="8">
        <f t="shared" si="567"/>
        <v>-3.5483743320194039</v>
      </c>
      <c r="G435" s="9">
        <f t="shared" si="568"/>
        <v>-0.32257948472903669</v>
      </c>
      <c r="H435" s="8">
        <f>_xll.BDH(H$2,"PX_LAST",$A435-11,$A435-11)</f>
        <v>-0.12759999999999999</v>
      </c>
      <c r="I435" s="8">
        <f t="shared" si="569"/>
        <v>-0.26842043825378842</v>
      </c>
      <c r="J435" s="9">
        <f t="shared" si="570"/>
        <v>-6.8420438253788407E-2</v>
      </c>
      <c r="K435" s="8">
        <f>_xll.BDH(K$2,"PX_LAST",$A435-1)</f>
        <v>1.242</v>
      </c>
      <c r="L435" s="8">
        <f t="shared" si="571"/>
        <v>1.0152420457453726</v>
      </c>
      <c r="M435" s="9">
        <f t="shared" si="572"/>
        <v>1.0152420457453726</v>
      </c>
    </row>
    <row r="436" spans="1:13">
      <c r="A436" s="7">
        <v>46081</v>
      </c>
      <c r="B436" s="8">
        <f>_xll.BDH(B$2,"PX_LAST",$A436-10,$A436-10)</f>
        <v>5.7234E-2</v>
      </c>
      <c r="C436" s="8">
        <f t="shared" si="565"/>
        <v>-9.4396918916335865E-3</v>
      </c>
      <c r="D436" s="9">
        <f t="shared" si="566"/>
        <v>-4.7198459458167932E-2</v>
      </c>
      <c r="E436" s="8">
        <f>_xll.BDH(E$2,"PX_LAST",$A436,$A436)</f>
        <v>-3.1</v>
      </c>
      <c r="F436" s="8">
        <f t="shared" si="567"/>
        <v>-3.4205876473938739</v>
      </c>
      <c r="G436" s="9">
        <f t="shared" si="568"/>
        <v>-0.31096251339944309</v>
      </c>
      <c r="H436" s="8">
        <f>_xll.BDH(H$2,"PX_LAST",$A436-11,$A436-11)</f>
        <v>-2.1700000000000001E-2</v>
      </c>
      <c r="I436" s="8">
        <f t="shared" si="569"/>
        <v>-0.19810511335145872</v>
      </c>
      <c r="J436" s="9">
        <f t="shared" si="570"/>
        <v>1.8948866485412885E-3</v>
      </c>
      <c r="K436" s="8">
        <f>_xll.BDH(K$2,"PX_LAST",$A436-1)</f>
        <v>0.96499999999999997</v>
      </c>
      <c r="L436" s="8">
        <f t="shared" si="571"/>
        <v>1.0009230627079413</v>
      </c>
      <c r="M436" s="9">
        <f t="shared" si="572"/>
        <v>1.0009230627079413</v>
      </c>
    </row>
    <row r="437" spans="1:13">
      <c r="A437" s="7">
        <v>46112</v>
      </c>
      <c r="B437" s="8">
        <f>_xll.BDH(B$2,"PX_LAST",$A437-10,$A437-10)</f>
        <v>-0.20833299999999999</v>
      </c>
      <c r="C437" s="8">
        <f t="shared" si="565"/>
        <v>-6.6124284702518021E-2</v>
      </c>
      <c r="D437" s="9">
        <f t="shared" si="566"/>
        <v>-0.33062142351259011</v>
      </c>
      <c r="E437" s="8">
        <f>_xll.BDH(E$2,"PX_LAST",$A437,$A437)</f>
        <v>-3</v>
      </c>
      <c r="F437" s="8">
        <f t="shared" si="567"/>
        <v>-3.3007201678866198</v>
      </c>
      <c r="G437" s="9">
        <f t="shared" si="568"/>
        <v>-0.30006546980787452</v>
      </c>
      <c r="H437" s="8">
        <f>_xll.BDH(H$2,"PX_LAST",$A437-11,$A437-11)</f>
        <v>-0.27100000000000002</v>
      </c>
      <c r="I437" s="8">
        <f t="shared" si="569"/>
        <v>-0.21888015604629302</v>
      </c>
      <c r="J437" s="9">
        <f t="shared" si="570"/>
        <v>-1.8880156046293006E-2</v>
      </c>
      <c r="K437" s="8">
        <f>_xll.BDH(K$2,"PX_LAST",$A437-1)</f>
        <v>0.01</v>
      </c>
      <c r="L437" s="8">
        <f t="shared" si="571"/>
        <v>0.71850998983617798</v>
      </c>
      <c r="M437" s="9">
        <f t="shared" si="572"/>
        <v>0.71850998983617798</v>
      </c>
    </row>
    <row r="438" spans="1:13">
      <c r="A438" s="7">
        <v>46142</v>
      </c>
      <c r="B438" s="8">
        <f>_xll.BDH(B$2,"PX_LAST",$A438-10,$A438-10)</f>
        <v>-0.14369299999999999</v>
      </c>
      <c r="C438" s="8">
        <f t="shared" si="565"/>
        <v>-8.8231368562300377E-2</v>
      </c>
      <c r="D438" s="9">
        <f t="shared" si="566"/>
        <v>-0.44115684281150186</v>
      </c>
      <c r="E438" s="8">
        <f>_xll.BDH(E$2,"PX_LAST",$A438,$A438)</f>
        <v>-1.6</v>
      </c>
      <c r="F438" s="8">
        <f t="shared" si="567"/>
        <v>-2.8160149200389331</v>
      </c>
      <c r="G438" s="9">
        <f t="shared" si="568"/>
        <v>-0.25600135636717575</v>
      </c>
      <c r="H438" s="8">
        <f>_xll.BDH(H$2,"PX_LAST",$A438-11,$A438-11)</f>
        <v>-0.14410000000000001</v>
      </c>
      <c r="I438" s="8">
        <f t="shared" si="569"/>
        <v>-0.19756781157309952</v>
      </c>
      <c r="J438" s="9">
        <f t="shared" si="570"/>
        <v>2.432188426900489E-3</v>
      </c>
      <c r="K438" s="8">
        <f>_xll.BDH(K$2,"PX_LAST",$A438-1)</f>
        <v>0.90200000000000002</v>
      </c>
      <c r="L438" s="8">
        <f t="shared" si="571"/>
        <v>0.7708046427328672</v>
      </c>
      <c r="M438" s="9">
        <f t="shared" si="572"/>
        <v>0.7708046427328672</v>
      </c>
    </row>
    <row r="439" spans="1:13">
      <c r="A439" s="7">
        <v>46173</v>
      </c>
      <c r="B439" s="8">
        <f>_xll.BDH(B$2,"PX_LAST",$A439-10,$A439-10)</f>
        <v>-9.8891999999999994E-2</v>
      </c>
      <c r="C439" s="8">
        <f t="shared" si="565"/>
        <v>-9.1269648522044777E-2</v>
      </c>
      <c r="D439" s="9">
        <f t="shared" si="566"/>
        <v>-0.45634824261022389</v>
      </c>
      <c r="E439" s="8">
        <f>_xll.BDH(E$2,"PX_LAST",$A439,$A439)</f>
        <v>-1.5</v>
      </c>
      <c r="F439" s="8">
        <f t="shared" si="567"/>
        <v>-2.4409506678278374</v>
      </c>
      <c r="G439" s="9">
        <f t="shared" si="568"/>
        <v>-0.22190460616616703</v>
      </c>
      <c r="H439" s="8">
        <f>_xll.BDH(H$2,"PX_LAST",$A439-11,$A439-11)</f>
        <v>-3.5799999999999998E-2</v>
      </c>
      <c r="I439" s="8">
        <f t="shared" si="569"/>
        <v>-0.15146398527476615</v>
      </c>
      <c r="J439" s="9">
        <f t="shared" si="570"/>
        <v>4.8536014725233861E-2</v>
      </c>
      <c r="K439" s="8">
        <f>_xll.BDH(K$2,"PX_LAST",$A439-2)</f>
        <v>1.1439999999999999</v>
      </c>
      <c r="L439" s="8">
        <f>L438*$V$1+(1-$V$1)*K439</f>
        <v>0.87716531955400001</v>
      </c>
      <c r="M439" s="9">
        <f t="shared" si="572"/>
        <v>0.87716531955400001</v>
      </c>
    </row>
    <row r="440" spans="1:13">
      <c r="A440" s="7"/>
      <c r="B440" s="8"/>
      <c r="C440" s="8"/>
      <c r="D440" s="9"/>
      <c r="E440" s="8"/>
      <c r="F440" s="8"/>
      <c r="G440" s="9"/>
      <c r="H440" s="8"/>
      <c r="I440" s="8"/>
      <c r="J440" s="9"/>
      <c r="K440" s="8"/>
      <c r="L440" s="8"/>
      <c r="M440" s="9"/>
    </row>
    <row r="441" spans="1:13">
      <c r="A441" s="7"/>
      <c r="B441" s="8"/>
      <c r="C441" s="8"/>
      <c r="D441" s="9"/>
      <c r="E441" s="8"/>
      <c r="F441" s="8"/>
      <c r="G441" s="9"/>
      <c r="H441" s="8"/>
      <c r="I441" s="8"/>
      <c r="J441" s="9"/>
      <c r="K441" s="8"/>
      <c r="L441" s="8"/>
      <c r="M441" s="9"/>
    </row>
    <row r="442" spans="1:13">
      <c r="A442" s="7"/>
      <c r="B442" s="8"/>
      <c r="C442" s="8"/>
      <c r="D442" s="9"/>
      <c r="E442" s="8"/>
      <c r="F442" s="8"/>
      <c r="G442" s="9"/>
      <c r="H442" s="8"/>
      <c r="I442" s="8"/>
      <c r="J442" s="9"/>
      <c r="K442" s="8"/>
      <c r="L442" s="8"/>
      <c r="M442" s="9"/>
    </row>
    <row r="443" spans="1:13">
      <c r="A443" s="7"/>
    </row>
  </sheetData>
  <mergeCells count="11">
    <mergeCell ref="BL1:BN1"/>
    <mergeCell ref="AO4:AQ4"/>
    <mergeCell ref="O1:P1"/>
    <mergeCell ref="B2:D2"/>
    <mergeCell ref="E2:G2"/>
    <mergeCell ref="H2:J2"/>
    <mergeCell ref="K2:M2"/>
    <mergeCell ref="B1:D1"/>
    <mergeCell ref="E1:G1"/>
    <mergeCell ref="H1:J1"/>
    <mergeCell ref="K1:M1"/>
  </mergeCells>
  <conditionalFormatting sqref="Z2:AF2">
    <cfRule type="containsText" dxfId="3" priority="1" operator="containsText" text="SD">
      <formula>NOT(ISERROR(SEARCH("SD",Z2)))</formula>
    </cfRule>
    <cfRule type="containsText" dxfId="2" priority="2" operator="containsText" text="E">
      <formula>NOT(ISERROR(SEARCH("E",Z2)))</formula>
    </cfRule>
    <cfRule type="containsText" dxfId="1" priority="3" operator="containsText" text="R">
      <formula>NOT(ISERROR(SEARCH("R",Z2)))</formula>
    </cfRule>
    <cfRule type="containsText" dxfId="0" priority="4" operator="containsText" text="C">
      <formula>NOT(ISERROR(SEARCH("C",Z2)))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D2BD6-31EC-4155-AC2D-6F9B1695E6D2}">
  <sheetPr codeName="Feuil3"/>
  <dimension ref="A1:K8831"/>
  <sheetViews>
    <sheetView workbookViewId="0">
      <selection activeCell="J409" sqref="J409"/>
    </sheetView>
  </sheetViews>
  <sheetFormatPr defaultColWidth="10.90625" defaultRowHeight="14.5"/>
  <cols>
    <col min="3" max="3" width="13.6328125" bestFit="1" customWidth="1"/>
    <col min="8" max="8" width="12.54296875" bestFit="1" customWidth="1"/>
  </cols>
  <sheetData>
    <row r="1" spans="1:11">
      <c r="A1" s="17">
        <v>32932</v>
      </c>
      <c r="C1" t="s">
        <v>45</v>
      </c>
      <c r="H1" t="s">
        <v>31</v>
      </c>
      <c r="K1">
        <v>0.71499999999999997</v>
      </c>
    </row>
    <row r="2" spans="1:11">
      <c r="A2" s="17">
        <f ca="1">TODAY()</f>
        <v>46199</v>
      </c>
      <c r="B2" s="17">
        <f ca="1">_xll.BDH(C1,"px_last",$A$1,$A$2,"per=cm","cols=2;rows=436")</f>
        <v>32932</v>
      </c>
      <c r="C2">
        <v>101.93</v>
      </c>
      <c r="D2">
        <f>C2*(-1)+100</f>
        <v>-1.9300000000000068</v>
      </c>
      <c r="E2">
        <f>D2/2</f>
        <v>-0.96500000000000341</v>
      </c>
      <c r="F2" s="18">
        <f>E2</f>
        <v>-0.96500000000000341</v>
      </c>
      <c r="H2" s="53">
        <f ca="1">_xll.BDH(H1,"px_last",$A$1,$A$2,"per=cm","cols=2;rows=436")</f>
        <v>32932</v>
      </c>
      <c r="I2">
        <v>-7.3999999999999996E-2</v>
      </c>
      <c r="J2">
        <v>-0.96500000000000341</v>
      </c>
    </row>
    <row r="3" spans="1:11">
      <c r="B3" s="17">
        <v>32962</v>
      </c>
      <c r="C3">
        <v>101.75</v>
      </c>
      <c r="D3">
        <f t="shared" ref="D3:D66" si="0">C3*(-1)+100</f>
        <v>-1.75</v>
      </c>
      <c r="E3">
        <f t="shared" ref="E3:E66" si="1">D3/2</f>
        <v>-0.875</v>
      </c>
      <c r="F3" s="18">
        <f t="shared" ref="F3:F66" si="2">$K$1*F2+(1-$K$1)*E3</f>
        <v>-0.93935000000000246</v>
      </c>
      <c r="H3" s="53">
        <v>32962</v>
      </c>
      <c r="I3">
        <v>-0.13900000000000001</v>
      </c>
      <c r="J3">
        <v>-0.875</v>
      </c>
    </row>
    <row r="4" spans="1:11">
      <c r="B4" s="17">
        <v>32993</v>
      </c>
      <c r="C4">
        <v>102.1</v>
      </c>
      <c r="D4">
        <f t="shared" si="0"/>
        <v>-2.0999999999999943</v>
      </c>
      <c r="E4">
        <f t="shared" si="1"/>
        <v>-1.0499999999999972</v>
      </c>
      <c r="F4" s="18">
        <f t="shared" si="2"/>
        <v>-0.97088525000000092</v>
      </c>
      <c r="H4" s="53">
        <v>32993</v>
      </c>
      <c r="I4">
        <v>-0.42899999999999999</v>
      </c>
      <c r="J4">
        <v>-1.0499999999999972</v>
      </c>
    </row>
    <row r="5" spans="1:11">
      <c r="B5" s="17">
        <v>33024</v>
      </c>
      <c r="C5">
        <v>101.51</v>
      </c>
      <c r="D5">
        <f t="shared" si="0"/>
        <v>-1.5100000000000051</v>
      </c>
      <c r="E5">
        <f t="shared" si="1"/>
        <v>-0.75500000000000256</v>
      </c>
      <c r="F5" s="18">
        <f t="shared" si="2"/>
        <v>-0.90935795375000139</v>
      </c>
      <c r="H5" s="53">
        <v>33024</v>
      </c>
      <c r="I5">
        <v>0.373</v>
      </c>
      <c r="J5">
        <v>-0.75500000000000256</v>
      </c>
    </row>
    <row r="6" spans="1:11">
      <c r="B6" s="17">
        <v>33053</v>
      </c>
      <c r="C6">
        <v>101.39</v>
      </c>
      <c r="D6">
        <f t="shared" si="0"/>
        <v>-1.3900000000000006</v>
      </c>
      <c r="E6">
        <f t="shared" si="1"/>
        <v>-0.69500000000000028</v>
      </c>
      <c r="F6" s="18">
        <f t="shared" si="2"/>
        <v>-0.84826593693125107</v>
      </c>
      <c r="H6" s="53">
        <v>33053</v>
      </c>
      <c r="I6">
        <v>0.42599999999999999</v>
      </c>
      <c r="J6">
        <v>-0.70000000000000284</v>
      </c>
    </row>
    <row r="7" spans="1:11">
      <c r="B7" s="17">
        <v>33085</v>
      </c>
      <c r="C7">
        <v>101.25</v>
      </c>
      <c r="D7">
        <f t="shared" si="0"/>
        <v>-1.25</v>
      </c>
      <c r="E7">
        <f t="shared" si="1"/>
        <v>-0.625</v>
      </c>
      <c r="F7" s="18">
        <f t="shared" si="2"/>
        <v>-0.78463514490584463</v>
      </c>
      <c r="H7" s="53">
        <v>33085</v>
      </c>
      <c r="I7">
        <v>0.26800000000000002</v>
      </c>
      <c r="J7">
        <v>-0.625</v>
      </c>
    </row>
    <row r="8" spans="1:11">
      <c r="B8" s="17">
        <v>33116</v>
      </c>
      <c r="C8">
        <v>101.78</v>
      </c>
      <c r="D8">
        <f t="shared" si="0"/>
        <v>-1.7800000000000011</v>
      </c>
      <c r="E8">
        <f t="shared" si="1"/>
        <v>-0.89000000000000057</v>
      </c>
      <c r="F8" s="18">
        <f t="shared" si="2"/>
        <v>-0.81466412860767901</v>
      </c>
      <c r="H8" s="53">
        <v>33116</v>
      </c>
      <c r="I8">
        <v>-0.92300000000000004</v>
      </c>
      <c r="J8">
        <v>-0.89000000000000057</v>
      </c>
    </row>
    <row r="9" spans="1:11">
      <c r="B9" s="17">
        <v>33144</v>
      </c>
      <c r="C9">
        <v>102.04</v>
      </c>
      <c r="D9">
        <f t="shared" si="0"/>
        <v>-2.0400000000000063</v>
      </c>
      <c r="E9">
        <f t="shared" si="1"/>
        <v>-1.0200000000000031</v>
      </c>
      <c r="F9" s="18">
        <f t="shared" si="2"/>
        <v>-0.87318485195449136</v>
      </c>
      <c r="H9" s="53">
        <v>33144</v>
      </c>
      <c r="I9">
        <v>-1.9239999999999999</v>
      </c>
      <c r="J9">
        <v>-1.0200000000000031</v>
      </c>
    </row>
    <row r="10" spans="1:11">
      <c r="B10" s="17">
        <v>33177</v>
      </c>
      <c r="C10">
        <v>102.03</v>
      </c>
      <c r="D10">
        <f t="shared" si="0"/>
        <v>-2.0300000000000011</v>
      </c>
      <c r="E10">
        <f t="shared" si="1"/>
        <v>-1.0150000000000006</v>
      </c>
      <c r="F10" s="18">
        <f t="shared" si="2"/>
        <v>-0.91360216914746151</v>
      </c>
      <c r="H10" s="53">
        <v>33177</v>
      </c>
      <c r="I10">
        <v>-1.909</v>
      </c>
      <c r="J10">
        <v>-1.0150000000000006</v>
      </c>
    </row>
    <row r="11" spans="1:11">
      <c r="B11" s="17">
        <v>33207</v>
      </c>
      <c r="C11">
        <v>101.76</v>
      </c>
      <c r="D11">
        <f t="shared" si="0"/>
        <v>-1.7600000000000051</v>
      </c>
      <c r="E11">
        <f t="shared" si="1"/>
        <v>-0.88000000000000256</v>
      </c>
      <c r="F11" s="18">
        <f t="shared" si="2"/>
        <v>-0.9040255509404358</v>
      </c>
      <c r="H11" s="53">
        <v>33207</v>
      </c>
      <c r="I11">
        <v>-2.1800000000000002</v>
      </c>
      <c r="J11">
        <v>-0.88000000000000256</v>
      </c>
    </row>
    <row r="12" spans="1:11">
      <c r="B12" s="17">
        <v>33238</v>
      </c>
      <c r="C12">
        <v>101.69</v>
      </c>
      <c r="D12">
        <f t="shared" si="0"/>
        <v>-1.6899999999999977</v>
      </c>
      <c r="E12">
        <f t="shared" si="1"/>
        <v>-0.84499999999999886</v>
      </c>
      <c r="F12" s="18">
        <f t="shared" si="2"/>
        <v>-0.8872032689224113</v>
      </c>
      <c r="H12" s="53">
        <v>33238</v>
      </c>
      <c r="I12">
        <v>-2.3319999999999999</v>
      </c>
      <c r="J12">
        <v>-0.84499999999999886</v>
      </c>
    </row>
    <row r="13" spans="1:11">
      <c r="B13" s="17">
        <v>33269</v>
      </c>
      <c r="C13">
        <v>101.31</v>
      </c>
      <c r="D13">
        <f t="shared" si="0"/>
        <v>-1.3100000000000023</v>
      </c>
      <c r="E13">
        <f t="shared" si="1"/>
        <v>-0.65500000000000114</v>
      </c>
      <c r="F13" s="18">
        <f t="shared" si="2"/>
        <v>-0.82102533727952443</v>
      </c>
      <c r="H13" s="53">
        <v>33269</v>
      </c>
      <c r="I13">
        <v>-1.4430000000000001</v>
      </c>
      <c r="J13">
        <v>-0.65500000000000114</v>
      </c>
    </row>
    <row r="14" spans="1:11">
      <c r="B14" s="17">
        <v>33297</v>
      </c>
      <c r="C14">
        <v>101.04</v>
      </c>
      <c r="D14">
        <f t="shared" si="0"/>
        <v>-1.0400000000000063</v>
      </c>
      <c r="E14">
        <f t="shared" si="1"/>
        <v>-0.52000000000000313</v>
      </c>
      <c r="F14" s="18">
        <f t="shared" si="2"/>
        <v>-0.73523311615486087</v>
      </c>
      <c r="H14" s="53">
        <v>33297</v>
      </c>
      <c r="I14">
        <v>-0.66</v>
      </c>
      <c r="J14">
        <v>-0.52000000000000313</v>
      </c>
    </row>
    <row r="15" spans="1:11">
      <c r="B15" s="17">
        <v>33326</v>
      </c>
      <c r="C15">
        <v>101.27</v>
      </c>
      <c r="D15">
        <f t="shared" si="0"/>
        <v>-1.269999999999996</v>
      </c>
      <c r="E15">
        <f t="shared" si="1"/>
        <v>-0.63499999999999801</v>
      </c>
      <c r="F15" s="18">
        <f t="shared" si="2"/>
        <v>-0.70666667805072492</v>
      </c>
      <c r="H15" s="53">
        <v>33326</v>
      </c>
      <c r="I15">
        <v>0.16400000000000001</v>
      </c>
      <c r="J15">
        <v>-0.63499999999999801</v>
      </c>
    </row>
    <row r="16" spans="1:11">
      <c r="B16" s="17">
        <v>33358</v>
      </c>
      <c r="C16">
        <v>101.21</v>
      </c>
      <c r="D16">
        <f t="shared" si="0"/>
        <v>-1.2099999999999937</v>
      </c>
      <c r="E16">
        <f t="shared" si="1"/>
        <v>-0.60499999999999687</v>
      </c>
      <c r="F16" s="18">
        <f t="shared" si="2"/>
        <v>-0.67769167480626746</v>
      </c>
      <c r="H16" s="53">
        <v>33358</v>
      </c>
      <c r="I16">
        <v>0.32</v>
      </c>
      <c r="J16">
        <v>-0.60499999999999687</v>
      </c>
    </row>
    <row r="17" spans="2:10">
      <c r="B17" s="17">
        <v>33389</v>
      </c>
      <c r="C17">
        <v>101.04</v>
      </c>
      <c r="D17">
        <f t="shared" si="0"/>
        <v>-1.0400000000000063</v>
      </c>
      <c r="E17">
        <f t="shared" si="1"/>
        <v>-0.52000000000000313</v>
      </c>
      <c r="F17" s="18">
        <f t="shared" si="2"/>
        <v>-0.63274954748648216</v>
      </c>
      <c r="H17" s="53">
        <v>33389</v>
      </c>
      <c r="I17">
        <v>0.60199999999999998</v>
      </c>
      <c r="J17">
        <v>-0.52499999999999858</v>
      </c>
    </row>
    <row r="18" spans="2:10">
      <c r="B18" s="17">
        <v>33417</v>
      </c>
      <c r="C18">
        <v>101.47</v>
      </c>
      <c r="D18">
        <f t="shared" si="0"/>
        <v>-1.4699999999999989</v>
      </c>
      <c r="E18">
        <f t="shared" si="1"/>
        <v>-0.73499999999999943</v>
      </c>
      <c r="F18" s="18">
        <f t="shared" si="2"/>
        <v>-0.66189092645283454</v>
      </c>
      <c r="H18" s="53">
        <v>33417</v>
      </c>
      <c r="I18">
        <v>6.7000000000000004E-2</v>
      </c>
      <c r="J18">
        <v>-0.73499999999999943</v>
      </c>
    </row>
    <row r="19" spans="2:10">
      <c r="B19" s="17">
        <v>33450</v>
      </c>
      <c r="C19">
        <v>101.12</v>
      </c>
      <c r="D19">
        <f t="shared" si="0"/>
        <v>-1.1200000000000045</v>
      </c>
      <c r="E19">
        <f t="shared" si="1"/>
        <v>-0.56000000000000227</v>
      </c>
      <c r="F19" s="18">
        <f t="shared" si="2"/>
        <v>-0.63285201241377731</v>
      </c>
      <c r="H19" s="53">
        <v>33450</v>
      </c>
      <c r="I19">
        <v>0.80500000000000005</v>
      </c>
      <c r="J19">
        <v>-0.56000000000000227</v>
      </c>
    </row>
    <row r="20" spans="2:10">
      <c r="B20" s="17">
        <v>33480</v>
      </c>
      <c r="C20">
        <v>100.97</v>
      </c>
      <c r="D20">
        <f t="shared" si="0"/>
        <v>-0.96999999999999886</v>
      </c>
      <c r="E20">
        <f t="shared" si="1"/>
        <v>-0.48499999999999943</v>
      </c>
      <c r="F20" s="18">
        <f t="shared" si="2"/>
        <v>-0.59071418887585059</v>
      </c>
      <c r="H20" s="53">
        <v>33480</v>
      </c>
      <c r="I20">
        <v>1.1060000000000001</v>
      </c>
      <c r="J20">
        <v>-0.48499999999999943</v>
      </c>
    </row>
    <row r="21" spans="2:10">
      <c r="B21" s="17">
        <v>33511</v>
      </c>
      <c r="C21">
        <v>100.83</v>
      </c>
      <c r="D21">
        <f t="shared" si="0"/>
        <v>-0.82999999999999829</v>
      </c>
      <c r="E21">
        <f t="shared" si="1"/>
        <v>-0.41499999999999915</v>
      </c>
      <c r="F21" s="18">
        <f t="shared" si="2"/>
        <v>-0.54063564504623296</v>
      </c>
      <c r="H21" s="53">
        <v>33511</v>
      </c>
      <c r="I21">
        <v>0.59899999999999998</v>
      </c>
      <c r="J21">
        <v>-0.41499999999999915</v>
      </c>
    </row>
    <row r="22" spans="2:10">
      <c r="B22" s="17">
        <v>33542</v>
      </c>
      <c r="C22">
        <v>100.82</v>
      </c>
      <c r="D22">
        <f t="shared" si="0"/>
        <v>-0.81999999999999318</v>
      </c>
      <c r="E22">
        <f t="shared" si="1"/>
        <v>-0.40999999999999659</v>
      </c>
      <c r="F22" s="18">
        <f t="shared" si="2"/>
        <v>-0.50340448620805556</v>
      </c>
      <c r="H22" s="53">
        <v>33542</v>
      </c>
      <c r="I22">
        <v>0.72899999999999998</v>
      </c>
      <c r="J22">
        <v>-0.40999999999999659</v>
      </c>
    </row>
    <row r="23" spans="2:10">
      <c r="B23" s="17">
        <v>33571</v>
      </c>
      <c r="C23">
        <v>100.95</v>
      </c>
      <c r="D23">
        <f t="shared" si="0"/>
        <v>-0.95000000000000284</v>
      </c>
      <c r="E23">
        <f t="shared" si="1"/>
        <v>-0.47500000000000142</v>
      </c>
      <c r="F23" s="18">
        <f t="shared" si="2"/>
        <v>-0.49530920763876013</v>
      </c>
      <c r="H23" s="53">
        <v>33571</v>
      </c>
      <c r="I23">
        <v>0.13200000000000001</v>
      </c>
      <c r="J23">
        <v>-0.47500000000000142</v>
      </c>
    </row>
    <row r="24" spans="2:10">
      <c r="B24" s="17">
        <v>33603</v>
      </c>
      <c r="C24">
        <v>100.08</v>
      </c>
      <c r="D24">
        <f t="shared" si="0"/>
        <v>-7.9999999999998295E-2</v>
      </c>
      <c r="E24">
        <f t="shared" si="1"/>
        <v>-3.9999999999999147E-2</v>
      </c>
      <c r="F24" s="18">
        <f t="shared" si="2"/>
        <v>-0.36554608346171324</v>
      </c>
      <c r="H24" s="53">
        <v>33603</v>
      </c>
      <c r="I24">
        <v>0.27300000000000002</v>
      </c>
      <c r="J24">
        <v>-3.9999999999999147E-2</v>
      </c>
    </row>
    <row r="25" spans="2:10">
      <c r="B25" s="17">
        <v>33634</v>
      </c>
      <c r="C25">
        <v>100.46</v>
      </c>
      <c r="D25">
        <f t="shared" si="0"/>
        <v>-0.45999999999999375</v>
      </c>
      <c r="E25">
        <f t="shared" si="1"/>
        <v>-0.22999999999999687</v>
      </c>
      <c r="F25" s="18">
        <f t="shared" si="2"/>
        <v>-0.32691544967512409</v>
      </c>
      <c r="H25" s="53">
        <v>33634</v>
      </c>
      <c r="I25">
        <v>0.85699999999999998</v>
      </c>
      <c r="J25">
        <v>-0.22999999999999687</v>
      </c>
    </row>
    <row r="26" spans="2:10">
      <c r="B26" s="17">
        <v>33662</v>
      </c>
      <c r="C26">
        <v>100.47</v>
      </c>
      <c r="D26">
        <f t="shared" si="0"/>
        <v>-0.46999999999999886</v>
      </c>
      <c r="E26">
        <f t="shared" si="1"/>
        <v>-0.23499999999999943</v>
      </c>
      <c r="F26" s="18">
        <f t="shared" si="2"/>
        <v>-0.30071954651771354</v>
      </c>
      <c r="H26" s="53">
        <v>33662</v>
      </c>
      <c r="I26">
        <v>1.04</v>
      </c>
      <c r="J26">
        <v>-0.23499999999999943</v>
      </c>
    </row>
    <row r="27" spans="2:10">
      <c r="B27" s="17">
        <v>33694</v>
      </c>
      <c r="C27">
        <v>100.66</v>
      </c>
      <c r="D27">
        <f t="shared" si="0"/>
        <v>-0.65999999999999659</v>
      </c>
      <c r="E27">
        <f t="shared" si="1"/>
        <v>-0.32999999999999829</v>
      </c>
      <c r="F27" s="18">
        <f t="shared" si="2"/>
        <v>-0.30906447576016471</v>
      </c>
      <c r="H27" s="53">
        <v>33694</v>
      </c>
      <c r="I27">
        <v>1.1299999999999999</v>
      </c>
      <c r="J27">
        <v>-0.32999999999999829</v>
      </c>
    </row>
    <row r="28" spans="2:10">
      <c r="B28" s="17">
        <v>33724</v>
      </c>
      <c r="C28">
        <v>100.44</v>
      </c>
      <c r="D28">
        <f t="shared" si="0"/>
        <v>-0.43999999999999773</v>
      </c>
      <c r="E28">
        <f t="shared" si="1"/>
        <v>-0.21999999999999886</v>
      </c>
      <c r="F28" s="18">
        <f t="shared" si="2"/>
        <v>-0.28368110016851744</v>
      </c>
      <c r="H28" s="53">
        <v>33724</v>
      </c>
      <c r="I28">
        <v>1.03</v>
      </c>
      <c r="J28">
        <v>-0.21999999999999886</v>
      </c>
    </row>
    <row r="29" spans="2:10">
      <c r="B29" s="17">
        <v>33753</v>
      </c>
      <c r="C29">
        <v>100.39</v>
      </c>
      <c r="D29">
        <f t="shared" si="0"/>
        <v>-0.39000000000000057</v>
      </c>
      <c r="E29">
        <f t="shared" si="1"/>
        <v>-0.19500000000000028</v>
      </c>
      <c r="F29" s="18">
        <f t="shared" si="2"/>
        <v>-0.25840698662049005</v>
      </c>
      <c r="H29" s="53">
        <v>33753</v>
      </c>
      <c r="I29">
        <v>1.163</v>
      </c>
      <c r="J29">
        <v>-0.19500000000000028</v>
      </c>
    </row>
    <row r="30" spans="2:10">
      <c r="B30" s="17">
        <v>33785</v>
      </c>
      <c r="C30">
        <v>100.38</v>
      </c>
      <c r="D30">
        <f t="shared" si="0"/>
        <v>-0.37999999999999545</v>
      </c>
      <c r="E30">
        <f t="shared" si="1"/>
        <v>-0.18999999999999773</v>
      </c>
      <c r="F30" s="18">
        <f t="shared" si="2"/>
        <v>-0.23891099543364974</v>
      </c>
      <c r="H30" s="53">
        <v>33785</v>
      </c>
      <c r="I30">
        <v>1.236</v>
      </c>
      <c r="J30">
        <v>-0.18999999999999773</v>
      </c>
    </row>
    <row r="31" spans="2:10">
      <c r="B31" s="17">
        <v>33816</v>
      </c>
      <c r="C31">
        <v>99.98</v>
      </c>
      <c r="D31">
        <f t="shared" si="0"/>
        <v>1.9999999999996021E-2</v>
      </c>
      <c r="E31">
        <f t="shared" si="1"/>
        <v>9.9999999999980105E-3</v>
      </c>
      <c r="F31" s="18">
        <f t="shared" si="2"/>
        <v>-0.16797136173506011</v>
      </c>
      <c r="H31" s="53">
        <v>33816</v>
      </c>
      <c r="I31">
        <v>1.4530000000000001</v>
      </c>
      <c r="J31">
        <v>9.9999999999980105E-3</v>
      </c>
    </row>
    <row r="32" spans="2:10">
      <c r="B32" s="17">
        <v>33847</v>
      </c>
      <c r="C32">
        <v>100.08</v>
      </c>
      <c r="D32">
        <f t="shared" si="0"/>
        <v>-7.9999999999998295E-2</v>
      </c>
      <c r="E32">
        <f t="shared" si="1"/>
        <v>-3.9999999999999147E-2</v>
      </c>
      <c r="F32" s="18">
        <f t="shared" si="2"/>
        <v>-0.13149952364056772</v>
      </c>
      <c r="H32" s="53">
        <v>33847</v>
      </c>
      <c r="I32">
        <v>1.351</v>
      </c>
      <c r="J32">
        <v>-3.9999999999999147E-2</v>
      </c>
    </row>
    <row r="33" spans="2:10">
      <c r="B33" s="17">
        <v>33877</v>
      </c>
      <c r="C33">
        <v>100.27</v>
      </c>
      <c r="D33">
        <f t="shared" si="0"/>
        <v>-0.26999999999999602</v>
      </c>
      <c r="E33">
        <f t="shared" si="1"/>
        <v>-0.13499999999999801</v>
      </c>
      <c r="F33" s="18">
        <f t="shared" si="2"/>
        <v>-0.13249715940300535</v>
      </c>
      <c r="H33" s="53">
        <v>33877</v>
      </c>
      <c r="I33">
        <v>0.92900000000000005</v>
      </c>
      <c r="J33">
        <v>-0.13499999999999801</v>
      </c>
    </row>
    <row r="34" spans="2:10">
      <c r="B34" s="17">
        <v>33907</v>
      </c>
      <c r="C34">
        <v>100.56</v>
      </c>
      <c r="D34">
        <f t="shared" si="0"/>
        <v>-0.56000000000000227</v>
      </c>
      <c r="E34">
        <f t="shared" si="1"/>
        <v>-0.28000000000000114</v>
      </c>
      <c r="F34" s="18">
        <f t="shared" si="2"/>
        <v>-0.17453546897314914</v>
      </c>
      <c r="H34" s="53">
        <v>33907</v>
      </c>
      <c r="I34">
        <v>0.38</v>
      </c>
      <c r="J34">
        <v>-0.28000000000000114</v>
      </c>
    </row>
    <row r="35" spans="2:10">
      <c r="B35" s="17">
        <v>33938</v>
      </c>
      <c r="C35">
        <v>100.54</v>
      </c>
      <c r="D35">
        <f t="shared" si="0"/>
        <v>-0.54000000000000625</v>
      </c>
      <c r="E35">
        <f t="shared" si="1"/>
        <v>-0.27000000000000313</v>
      </c>
      <c r="F35" s="18">
        <f t="shared" si="2"/>
        <v>-0.20174286031580252</v>
      </c>
      <c r="H35" s="53">
        <v>33938</v>
      </c>
      <c r="I35">
        <v>0.502</v>
      </c>
      <c r="J35">
        <v>-0.27000000000000313</v>
      </c>
    </row>
    <row r="36" spans="2:10">
      <c r="B36" s="17">
        <v>33969</v>
      </c>
      <c r="C36">
        <v>100.48</v>
      </c>
      <c r="D36">
        <f t="shared" si="0"/>
        <v>-0.48000000000000398</v>
      </c>
      <c r="E36">
        <f t="shared" si="1"/>
        <v>-0.24000000000000199</v>
      </c>
      <c r="F36" s="18">
        <f t="shared" si="2"/>
        <v>-0.21264614512579938</v>
      </c>
      <c r="H36" s="53">
        <v>33969</v>
      </c>
      <c r="I36">
        <v>1.1419999999999999</v>
      </c>
      <c r="J36">
        <v>-0.24000000000000199</v>
      </c>
    </row>
    <row r="37" spans="2:10">
      <c r="B37" s="17">
        <v>33998</v>
      </c>
      <c r="C37">
        <v>100.33</v>
      </c>
      <c r="D37">
        <f t="shared" si="0"/>
        <v>-0.32999999999999829</v>
      </c>
      <c r="E37">
        <f t="shared" si="1"/>
        <v>-0.16499999999999915</v>
      </c>
      <c r="F37" s="18">
        <f t="shared" si="2"/>
        <v>-0.1990669937649463</v>
      </c>
      <c r="H37" s="53">
        <v>33998</v>
      </c>
      <c r="I37">
        <v>1.091</v>
      </c>
      <c r="J37">
        <v>-0.17000000000000171</v>
      </c>
    </row>
    <row r="38" spans="2:10">
      <c r="B38" s="17">
        <v>34026</v>
      </c>
      <c r="C38">
        <v>100.17</v>
      </c>
      <c r="D38">
        <f t="shared" si="0"/>
        <v>-0.17000000000000171</v>
      </c>
      <c r="E38">
        <f t="shared" si="1"/>
        <v>-8.5000000000000853E-2</v>
      </c>
      <c r="F38" s="18">
        <f t="shared" si="2"/>
        <v>-0.16655790054193684</v>
      </c>
      <c r="H38" s="53">
        <v>34026</v>
      </c>
      <c r="I38">
        <v>1.298</v>
      </c>
      <c r="J38">
        <v>-8.5000000000000853E-2</v>
      </c>
    </row>
    <row r="39" spans="2:10">
      <c r="B39" s="17">
        <v>34059</v>
      </c>
      <c r="C39">
        <v>100.02</v>
      </c>
      <c r="D39">
        <f t="shared" si="0"/>
        <v>-1.9999999999996021E-2</v>
      </c>
      <c r="E39">
        <f t="shared" si="1"/>
        <v>-9.9999999999980105E-3</v>
      </c>
      <c r="F39" s="18">
        <f t="shared" si="2"/>
        <v>-0.12193889888748427</v>
      </c>
      <c r="H39" s="53">
        <v>34059</v>
      </c>
      <c r="I39">
        <v>1.1299999999999999</v>
      </c>
      <c r="J39">
        <v>-9.9999999999980105E-3</v>
      </c>
    </row>
    <row r="40" spans="2:10">
      <c r="B40" s="17">
        <v>34089</v>
      </c>
      <c r="C40">
        <v>100.09</v>
      </c>
      <c r="D40">
        <f t="shared" si="0"/>
        <v>-9.0000000000003411E-2</v>
      </c>
      <c r="E40">
        <f t="shared" si="1"/>
        <v>-4.5000000000001705E-2</v>
      </c>
      <c r="F40" s="18">
        <f t="shared" si="2"/>
        <v>-0.10001131270455174</v>
      </c>
      <c r="H40" s="53">
        <v>34089</v>
      </c>
      <c r="I40">
        <v>1.31</v>
      </c>
      <c r="J40">
        <v>-4.5000000000001705E-2</v>
      </c>
    </row>
    <row r="41" spans="2:10">
      <c r="B41" s="17">
        <v>34120</v>
      </c>
      <c r="C41">
        <v>99.9</v>
      </c>
      <c r="D41">
        <f t="shared" si="0"/>
        <v>9.9999999999994316E-2</v>
      </c>
      <c r="E41">
        <f t="shared" si="1"/>
        <v>4.9999999999997158E-2</v>
      </c>
      <c r="F41" s="18">
        <f t="shared" si="2"/>
        <v>-5.7258088583755293E-2</v>
      </c>
      <c r="H41" s="53">
        <v>34120</v>
      </c>
      <c r="I41">
        <v>1.2330000000000001</v>
      </c>
      <c r="J41">
        <v>4.9999999999997158E-2</v>
      </c>
    </row>
    <row r="42" spans="2:10">
      <c r="B42" s="17">
        <v>34150</v>
      </c>
      <c r="C42">
        <v>99.85</v>
      </c>
      <c r="D42">
        <f t="shared" si="0"/>
        <v>0.15000000000000568</v>
      </c>
      <c r="E42">
        <f t="shared" si="1"/>
        <v>7.5000000000002842E-2</v>
      </c>
      <c r="F42" s="18">
        <f t="shared" si="2"/>
        <v>-1.9564533337384216E-2</v>
      </c>
      <c r="H42" s="53">
        <v>34150</v>
      </c>
      <c r="I42">
        <v>1.204</v>
      </c>
      <c r="J42">
        <v>7.5000000000002842E-2</v>
      </c>
    </row>
    <row r="43" spans="2:10">
      <c r="B43" s="17">
        <v>34180</v>
      </c>
      <c r="C43">
        <v>99.97</v>
      </c>
      <c r="D43">
        <f t="shared" si="0"/>
        <v>3.0000000000001137E-2</v>
      </c>
      <c r="E43">
        <f t="shared" si="1"/>
        <v>1.5000000000000568E-2</v>
      </c>
      <c r="F43" s="18">
        <f t="shared" si="2"/>
        <v>-9.7136413362295514E-3</v>
      </c>
      <c r="H43" s="53">
        <v>34180</v>
      </c>
      <c r="I43">
        <v>1.246</v>
      </c>
      <c r="J43">
        <v>1.5000000000000568E-2</v>
      </c>
    </row>
    <row r="44" spans="2:10">
      <c r="B44" s="17">
        <v>34212</v>
      </c>
      <c r="C44">
        <v>99.56</v>
      </c>
      <c r="D44">
        <f t="shared" si="0"/>
        <v>0.43999999999999773</v>
      </c>
      <c r="E44">
        <f t="shared" si="1"/>
        <v>0.21999999999999886</v>
      </c>
      <c r="F44" s="18">
        <f t="shared" si="2"/>
        <v>5.5754746444595556E-2</v>
      </c>
      <c r="H44" s="53">
        <v>34212</v>
      </c>
      <c r="I44">
        <v>1.167</v>
      </c>
      <c r="J44">
        <v>0.21999999999999886</v>
      </c>
    </row>
    <row r="45" spans="2:10">
      <c r="B45" s="17">
        <v>34242</v>
      </c>
      <c r="C45">
        <v>99.65</v>
      </c>
      <c r="D45">
        <f t="shared" si="0"/>
        <v>0.34999999999999432</v>
      </c>
      <c r="E45">
        <f t="shared" si="1"/>
        <v>0.17499999999999716</v>
      </c>
      <c r="F45" s="18">
        <f t="shared" si="2"/>
        <v>8.9739643707885008E-2</v>
      </c>
      <c r="H45" s="53">
        <v>34242</v>
      </c>
      <c r="I45">
        <v>0.63600000000000001</v>
      </c>
      <c r="J45">
        <v>0.17499999999999716</v>
      </c>
    </row>
    <row r="46" spans="2:10">
      <c r="B46" s="17">
        <v>34271</v>
      </c>
      <c r="C46">
        <v>99.73</v>
      </c>
      <c r="D46">
        <f t="shared" si="0"/>
        <v>0.26999999999999602</v>
      </c>
      <c r="E46">
        <f t="shared" si="1"/>
        <v>0.13499999999999801</v>
      </c>
      <c r="F46" s="18">
        <f t="shared" si="2"/>
        <v>0.10263884525113721</v>
      </c>
      <c r="H46" s="53">
        <v>34271</v>
      </c>
      <c r="I46">
        <v>0.90100000000000002</v>
      </c>
      <c r="J46">
        <v>0.13499999999999801</v>
      </c>
    </row>
    <row r="47" spans="2:10">
      <c r="B47" s="17">
        <v>34303</v>
      </c>
      <c r="C47">
        <v>100</v>
      </c>
      <c r="D47">
        <f t="shared" si="0"/>
        <v>0</v>
      </c>
      <c r="E47">
        <f t="shared" si="1"/>
        <v>0</v>
      </c>
      <c r="F47" s="18">
        <f t="shared" si="2"/>
        <v>7.3386774354563103E-2</v>
      </c>
      <c r="H47" s="53">
        <v>34303</v>
      </c>
      <c r="I47">
        <v>0.96799999999999997</v>
      </c>
      <c r="J47">
        <v>0</v>
      </c>
    </row>
    <row r="48" spans="2:10">
      <c r="B48" s="17">
        <v>34334</v>
      </c>
      <c r="C48">
        <v>100.06</v>
      </c>
      <c r="D48">
        <f t="shared" si="0"/>
        <v>-6.0000000000002274E-2</v>
      </c>
      <c r="E48">
        <f t="shared" si="1"/>
        <v>-3.0000000000001137E-2</v>
      </c>
      <c r="F48" s="18">
        <f t="shared" si="2"/>
        <v>4.3921543663512294E-2</v>
      </c>
      <c r="H48" s="53">
        <v>34334</v>
      </c>
      <c r="I48">
        <v>0.89100000000000001</v>
      </c>
      <c r="J48">
        <v>-3.0000000000001137E-2</v>
      </c>
    </row>
    <row r="49" spans="2:10">
      <c r="B49" s="17">
        <v>34365</v>
      </c>
      <c r="C49">
        <v>100</v>
      </c>
      <c r="D49">
        <f t="shared" si="0"/>
        <v>0</v>
      </c>
      <c r="E49">
        <f t="shared" si="1"/>
        <v>0</v>
      </c>
      <c r="F49" s="18">
        <f t="shared" si="2"/>
        <v>3.1403903719411291E-2</v>
      </c>
      <c r="H49" s="53">
        <v>34365</v>
      </c>
      <c r="I49">
        <v>1.155</v>
      </c>
      <c r="J49">
        <v>0</v>
      </c>
    </row>
    <row r="50" spans="2:10">
      <c r="B50" s="17">
        <v>34393</v>
      </c>
      <c r="C50">
        <v>100.3</v>
      </c>
      <c r="D50">
        <f t="shared" si="0"/>
        <v>-0.29999999999999716</v>
      </c>
      <c r="E50">
        <f t="shared" si="1"/>
        <v>-0.14999999999999858</v>
      </c>
      <c r="F50" s="18">
        <f t="shared" si="2"/>
        <v>-2.0296208840620528E-2</v>
      </c>
      <c r="H50" s="53">
        <v>34393</v>
      </c>
      <c r="I50">
        <v>0.80600000000000005</v>
      </c>
      <c r="J50">
        <v>-0.14999999999999858</v>
      </c>
    </row>
    <row r="51" spans="2:10">
      <c r="B51" s="17">
        <v>34424</v>
      </c>
      <c r="C51">
        <v>100.71</v>
      </c>
      <c r="D51">
        <f t="shared" si="0"/>
        <v>-0.70999999999999375</v>
      </c>
      <c r="E51">
        <f t="shared" si="1"/>
        <v>-0.35499999999999687</v>
      </c>
      <c r="F51" s="18">
        <f t="shared" si="2"/>
        <v>-0.1156867893210428</v>
      </c>
      <c r="H51" s="53">
        <v>34424</v>
      </c>
      <c r="I51">
        <v>0.34300000000000003</v>
      </c>
      <c r="J51">
        <v>-0.35499999999999687</v>
      </c>
    </row>
    <row r="52" spans="2:10">
      <c r="B52" s="17">
        <v>34453</v>
      </c>
      <c r="C52">
        <v>100.79</v>
      </c>
      <c r="D52">
        <f t="shared" si="0"/>
        <v>-0.79000000000000625</v>
      </c>
      <c r="E52">
        <f t="shared" si="1"/>
        <v>-0.39500000000000313</v>
      </c>
      <c r="F52" s="18">
        <f t="shared" si="2"/>
        <v>-0.1952910543645465</v>
      </c>
      <c r="H52" s="53">
        <v>34453</v>
      </c>
      <c r="I52">
        <v>0.81100000000000005</v>
      </c>
      <c r="J52">
        <v>-0.39500000000000313</v>
      </c>
    </row>
    <row r="53" spans="2:10">
      <c r="B53" s="17">
        <v>34485</v>
      </c>
      <c r="C53">
        <v>100.94</v>
      </c>
      <c r="D53">
        <f t="shared" si="0"/>
        <v>-0.93999999999999773</v>
      </c>
      <c r="E53">
        <f t="shared" si="1"/>
        <v>-0.46999999999999886</v>
      </c>
      <c r="F53" s="18">
        <f t="shared" si="2"/>
        <v>-0.27358310387065043</v>
      </c>
      <c r="H53" s="53">
        <v>34485</v>
      </c>
      <c r="I53">
        <v>0.86199999999999999</v>
      </c>
      <c r="J53">
        <v>-0.46999999999999886</v>
      </c>
    </row>
    <row r="54" spans="2:10">
      <c r="B54" s="17">
        <v>34515</v>
      </c>
      <c r="C54">
        <v>100.99</v>
      </c>
      <c r="D54">
        <f t="shared" si="0"/>
        <v>-0.98999999999999488</v>
      </c>
      <c r="E54">
        <f t="shared" si="1"/>
        <v>-0.49499999999999744</v>
      </c>
      <c r="F54" s="18">
        <f t="shared" si="2"/>
        <v>-0.33668691926751437</v>
      </c>
      <c r="H54" s="53">
        <v>34515</v>
      </c>
      <c r="I54">
        <v>0.28899999999999998</v>
      </c>
      <c r="J54">
        <v>-0.49499999999999744</v>
      </c>
    </row>
    <row r="55" spans="2:10">
      <c r="B55" s="17">
        <v>34544</v>
      </c>
      <c r="C55">
        <v>100.74</v>
      </c>
      <c r="D55">
        <f t="shared" si="0"/>
        <v>-0.73999999999999488</v>
      </c>
      <c r="E55">
        <f t="shared" si="1"/>
        <v>-0.36999999999999744</v>
      </c>
      <c r="F55" s="18">
        <f t="shared" si="2"/>
        <v>-0.34618114727627203</v>
      </c>
      <c r="H55" s="53">
        <v>34544</v>
      </c>
      <c r="I55">
        <v>0.73199999999999998</v>
      </c>
      <c r="J55">
        <v>-0.36999999999999744</v>
      </c>
    </row>
    <row r="56" spans="2:10">
      <c r="B56" s="17">
        <v>34577</v>
      </c>
      <c r="C56">
        <v>100.66</v>
      </c>
      <c r="D56">
        <f t="shared" si="0"/>
        <v>-0.65999999999999659</v>
      </c>
      <c r="E56">
        <f t="shared" si="1"/>
        <v>-0.32999999999999829</v>
      </c>
      <c r="F56" s="18">
        <f t="shared" si="2"/>
        <v>-0.34156952030253401</v>
      </c>
      <c r="H56" s="53">
        <v>34577</v>
      </c>
      <c r="I56">
        <v>1.077</v>
      </c>
      <c r="J56">
        <v>-0.32999999999999829</v>
      </c>
    </row>
    <row r="57" spans="2:10">
      <c r="B57" s="17">
        <v>34607</v>
      </c>
      <c r="C57">
        <v>100.9</v>
      </c>
      <c r="D57">
        <f t="shared" si="0"/>
        <v>-0.90000000000000568</v>
      </c>
      <c r="E57">
        <f t="shared" si="1"/>
        <v>-0.45000000000000284</v>
      </c>
      <c r="F57" s="18">
        <f t="shared" si="2"/>
        <v>-0.37247220701631267</v>
      </c>
      <c r="H57" s="53">
        <v>34607</v>
      </c>
      <c r="I57">
        <v>0.35899999999999999</v>
      </c>
      <c r="J57">
        <v>-0.45000000000000284</v>
      </c>
    </row>
    <row r="58" spans="2:10">
      <c r="B58" s="17">
        <v>34638</v>
      </c>
      <c r="C58">
        <v>100.76</v>
      </c>
      <c r="D58">
        <f t="shared" si="0"/>
        <v>-0.76000000000000512</v>
      </c>
      <c r="E58">
        <f t="shared" si="1"/>
        <v>-0.38000000000000256</v>
      </c>
      <c r="F58" s="18">
        <f t="shared" si="2"/>
        <v>-0.37461762801666426</v>
      </c>
      <c r="H58" s="53">
        <v>34638</v>
      </c>
      <c r="I58">
        <v>0.79700000000000004</v>
      </c>
      <c r="J58">
        <v>-0.38000000000000256</v>
      </c>
    </row>
    <row r="59" spans="2:10">
      <c r="B59" s="17">
        <v>34668</v>
      </c>
      <c r="C59">
        <v>101.16</v>
      </c>
      <c r="D59">
        <f t="shared" si="0"/>
        <v>-1.1599999999999966</v>
      </c>
      <c r="E59">
        <f t="shared" si="1"/>
        <v>-0.57999999999999829</v>
      </c>
      <c r="F59" s="18">
        <f t="shared" si="2"/>
        <v>-0.43315160403191444</v>
      </c>
      <c r="H59" s="53">
        <v>34668</v>
      </c>
      <c r="I59">
        <v>0.55400000000000005</v>
      </c>
      <c r="J59">
        <v>-0.57999999999999829</v>
      </c>
    </row>
    <row r="60" spans="2:10">
      <c r="B60" s="17">
        <v>34698</v>
      </c>
      <c r="C60">
        <v>101.31</v>
      </c>
      <c r="D60">
        <f t="shared" si="0"/>
        <v>-1.3100000000000023</v>
      </c>
      <c r="E60">
        <f t="shared" si="1"/>
        <v>-0.65500000000000114</v>
      </c>
      <c r="F60" s="18">
        <f t="shared" si="2"/>
        <v>-0.49637839688281915</v>
      </c>
      <c r="H60" s="53">
        <v>34698</v>
      </c>
      <c r="I60">
        <v>8.4000000000000005E-2</v>
      </c>
      <c r="J60">
        <v>-0.65500000000000114</v>
      </c>
    </row>
    <row r="61" spans="2:10">
      <c r="B61" s="17">
        <v>34730</v>
      </c>
      <c r="C61">
        <v>101.13</v>
      </c>
      <c r="D61">
        <f t="shared" si="0"/>
        <v>-1.1299999999999955</v>
      </c>
      <c r="E61">
        <f t="shared" si="1"/>
        <v>-0.56499999999999773</v>
      </c>
      <c r="F61" s="18">
        <f t="shared" si="2"/>
        <v>-0.51593555377121503</v>
      </c>
      <c r="H61" s="53">
        <v>34730</v>
      </c>
      <c r="I61">
        <v>1.046</v>
      </c>
      <c r="J61">
        <v>-0.57000000000000028</v>
      </c>
    </row>
    <row r="62" spans="2:10">
      <c r="B62" s="17">
        <v>34758</v>
      </c>
      <c r="C62">
        <v>100.82</v>
      </c>
      <c r="D62">
        <f t="shared" si="0"/>
        <v>-0.81999999999999318</v>
      </c>
      <c r="E62">
        <f t="shared" si="1"/>
        <v>-0.40999999999999659</v>
      </c>
      <c r="F62" s="18">
        <f t="shared" si="2"/>
        <v>-0.48574392094641772</v>
      </c>
      <c r="H62" s="53">
        <v>34758</v>
      </c>
      <c r="I62">
        <v>1.081</v>
      </c>
      <c r="J62">
        <v>-0.40999999999999659</v>
      </c>
    </row>
    <row r="63" spans="2:10">
      <c r="B63" s="17">
        <v>34789</v>
      </c>
      <c r="C63">
        <v>100.59</v>
      </c>
      <c r="D63">
        <f t="shared" si="0"/>
        <v>-0.59000000000000341</v>
      </c>
      <c r="E63">
        <f t="shared" si="1"/>
        <v>-0.29500000000000171</v>
      </c>
      <c r="F63" s="18">
        <f t="shared" si="2"/>
        <v>-0.43138190347668914</v>
      </c>
      <c r="H63" s="53">
        <v>34789</v>
      </c>
      <c r="I63">
        <v>0.95799999999999996</v>
      </c>
      <c r="J63">
        <v>-0.29500000000000171</v>
      </c>
    </row>
    <row r="64" spans="2:10">
      <c r="B64" s="17">
        <v>34817</v>
      </c>
      <c r="C64">
        <v>100.24</v>
      </c>
      <c r="D64">
        <f t="shared" si="0"/>
        <v>-0.23999999999999488</v>
      </c>
      <c r="E64">
        <f t="shared" si="1"/>
        <v>-0.11999999999999744</v>
      </c>
      <c r="F64" s="18">
        <f t="shared" si="2"/>
        <v>-0.34263806098583199</v>
      </c>
      <c r="H64" s="53">
        <v>34817</v>
      </c>
      <c r="I64">
        <v>1.091</v>
      </c>
      <c r="J64">
        <v>-0.11999999999999744</v>
      </c>
    </row>
    <row r="65" spans="2:10">
      <c r="B65" s="17">
        <v>34850</v>
      </c>
      <c r="C65">
        <v>99.86</v>
      </c>
      <c r="D65">
        <f t="shared" si="0"/>
        <v>0.14000000000000057</v>
      </c>
      <c r="E65">
        <f t="shared" si="1"/>
        <v>7.0000000000000284E-2</v>
      </c>
      <c r="F65" s="18">
        <f t="shared" si="2"/>
        <v>-0.22503621360486978</v>
      </c>
      <c r="H65" s="53">
        <v>34850</v>
      </c>
      <c r="I65">
        <v>0.98099999999999998</v>
      </c>
      <c r="J65">
        <v>7.0000000000000284E-2</v>
      </c>
    </row>
    <row r="66" spans="2:10">
      <c r="B66" s="17">
        <v>34880</v>
      </c>
      <c r="C66">
        <v>99.82</v>
      </c>
      <c r="D66">
        <f t="shared" si="0"/>
        <v>0.18000000000000682</v>
      </c>
      <c r="E66">
        <f t="shared" si="1"/>
        <v>9.0000000000003411E-2</v>
      </c>
      <c r="F66" s="18">
        <f t="shared" si="2"/>
        <v>-0.13525089272748092</v>
      </c>
      <c r="H66" s="53">
        <v>34880</v>
      </c>
      <c r="I66">
        <v>0.54400000000000004</v>
      </c>
      <c r="J66">
        <v>9.0000000000003411E-2</v>
      </c>
    </row>
    <row r="67" spans="2:10">
      <c r="B67" s="17">
        <v>34911</v>
      </c>
      <c r="C67">
        <v>99.82</v>
      </c>
      <c r="D67">
        <f t="shared" ref="D67:D130" si="3">C67*(-1)+100</f>
        <v>0.18000000000000682</v>
      </c>
      <c r="E67">
        <f t="shared" ref="E67:E130" si="4">D67/2</f>
        <v>9.0000000000003411E-2</v>
      </c>
      <c r="F67" s="18">
        <f t="shared" ref="F67:F130" si="5">$K$1*F66+(1-$K$1)*E67</f>
        <v>-7.1054388300147875E-2</v>
      </c>
      <c r="H67" s="53">
        <v>34911</v>
      </c>
      <c r="I67">
        <v>0.998</v>
      </c>
      <c r="J67">
        <v>9.0000000000003411E-2</v>
      </c>
    </row>
    <row r="68" spans="2:10">
      <c r="B68" s="17">
        <v>34942</v>
      </c>
      <c r="C68">
        <v>99.91</v>
      </c>
      <c r="D68">
        <f t="shared" si="3"/>
        <v>9.0000000000003411E-2</v>
      </c>
      <c r="E68">
        <f t="shared" si="4"/>
        <v>4.5000000000001705E-2</v>
      </c>
      <c r="F68" s="18">
        <f t="shared" si="5"/>
        <v>-3.7978887634605239E-2</v>
      </c>
      <c r="H68" s="53">
        <v>34942</v>
      </c>
      <c r="I68">
        <v>0.77300000000000002</v>
      </c>
      <c r="J68">
        <v>4.5000000000001705E-2</v>
      </c>
    </row>
    <row r="69" spans="2:10">
      <c r="B69" s="17">
        <v>34971</v>
      </c>
      <c r="C69">
        <v>99.68</v>
      </c>
      <c r="D69">
        <f t="shared" si="3"/>
        <v>0.31999999999999318</v>
      </c>
      <c r="E69">
        <f t="shared" si="4"/>
        <v>0.15999999999999659</v>
      </c>
      <c r="F69" s="18">
        <f t="shared" si="5"/>
        <v>1.8445095341256285E-2</v>
      </c>
      <c r="H69" s="53">
        <v>34971</v>
      </c>
      <c r="I69">
        <v>0.54</v>
      </c>
      <c r="J69">
        <v>0.15999999999999659</v>
      </c>
    </row>
    <row r="70" spans="2:10">
      <c r="B70" s="17">
        <v>35003</v>
      </c>
      <c r="C70">
        <v>99.75</v>
      </c>
      <c r="D70">
        <f t="shared" si="3"/>
        <v>0.25</v>
      </c>
      <c r="E70">
        <f t="shared" si="4"/>
        <v>0.125</v>
      </c>
      <c r="F70" s="18">
        <f t="shared" si="5"/>
        <v>4.8813243168998245E-2</v>
      </c>
      <c r="H70" s="53">
        <v>35003</v>
      </c>
      <c r="I70">
        <v>0.623</v>
      </c>
      <c r="J70">
        <v>0.125</v>
      </c>
    </row>
    <row r="71" spans="2:10">
      <c r="B71" s="17">
        <v>35033</v>
      </c>
      <c r="C71">
        <v>99.7</v>
      </c>
      <c r="D71">
        <f t="shared" si="3"/>
        <v>0.29999999999999716</v>
      </c>
      <c r="E71">
        <f t="shared" si="4"/>
        <v>0.14999999999999858</v>
      </c>
      <c r="F71" s="18">
        <f t="shared" si="5"/>
        <v>7.7651468865833351E-2</v>
      </c>
      <c r="H71" s="53">
        <v>35033</v>
      </c>
      <c r="I71">
        <v>0.747</v>
      </c>
      <c r="J71">
        <v>0.14999999999999858</v>
      </c>
    </row>
    <row r="72" spans="2:10">
      <c r="B72" s="17">
        <v>35062</v>
      </c>
      <c r="C72">
        <v>99.5</v>
      </c>
      <c r="D72">
        <f t="shared" si="3"/>
        <v>0.5</v>
      </c>
      <c r="E72">
        <f t="shared" si="4"/>
        <v>0.25</v>
      </c>
      <c r="F72" s="18">
        <f t="shared" si="5"/>
        <v>0.12677080023907084</v>
      </c>
      <c r="H72" s="53">
        <v>35062</v>
      </c>
      <c r="I72">
        <v>0.36</v>
      </c>
      <c r="J72">
        <v>0.25</v>
      </c>
    </row>
    <row r="73" spans="2:10">
      <c r="B73" s="17">
        <v>35095</v>
      </c>
      <c r="C73">
        <v>99.55</v>
      </c>
      <c r="D73">
        <f t="shared" si="3"/>
        <v>0.45000000000000284</v>
      </c>
      <c r="E73">
        <f t="shared" si="4"/>
        <v>0.22500000000000142</v>
      </c>
      <c r="F73" s="18">
        <f t="shared" si="5"/>
        <v>0.15476612217093605</v>
      </c>
      <c r="H73" s="53">
        <v>35095</v>
      </c>
      <c r="I73">
        <v>0.83899999999999997</v>
      </c>
      <c r="J73">
        <v>0.22500000000000142</v>
      </c>
    </row>
    <row r="74" spans="2:10">
      <c r="B74" s="17">
        <v>35124</v>
      </c>
      <c r="C74">
        <v>99.76</v>
      </c>
      <c r="D74">
        <f t="shared" si="3"/>
        <v>0.23999999999999488</v>
      </c>
      <c r="E74">
        <f t="shared" si="4"/>
        <v>0.11999999999999744</v>
      </c>
      <c r="F74" s="18">
        <f t="shared" si="5"/>
        <v>0.14485777735221855</v>
      </c>
      <c r="H74" s="53">
        <v>35124</v>
      </c>
      <c r="I74">
        <v>0.95099999999999996</v>
      </c>
      <c r="J74">
        <v>0.11999999999999744</v>
      </c>
    </row>
    <row r="75" spans="2:10">
      <c r="B75" s="17">
        <v>35153</v>
      </c>
      <c r="C75">
        <v>99.86</v>
      </c>
      <c r="D75">
        <f t="shared" si="3"/>
        <v>0.14000000000000057</v>
      </c>
      <c r="E75">
        <f t="shared" si="4"/>
        <v>7.0000000000000284E-2</v>
      </c>
      <c r="F75" s="18">
        <f t="shared" si="5"/>
        <v>0.12352331080683635</v>
      </c>
      <c r="H75" s="53">
        <v>35153</v>
      </c>
      <c r="I75">
        <v>0.76400000000000001</v>
      </c>
      <c r="J75">
        <v>7.0000000000000284E-2</v>
      </c>
    </row>
    <row r="76" spans="2:10">
      <c r="B76" s="17">
        <v>35185</v>
      </c>
      <c r="C76">
        <v>99.93</v>
      </c>
      <c r="D76">
        <f t="shared" si="3"/>
        <v>6.9999999999993179E-2</v>
      </c>
      <c r="E76">
        <f t="shared" si="4"/>
        <v>3.4999999999996589E-2</v>
      </c>
      <c r="F76" s="18">
        <f t="shared" si="5"/>
        <v>9.8294167226887011E-2</v>
      </c>
      <c r="H76" s="53">
        <v>35185</v>
      </c>
      <c r="I76">
        <v>1.0489999999999999</v>
      </c>
      <c r="J76">
        <v>3.4999999999996589E-2</v>
      </c>
    </row>
    <row r="77" spans="2:10">
      <c r="B77" s="17">
        <v>35216</v>
      </c>
      <c r="C77">
        <v>99.9</v>
      </c>
      <c r="D77">
        <f t="shared" si="3"/>
        <v>9.9999999999994316E-2</v>
      </c>
      <c r="E77">
        <f t="shared" si="4"/>
        <v>4.9999999999997158E-2</v>
      </c>
      <c r="F77" s="18">
        <f t="shared" si="5"/>
        <v>8.4530329567223408E-2</v>
      </c>
      <c r="H77" s="53">
        <v>35216</v>
      </c>
      <c r="I77">
        <v>1.1459999999999999</v>
      </c>
      <c r="J77">
        <v>4.9999999999997158E-2</v>
      </c>
    </row>
    <row r="78" spans="2:10">
      <c r="B78" s="17">
        <v>35244</v>
      </c>
      <c r="C78">
        <v>99.89</v>
      </c>
      <c r="D78">
        <f t="shared" si="3"/>
        <v>0.10999999999999943</v>
      </c>
      <c r="E78">
        <f t="shared" si="4"/>
        <v>5.4999999999999716E-2</v>
      </c>
      <c r="F78" s="18">
        <f t="shared" si="5"/>
        <v>7.6114185640564658E-2</v>
      </c>
      <c r="H78" s="53">
        <v>35244</v>
      </c>
      <c r="I78">
        <v>1</v>
      </c>
      <c r="J78">
        <v>5.4999999999999716E-2</v>
      </c>
    </row>
    <row r="79" spans="2:10">
      <c r="B79" s="17">
        <v>35277</v>
      </c>
      <c r="C79">
        <v>100.11</v>
      </c>
      <c r="D79">
        <f t="shared" si="3"/>
        <v>-0.10999999999999943</v>
      </c>
      <c r="E79">
        <f t="shared" si="4"/>
        <v>-5.4999999999999716E-2</v>
      </c>
      <c r="F79" s="18">
        <f t="shared" si="5"/>
        <v>3.8746642733003808E-2</v>
      </c>
      <c r="H79" s="53">
        <v>35277</v>
      </c>
      <c r="I79">
        <v>0.85199999999999998</v>
      </c>
      <c r="J79">
        <v>-5.4999999999999716E-2</v>
      </c>
    </row>
    <row r="80" spans="2:10">
      <c r="B80" s="17">
        <v>35307</v>
      </c>
      <c r="C80">
        <v>100.2</v>
      </c>
      <c r="D80">
        <f t="shared" si="3"/>
        <v>-0.20000000000000284</v>
      </c>
      <c r="E80">
        <f t="shared" si="4"/>
        <v>-0.10000000000000142</v>
      </c>
      <c r="F80" s="18">
        <f t="shared" si="5"/>
        <v>-7.9615044590268524E-4</v>
      </c>
      <c r="H80" s="53">
        <v>35307</v>
      </c>
      <c r="I80">
        <v>1.173</v>
      </c>
      <c r="J80">
        <v>-0.10000000000000142</v>
      </c>
    </row>
    <row r="81" spans="2:10">
      <c r="B81" s="17">
        <v>35338</v>
      </c>
      <c r="C81">
        <v>99.84</v>
      </c>
      <c r="D81">
        <f t="shared" si="3"/>
        <v>0.15999999999999659</v>
      </c>
      <c r="E81">
        <f t="shared" si="4"/>
        <v>7.9999999999998295E-2</v>
      </c>
      <c r="F81" s="18">
        <f t="shared" si="5"/>
        <v>2.2230752431179095E-2</v>
      </c>
      <c r="H81" s="53">
        <v>35338</v>
      </c>
      <c r="I81">
        <v>0.64</v>
      </c>
      <c r="J81">
        <v>7.9999999999998295E-2</v>
      </c>
    </row>
    <row r="82" spans="2:10">
      <c r="B82" s="17">
        <v>35369</v>
      </c>
      <c r="C82">
        <v>99.64</v>
      </c>
      <c r="D82">
        <f t="shared" si="3"/>
        <v>0.35999999999999943</v>
      </c>
      <c r="E82">
        <f t="shared" si="4"/>
        <v>0.17999999999999972</v>
      </c>
      <c r="F82" s="18">
        <f t="shared" si="5"/>
        <v>6.7194987988292973E-2</v>
      </c>
      <c r="H82" s="53">
        <v>35369</v>
      </c>
      <c r="I82">
        <v>0.89900000000000002</v>
      </c>
      <c r="J82">
        <v>0.17999999999999972</v>
      </c>
    </row>
    <row r="83" spans="2:10">
      <c r="B83" s="17">
        <v>35398</v>
      </c>
      <c r="C83">
        <v>99.21</v>
      </c>
      <c r="D83">
        <f t="shared" si="3"/>
        <v>0.79000000000000625</v>
      </c>
      <c r="E83">
        <f t="shared" si="4"/>
        <v>0.39500000000000313</v>
      </c>
      <c r="F83" s="18">
        <f t="shared" si="5"/>
        <v>0.16061941641163036</v>
      </c>
      <c r="H83" s="53">
        <v>35398</v>
      </c>
      <c r="I83">
        <v>0.93100000000000005</v>
      </c>
      <c r="J83">
        <v>0.39500000000000313</v>
      </c>
    </row>
    <row r="84" spans="2:10">
      <c r="B84" s="17">
        <v>35430</v>
      </c>
      <c r="C84">
        <v>99.56</v>
      </c>
      <c r="D84">
        <f t="shared" si="3"/>
        <v>0.43999999999999773</v>
      </c>
      <c r="E84">
        <f t="shared" si="4"/>
        <v>0.21999999999999886</v>
      </c>
      <c r="F84" s="18">
        <f t="shared" si="5"/>
        <v>0.1775428827343154</v>
      </c>
      <c r="H84" s="53">
        <v>35430</v>
      </c>
      <c r="I84">
        <v>0.84699999999999998</v>
      </c>
      <c r="J84">
        <v>0.22500000000000142</v>
      </c>
    </row>
    <row r="85" spans="2:10">
      <c r="B85" s="17">
        <v>35461</v>
      </c>
      <c r="C85">
        <v>99.47</v>
      </c>
      <c r="D85">
        <f t="shared" si="3"/>
        <v>0.53000000000000114</v>
      </c>
      <c r="E85">
        <f t="shared" si="4"/>
        <v>0.26500000000000057</v>
      </c>
      <c r="F85" s="18">
        <f t="shared" si="5"/>
        <v>0.20246816115503569</v>
      </c>
      <c r="H85" s="53">
        <v>35461</v>
      </c>
      <c r="I85">
        <v>0.97599999999999998</v>
      </c>
      <c r="J85">
        <v>0.26500000000000057</v>
      </c>
    </row>
    <row r="86" spans="2:10">
      <c r="B86" s="17">
        <v>35489</v>
      </c>
      <c r="C86">
        <v>99.51</v>
      </c>
      <c r="D86">
        <f t="shared" si="3"/>
        <v>0.48999999999999488</v>
      </c>
      <c r="E86">
        <f t="shared" si="4"/>
        <v>0.24499999999999744</v>
      </c>
      <c r="F86" s="18">
        <f t="shared" si="5"/>
        <v>0.21458973522584979</v>
      </c>
      <c r="H86" s="53">
        <v>35489</v>
      </c>
      <c r="I86">
        <v>1.163</v>
      </c>
      <c r="J86">
        <v>0.24499999999999744</v>
      </c>
    </row>
    <row r="87" spans="2:10">
      <c r="B87" s="17">
        <v>35520</v>
      </c>
      <c r="C87">
        <v>99.92</v>
      </c>
      <c r="D87">
        <f t="shared" si="3"/>
        <v>7.9999999999998295E-2</v>
      </c>
      <c r="E87">
        <f t="shared" si="4"/>
        <v>3.9999999999999147E-2</v>
      </c>
      <c r="F87" s="18">
        <f t="shared" si="5"/>
        <v>0.16483166068648236</v>
      </c>
      <c r="H87" s="53">
        <v>35520</v>
      </c>
      <c r="I87">
        <v>0.81899999999999995</v>
      </c>
      <c r="J87">
        <v>3.9999999999999147E-2</v>
      </c>
    </row>
    <row r="88" spans="2:10">
      <c r="B88" s="17">
        <v>35550</v>
      </c>
      <c r="C88">
        <v>99.69</v>
      </c>
      <c r="D88">
        <f t="shared" si="3"/>
        <v>0.31000000000000227</v>
      </c>
      <c r="E88">
        <f t="shared" si="4"/>
        <v>0.15500000000000114</v>
      </c>
      <c r="F88" s="18">
        <f t="shared" si="5"/>
        <v>0.16202963739083523</v>
      </c>
      <c r="H88" s="53">
        <v>35550</v>
      </c>
      <c r="I88">
        <v>0.69199999999999995</v>
      </c>
      <c r="J88">
        <v>0.15500000000000114</v>
      </c>
    </row>
    <row r="89" spans="2:10">
      <c r="B89" s="17">
        <v>35580</v>
      </c>
      <c r="C89">
        <v>99.33</v>
      </c>
      <c r="D89">
        <f t="shared" si="3"/>
        <v>0.67000000000000171</v>
      </c>
      <c r="E89">
        <f t="shared" si="4"/>
        <v>0.33500000000000085</v>
      </c>
      <c r="F89" s="18">
        <f t="shared" si="5"/>
        <v>0.21132619073444744</v>
      </c>
      <c r="H89" s="53">
        <v>35580</v>
      </c>
      <c r="I89">
        <v>0.40500000000000003</v>
      </c>
      <c r="J89">
        <v>0.33500000000000085</v>
      </c>
    </row>
    <row r="90" spans="2:10">
      <c r="B90" s="17">
        <v>35611</v>
      </c>
      <c r="C90">
        <v>99.05</v>
      </c>
      <c r="D90">
        <f t="shared" si="3"/>
        <v>0.95000000000000284</v>
      </c>
      <c r="E90">
        <f t="shared" si="4"/>
        <v>0.47500000000000142</v>
      </c>
      <c r="F90" s="18">
        <f t="shared" si="5"/>
        <v>0.28647322637513034</v>
      </c>
      <c r="H90" s="53">
        <v>35611</v>
      </c>
      <c r="I90">
        <v>0.745</v>
      </c>
      <c r="J90">
        <v>0.47500000000000142</v>
      </c>
    </row>
    <row r="91" spans="2:10">
      <c r="B91" s="17">
        <v>35642</v>
      </c>
      <c r="C91">
        <v>98.72</v>
      </c>
      <c r="D91">
        <f t="shared" si="3"/>
        <v>1.2800000000000011</v>
      </c>
      <c r="E91">
        <f t="shared" si="4"/>
        <v>0.64000000000000057</v>
      </c>
      <c r="F91" s="18">
        <f t="shared" si="5"/>
        <v>0.38722835685821833</v>
      </c>
      <c r="H91" s="53">
        <v>35642</v>
      </c>
      <c r="I91">
        <v>1.0109999999999999</v>
      </c>
      <c r="J91">
        <v>0.64000000000000057</v>
      </c>
    </row>
    <row r="92" spans="2:10">
      <c r="B92" s="17">
        <v>35671</v>
      </c>
      <c r="C92">
        <v>99.25</v>
      </c>
      <c r="D92">
        <f t="shared" si="3"/>
        <v>0.75</v>
      </c>
      <c r="E92">
        <f t="shared" si="4"/>
        <v>0.375</v>
      </c>
      <c r="F92" s="18">
        <f t="shared" si="5"/>
        <v>0.38374327515362611</v>
      </c>
      <c r="H92" s="53">
        <v>35671</v>
      </c>
      <c r="I92">
        <v>0.752</v>
      </c>
      <c r="J92">
        <v>0.375</v>
      </c>
    </row>
    <row r="93" spans="2:10">
      <c r="B93" s="17">
        <v>35703</v>
      </c>
      <c r="C93">
        <v>99.02</v>
      </c>
      <c r="D93">
        <f t="shared" si="3"/>
        <v>0.98000000000000398</v>
      </c>
      <c r="E93">
        <f t="shared" si="4"/>
        <v>0.49000000000000199</v>
      </c>
      <c r="F93" s="18">
        <f t="shared" si="5"/>
        <v>0.41402644173484326</v>
      </c>
      <c r="H93" s="53">
        <v>35703</v>
      </c>
      <c r="I93">
        <v>0.57999999999999996</v>
      </c>
      <c r="J93">
        <v>0.49000000000000199</v>
      </c>
    </row>
    <row r="94" spans="2:10">
      <c r="B94" s="17">
        <v>35734</v>
      </c>
      <c r="C94">
        <v>99.27</v>
      </c>
      <c r="D94">
        <f t="shared" si="3"/>
        <v>0.73000000000000398</v>
      </c>
      <c r="E94">
        <f t="shared" si="4"/>
        <v>0.36500000000000199</v>
      </c>
      <c r="F94" s="18">
        <f t="shared" si="5"/>
        <v>0.4000539058404135</v>
      </c>
      <c r="H94" s="53">
        <v>35734</v>
      </c>
      <c r="I94">
        <v>-1.4E-2</v>
      </c>
      <c r="J94">
        <v>0.36500000000000199</v>
      </c>
    </row>
    <row r="95" spans="2:10">
      <c r="B95" s="17">
        <v>35762</v>
      </c>
      <c r="C95">
        <v>99.27</v>
      </c>
      <c r="D95">
        <f t="shared" si="3"/>
        <v>0.73000000000000398</v>
      </c>
      <c r="E95">
        <f t="shared" si="4"/>
        <v>0.36500000000000199</v>
      </c>
      <c r="F95" s="18">
        <f t="shared" si="5"/>
        <v>0.39006354267589621</v>
      </c>
      <c r="H95" s="53">
        <v>35762</v>
      </c>
      <c r="I95">
        <v>8.7999999999999995E-2</v>
      </c>
      <c r="J95">
        <v>0.36500000000000199</v>
      </c>
    </row>
    <row r="96" spans="2:10">
      <c r="B96" s="17">
        <v>35795</v>
      </c>
      <c r="C96">
        <v>99.4</v>
      </c>
      <c r="D96">
        <f t="shared" si="3"/>
        <v>0.59999999999999432</v>
      </c>
      <c r="E96">
        <f t="shared" si="4"/>
        <v>0.29999999999999716</v>
      </c>
      <c r="F96" s="18">
        <f t="shared" si="5"/>
        <v>0.36439543301326499</v>
      </c>
      <c r="H96" s="53">
        <v>35795</v>
      </c>
      <c r="I96">
        <v>0.61699999999999999</v>
      </c>
      <c r="J96">
        <v>0.29999999999999716</v>
      </c>
    </row>
    <row r="97" spans="2:10">
      <c r="B97" s="17">
        <v>35825</v>
      </c>
      <c r="C97">
        <v>99.39</v>
      </c>
      <c r="D97">
        <f t="shared" si="3"/>
        <v>0.60999999999999943</v>
      </c>
      <c r="E97">
        <f t="shared" si="4"/>
        <v>0.30499999999999972</v>
      </c>
      <c r="F97" s="18">
        <f t="shared" si="5"/>
        <v>0.34746773460448438</v>
      </c>
      <c r="H97" s="53">
        <v>35825</v>
      </c>
      <c r="I97">
        <v>0.67700000000000005</v>
      </c>
      <c r="J97">
        <v>0.30499999999999972</v>
      </c>
    </row>
    <row r="98" spans="2:10">
      <c r="B98" s="17">
        <v>35853</v>
      </c>
      <c r="C98">
        <v>99.05</v>
      </c>
      <c r="D98">
        <f t="shared" si="3"/>
        <v>0.95000000000000284</v>
      </c>
      <c r="E98">
        <f t="shared" si="4"/>
        <v>0.47500000000000142</v>
      </c>
      <c r="F98" s="18">
        <f t="shared" si="5"/>
        <v>0.38381443024220674</v>
      </c>
      <c r="H98" s="53">
        <v>35853</v>
      </c>
      <c r="I98">
        <v>1.0680000000000001</v>
      </c>
      <c r="J98">
        <v>0.47500000000000142</v>
      </c>
    </row>
    <row r="99" spans="2:10">
      <c r="B99" s="17">
        <v>35885</v>
      </c>
      <c r="C99">
        <v>98.94</v>
      </c>
      <c r="D99">
        <f t="shared" si="3"/>
        <v>1.0600000000000023</v>
      </c>
      <c r="E99">
        <f t="shared" si="4"/>
        <v>0.53000000000000114</v>
      </c>
      <c r="F99" s="18">
        <f t="shared" si="5"/>
        <v>0.42547731762317814</v>
      </c>
      <c r="H99" s="53">
        <v>35885</v>
      </c>
      <c r="I99">
        <v>0.51800000000000002</v>
      </c>
      <c r="J99">
        <v>0.53000000000000114</v>
      </c>
    </row>
    <row r="100" spans="2:10">
      <c r="B100" s="17">
        <v>35915</v>
      </c>
      <c r="C100">
        <v>98.89</v>
      </c>
      <c r="D100">
        <f t="shared" si="3"/>
        <v>1.1099999999999994</v>
      </c>
      <c r="E100">
        <f t="shared" si="4"/>
        <v>0.55499999999999972</v>
      </c>
      <c r="F100" s="18">
        <f t="shared" si="5"/>
        <v>0.46239128210057223</v>
      </c>
      <c r="H100" s="53">
        <v>35915</v>
      </c>
      <c r="I100">
        <v>0.29699999999999999</v>
      </c>
      <c r="J100">
        <v>0.55499999999999972</v>
      </c>
    </row>
    <row r="101" spans="2:10">
      <c r="B101" s="17">
        <v>35944</v>
      </c>
      <c r="C101">
        <v>99.07</v>
      </c>
      <c r="D101">
        <f t="shared" si="3"/>
        <v>0.93000000000000682</v>
      </c>
      <c r="E101">
        <f t="shared" si="4"/>
        <v>0.46500000000000341</v>
      </c>
      <c r="F101" s="18">
        <f t="shared" si="5"/>
        <v>0.46313476670191012</v>
      </c>
      <c r="H101" s="53">
        <v>35944</v>
      </c>
      <c r="I101">
        <v>0.34</v>
      </c>
      <c r="J101">
        <v>0.46500000000000341</v>
      </c>
    </row>
    <row r="102" spans="2:10">
      <c r="B102" s="17">
        <v>35976</v>
      </c>
      <c r="C102">
        <v>99.07</v>
      </c>
      <c r="D102">
        <f t="shared" si="3"/>
        <v>0.93000000000000682</v>
      </c>
      <c r="E102">
        <f t="shared" si="4"/>
        <v>0.46500000000000341</v>
      </c>
      <c r="F102" s="18">
        <f t="shared" si="5"/>
        <v>0.46366635819186675</v>
      </c>
      <c r="H102" s="53">
        <v>35976</v>
      </c>
      <c r="I102">
        <v>0.432</v>
      </c>
      <c r="J102">
        <v>0.46500000000000341</v>
      </c>
    </row>
    <row r="103" spans="2:10">
      <c r="B103" s="17">
        <v>36007</v>
      </c>
      <c r="C103">
        <v>99.12</v>
      </c>
      <c r="D103">
        <f t="shared" si="3"/>
        <v>0.87999999999999545</v>
      </c>
      <c r="E103">
        <f t="shared" si="4"/>
        <v>0.43999999999999773</v>
      </c>
      <c r="F103" s="18">
        <f t="shared" si="5"/>
        <v>0.4569214461071841</v>
      </c>
      <c r="H103" s="53">
        <v>36007</v>
      </c>
      <c r="I103">
        <v>0.19</v>
      </c>
      <c r="J103">
        <v>0.43999999999999773</v>
      </c>
    </row>
    <row r="104" spans="2:10">
      <c r="B104" s="17">
        <v>36038</v>
      </c>
      <c r="C104">
        <v>99.82</v>
      </c>
      <c r="D104">
        <f t="shared" si="3"/>
        <v>0.18000000000000682</v>
      </c>
      <c r="E104">
        <f t="shared" si="4"/>
        <v>9.0000000000003411E-2</v>
      </c>
      <c r="F104" s="18">
        <f t="shared" si="5"/>
        <v>0.35234883396663758</v>
      </c>
      <c r="H104" s="53">
        <v>36038</v>
      </c>
      <c r="I104">
        <v>-1.675</v>
      </c>
      <c r="J104">
        <v>9.0000000000003411E-2</v>
      </c>
    </row>
    <row r="105" spans="2:10">
      <c r="B105" s="17">
        <v>36068</v>
      </c>
      <c r="C105">
        <v>99.43</v>
      </c>
      <c r="D105">
        <f t="shared" si="3"/>
        <v>0.56999999999999318</v>
      </c>
      <c r="E105">
        <f t="shared" si="4"/>
        <v>0.28499999999999659</v>
      </c>
      <c r="F105" s="18">
        <f t="shared" si="5"/>
        <v>0.33315441628614489</v>
      </c>
      <c r="H105" s="53">
        <v>36068</v>
      </c>
      <c r="I105">
        <v>-1.978</v>
      </c>
      <c r="J105">
        <v>0.28499999999999659</v>
      </c>
    </row>
    <row r="106" spans="2:10">
      <c r="B106" s="17">
        <v>36098</v>
      </c>
      <c r="C106">
        <v>98.94</v>
      </c>
      <c r="D106">
        <f t="shared" si="3"/>
        <v>1.0600000000000023</v>
      </c>
      <c r="E106">
        <f t="shared" si="4"/>
        <v>0.53000000000000114</v>
      </c>
      <c r="F106" s="18">
        <f t="shared" si="5"/>
        <v>0.38925540764459393</v>
      </c>
      <c r="H106" s="53">
        <v>36098</v>
      </c>
      <c r="I106">
        <v>-1.3169999999999999</v>
      </c>
      <c r="J106">
        <v>0.53000000000000114</v>
      </c>
    </row>
    <row r="107" spans="2:10">
      <c r="B107" s="17">
        <v>36129</v>
      </c>
      <c r="C107">
        <v>98.68</v>
      </c>
      <c r="D107">
        <f t="shared" si="3"/>
        <v>1.3199999999999932</v>
      </c>
      <c r="E107">
        <f t="shared" si="4"/>
        <v>0.65999999999999659</v>
      </c>
      <c r="F107" s="18">
        <f t="shared" si="5"/>
        <v>0.4664176164658837</v>
      </c>
      <c r="H107" s="53">
        <v>36129</v>
      </c>
      <c r="I107">
        <v>-0.78500000000000003</v>
      </c>
      <c r="J107">
        <v>0.65999999999999659</v>
      </c>
    </row>
    <row r="108" spans="2:10">
      <c r="B108" s="17">
        <v>36160</v>
      </c>
      <c r="C108">
        <v>98.3</v>
      </c>
      <c r="D108">
        <f t="shared" si="3"/>
        <v>1.7000000000000028</v>
      </c>
      <c r="E108">
        <f t="shared" si="4"/>
        <v>0.85000000000000142</v>
      </c>
      <c r="F108" s="18">
        <f t="shared" si="5"/>
        <v>0.57573859577310726</v>
      </c>
      <c r="H108" s="53">
        <v>36160</v>
      </c>
      <c r="I108">
        <v>-0.40200000000000002</v>
      </c>
      <c r="J108">
        <v>0.85000000000000142</v>
      </c>
    </row>
    <row r="109" spans="2:10">
      <c r="B109" s="17">
        <v>36189</v>
      </c>
      <c r="C109">
        <v>98.24</v>
      </c>
      <c r="D109">
        <f t="shared" si="3"/>
        <v>1.7600000000000051</v>
      </c>
      <c r="E109">
        <f t="shared" si="4"/>
        <v>0.88000000000000256</v>
      </c>
      <c r="F109" s="18">
        <f t="shared" si="5"/>
        <v>0.66245309597777235</v>
      </c>
      <c r="H109" s="53">
        <v>36189</v>
      </c>
      <c r="I109">
        <v>-0.16300000000000001</v>
      </c>
      <c r="J109">
        <v>0.88000000000000256</v>
      </c>
    </row>
    <row r="110" spans="2:10">
      <c r="B110" s="17">
        <v>36217</v>
      </c>
      <c r="C110">
        <v>98.7</v>
      </c>
      <c r="D110">
        <f t="shared" si="3"/>
        <v>1.2999999999999972</v>
      </c>
      <c r="E110">
        <f t="shared" si="4"/>
        <v>0.64999999999999858</v>
      </c>
      <c r="F110" s="18">
        <f t="shared" si="5"/>
        <v>0.65890396362410686</v>
      </c>
      <c r="H110" s="53">
        <v>36217</v>
      </c>
      <c r="I110">
        <v>0.25700000000000001</v>
      </c>
      <c r="J110">
        <v>0.64999999999999858</v>
      </c>
    </row>
    <row r="111" spans="2:10">
      <c r="B111" s="17">
        <v>36250</v>
      </c>
      <c r="C111">
        <v>98.53</v>
      </c>
      <c r="D111">
        <f t="shared" si="3"/>
        <v>1.4699999999999989</v>
      </c>
      <c r="E111">
        <f t="shared" si="4"/>
        <v>0.73499999999999943</v>
      </c>
      <c r="F111" s="18">
        <f t="shared" si="5"/>
        <v>0.68059133399123617</v>
      </c>
      <c r="H111" s="53">
        <v>36250</v>
      </c>
      <c r="I111">
        <v>0.17</v>
      </c>
      <c r="J111">
        <v>0.73499999999999943</v>
      </c>
    </row>
    <row r="112" spans="2:10">
      <c r="B112" s="17">
        <v>36280</v>
      </c>
      <c r="C112">
        <v>98.32</v>
      </c>
      <c r="D112">
        <f t="shared" si="3"/>
        <v>1.6800000000000068</v>
      </c>
      <c r="E112">
        <f t="shared" si="4"/>
        <v>0.84000000000000341</v>
      </c>
      <c r="F112" s="18">
        <f t="shared" si="5"/>
        <v>0.72602280380373485</v>
      </c>
      <c r="H112" s="53">
        <v>36280</v>
      </c>
      <c r="I112">
        <v>0.34599999999999997</v>
      </c>
      <c r="J112">
        <v>0.84000000000000341</v>
      </c>
    </row>
    <row r="113" spans="2:10">
      <c r="B113" s="17">
        <v>36311</v>
      </c>
      <c r="C113">
        <v>98.65</v>
      </c>
      <c r="D113">
        <f t="shared" si="3"/>
        <v>1.3499999999999943</v>
      </c>
      <c r="E113">
        <f t="shared" si="4"/>
        <v>0.67499999999999716</v>
      </c>
      <c r="F113" s="18">
        <f t="shared" si="5"/>
        <v>0.71148130471966953</v>
      </c>
      <c r="H113" s="53">
        <v>36311</v>
      </c>
      <c r="I113">
        <v>0.28199999999999997</v>
      </c>
      <c r="J113">
        <v>0.67499999999999716</v>
      </c>
    </row>
    <row r="114" spans="2:10">
      <c r="B114" s="17">
        <v>36341</v>
      </c>
      <c r="C114">
        <v>98.39</v>
      </c>
      <c r="D114">
        <f t="shared" si="3"/>
        <v>1.6099999999999994</v>
      </c>
      <c r="E114">
        <f t="shared" si="4"/>
        <v>0.80499999999999972</v>
      </c>
      <c r="F114" s="18">
        <f t="shared" si="5"/>
        <v>0.73813413287456364</v>
      </c>
      <c r="H114" s="53">
        <v>36341</v>
      </c>
      <c r="I114">
        <v>0.19</v>
      </c>
      <c r="J114">
        <v>0.80499999999999972</v>
      </c>
    </row>
    <row r="115" spans="2:10">
      <c r="B115" s="17">
        <v>36371</v>
      </c>
      <c r="C115">
        <v>98.61</v>
      </c>
      <c r="D115">
        <f t="shared" si="3"/>
        <v>1.3900000000000006</v>
      </c>
      <c r="E115">
        <f t="shared" si="4"/>
        <v>0.69500000000000028</v>
      </c>
      <c r="F115" s="18">
        <f t="shared" si="5"/>
        <v>0.72584090500531306</v>
      </c>
      <c r="H115" s="53">
        <v>36371</v>
      </c>
      <c r="I115">
        <v>-2.3E-2</v>
      </c>
      <c r="J115">
        <v>0.69500000000000028</v>
      </c>
    </row>
    <row r="116" spans="2:10">
      <c r="B116" s="17">
        <v>36403</v>
      </c>
      <c r="C116">
        <v>98.76</v>
      </c>
      <c r="D116">
        <f t="shared" si="3"/>
        <v>1.2399999999999949</v>
      </c>
      <c r="E116">
        <f t="shared" si="4"/>
        <v>0.61999999999999744</v>
      </c>
      <c r="F116" s="18">
        <f t="shared" si="5"/>
        <v>0.69567624707879816</v>
      </c>
      <c r="H116" s="53">
        <v>36403</v>
      </c>
      <c r="I116">
        <v>-0.123</v>
      </c>
      <c r="J116">
        <v>0.61999999999999744</v>
      </c>
    </row>
    <row r="117" spans="2:10">
      <c r="B117" s="17">
        <v>36433</v>
      </c>
      <c r="C117">
        <v>98.74</v>
      </c>
      <c r="D117">
        <f t="shared" si="3"/>
        <v>1.2600000000000051</v>
      </c>
      <c r="E117">
        <f t="shared" si="4"/>
        <v>0.63000000000000256</v>
      </c>
      <c r="F117" s="18">
        <f t="shared" si="5"/>
        <v>0.67695851666134144</v>
      </c>
      <c r="H117" s="53">
        <v>36433</v>
      </c>
      <c r="I117">
        <v>-0.98</v>
      </c>
      <c r="J117">
        <v>0.63000000000000256</v>
      </c>
    </row>
    <row r="118" spans="2:10">
      <c r="B118" s="17">
        <v>36462</v>
      </c>
      <c r="C118">
        <v>98.55</v>
      </c>
      <c r="D118">
        <f t="shared" si="3"/>
        <v>1.4500000000000028</v>
      </c>
      <c r="E118">
        <f t="shared" si="4"/>
        <v>0.72500000000000142</v>
      </c>
      <c r="F118" s="18">
        <f t="shared" si="5"/>
        <v>0.69065033941285947</v>
      </c>
      <c r="H118" s="53">
        <v>36462</v>
      </c>
      <c r="I118">
        <v>-0.97299999999999998</v>
      </c>
      <c r="J118">
        <v>0.72500000000000142</v>
      </c>
    </row>
    <row r="119" spans="2:10">
      <c r="B119" s="17">
        <v>36494</v>
      </c>
      <c r="C119">
        <v>98.45</v>
      </c>
      <c r="D119">
        <f t="shared" si="3"/>
        <v>1.5499999999999972</v>
      </c>
      <c r="E119">
        <f t="shared" si="4"/>
        <v>0.77499999999999858</v>
      </c>
      <c r="F119" s="18">
        <f t="shared" si="5"/>
        <v>0.71468999268019417</v>
      </c>
      <c r="H119" s="53">
        <v>36494</v>
      </c>
      <c r="I119">
        <v>-0.40300000000000002</v>
      </c>
      <c r="J119">
        <v>0.77499999999999858</v>
      </c>
    </row>
    <row r="120" spans="2:10">
      <c r="B120" s="17">
        <v>36525</v>
      </c>
      <c r="C120">
        <v>98.22</v>
      </c>
      <c r="D120">
        <f t="shared" si="3"/>
        <v>1.7800000000000011</v>
      </c>
      <c r="E120">
        <f t="shared" si="4"/>
        <v>0.89000000000000057</v>
      </c>
      <c r="F120" s="18">
        <f t="shared" si="5"/>
        <v>0.76465334476633906</v>
      </c>
      <c r="H120" s="53">
        <v>36525</v>
      </c>
      <c r="I120">
        <v>1.9E-2</v>
      </c>
      <c r="J120">
        <v>0.89000000000000057</v>
      </c>
    </row>
    <row r="121" spans="2:10">
      <c r="B121" s="17">
        <v>36556</v>
      </c>
      <c r="C121">
        <v>98.63</v>
      </c>
      <c r="D121">
        <f t="shared" si="3"/>
        <v>1.3700000000000045</v>
      </c>
      <c r="E121">
        <f t="shared" si="4"/>
        <v>0.68500000000000227</v>
      </c>
      <c r="F121" s="18">
        <f t="shared" si="5"/>
        <v>0.74195214150793309</v>
      </c>
      <c r="H121" s="53">
        <v>36556</v>
      </c>
      <c r="I121">
        <v>0.32700000000000001</v>
      </c>
      <c r="J121">
        <v>0.68500000000000227</v>
      </c>
    </row>
    <row r="122" spans="2:10">
      <c r="B122" s="17">
        <v>36585</v>
      </c>
      <c r="C122">
        <v>98.79</v>
      </c>
      <c r="D122">
        <f t="shared" si="3"/>
        <v>1.2099999999999937</v>
      </c>
      <c r="E122">
        <f t="shared" si="4"/>
        <v>0.60499999999999687</v>
      </c>
      <c r="F122" s="18">
        <f t="shared" si="5"/>
        <v>0.70292078117817125</v>
      </c>
      <c r="H122" s="53">
        <v>36585</v>
      </c>
      <c r="I122">
        <v>0.252</v>
      </c>
      <c r="J122">
        <v>0.60499999999999687</v>
      </c>
    </row>
    <row r="123" spans="2:10">
      <c r="B123" s="17">
        <v>36616</v>
      </c>
      <c r="C123">
        <v>98.28</v>
      </c>
      <c r="D123">
        <f t="shared" si="3"/>
        <v>1.7199999999999989</v>
      </c>
      <c r="E123">
        <f t="shared" si="4"/>
        <v>0.85999999999999943</v>
      </c>
      <c r="F123" s="18">
        <f t="shared" si="5"/>
        <v>0.74768835854239235</v>
      </c>
      <c r="H123" s="53">
        <v>36616</v>
      </c>
      <c r="I123">
        <v>-0.123</v>
      </c>
      <c r="J123">
        <v>0.85999999999999943</v>
      </c>
    </row>
    <row r="124" spans="2:10">
      <c r="B124" s="17">
        <v>36644</v>
      </c>
      <c r="C124">
        <v>98.77</v>
      </c>
      <c r="D124">
        <f t="shared" si="3"/>
        <v>1.230000000000004</v>
      </c>
      <c r="E124">
        <f t="shared" si="4"/>
        <v>0.61500000000000199</v>
      </c>
      <c r="F124" s="18">
        <f t="shared" si="5"/>
        <v>0.70987217635781108</v>
      </c>
      <c r="H124" s="53">
        <v>36644</v>
      </c>
      <c r="I124">
        <v>-0.71799999999999997</v>
      </c>
      <c r="J124">
        <v>0.61500000000000199</v>
      </c>
    </row>
    <row r="125" spans="2:10">
      <c r="B125" s="17">
        <v>36677</v>
      </c>
      <c r="C125">
        <v>99.08</v>
      </c>
      <c r="D125">
        <f t="shared" si="3"/>
        <v>0.92000000000000171</v>
      </c>
      <c r="E125">
        <f t="shared" si="4"/>
        <v>0.46000000000000085</v>
      </c>
      <c r="F125" s="18">
        <f t="shared" si="5"/>
        <v>0.63865860609583514</v>
      </c>
      <c r="H125" s="53">
        <v>36677</v>
      </c>
      <c r="I125">
        <v>-1.718</v>
      </c>
      <c r="J125">
        <v>0.46000000000000085</v>
      </c>
    </row>
    <row r="126" spans="2:10">
      <c r="B126" s="17">
        <v>36707</v>
      </c>
      <c r="C126">
        <v>98.78</v>
      </c>
      <c r="D126">
        <f t="shared" si="3"/>
        <v>1.2199999999999989</v>
      </c>
      <c r="E126">
        <f t="shared" si="4"/>
        <v>0.60999999999999943</v>
      </c>
      <c r="F126" s="18">
        <f t="shared" si="5"/>
        <v>0.63049090335852198</v>
      </c>
      <c r="H126" s="53">
        <v>36707</v>
      </c>
      <c r="I126">
        <v>-0.92100000000000004</v>
      </c>
      <c r="J126">
        <v>0.60999999999999943</v>
      </c>
    </row>
    <row r="127" spans="2:10">
      <c r="B127" s="17">
        <v>36738</v>
      </c>
      <c r="C127">
        <v>98.91</v>
      </c>
      <c r="D127">
        <f t="shared" si="3"/>
        <v>1.0900000000000034</v>
      </c>
      <c r="E127">
        <f t="shared" si="4"/>
        <v>0.54500000000000171</v>
      </c>
      <c r="F127" s="18">
        <f t="shared" si="5"/>
        <v>0.60612599590134364</v>
      </c>
      <c r="H127" s="53">
        <v>36738</v>
      </c>
      <c r="I127">
        <v>-0.246</v>
      </c>
      <c r="J127">
        <v>0.54500000000000171</v>
      </c>
    </row>
    <row r="128" spans="2:10">
      <c r="B128" s="17">
        <v>36769</v>
      </c>
      <c r="C128">
        <v>98.67</v>
      </c>
      <c r="D128">
        <f t="shared" si="3"/>
        <v>1.3299999999999983</v>
      </c>
      <c r="E128">
        <f t="shared" si="4"/>
        <v>0.66499999999999915</v>
      </c>
      <c r="F128" s="18">
        <f t="shared" si="5"/>
        <v>0.62290508706946046</v>
      </c>
      <c r="H128" s="53">
        <v>36769</v>
      </c>
      <c r="I128">
        <v>6.2E-2</v>
      </c>
      <c r="J128">
        <v>0.66499999999999915</v>
      </c>
    </row>
    <row r="129" spans="2:10">
      <c r="B129" s="17">
        <v>36798</v>
      </c>
      <c r="C129">
        <v>99.07</v>
      </c>
      <c r="D129">
        <f t="shared" si="3"/>
        <v>0.93000000000000682</v>
      </c>
      <c r="E129">
        <f t="shared" si="4"/>
        <v>0.46500000000000341</v>
      </c>
      <c r="F129" s="18">
        <f t="shared" si="5"/>
        <v>0.57790213725466522</v>
      </c>
      <c r="H129" s="53">
        <v>36798</v>
      </c>
      <c r="I129">
        <v>-0.497</v>
      </c>
      <c r="J129">
        <v>0.46500000000000341</v>
      </c>
    </row>
    <row r="130" spans="2:10">
      <c r="B130" s="17">
        <v>36830</v>
      </c>
      <c r="C130">
        <v>99.26</v>
      </c>
      <c r="D130">
        <f t="shared" si="3"/>
        <v>0.73999999999999488</v>
      </c>
      <c r="E130">
        <f t="shared" si="4"/>
        <v>0.36999999999999744</v>
      </c>
      <c r="F130" s="18">
        <f t="shared" si="5"/>
        <v>0.51865002813708494</v>
      </c>
      <c r="H130" s="53">
        <v>36830</v>
      </c>
      <c r="I130">
        <v>-0.48</v>
      </c>
      <c r="J130">
        <v>0.36999999999999744</v>
      </c>
    </row>
    <row r="131" spans="2:10">
      <c r="B131" s="17">
        <v>36860</v>
      </c>
      <c r="C131">
        <v>99.62</v>
      </c>
      <c r="D131">
        <f t="shared" ref="D131:D194" si="6">C131*(-1)+100</f>
        <v>0.37999999999999545</v>
      </c>
      <c r="E131">
        <f t="shared" ref="E131:E194" si="7">D131/2</f>
        <v>0.18999999999999773</v>
      </c>
      <c r="F131" s="18">
        <f t="shared" ref="F131:F194" si="8">$K$1*F130+(1-$K$1)*E131</f>
        <v>0.42498477011801505</v>
      </c>
      <c r="H131" s="53">
        <v>36860</v>
      </c>
      <c r="I131">
        <v>-1.3979999999999999</v>
      </c>
      <c r="J131">
        <v>0.18999999999999773</v>
      </c>
    </row>
    <row r="132" spans="2:10">
      <c r="B132" s="17">
        <v>36889</v>
      </c>
      <c r="C132">
        <v>99.47</v>
      </c>
      <c r="D132">
        <f t="shared" si="6"/>
        <v>0.53000000000000114</v>
      </c>
      <c r="E132">
        <f t="shared" si="7"/>
        <v>0.26500000000000057</v>
      </c>
      <c r="F132" s="18">
        <f t="shared" si="8"/>
        <v>0.37938911063438091</v>
      </c>
      <c r="H132" s="53">
        <v>36889</v>
      </c>
      <c r="I132">
        <v>-1.347</v>
      </c>
      <c r="J132">
        <v>0.26500000000000057</v>
      </c>
    </row>
    <row r="133" spans="2:10">
      <c r="B133" s="17">
        <v>36922</v>
      </c>
      <c r="C133">
        <v>99.22</v>
      </c>
      <c r="D133">
        <f t="shared" si="6"/>
        <v>0.78000000000000114</v>
      </c>
      <c r="E133">
        <f t="shared" si="7"/>
        <v>0.39000000000000057</v>
      </c>
      <c r="F133" s="18">
        <f t="shared" si="8"/>
        <v>0.38241321410358253</v>
      </c>
      <c r="H133" s="53">
        <v>36922</v>
      </c>
      <c r="I133">
        <v>-0.624</v>
      </c>
      <c r="J133">
        <v>0.39000000000000057</v>
      </c>
    </row>
    <row r="134" spans="2:10">
      <c r="B134" s="17">
        <v>36950</v>
      </c>
      <c r="C134">
        <v>99.84</v>
      </c>
      <c r="D134">
        <f t="shared" si="6"/>
        <v>0.15999999999999659</v>
      </c>
      <c r="E134">
        <f t="shared" si="7"/>
        <v>7.9999999999998295E-2</v>
      </c>
      <c r="F134" s="18">
        <f t="shared" si="8"/>
        <v>0.29622544808406104</v>
      </c>
      <c r="H134" s="53">
        <v>36950</v>
      </c>
      <c r="I134">
        <v>-0.76900000000000002</v>
      </c>
      <c r="J134">
        <v>7.9999999999998295E-2</v>
      </c>
    </row>
    <row r="135" spans="2:10">
      <c r="B135" s="17">
        <v>36980</v>
      </c>
      <c r="C135">
        <v>100.42</v>
      </c>
      <c r="D135">
        <f t="shared" si="6"/>
        <v>-0.42000000000000171</v>
      </c>
      <c r="E135">
        <f t="shared" si="7"/>
        <v>-0.21000000000000085</v>
      </c>
      <c r="F135" s="18">
        <f t="shared" si="8"/>
        <v>0.15195119538010338</v>
      </c>
      <c r="H135" s="53">
        <v>36980</v>
      </c>
      <c r="I135">
        <v>-1.456</v>
      </c>
      <c r="J135">
        <v>-0.21000000000000085</v>
      </c>
    </row>
    <row r="136" spans="2:10">
      <c r="B136" s="17">
        <v>37011</v>
      </c>
      <c r="C136">
        <v>100.05</v>
      </c>
      <c r="D136">
        <f t="shared" si="6"/>
        <v>-4.9999999999997158E-2</v>
      </c>
      <c r="E136">
        <f t="shared" si="7"/>
        <v>-2.4999999999998579E-2</v>
      </c>
      <c r="F136" s="18">
        <f t="shared" si="8"/>
        <v>0.10152010469677432</v>
      </c>
      <c r="H136" s="53">
        <v>37011</v>
      </c>
      <c r="I136">
        <v>-0.82199999999999995</v>
      </c>
      <c r="J136">
        <v>-2.4999999999998579E-2</v>
      </c>
    </row>
    <row r="137" spans="2:10">
      <c r="B137" s="17">
        <v>37042</v>
      </c>
      <c r="C137">
        <v>100.01</v>
      </c>
      <c r="D137">
        <f t="shared" si="6"/>
        <v>-1.0000000000005116E-2</v>
      </c>
      <c r="E137">
        <f t="shared" si="7"/>
        <v>-5.000000000002558E-3</v>
      </c>
      <c r="F137" s="18">
        <f t="shared" si="8"/>
        <v>7.1161874858192906E-2</v>
      </c>
      <c r="H137" s="53">
        <v>37042</v>
      </c>
      <c r="I137">
        <v>-0.437</v>
      </c>
      <c r="J137">
        <v>-5.000000000002558E-3</v>
      </c>
    </row>
    <row r="138" spans="2:10">
      <c r="B138" s="17">
        <v>37071</v>
      </c>
      <c r="C138">
        <v>100.2</v>
      </c>
      <c r="D138">
        <f t="shared" si="6"/>
        <v>-0.20000000000000284</v>
      </c>
      <c r="E138">
        <f t="shared" si="7"/>
        <v>-0.10000000000000142</v>
      </c>
      <c r="F138" s="18">
        <f t="shared" si="8"/>
        <v>2.2380740523607522E-2</v>
      </c>
      <c r="H138" s="53">
        <v>37071</v>
      </c>
      <c r="I138">
        <v>-4.0000000000000001E-3</v>
      </c>
      <c r="J138">
        <v>-0.10000000000000142</v>
      </c>
    </row>
    <row r="139" spans="2:10">
      <c r="B139" s="17">
        <v>37103</v>
      </c>
      <c r="C139">
        <v>100.11</v>
      </c>
      <c r="D139">
        <f t="shared" si="6"/>
        <v>-0.10999999999999943</v>
      </c>
      <c r="E139">
        <f t="shared" si="7"/>
        <v>-5.4999999999999716E-2</v>
      </c>
      <c r="F139" s="18">
        <f t="shared" si="8"/>
        <v>3.2722947437945418E-4</v>
      </c>
      <c r="H139" s="53">
        <v>37103</v>
      </c>
      <c r="I139">
        <v>-0.155</v>
      </c>
      <c r="J139">
        <v>-5.4999999999999716E-2</v>
      </c>
    </row>
    <row r="140" spans="2:10">
      <c r="B140" s="17">
        <v>37134</v>
      </c>
      <c r="C140">
        <v>100.29</v>
      </c>
      <c r="D140">
        <f t="shared" si="6"/>
        <v>-0.29000000000000625</v>
      </c>
      <c r="E140">
        <f t="shared" si="7"/>
        <v>-0.14500000000000313</v>
      </c>
      <c r="F140" s="18">
        <f t="shared" si="8"/>
        <v>-4.1091030925819588E-2</v>
      </c>
      <c r="H140" s="53">
        <v>37134</v>
      </c>
      <c r="I140">
        <v>-0.32500000000000001</v>
      </c>
      <c r="J140">
        <v>-0.14500000000000313</v>
      </c>
    </row>
    <row r="141" spans="2:10">
      <c r="B141" s="17">
        <v>37162</v>
      </c>
      <c r="C141">
        <v>100.84</v>
      </c>
      <c r="D141">
        <f t="shared" si="6"/>
        <v>-0.84000000000000341</v>
      </c>
      <c r="E141">
        <f t="shared" si="7"/>
        <v>-0.42000000000000171</v>
      </c>
      <c r="F141" s="18">
        <f t="shared" si="8"/>
        <v>-0.1490800871119615</v>
      </c>
      <c r="H141" s="53">
        <v>37162</v>
      </c>
      <c r="I141">
        <v>-1.3240000000000001</v>
      </c>
      <c r="J141">
        <v>-0.42000000000000171</v>
      </c>
    </row>
    <row r="142" spans="2:10">
      <c r="B142" s="17">
        <v>37195</v>
      </c>
      <c r="C142">
        <v>100.54</v>
      </c>
      <c r="D142">
        <f t="shared" si="6"/>
        <v>-0.54000000000000625</v>
      </c>
      <c r="E142">
        <f t="shared" si="7"/>
        <v>-0.27000000000000313</v>
      </c>
      <c r="F142" s="18">
        <f t="shared" si="8"/>
        <v>-0.18354226228505335</v>
      </c>
      <c r="H142" s="53">
        <v>37195</v>
      </c>
      <c r="I142">
        <v>-1.425</v>
      </c>
      <c r="J142">
        <v>-0.27000000000000313</v>
      </c>
    </row>
    <row r="143" spans="2:10">
      <c r="B143" s="17">
        <v>37225</v>
      </c>
      <c r="C143">
        <v>100.28</v>
      </c>
      <c r="D143">
        <f t="shared" si="6"/>
        <v>-0.28000000000000114</v>
      </c>
      <c r="E143">
        <f t="shared" si="7"/>
        <v>-0.14000000000000057</v>
      </c>
      <c r="F143" s="18">
        <f t="shared" si="8"/>
        <v>-0.17113271753381329</v>
      </c>
      <c r="H143" s="53">
        <v>37225</v>
      </c>
      <c r="I143">
        <v>-0.86399999999999999</v>
      </c>
      <c r="J143">
        <v>-0.14000000000000057</v>
      </c>
    </row>
    <row r="144" spans="2:10">
      <c r="B144" s="17">
        <v>37256</v>
      </c>
      <c r="C144">
        <v>100.36</v>
      </c>
      <c r="D144">
        <f t="shared" si="6"/>
        <v>-0.35999999999999943</v>
      </c>
      <c r="E144">
        <f t="shared" si="7"/>
        <v>-0.17999999999999972</v>
      </c>
      <c r="F144" s="18">
        <f t="shared" si="8"/>
        <v>-0.17365989303667642</v>
      </c>
      <c r="H144" s="53">
        <v>37256</v>
      </c>
      <c r="I144">
        <v>-0.65100000000000002</v>
      </c>
      <c r="J144">
        <v>-0.17999999999999972</v>
      </c>
    </row>
    <row r="145" spans="2:10">
      <c r="B145" s="17">
        <v>37287</v>
      </c>
      <c r="C145">
        <v>100.5</v>
      </c>
      <c r="D145">
        <f t="shared" si="6"/>
        <v>-0.5</v>
      </c>
      <c r="E145">
        <f t="shared" si="7"/>
        <v>-0.25</v>
      </c>
      <c r="F145" s="18">
        <f t="shared" si="8"/>
        <v>-0.19541682352122364</v>
      </c>
      <c r="H145" s="53">
        <v>37287</v>
      </c>
      <c r="I145">
        <v>-0.38200000000000001</v>
      </c>
      <c r="J145">
        <v>-0.25</v>
      </c>
    </row>
    <row r="146" spans="2:10">
      <c r="B146" s="17">
        <v>37315</v>
      </c>
      <c r="C146">
        <v>100.66</v>
      </c>
      <c r="D146">
        <f t="shared" si="6"/>
        <v>-0.65999999999999659</v>
      </c>
      <c r="E146">
        <f t="shared" si="7"/>
        <v>-0.32999999999999829</v>
      </c>
      <c r="F146" s="18">
        <f t="shared" si="8"/>
        <v>-0.23377302881767442</v>
      </c>
      <c r="H146" s="53">
        <v>37315</v>
      </c>
      <c r="I146">
        <v>-0.51</v>
      </c>
      <c r="J146">
        <v>-0.32999999999999829</v>
      </c>
    </row>
    <row r="147" spans="2:10">
      <c r="B147" s="17">
        <v>37344</v>
      </c>
      <c r="C147">
        <v>100.64</v>
      </c>
      <c r="D147">
        <f t="shared" si="6"/>
        <v>-0.64000000000000057</v>
      </c>
      <c r="E147">
        <f t="shared" si="7"/>
        <v>-0.32000000000000028</v>
      </c>
      <c r="F147" s="18">
        <f t="shared" si="8"/>
        <v>-0.25834771560463732</v>
      </c>
      <c r="H147" s="53">
        <v>37344</v>
      </c>
      <c r="I147">
        <v>-0.307</v>
      </c>
      <c r="J147">
        <v>-0.32000000000000028</v>
      </c>
    </row>
    <row r="148" spans="2:10">
      <c r="B148" s="17">
        <v>37376</v>
      </c>
      <c r="C148">
        <v>100.84</v>
      </c>
      <c r="D148">
        <f t="shared" si="6"/>
        <v>-0.84000000000000341</v>
      </c>
      <c r="E148">
        <f t="shared" si="7"/>
        <v>-0.42000000000000171</v>
      </c>
      <c r="F148" s="18">
        <f t="shared" si="8"/>
        <v>-0.30441861665731618</v>
      </c>
      <c r="H148" s="53">
        <v>37376</v>
      </c>
      <c r="I148">
        <v>-0.53700000000000003</v>
      </c>
      <c r="J148">
        <v>-0.42000000000000171</v>
      </c>
    </row>
    <row r="149" spans="2:10">
      <c r="B149" s="17">
        <v>37407</v>
      </c>
      <c r="C149">
        <v>100.85</v>
      </c>
      <c r="D149">
        <f t="shared" si="6"/>
        <v>-0.84999999999999432</v>
      </c>
      <c r="E149">
        <f t="shared" si="7"/>
        <v>-0.42499999999999716</v>
      </c>
      <c r="F149" s="18">
        <f t="shared" si="8"/>
        <v>-0.33878431090998029</v>
      </c>
      <c r="H149" s="53">
        <v>37407</v>
      </c>
      <c r="I149">
        <v>-0.38300000000000001</v>
      </c>
      <c r="J149">
        <v>-0.42499999999999716</v>
      </c>
    </row>
    <row r="150" spans="2:10">
      <c r="B150" s="17">
        <v>37435</v>
      </c>
      <c r="C150">
        <v>101.14</v>
      </c>
      <c r="D150">
        <f t="shared" si="6"/>
        <v>-1.1400000000000006</v>
      </c>
      <c r="E150">
        <f t="shared" si="7"/>
        <v>-0.57000000000000028</v>
      </c>
      <c r="F150" s="18">
        <f t="shared" si="8"/>
        <v>-0.40468078230063598</v>
      </c>
      <c r="H150" s="53">
        <v>37435</v>
      </c>
      <c r="I150">
        <v>-0.96599999999999997</v>
      </c>
      <c r="J150">
        <v>-0.57000000000000028</v>
      </c>
    </row>
    <row r="151" spans="2:10">
      <c r="B151" s="17">
        <v>37468</v>
      </c>
      <c r="C151">
        <v>101.75</v>
      </c>
      <c r="D151">
        <f t="shared" si="6"/>
        <v>-1.75</v>
      </c>
      <c r="E151">
        <f t="shared" si="7"/>
        <v>-0.875</v>
      </c>
      <c r="F151" s="18">
        <f t="shared" si="8"/>
        <v>-0.5387217593449547</v>
      </c>
      <c r="H151" s="53">
        <v>37468</v>
      </c>
      <c r="I151">
        <v>-1.667</v>
      </c>
      <c r="J151">
        <v>-0.875</v>
      </c>
    </row>
    <row r="152" spans="2:10">
      <c r="B152" s="17">
        <v>37498</v>
      </c>
      <c r="C152">
        <v>101.47</v>
      </c>
      <c r="D152">
        <f t="shared" si="6"/>
        <v>-1.4699999999999989</v>
      </c>
      <c r="E152">
        <f t="shared" si="7"/>
        <v>-0.73499999999999943</v>
      </c>
      <c r="F152" s="18">
        <f t="shared" si="8"/>
        <v>-0.59466105793164248</v>
      </c>
      <c r="H152" s="53">
        <v>37498</v>
      </c>
      <c r="I152">
        <v>-1.7130000000000001</v>
      </c>
      <c r="J152">
        <v>-0.73499999999999943</v>
      </c>
    </row>
    <row r="153" spans="2:10">
      <c r="B153" s="17">
        <v>37529</v>
      </c>
      <c r="C153">
        <v>102.11</v>
      </c>
      <c r="D153">
        <f t="shared" si="6"/>
        <v>-2.1099999999999994</v>
      </c>
      <c r="E153">
        <f t="shared" si="7"/>
        <v>-1.0549999999999997</v>
      </c>
      <c r="F153" s="18">
        <f t="shared" si="8"/>
        <v>-0.72585765642112432</v>
      </c>
      <c r="H153" s="53">
        <v>37529</v>
      </c>
      <c r="I153">
        <v>-2.5739999999999998</v>
      </c>
      <c r="J153">
        <v>-1.0549999999999997</v>
      </c>
    </row>
    <row r="154" spans="2:10">
      <c r="B154" s="17">
        <v>37560</v>
      </c>
      <c r="C154">
        <v>101.8</v>
      </c>
      <c r="D154">
        <f t="shared" si="6"/>
        <v>-1.7999999999999972</v>
      </c>
      <c r="E154">
        <f t="shared" si="7"/>
        <v>-0.89999999999999858</v>
      </c>
      <c r="F154" s="18">
        <f t="shared" si="8"/>
        <v>-0.77548822434110354</v>
      </c>
      <c r="H154" s="53">
        <v>37560</v>
      </c>
      <c r="I154">
        <v>-2.169</v>
      </c>
      <c r="J154">
        <v>-0.89999999999999858</v>
      </c>
    </row>
    <row r="155" spans="2:10">
      <c r="B155" s="17">
        <v>37589</v>
      </c>
      <c r="C155">
        <v>101.36</v>
      </c>
      <c r="D155">
        <f t="shared" si="6"/>
        <v>-1.3599999999999994</v>
      </c>
      <c r="E155">
        <f t="shared" si="7"/>
        <v>-0.67999999999999972</v>
      </c>
      <c r="F155" s="18">
        <f t="shared" si="8"/>
        <v>-0.74827408040388899</v>
      </c>
      <c r="H155" s="53">
        <v>37589</v>
      </c>
      <c r="I155">
        <v>-1.4279999999999999</v>
      </c>
      <c r="J155">
        <v>-0.67999999999999972</v>
      </c>
    </row>
    <row r="156" spans="2:10">
      <c r="B156" s="17">
        <v>37621</v>
      </c>
      <c r="C156">
        <v>101.38</v>
      </c>
      <c r="D156">
        <f t="shared" si="6"/>
        <v>-1.3799999999999955</v>
      </c>
      <c r="E156">
        <f t="shared" si="7"/>
        <v>-0.68999999999999773</v>
      </c>
      <c r="F156" s="18">
        <f t="shared" si="8"/>
        <v>-0.73166596748877999</v>
      </c>
      <c r="H156" s="53">
        <v>37621</v>
      </c>
      <c r="I156">
        <v>-1.4490000000000001</v>
      </c>
      <c r="J156">
        <v>-0.68999999999999773</v>
      </c>
    </row>
    <row r="157" spans="2:10">
      <c r="B157" s="17">
        <v>37652</v>
      </c>
      <c r="C157">
        <v>101.54</v>
      </c>
      <c r="D157">
        <f t="shared" si="6"/>
        <v>-1.5400000000000063</v>
      </c>
      <c r="E157">
        <f t="shared" si="7"/>
        <v>-0.77000000000000313</v>
      </c>
      <c r="F157" s="18">
        <f t="shared" si="8"/>
        <v>-0.74259116675447856</v>
      </c>
      <c r="H157" s="53">
        <v>37652</v>
      </c>
      <c r="I157">
        <v>-1.3959999999999999</v>
      </c>
      <c r="J157">
        <v>-0.77000000000000313</v>
      </c>
    </row>
    <row r="158" spans="2:10">
      <c r="B158" s="17">
        <v>37680</v>
      </c>
      <c r="C158">
        <v>101.51</v>
      </c>
      <c r="D158">
        <f t="shared" si="6"/>
        <v>-1.5100000000000051</v>
      </c>
      <c r="E158">
        <f t="shared" si="7"/>
        <v>-0.75500000000000256</v>
      </c>
      <c r="F158" s="18">
        <f t="shared" si="8"/>
        <v>-0.74612768422945297</v>
      </c>
      <c r="H158" s="53">
        <v>37680</v>
      </c>
      <c r="I158">
        <v>-1.3420000000000001</v>
      </c>
      <c r="J158">
        <v>-0.75500000000000256</v>
      </c>
    </row>
    <row r="159" spans="2:10">
      <c r="B159" s="17">
        <v>37711</v>
      </c>
      <c r="C159">
        <v>101.47</v>
      </c>
      <c r="D159">
        <f t="shared" si="6"/>
        <v>-1.4699999999999989</v>
      </c>
      <c r="E159">
        <f t="shared" si="7"/>
        <v>-0.73499999999999943</v>
      </c>
      <c r="F159" s="18">
        <f t="shared" si="8"/>
        <v>-0.74295629422405873</v>
      </c>
      <c r="H159" s="53">
        <v>37711</v>
      </c>
      <c r="I159">
        <v>-1.204</v>
      </c>
      <c r="J159">
        <v>-0.73499999999999943</v>
      </c>
    </row>
    <row r="160" spans="2:10">
      <c r="B160" s="17">
        <v>37741</v>
      </c>
      <c r="C160">
        <v>100.8</v>
      </c>
      <c r="D160">
        <f t="shared" si="6"/>
        <v>-0.79999999999999716</v>
      </c>
      <c r="E160">
        <f t="shared" si="7"/>
        <v>-0.39999999999999858</v>
      </c>
      <c r="F160" s="18">
        <f t="shared" si="8"/>
        <v>-0.64521375037020157</v>
      </c>
      <c r="H160" s="53">
        <v>37741</v>
      </c>
      <c r="I160">
        <v>-0.58899999999999997</v>
      </c>
      <c r="J160">
        <v>-0.39999999999999858</v>
      </c>
    </row>
    <row r="161" spans="2:10">
      <c r="B161" s="17">
        <v>37771</v>
      </c>
      <c r="C161">
        <v>100.23</v>
      </c>
      <c r="D161">
        <f t="shared" si="6"/>
        <v>-0.23000000000000398</v>
      </c>
      <c r="E161">
        <f t="shared" si="7"/>
        <v>-0.11500000000000199</v>
      </c>
      <c r="F161" s="18">
        <f t="shared" si="8"/>
        <v>-0.49410283151469464</v>
      </c>
      <c r="H161" s="53">
        <v>37771</v>
      </c>
      <c r="I161">
        <v>-0.53600000000000003</v>
      </c>
      <c r="J161">
        <v>-0.11500000000000199</v>
      </c>
    </row>
    <row r="162" spans="2:10">
      <c r="B162" s="17">
        <v>37802</v>
      </c>
      <c r="C162">
        <v>100.25</v>
      </c>
      <c r="D162">
        <f t="shared" si="6"/>
        <v>-0.25</v>
      </c>
      <c r="E162">
        <f t="shared" si="7"/>
        <v>-0.125</v>
      </c>
      <c r="F162" s="18">
        <f t="shared" si="8"/>
        <v>-0.38890852453300667</v>
      </c>
      <c r="H162" s="53">
        <v>37802</v>
      </c>
      <c r="I162">
        <v>-0.52700000000000002</v>
      </c>
      <c r="J162">
        <v>-0.125</v>
      </c>
    </row>
    <row r="163" spans="2:10">
      <c r="B163" s="17">
        <v>37833</v>
      </c>
      <c r="C163">
        <v>100.7</v>
      </c>
      <c r="D163">
        <f t="shared" si="6"/>
        <v>-0.70000000000000284</v>
      </c>
      <c r="E163">
        <f t="shared" si="7"/>
        <v>-0.35000000000000142</v>
      </c>
      <c r="F163" s="18">
        <f t="shared" si="8"/>
        <v>-0.37781959504110019</v>
      </c>
      <c r="H163" s="53">
        <v>37833</v>
      </c>
      <c r="I163">
        <v>-0.189</v>
      </c>
      <c r="J163">
        <v>-0.35000000000000142</v>
      </c>
    </row>
    <row r="164" spans="2:10">
      <c r="B164" s="17">
        <v>37862</v>
      </c>
      <c r="C164">
        <v>100.59</v>
      </c>
      <c r="D164">
        <f t="shared" si="6"/>
        <v>-0.59000000000000341</v>
      </c>
      <c r="E164">
        <f t="shared" si="7"/>
        <v>-0.29500000000000171</v>
      </c>
      <c r="F164" s="18">
        <f t="shared" si="8"/>
        <v>-0.35421601045438711</v>
      </c>
      <c r="H164" s="53">
        <v>37862</v>
      </c>
      <c r="I164">
        <v>-6.9000000000000006E-2</v>
      </c>
      <c r="J164">
        <v>-0.29500000000000171</v>
      </c>
    </row>
    <row r="165" spans="2:10">
      <c r="B165" s="17">
        <v>37894</v>
      </c>
      <c r="C165">
        <v>100.3</v>
      </c>
      <c r="D165">
        <f t="shared" si="6"/>
        <v>-0.29999999999999716</v>
      </c>
      <c r="E165">
        <f t="shared" si="7"/>
        <v>-0.14999999999999858</v>
      </c>
      <c r="F165" s="18">
        <f t="shared" si="8"/>
        <v>-0.29601444747488637</v>
      </c>
      <c r="H165" s="53">
        <v>37894</v>
      </c>
      <c r="I165">
        <v>-0.34899999999999998</v>
      </c>
      <c r="J165">
        <v>-0.14999999999999858</v>
      </c>
    </row>
    <row r="166" spans="2:10">
      <c r="B166" s="17">
        <v>37925</v>
      </c>
      <c r="C166">
        <v>100.13</v>
      </c>
      <c r="D166">
        <f t="shared" si="6"/>
        <v>-0.12999999999999545</v>
      </c>
      <c r="E166">
        <f t="shared" si="7"/>
        <v>-6.4999999999997726E-2</v>
      </c>
      <c r="F166" s="18">
        <f t="shared" si="8"/>
        <v>-0.23017532994454309</v>
      </c>
      <c r="H166" s="53">
        <v>37925</v>
      </c>
      <c r="I166">
        <v>0.159</v>
      </c>
      <c r="J166">
        <v>-6.4999999999997726E-2</v>
      </c>
    </row>
    <row r="167" spans="2:10">
      <c r="B167" s="17">
        <v>37953</v>
      </c>
      <c r="C167">
        <v>100.05</v>
      </c>
      <c r="D167">
        <f t="shared" si="6"/>
        <v>-4.9999999999997158E-2</v>
      </c>
      <c r="E167">
        <f t="shared" si="7"/>
        <v>-2.4999999999998579E-2</v>
      </c>
      <c r="F167" s="18">
        <f t="shared" si="8"/>
        <v>-0.1717003609103479</v>
      </c>
      <c r="H167" s="53">
        <v>37953</v>
      </c>
      <c r="I167">
        <v>0.23599999999999999</v>
      </c>
      <c r="J167">
        <v>-2.4999999999998579E-2</v>
      </c>
    </row>
    <row r="168" spans="2:10">
      <c r="B168" s="17">
        <v>37986</v>
      </c>
      <c r="C168">
        <v>99.68</v>
      </c>
      <c r="D168">
        <f t="shared" si="6"/>
        <v>0.31999999999999318</v>
      </c>
      <c r="E168">
        <f t="shared" si="7"/>
        <v>0.15999999999999659</v>
      </c>
      <c r="F168" s="18">
        <f t="shared" si="8"/>
        <v>-7.7165758050899716E-2</v>
      </c>
      <c r="H168" s="53">
        <v>37986</v>
      </c>
      <c r="I168">
        <v>0.28399999999999997</v>
      </c>
      <c r="J168">
        <v>0.15999999999999659</v>
      </c>
    </row>
    <row r="169" spans="2:10">
      <c r="B169" s="17">
        <v>38016</v>
      </c>
      <c r="C169">
        <v>99.56</v>
      </c>
      <c r="D169">
        <f t="shared" si="6"/>
        <v>0.43999999999999773</v>
      </c>
      <c r="E169">
        <f t="shared" si="7"/>
        <v>0.21999999999999886</v>
      </c>
      <c r="F169" s="18">
        <f t="shared" si="8"/>
        <v>7.5264829936063926E-3</v>
      </c>
      <c r="H169" s="53">
        <v>38016</v>
      </c>
      <c r="I169">
        <v>0.39600000000000002</v>
      </c>
      <c r="J169">
        <v>0.21999999999999886</v>
      </c>
    </row>
    <row r="170" spans="2:10">
      <c r="B170" s="17">
        <v>38044</v>
      </c>
      <c r="C170">
        <v>99.53</v>
      </c>
      <c r="D170">
        <f t="shared" si="6"/>
        <v>0.46999999999999886</v>
      </c>
      <c r="E170">
        <f t="shared" si="7"/>
        <v>0.23499999999999943</v>
      </c>
      <c r="F170" s="18">
        <f t="shared" si="8"/>
        <v>7.2356435340428404E-2</v>
      </c>
      <c r="H170" s="53">
        <v>38044</v>
      </c>
      <c r="I170">
        <v>0.53600000000000003</v>
      </c>
      <c r="J170">
        <v>0.23499999999999943</v>
      </c>
    </row>
    <row r="171" spans="2:10">
      <c r="B171" s="17">
        <v>38077</v>
      </c>
      <c r="C171">
        <v>99.57</v>
      </c>
      <c r="D171">
        <f t="shared" si="6"/>
        <v>0.43000000000000682</v>
      </c>
      <c r="E171">
        <f t="shared" si="7"/>
        <v>0.21500000000000341</v>
      </c>
      <c r="F171" s="18">
        <f t="shared" si="8"/>
        <v>0.11300985126840729</v>
      </c>
      <c r="H171" s="53">
        <v>38077</v>
      </c>
      <c r="I171">
        <v>0.3</v>
      </c>
      <c r="J171">
        <v>0.21500000000000341</v>
      </c>
    </row>
    <row r="172" spans="2:10">
      <c r="B172" s="17">
        <v>38107</v>
      </c>
      <c r="C172">
        <v>100.09</v>
      </c>
      <c r="D172">
        <f t="shared" si="6"/>
        <v>-9.0000000000003411E-2</v>
      </c>
      <c r="E172">
        <f t="shared" si="7"/>
        <v>-4.5000000000001705E-2</v>
      </c>
      <c r="F172" s="18">
        <f t="shared" si="8"/>
        <v>6.7977043656910721E-2</v>
      </c>
      <c r="H172" s="53">
        <v>38107</v>
      </c>
      <c r="I172">
        <v>0.33</v>
      </c>
      <c r="J172">
        <v>-4.5000000000001705E-2</v>
      </c>
    </row>
    <row r="173" spans="2:10">
      <c r="B173" s="17">
        <v>38138</v>
      </c>
      <c r="C173">
        <v>100.1</v>
      </c>
      <c r="D173">
        <f t="shared" si="6"/>
        <v>-9.9999999999994316E-2</v>
      </c>
      <c r="E173">
        <f t="shared" si="7"/>
        <v>-4.9999999999997158E-2</v>
      </c>
      <c r="F173" s="18">
        <f t="shared" si="8"/>
        <v>3.4353586214691971E-2</v>
      </c>
      <c r="H173" s="53">
        <v>38138</v>
      </c>
      <c r="I173">
        <v>0.34699999999999998</v>
      </c>
      <c r="J173">
        <v>-4.9999999999997158E-2</v>
      </c>
    </row>
    <row r="174" spans="2:10">
      <c r="B174" s="17">
        <v>38168</v>
      </c>
      <c r="C174">
        <v>100.03</v>
      </c>
      <c r="D174">
        <f t="shared" si="6"/>
        <v>-3.0000000000001137E-2</v>
      </c>
      <c r="E174">
        <f t="shared" si="7"/>
        <v>-1.5000000000000568E-2</v>
      </c>
      <c r="F174" s="18">
        <f t="shared" si="8"/>
        <v>2.0287814143504598E-2</v>
      </c>
      <c r="H174" s="53">
        <v>38168</v>
      </c>
      <c r="I174">
        <v>0.215</v>
      </c>
      <c r="J174">
        <v>-1.5000000000000568E-2</v>
      </c>
    </row>
    <row r="175" spans="2:10">
      <c r="B175" s="17">
        <v>38198</v>
      </c>
      <c r="C175">
        <v>100.22</v>
      </c>
      <c r="D175">
        <f t="shared" si="6"/>
        <v>-0.21999999999999886</v>
      </c>
      <c r="E175">
        <f t="shared" si="7"/>
        <v>-0.10999999999999943</v>
      </c>
      <c r="F175" s="18">
        <f t="shared" si="8"/>
        <v>-1.6844212887394058E-2</v>
      </c>
      <c r="H175" s="53">
        <v>38198</v>
      </c>
      <c r="I175">
        <v>0.3</v>
      </c>
      <c r="J175">
        <v>-0.10999999999999943</v>
      </c>
    </row>
    <row r="176" spans="2:10">
      <c r="B176" s="17">
        <v>38230</v>
      </c>
      <c r="C176">
        <v>100.03</v>
      </c>
      <c r="D176">
        <f t="shared" si="6"/>
        <v>-3.0000000000001137E-2</v>
      </c>
      <c r="E176">
        <f t="shared" si="7"/>
        <v>-1.5000000000000568E-2</v>
      </c>
      <c r="F176" s="18">
        <f t="shared" si="8"/>
        <v>-1.6318612214486914E-2</v>
      </c>
      <c r="H176" s="53">
        <v>38230</v>
      </c>
      <c r="I176">
        <v>0.318</v>
      </c>
      <c r="J176">
        <v>-1.5000000000000568E-2</v>
      </c>
    </row>
    <row r="177" spans="2:10">
      <c r="B177" s="17">
        <v>38260</v>
      </c>
      <c r="C177">
        <v>99.92</v>
      </c>
      <c r="D177">
        <f t="shared" si="6"/>
        <v>7.9999999999998295E-2</v>
      </c>
      <c r="E177">
        <f t="shared" si="7"/>
        <v>3.9999999999999147E-2</v>
      </c>
      <c r="F177" s="18">
        <f t="shared" si="8"/>
        <v>-2.6780773335838629E-4</v>
      </c>
      <c r="H177" s="53">
        <v>38260</v>
      </c>
      <c r="I177">
        <v>0.35299999999999998</v>
      </c>
      <c r="J177">
        <v>3.9999999999999147E-2</v>
      </c>
    </row>
    <row r="178" spans="2:10">
      <c r="B178" s="17">
        <v>38289</v>
      </c>
      <c r="C178">
        <v>99.73</v>
      </c>
      <c r="D178">
        <f t="shared" si="6"/>
        <v>0.26999999999999602</v>
      </c>
      <c r="E178">
        <f t="shared" si="7"/>
        <v>0.13499999999999801</v>
      </c>
      <c r="F178" s="18">
        <f t="shared" si="8"/>
        <v>3.8283517470648197E-2</v>
      </c>
      <c r="H178" s="53">
        <v>38289</v>
      </c>
      <c r="I178">
        <v>0.27200000000000002</v>
      </c>
      <c r="J178">
        <v>0.13499999999999801</v>
      </c>
    </row>
    <row r="179" spans="2:10">
      <c r="B179" s="17">
        <v>38321</v>
      </c>
      <c r="C179">
        <v>99.48</v>
      </c>
      <c r="D179">
        <f t="shared" si="6"/>
        <v>0.51999999999999602</v>
      </c>
      <c r="E179">
        <f t="shared" si="7"/>
        <v>0.25999999999999801</v>
      </c>
      <c r="F179" s="18">
        <f t="shared" si="8"/>
        <v>0.10147271499151291</v>
      </c>
      <c r="H179" s="53">
        <v>38321</v>
      </c>
      <c r="I179">
        <v>0.65600000000000003</v>
      </c>
      <c r="J179">
        <v>0.25999999999999801</v>
      </c>
    </row>
    <row r="180" spans="2:10">
      <c r="B180" s="17">
        <v>38352</v>
      </c>
      <c r="C180">
        <v>99.26</v>
      </c>
      <c r="D180">
        <f t="shared" si="6"/>
        <v>0.73999999999999488</v>
      </c>
      <c r="E180">
        <f t="shared" si="7"/>
        <v>0.36999999999999744</v>
      </c>
      <c r="F180" s="18">
        <f t="shared" si="8"/>
        <v>0.17800299121893098</v>
      </c>
      <c r="H180" s="53">
        <v>38352</v>
      </c>
      <c r="I180">
        <v>0.54</v>
      </c>
      <c r="J180">
        <v>0.36999999999999744</v>
      </c>
    </row>
    <row r="181" spans="2:10">
      <c r="B181" s="17">
        <v>38383</v>
      </c>
      <c r="C181">
        <v>99.42</v>
      </c>
      <c r="D181">
        <f t="shared" si="6"/>
        <v>0.57999999999999829</v>
      </c>
      <c r="E181">
        <f t="shared" si="7"/>
        <v>0.28999999999999915</v>
      </c>
      <c r="F181" s="18">
        <f t="shared" si="8"/>
        <v>0.20992213872153542</v>
      </c>
      <c r="H181" s="53">
        <v>38383</v>
      </c>
      <c r="I181">
        <v>0.55300000000000005</v>
      </c>
      <c r="J181">
        <v>0.28999999999999915</v>
      </c>
    </row>
    <row r="182" spans="2:10">
      <c r="B182" s="17">
        <v>38411</v>
      </c>
      <c r="C182">
        <v>99.36</v>
      </c>
      <c r="D182">
        <f t="shared" si="6"/>
        <v>0.64000000000000057</v>
      </c>
      <c r="E182">
        <f t="shared" si="7"/>
        <v>0.32000000000000028</v>
      </c>
      <c r="F182" s="18">
        <f t="shared" si="8"/>
        <v>0.24129432918589791</v>
      </c>
      <c r="H182" s="53">
        <v>38411</v>
      </c>
      <c r="I182">
        <v>0.85399999999999998</v>
      </c>
      <c r="J182">
        <v>0.32000000000000028</v>
      </c>
    </row>
    <row r="183" spans="2:10">
      <c r="B183" s="17">
        <v>38442</v>
      </c>
      <c r="C183">
        <v>99.66</v>
      </c>
      <c r="D183">
        <f t="shared" si="6"/>
        <v>0.34000000000000341</v>
      </c>
      <c r="E183">
        <f t="shared" si="7"/>
        <v>0.17000000000000171</v>
      </c>
      <c r="F183" s="18">
        <f t="shared" si="8"/>
        <v>0.22097544536791749</v>
      </c>
      <c r="H183" s="53">
        <v>38442</v>
      </c>
      <c r="I183">
        <v>0.33</v>
      </c>
      <c r="J183">
        <v>0.17000000000000171</v>
      </c>
    </row>
    <row r="184" spans="2:10">
      <c r="B184" s="17">
        <v>38471</v>
      </c>
      <c r="C184">
        <v>99.74</v>
      </c>
      <c r="D184">
        <f t="shared" si="6"/>
        <v>0.26000000000000512</v>
      </c>
      <c r="E184">
        <f t="shared" si="7"/>
        <v>0.13000000000000256</v>
      </c>
      <c r="F184" s="18">
        <f t="shared" si="8"/>
        <v>0.19504744343806174</v>
      </c>
      <c r="H184" s="53">
        <v>38471</v>
      </c>
      <c r="I184">
        <v>0.18099999999999999</v>
      </c>
      <c r="J184">
        <v>0.13000000000000256</v>
      </c>
    </row>
    <row r="185" spans="2:10">
      <c r="B185" s="17">
        <v>38503</v>
      </c>
      <c r="C185">
        <v>99.64</v>
      </c>
      <c r="D185">
        <f t="shared" si="6"/>
        <v>0.35999999999999943</v>
      </c>
      <c r="E185">
        <f t="shared" si="7"/>
        <v>0.17999999999999972</v>
      </c>
      <c r="F185" s="18">
        <f t="shared" si="8"/>
        <v>0.19075892205821407</v>
      </c>
      <c r="H185" s="53">
        <v>38503</v>
      </c>
      <c r="I185">
        <v>0.23899999999999999</v>
      </c>
      <c r="J185">
        <v>0.17999999999999972</v>
      </c>
    </row>
    <row r="186" spans="2:10">
      <c r="B186" s="17">
        <v>38533</v>
      </c>
      <c r="C186">
        <v>99.43</v>
      </c>
      <c r="D186">
        <f t="shared" si="6"/>
        <v>0.56999999999999318</v>
      </c>
      <c r="E186">
        <f t="shared" si="7"/>
        <v>0.28499999999999659</v>
      </c>
      <c r="F186" s="18">
        <f t="shared" si="8"/>
        <v>0.21761762927162209</v>
      </c>
      <c r="H186" s="53">
        <v>38533</v>
      </c>
      <c r="I186">
        <v>0.26300000000000001</v>
      </c>
      <c r="J186">
        <v>0.28499999999999659</v>
      </c>
    </row>
    <row r="187" spans="2:10">
      <c r="B187" s="17">
        <v>38562</v>
      </c>
      <c r="C187">
        <v>99.37</v>
      </c>
      <c r="D187">
        <f t="shared" si="6"/>
        <v>0.62999999999999545</v>
      </c>
      <c r="E187">
        <f t="shared" si="7"/>
        <v>0.31499999999999773</v>
      </c>
      <c r="F187" s="18">
        <f t="shared" si="8"/>
        <v>0.24537160492920915</v>
      </c>
      <c r="H187" s="53">
        <v>38562</v>
      </c>
      <c r="I187">
        <v>0.60599999999999998</v>
      </c>
      <c r="J187">
        <v>0.31499999999999773</v>
      </c>
    </row>
    <row r="188" spans="2:10">
      <c r="B188" s="17">
        <v>38595</v>
      </c>
      <c r="C188">
        <v>99.34</v>
      </c>
      <c r="D188">
        <f t="shared" si="6"/>
        <v>0.65999999999999659</v>
      </c>
      <c r="E188">
        <f t="shared" si="7"/>
        <v>0.32999999999999829</v>
      </c>
      <c r="F188" s="18">
        <f t="shared" si="8"/>
        <v>0.26949069752438404</v>
      </c>
      <c r="H188" s="53">
        <v>38595</v>
      </c>
      <c r="I188">
        <v>0.32200000000000001</v>
      </c>
      <c r="J188">
        <v>0.32999999999999829</v>
      </c>
    </row>
    <row r="189" spans="2:10">
      <c r="B189" s="17">
        <v>38625</v>
      </c>
      <c r="C189">
        <v>99.53</v>
      </c>
      <c r="D189">
        <f t="shared" si="6"/>
        <v>0.46999999999999886</v>
      </c>
      <c r="E189">
        <f t="shared" si="7"/>
        <v>0.23499999999999943</v>
      </c>
      <c r="F189" s="18">
        <f t="shared" si="8"/>
        <v>0.25966084872993445</v>
      </c>
      <c r="H189" s="53">
        <v>38625</v>
      </c>
      <c r="I189">
        <v>0.29199999999999998</v>
      </c>
      <c r="J189">
        <v>0.23499999999999943</v>
      </c>
    </row>
    <row r="190" spans="2:10">
      <c r="B190" s="17">
        <v>38656</v>
      </c>
      <c r="C190">
        <v>99.82</v>
      </c>
      <c r="D190">
        <f t="shared" si="6"/>
        <v>0.18000000000000682</v>
      </c>
      <c r="E190">
        <f t="shared" si="7"/>
        <v>9.0000000000003411E-2</v>
      </c>
      <c r="F190" s="18">
        <f t="shared" si="8"/>
        <v>0.21130750684190411</v>
      </c>
      <c r="H190" s="53">
        <v>38656</v>
      </c>
      <c r="I190">
        <v>0.26800000000000002</v>
      </c>
      <c r="J190">
        <v>9.0000000000003411E-2</v>
      </c>
    </row>
    <row r="191" spans="2:10">
      <c r="B191" s="17">
        <v>38686</v>
      </c>
      <c r="C191">
        <v>99.7</v>
      </c>
      <c r="D191">
        <f t="shared" si="6"/>
        <v>0.29999999999999716</v>
      </c>
      <c r="E191">
        <f t="shared" si="7"/>
        <v>0.14999999999999858</v>
      </c>
      <c r="F191" s="18">
        <f t="shared" si="8"/>
        <v>0.19383486739196101</v>
      </c>
      <c r="H191" s="53">
        <v>38686</v>
      </c>
      <c r="I191">
        <v>0.255</v>
      </c>
      <c r="J191">
        <v>0.14999999999999858</v>
      </c>
    </row>
    <row r="192" spans="2:10">
      <c r="B192" s="17">
        <v>38716</v>
      </c>
      <c r="C192">
        <v>99.67</v>
      </c>
      <c r="D192">
        <f t="shared" si="6"/>
        <v>0.32999999999999829</v>
      </c>
      <c r="E192">
        <f t="shared" si="7"/>
        <v>0.16499999999999915</v>
      </c>
      <c r="F192" s="18">
        <f t="shared" si="8"/>
        <v>0.18561693018525188</v>
      </c>
      <c r="H192" s="53">
        <v>38716</v>
      </c>
      <c r="I192">
        <v>0.33900000000000002</v>
      </c>
      <c r="J192">
        <v>0.16499999999999915</v>
      </c>
    </row>
    <row r="193" spans="2:10">
      <c r="B193" s="17">
        <v>38748</v>
      </c>
      <c r="C193">
        <v>99.54</v>
      </c>
      <c r="D193">
        <f t="shared" si="6"/>
        <v>0.45999999999999375</v>
      </c>
      <c r="E193">
        <f t="shared" si="7"/>
        <v>0.22999999999999687</v>
      </c>
      <c r="F193" s="18">
        <f t="shared" si="8"/>
        <v>0.19826610508245424</v>
      </c>
      <c r="H193" s="53">
        <v>38748</v>
      </c>
      <c r="I193">
        <v>0.69</v>
      </c>
      <c r="J193">
        <v>0.22999999999999687</v>
      </c>
    </row>
    <row r="194" spans="2:10">
      <c r="B194" s="17">
        <v>38776</v>
      </c>
      <c r="C194">
        <v>99.55</v>
      </c>
      <c r="D194">
        <f t="shared" si="6"/>
        <v>0.45000000000000284</v>
      </c>
      <c r="E194">
        <f t="shared" si="7"/>
        <v>0.22500000000000142</v>
      </c>
      <c r="F194" s="18">
        <f t="shared" si="8"/>
        <v>0.20588526513395516</v>
      </c>
      <c r="H194" s="53">
        <v>38776</v>
      </c>
      <c r="I194">
        <v>0.77500000000000002</v>
      </c>
      <c r="J194">
        <v>0.22500000000000142</v>
      </c>
    </row>
    <row r="195" spans="2:10">
      <c r="B195" s="17">
        <v>38807</v>
      </c>
      <c r="C195">
        <v>99.77</v>
      </c>
      <c r="D195">
        <f t="shared" ref="D195:D258" si="9">C195*(-1)+100</f>
        <v>0.23000000000000398</v>
      </c>
      <c r="E195">
        <f t="shared" ref="E195:E258" si="10">D195/2</f>
        <v>0.11500000000000199</v>
      </c>
      <c r="F195" s="18">
        <f t="shared" ref="F195:F258" si="11">$K$1*F194+(1-$K$1)*E195</f>
        <v>0.1799829645707785</v>
      </c>
      <c r="H195" s="53">
        <v>38807</v>
      </c>
      <c r="I195">
        <v>0.67900000000000005</v>
      </c>
      <c r="J195">
        <v>0.11500000000000199</v>
      </c>
    </row>
    <row r="196" spans="2:10">
      <c r="B196" s="17">
        <v>38835</v>
      </c>
      <c r="C196">
        <v>99.68</v>
      </c>
      <c r="D196">
        <f t="shared" si="9"/>
        <v>0.31999999999999318</v>
      </c>
      <c r="E196">
        <f t="shared" si="10"/>
        <v>0.15999999999999659</v>
      </c>
      <c r="F196" s="18">
        <f t="shared" si="11"/>
        <v>0.17428781966810566</v>
      </c>
      <c r="H196" s="53">
        <v>38835</v>
      </c>
      <c r="I196">
        <v>0.79700000000000004</v>
      </c>
      <c r="J196">
        <v>0.15999999999999659</v>
      </c>
    </row>
    <row r="197" spans="2:10">
      <c r="B197" s="17">
        <v>38868</v>
      </c>
      <c r="C197">
        <v>99.91</v>
      </c>
      <c r="D197">
        <f t="shared" si="9"/>
        <v>9.0000000000003411E-2</v>
      </c>
      <c r="E197">
        <f t="shared" si="10"/>
        <v>4.5000000000001705E-2</v>
      </c>
      <c r="F197" s="18">
        <f t="shared" si="11"/>
        <v>0.13744079106269602</v>
      </c>
      <c r="H197" s="53">
        <v>38868</v>
      </c>
      <c r="I197">
        <v>0.56399999999999995</v>
      </c>
      <c r="J197">
        <v>4.5000000000001705E-2</v>
      </c>
    </row>
    <row r="198" spans="2:10">
      <c r="B198" s="17">
        <v>38898</v>
      </c>
      <c r="C198">
        <v>100.01</v>
      </c>
      <c r="D198">
        <f t="shared" si="9"/>
        <v>-1.0000000000005116E-2</v>
      </c>
      <c r="E198">
        <f t="shared" si="10"/>
        <v>-5.000000000002558E-3</v>
      </c>
      <c r="F198" s="18">
        <f t="shared" si="11"/>
        <v>9.6845165609826922E-2</v>
      </c>
      <c r="H198" s="53">
        <v>38898</v>
      </c>
      <c r="I198">
        <v>0.42899999999999999</v>
      </c>
      <c r="J198">
        <v>-5.000000000002558E-3</v>
      </c>
    </row>
    <row r="199" spans="2:10">
      <c r="B199" s="17">
        <v>38929</v>
      </c>
      <c r="C199">
        <v>99.95</v>
      </c>
      <c r="D199">
        <f t="shared" si="9"/>
        <v>4.9999999999997158E-2</v>
      </c>
      <c r="E199">
        <f t="shared" si="10"/>
        <v>2.4999999999998579E-2</v>
      </c>
      <c r="F199" s="18">
        <f t="shared" si="11"/>
        <v>7.6369293411025843E-2</v>
      </c>
      <c r="H199" s="53">
        <v>38929</v>
      </c>
      <c r="I199">
        <v>0.47599999999999998</v>
      </c>
      <c r="J199">
        <v>2.4999999999998579E-2</v>
      </c>
    </row>
    <row r="200" spans="2:10">
      <c r="B200" s="17">
        <v>38960</v>
      </c>
      <c r="C200">
        <v>99.76</v>
      </c>
      <c r="D200">
        <f t="shared" si="9"/>
        <v>0.23999999999999488</v>
      </c>
      <c r="E200">
        <f t="shared" si="10"/>
        <v>0.11999999999999744</v>
      </c>
      <c r="F200" s="18">
        <f t="shared" si="11"/>
        <v>8.8804044788882749E-2</v>
      </c>
      <c r="H200" s="53">
        <v>38960</v>
      </c>
      <c r="I200">
        <v>0.60399999999999998</v>
      </c>
      <c r="J200">
        <v>0.11999999999999744</v>
      </c>
    </row>
    <row r="201" spans="2:10">
      <c r="B201" s="17">
        <v>38989</v>
      </c>
      <c r="C201">
        <v>99.67</v>
      </c>
      <c r="D201">
        <f t="shared" si="9"/>
        <v>0.32999999999999829</v>
      </c>
      <c r="E201">
        <f t="shared" si="10"/>
        <v>0.16499999999999915</v>
      </c>
      <c r="F201" s="18">
        <f t="shared" si="11"/>
        <v>0.11051989202405092</v>
      </c>
      <c r="H201" s="53">
        <v>38989</v>
      </c>
      <c r="I201">
        <v>0.48099999999999998</v>
      </c>
      <c r="J201">
        <v>0.16499999999999915</v>
      </c>
    </row>
    <row r="202" spans="2:10">
      <c r="B202" s="17">
        <v>39021</v>
      </c>
      <c r="C202">
        <v>99.47</v>
      </c>
      <c r="D202">
        <f t="shared" si="9"/>
        <v>0.53000000000000114</v>
      </c>
      <c r="E202">
        <f t="shared" si="10"/>
        <v>0.26500000000000057</v>
      </c>
      <c r="F202" s="18">
        <f t="shared" si="11"/>
        <v>0.15454672279719658</v>
      </c>
      <c r="H202" s="53">
        <v>39021</v>
      </c>
      <c r="I202">
        <v>0.79</v>
      </c>
      <c r="J202">
        <v>0.26500000000000057</v>
      </c>
    </row>
    <row r="203" spans="2:10">
      <c r="B203" s="17">
        <v>39051</v>
      </c>
      <c r="C203">
        <v>99.31</v>
      </c>
      <c r="D203">
        <f t="shared" si="9"/>
        <v>0.68999999999999773</v>
      </c>
      <c r="E203">
        <f t="shared" si="10"/>
        <v>0.34499999999999886</v>
      </c>
      <c r="F203" s="18">
        <f t="shared" si="11"/>
        <v>0.20882590679999524</v>
      </c>
      <c r="H203" s="53">
        <v>39051</v>
      </c>
      <c r="I203">
        <v>0.73199999999999998</v>
      </c>
      <c r="J203">
        <v>0.34499999999999886</v>
      </c>
    </row>
    <row r="204" spans="2:10">
      <c r="B204" s="17">
        <v>39080</v>
      </c>
      <c r="C204">
        <v>99.43</v>
      </c>
      <c r="D204">
        <f t="shared" si="9"/>
        <v>0.56999999999999318</v>
      </c>
      <c r="E204">
        <f t="shared" si="10"/>
        <v>0.28499999999999659</v>
      </c>
      <c r="F204" s="18">
        <f t="shared" si="11"/>
        <v>0.23053552336199562</v>
      </c>
      <c r="H204" s="53">
        <v>39080</v>
      </c>
      <c r="I204">
        <v>0.80800000000000005</v>
      </c>
      <c r="J204">
        <v>0.28499999999999659</v>
      </c>
    </row>
    <row r="205" spans="2:10">
      <c r="B205" s="17">
        <v>39113</v>
      </c>
      <c r="C205">
        <v>99.48</v>
      </c>
      <c r="D205">
        <f t="shared" si="9"/>
        <v>0.51999999999999602</v>
      </c>
      <c r="E205">
        <f t="shared" si="10"/>
        <v>0.25999999999999801</v>
      </c>
      <c r="F205" s="18">
        <f t="shared" si="11"/>
        <v>0.23893289920382629</v>
      </c>
      <c r="H205" s="53">
        <v>39113</v>
      </c>
      <c r="I205">
        <v>1.0069999999999999</v>
      </c>
      <c r="J205">
        <v>0.25999999999999801</v>
      </c>
    </row>
    <row r="206" spans="2:10">
      <c r="B206" s="17">
        <v>39141</v>
      </c>
      <c r="C206">
        <v>99.45</v>
      </c>
      <c r="D206">
        <f t="shared" si="9"/>
        <v>0.54999999999999716</v>
      </c>
      <c r="E206">
        <f t="shared" si="10"/>
        <v>0.27499999999999858</v>
      </c>
      <c r="F206" s="18">
        <f t="shared" si="11"/>
        <v>0.24921202293073541</v>
      </c>
      <c r="H206" s="53">
        <v>39141</v>
      </c>
      <c r="I206">
        <v>0.76900000000000002</v>
      </c>
      <c r="J206">
        <v>0.27499999999999858</v>
      </c>
    </row>
    <row r="207" spans="2:10">
      <c r="B207" s="17">
        <v>39171</v>
      </c>
      <c r="C207">
        <v>99.49</v>
      </c>
      <c r="D207">
        <f t="shared" si="9"/>
        <v>0.51000000000000512</v>
      </c>
      <c r="E207">
        <f t="shared" si="10"/>
        <v>0.25500000000000256</v>
      </c>
      <c r="F207" s="18">
        <f t="shared" si="11"/>
        <v>0.25086159639547656</v>
      </c>
      <c r="H207" s="53">
        <v>39171</v>
      </c>
      <c r="I207">
        <v>0.68</v>
      </c>
      <c r="J207">
        <v>0.25500000000000256</v>
      </c>
    </row>
    <row r="208" spans="2:10">
      <c r="B208" s="17">
        <v>39202</v>
      </c>
      <c r="C208">
        <v>99.21</v>
      </c>
      <c r="D208">
        <f t="shared" si="9"/>
        <v>0.79000000000000625</v>
      </c>
      <c r="E208">
        <f t="shared" si="10"/>
        <v>0.39500000000000313</v>
      </c>
      <c r="F208" s="18">
        <f t="shared" si="11"/>
        <v>0.29194104142276667</v>
      </c>
      <c r="H208" s="53">
        <v>39202</v>
      </c>
      <c r="I208">
        <v>0.52800000000000002</v>
      </c>
      <c r="J208">
        <v>0.39500000000000313</v>
      </c>
    </row>
    <row r="209" spans="2:10">
      <c r="B209" s="17">
        <v>39233</v>
      </c>
      <c r="C209">
        <v>99.11</v>
      </c>
      <c r="D209">
        <f t="shared" si="9"/>
        <v>0.89000000000000057</v>
      </c>
      <c r="E209">
        <f t="shared" si="10"/>
        <v>0.44500000000000028</v>
      </c>
      <c r="F209" s="18">
        <f t="shared" si="11"/>
        <v>0.33556284461727826</v>
      </c>
      <c r="H209" s="53">
        <v>39233</v>
      </c>
      <c r="I209">
        <v>0.56499999999999995</v>
      </c>
      <c r="J209">
        <v>0.44500000000000028</v>
      </c>
    </row>
    <row r="210" spans="2:10">
      <c r="B210" s="17">
        <v>39262</v>
      </c>
      <c r="C210">
        <v>99.31</v>
      </c>
      <c r="D210">
        <f t="shared" si="9"/>
        <v>0.68999999999999773</v>
      </c>
      <c r="E210">
        <f t="shared" si="10"/>
        <v>0.34499999999999886</v>
      </c>
      <c r="F210" s="18">
        <f t="shared" si="11"/>
        <v>0.33825243390135362</v>
      </c>
      <c r="H210" s="53">
        <v>39262</v>
      </c>
      <c r="I210">
        <v>0.40699999999999997</v>
      </c>
      <c r="J210">
        <v>0.34499999999999886</v>
      </c>
    </row>
    <row r="211" spans="2:10">
      <c r="B211" s="17">
        <v>39294</v>
      </c>
      <c r="C211">
        <v>99.46</v>
      </c>
      <c r="D211">
        <f t="shared" si="9"/>
        <v>0.54000000000000625</v>
      </c>
      <c r="E211">
        <f t="shared" si="10"/>
        <v>0.27000000000000313</v>
      </c>
      <c r="F211" s="18">
        <f t="shared" si="11"/>
        <v>0.31880049023946871</v>
      </c>
      <c r="H211" s="53">
        <v>39294</v>
      </c>
      <c r="I211">
        <v>-0.128</v>
      </c>
      <c r="J211">
        <v>0.27000000000000313</v>
      </c>
    </row>
    <row r="212" spans="2:10">
      <c r="B212" s="17">
        <v>39325</v>
      </c>
      <c r="C212">
        <v>99.39</v>
      </c>
      <c r="D212">
        <f t="shared" si="9"/>
        <v>0.60999999999999943</v>
      </c>
      <c r="E212">
        <f t="shared" si="10"/>
        <v>0.30499999999999972</v>
      </c>
      <c r="F212" s="18">
        <f t="shared" si="11"/>
        <v>0.31486735052122006</v>
      </c>
      <c r="H212" s="53">
        <v>39325</v>
      </c>
      <c r="I212">
        <v>-2.0529999999999999</v>
      </c>
      <c r="J212">
        <v>0.30499999999999972</v>
      </c>
    </row>
    <row r="213" spans="2:10">
      <c r="B213" s="17">
        <v>39353</v>
      </c>
      <c r="C213">
        <v>99.04</v>
      </c>
      <c r="D213">
        <f t="shared" si="9"/>
        <v>0.95999999999999375</v>
      </c>
      <c r="E213">
        <f t="shared" si="10"/>
        <v>0.47999999999999687</v>
      </c>
      <c r="F213" s="18">
        <f t="shared" si="11"/>
        <v>0.36193015562267145</v>
      </c>
      <c r="H213" s="53">
        <v>39353</v>
      </c>
      <c r="I213">
        <v>-1.4670000000000001</v>
      </c>
      <c r="J213">
        <v>0.47999999999999687</v>
      </c>
    </row>
    <row r="214" spans="2:10">
      <c r="B214" s="17">
        <v>39386</v>
      </c>
      <c r="C214">
        <v>98.79</v>
      </c>
      <c r="D214">
        <f t="shared" si="9"/>
        <v>1.2099999999999937</v>
      </c>
      <c r="E214">
        <f t="shared" si="10"/>
        <v>0.60499999999999687</v>
      </c>
      <c r="F214" s="18">
        <f t="shared" si="11"/>
        <v>0.43120506127020919</v>
      </c>
      <c r="H214" s="53">
        <v>39386</v>
      </c>
      <c r="I214">
        <v>-0.85399999999999998</v>
      </c>
      <c r="J214">
        <v>0.60499999999999687</v>
      </c>
    </row>
    <row r="215" spans="2:10">
      <c r="B215" s="17">
        <v>39416</v>
      </c>
      <c r="C215">
        <v>99.06</v>
      </c>
      <c r="D215">
        <f t="shared" si="9"/>
        <v>0.93999999999999773</v>
      </c>
      <c r="E215">
        <f t="shared" si="10"/>
        <v>0.46999999999999886</v>
      </c>
      <c r="F215" s="18">
        <f t="shared" si="11"/>
        <v>0.44226161880819925</v>
      </c>
      <c r="H215" s="53">
        <v>39416</v>
      </c>
      <c r="I215">
        <v>-3.141</v>
      </c>
      <c r="J215">
        <v>0.46999999999999886</v>
      </c>
    </row>
    <row r="216" spans="2:10">
      <c r="B216" s="17">
        <v>39447</v>
      </c>
      <c r="C216">
        <v>99.17</v>
      </c>
      <c r="D216">
        <f t="shared" si="9"/>
        <v>0.82999999999999829</v>
      </c>
      <c r="E216">
        <f t="shared" si="10"/>
        <v>0.41499999999999915</v>
      </c>
      <c r="F216" s="18">
        <f t="shared" si="11"/>
        <v>0.43449205744786223</v>
      </c>
      <c r="H216" s="53">
        <v>39447</v>
      </c>
      <c r="I216">
        <v>-2.3690000000000002</v>
      </c>
      <c r="J216">
        <v>0.41499999999999915</v>
      </c>
    </row>
    <row r="217" spans="2:10">
      <c r="B217" s="17">
        <v>39478</v>
      </c>
      <c r="C217">
        <v>99.42</v>
      </c>
      <c r="D217">
        <f t="shared" si="9"/>
        <v>0.57999999999999829</v>
      </c>
      <c r="E217">
        <f t="shared" si="10"/>
        <v>0.28999999999999915</v>
      </c>
      <c r="F217" s="18">
        <f t="shared" si="11"/>
        <v>0.39331182107522128</v>
      </c>
      <c r="H217" s="53">
        <v>39478</v>
      </c>
      <c r="I217">
        <v>-2.1869999999999998</v>
      </c>
      <c r="J217">
        <v>0.28999999999999915</v>
      </c>
    </row>
    <row r="218" spans="2:10">
      <c r="B218" s="17">
        <v>39507</v>
      </c>
      <c r="C218">
        <v>99.57</v>
      </c>
      <c r="D218">
        <f t="shared" si="9"/>
        <v>0.43000000000000682</v>
      </c>
      <c r="E218">
        <f t="shared" si="10"/>
        <v>0.21500000000000341</v>
      </c>
      <c r="F218" s="18">
        <f t="shared" si="11"/>
        <v>0.34249295206878416</v>
      </c>
      <c r="H218" s="53">
        <v>39507</v>
      </c>
      <c r="I218">
        <v>-3.1</v>
      </c>
      <c r="J218">
        <v>0.21500000000000341</v>
      </c>
    </row>
    <row r="219" spans="2:10">
      <c r="B219" s="17">
        <v>39538</v>
      </c>
      <c r="C219">
        <v>99.57</v>
      </c>
      <c r="D219">
        <f t="shared" si="9"/>
        <v>0.43000000000000682</v>
      </c>
      <c r="E219">
        <f t="shared" si="10"/>
        <v>0.21500000000000341</v>
      </c>
      <c r="F219" s="18">
        <f t="shared" si="11"/>
        <v>0.30615746072918165</v>
      </c>
      <c r="H219" s="53">
        <v>39538</v>
      </c>
      <c r="I219">
        <v>-3.302</v>
      </c>
      <c r="J219">
        <v>0.21500000000000341</v>
      </c>
    </row>
    <row r="220" spans="2:10">
      <c r="B220" s="17">
        <v>39568</v>
      </c>
      <c r="C220">
        <v>99.32</v>
      </c>
      <c r="D220">
        <f t="shared" si="9"/>
        <v>0.68000000000000682</v>
      </c>
      <c r="E220">
        <f t="shared" si="10"/>
        <v>0.34000000000000341</v>
      </c>
      <c r="F220" s="18">
        <f t="shared" si="11"/>
        <v>0.31580258442136588</v>
      </c>
      <c r="H220" s="53">
        <v>39568</v>
      </c>
      <c r="I220">
        <v>-2.94</v>
      </c>
      <c r="J220">
        <v>0.34000000000000341</v>
      </c>
    </row>
    <row r="221" spans="2:10">
      <c r="B221" s="17">
        <v>39598</v>
      </c>
      <c r="C221">
        <v>99.33</v>
      </c>
      <c r="D221">
        <f t="shared" si="9"/>
        <v>0.67000000000000171</v>
      </c>
      <c r="E221">
        <f t="shared" si="10"/>
        <v>0.33500000000000085</v>
      </c>
      <c r="F221" s="18">
        <f t="shared" si="11"/>
        <v>0.32127384786127688</v>
      </c>
      <c r="H221" s="53">
        <v>39598</v>
      </c>
      <c r="I221">
        <v>-1.6180000000000001</v>
      </c>
      <c r="J221">
        <v>0.33500000000000085</v>
      </c>
    </row>
    <row r="222" spans="2:10">
      <c r="B222" s="17">
        <v>39629</v>
      </c>
      <c r="C222">
        <v>99.74</v>
      </c>
      <c r="D222">
        <f t="shared" si="9"/>
        <v>0.26000000000000512</v>
      </c>
      <c r="E222">
        <f t="shared" si="10"/>
        <v>0.13000000000000256</v>
      </c>
      <c r="F222" s="18">
        <f t="shared" si="11"/>
        <v>0.26676080122081369</v>
      </c>
      <c r="H222" s="53">
        <v>39629</v>
      </c>
      <c r="I222">
        <v>-2.5070000000000001</v>
      </c>
      <c r="J222">
        <v>0.13000000000000256</v>
      </c>
    </row>
    <row r="223" spans="2:10">
      <c r="B223" s="17">
        <v>39660</v>
      </c>
      <c r="C223">
        <v>99.86</v>
      </c>
      <c r="D223">
        <f t="shared" si="9"/>
        <v>0.14000000000000057</v>
      </c>
      <c r="E223">
        <f t="shared" si="10"/>
        <v>7.0000000000000284E-2</v>
      </c>
      <c r="F223" s="18">
        <f t="shared" si="11"/>
        <v>0.21068397287288185</v>
      </c>
      <c r="H223" s="53">
        <v>39660</v>
      </c>
      <c r="I223">
        <v>-2.66</v>
      </c>
      <c r="J223">
        <v>7.0000000000000284E-2</v>
      </c>
    </row>
    <row r="224" spans="2:10">
      <c r="B224" s="17">
        <v>39689</v>
      </c>
      <c r="C224">
        <v>100.01</v>
      </c>
      <c r="D224">
        <f t="shared" si="9"/>
        <v>-1.0000000000005116E-2</v>
      </c>
      <c r="E224">
        <f t="shared" si="10"/>
        <v>-5.000000000002558E-3</v>
      </c>
      <c r="F224" s="18">
        <f t="shared" si="11"/>
        <v>0.14921404060410978</v>
      </c>
      <c r="H224" s="53">
        <v>39689</v>
      </c>
      <c r="I224">
        <v>-2.58</v>
      </c>
      <c r="J224">
        <v>-5.000000000002558E-3</v>
      </c>
    </row>
    <row r="225" spans="2:10">
      <c r="B225" s="17">
        <v>39721</v>
      </c>
      <c r="C225">
        <v>100.93</v>
      </c>
      <c r="D225">
        <f t="shared" si="9"/>
        <v>-0.93000000000000682</v>
      </c>
      <c r="E225">
        <f t="shared" si="10"/>
        <v>-0.46500000000000341</v>
      </c>
      <c r="F225" s="18">
        <f t="shared" si="11"/>
        <v>-2.5836960968062483E-2</v>
      </c>
      <c r="H225" s="53">
        <v>39721</v>
      </c>
      <c r="I225">
        <v>-7.7130000000000001</v>
      </c>
      <c r="J225">
        <v>-0.46500000000000341</v>
      </c>
    </row>
    <row r="226" spans="2:10">
      <c r="B226" s="17">
        <v>39752</v>
      </c>
      <c r="C226">
        <v>102.86</v>
      </c>
      <c r="D226">
        <f t="shared" si="9"/>
        <v>-2.8599999999999994</v>
      </c>
      <c r="E226">
        <f t="shared" si="10"/>
        <v>-1.4299999999999997</v>
      </c>
      <c r="F226" s="18">
        <f t="shared" si="11"/>
        <v>-0.42602342709216462</v>
      </c>
      <c r="H226" s="53">
        <v>39752</v>
      </c>
      <c r="I226">
        <v>-9.5109999999999992</v>
      </c>
      <c r="J226">
        <v>-1.4299999999999997</v>
      </c>
    </row>
    <row r="227" spans="2:10">
      <c r="B227" s="17">
        <v>39780</v>
      </c>
      <c r="C227">
        <v>103.09</v>
      </c>
      <c r="D227">
        <f t="shared" si="9"/>
        <v>-3.0900000000000034</v>
      </c>
      <c r="E227">
        <f t="shared" si="10"/>
        <v>-1.5450000000000017</v>
      </c>
      <c r="F227" s="18">
        <f t="shared" si="11"/>
        <v>-0.7449317503708982</v>
      </c>
      <c r="H227" s="53">
        <v>39780</v>
      </c>
      <c r="I227">
        <v>-9.1120000000000001</v>
      </c>
      <c r="J227">
        <v>-1.5450000000000017</v>
      </c>
    </row>
    <row r="228" spans="2:10">
      <c r="B228" s="17">
        <v>39813</v>
      </c>
      <c r="C228">
        <v>102.43</v>
      </c>
      <c r="D228">
        <f t="shared" si="9"/>
        <v>-2.4300000000000068</v>
      </c>
      <c r="E228">
        <f t="shared" si="10"/>
        <v>-1.2150000000000034</v>
      </c>
      <c r="F228" s="18">
        <f t="shared" si="11"/>
        <v>-0.87890120151519324</v>
      </c>
      <c r="H228" s="53">
        <v>39813</v>
      </c>
      <c r="I228">
        <v>-7.0309999999999997</v>
      </c>
      <c r="J228">
        <v>-1.2150000000000034</v>
      </c>
    </row>
    <row r="229" spans="2:10">
      <c r="B229" s="17">
        <v>39843</v>
      </c>
      <c r="C229">
        <v>103.18</v>
      </c>
      <c r="D229">
        <f t="shared" si="9"/>
        <v>-3.1800000000000068</v>
      </c>
      <c r="E229">
        <f t="shared" si="10"/>
        <v>-1.5900000000000034</v>
      </c>
      <c r="F229" s="18">
        <f t="shared" si="11"/>
        <v>-1.0815643590833641</v>
      </c>
      <c r="H229" s="53">
        <v>39843</v>
      </c>
      <c r="I229">
        <v>-5.5869999999999997</v>
      </c>
      <c r="J229">
        <v>-1.5900000000000034</v>
      </c>
    </row>
    <row r="230" spans="2:10">
      <c r="B230" s="17">
        <v>39871</v>
      </c>
      <c r="C230">
        <v>104.01</v>
      </c>
      <c r="D230">
        <f t="shared" si="9"/>
        <v>-4.0100000000000051</v>
      </c>
      <c r="E230">
        <f t="shared" si="10"/>
        <v>-2.0050000000000026</v>
      </c>
      <c r="F230" s="18">
        <f t="shared" si="11"/>
        <v>-1.344743516744606</v>
      </c>
      <c r="H230" s="53">
        <v>39871</v>
      </c>
      <c r="I230">
        <v>-5.9370000000000003</v>
      </c>
      <c r="J230">
        <v>-2.0050000000000026</v>
      </c>
    </row>
    <row r="231" spans="2:10">
      <c r="B231" s="17">
        <v>39903</v>
      </c>
      <c r="C231">
        <v>103.55</v>
      </c>
      <c r="D231">
        <f t="shared" si="9"/>
        <v>-3.5499999999999972</v>
      </c>
      <c r="E231">
        <f t="shared" si="10"/>
        <v>-1.7749999999999986</v>
      </c>
      <c r="F231" s="18">
        <f t="shared" si="11"/>
        <v>-1.4673666144723929</v>
      </c>
      <c r="H231" s="53">
        <v>39903</v>
      </c>
      <c r="I231">
        <v>-5.923</v>
      </c>
      <c r="J231">
        <v>-1.7749999999999986</v>
      </c>
    </row>
    <row r="232" spans="2:10">
      <c r="B232" s="17">
        <v>39933</v>
      </c>
      <c r="C232">
        <v>102.91</v>
      </c>
      <c r="D232">
        <f t="shared" si="9"/>
        <v>-2.9099999999999966</v>
      </c>
      <c r="E232">
        <f t="shared" si="10"/>
        <v>-1.4549999999999983</v>
      </c>
      <c r="F232" s="18">
        <f t="shared" si="11"/>
        <v>-1.4638421293477606</v>
      </c>
      <c r="H232" s="53">
        <v>39933</v>
      </c>
      <c r="I232">
        <v>-4.3819999999999997</v>
      </c>
      <c r="J232">
        <v>-1.4549999999999983</v>
      </c>
    </row>
    <row r="233" spans="2:10">
      <c r="B233" s="17">
        <v>39962</v>
      </c>
      <c r="C233">
        <v>102.26</v>
      </c>
      <c r="D233">
        <f t="shared" si="9"/>
        <v>-2.2600000000000051</v>
      </c>
      <c r="E233">
        <f t="shared" si="10"/>
        <v>-1.1300000000000026</v>
      </c>
      <c r="F233" s="18">
        <f t="shared" si="11"/>
        <v>-1.3686971224836497</v>
      </c>
      <c r="H233" s="53">
        <v>39962</v>
      </c>
      <c r="I233">
        <v>-2.6949999999999998</v>
      </c>
      <c r="J233">
        <v>-1.1300000000000026</v>
      </c>
    </row>
    <row r="234" spans="2:10">
      <c r="B234" s="17">
        <v>39994</v>
      </c>
      <c r="C234">
        <v>102.03</v>
      </c>
      <c r="D234">
        <f t="shared" si="9"/>
        <v>-2.0300000000000011</v>
      </c>
      <c r="E234">
        <f t="shared" si="10"/>
        <v>-1.0150000000000006</v>
      </c>
      <c r="F234" s="18">
        <f t="shared" si="11"/>
        <v>-1.2678934425758097</v>
      </c>
      <c r="H234" s="53">
        <v>39994</v>
      </c>
      <c r="I234">
        <v>-2.194</v>
      </c>
      <c r="J234">
        <v>-1.0150000000000006</v>
      </c>
    </row>
    <row r="235" spans="2:10">
      <c r="B235" s="17">
        <v>40025</v>
      </c>
      <c r="C235">
        <v>101.37</v>
      </c>
      <c r="D235">
        <f t="shared" si="9"/>
        <v>-1.3700000000000045</v>
      </c>
      <c r="E235">
        <f t="shared" si="10"/>
        <v>-0.68500000000000227</v>
      </c>
      <c r="F235" s="18">
        <f t="shared" si="11"/>
        <v>-1.1017688114417046</v>
      </c>
      <c r="H235" s="53">
        <v>40025</v>
      </c>
      <c r="I235">
        <v>-1.5129999999999999</v>
      </c>
      <c r="J235">
        <v>-0.68500000000000227</v>
      </c>
    </row>
    <row r="236" spans="2:10">
      <c r="B236" s="17">
        <v>40056</v>
      </c>
      <c r="C236">
        <v>101.08</v>
      </c>
      <c r="D236">
        <f t="shared" si="9"/>
        <v>-1.0799999999999983</v>
      </c>
      <c r="E236">
        <f t="shared" si="10"/>
        <v>-0.53999999999999915</v>
      </c>
      <c r="F236" s="18">
        <f t="shared" si="11"/>
        <v>-0.9416647001808186</v>
      </c>
      <c r="H236" s="53">
        <v>40056</v>
      </c>
      <c r="I236">
        <v>-1.2809999999999999</v>
      </c>
      <c r="J236">
        <v>-0.53999999999999915</v>
      </c>
    </row>
    <row r="237" spans="2:10">
      <c r="B237" s="17">
        <v>40086</v>
      </c>
      <c r="C237">
        <v>100.73</v>
      </c>
      <c r="D237">
        <f t="shared" si="9"/>
        <v>-0.73000000000000398</v>
      </c>
      <c r="E237">
        <f t="shared" si="10"/>
        <v>-0.36500000000000199</v>
      </c>
      <c r="F237" s="18">
        <f t="shared" si="11"/>
        <v>-0.77731526062928591</v>
      </c>
      <c r="H237" s="53">
        <v>40086</v>
      </c>
      <c r="I237">
        <v>-0.91300000000000003</v>
      </c>
      <c r="J237">
        <v>-0.36500000000000199</v>
      </c>
    </row>
    <row r="238" spans="2:10">
      <c r="B238" s="17">
        <v>40116</v>
      </c>
      <c r="C238">
        <v>100.87</v>
      </c>
      <c r="D238">
        <f t="shared" si="9"/>
        <v>-0.87000000000000455</v>
      </c>
      <c r="E238">
        <f t="shared" si="10"/>
        <v>-0.43500000000000227</v>
      </c>
      <c r="F238" s="18">
        <f t="shared" si="11"/>
        <v>-0.67975541134994</v>
      </c>
      <c r="H238" s="53">
        <v>40116</v>
      </c>
      <c r="I238">
        <v>-1.23</v>
      </c>
      <c r="J238">
        <v>-0.43500000000000227</v>
      </c>
    </row>
    <row r="239" spans="2:10">
      <c r="B239" s="17">
        <v>40147</v>
      </c>
      <c r="C239">
        <v>100.45</v>
      </c>
      <c r="D239">
        <f t="shared" si="9"/>
        <v>-0.45000000000000284</v>
      </c>
      <c r="E239">
        <f t="shared" si="10"/>
        <v>-0.22500000000000142</v>
      </c>
      <c r="F239" s="18">
        <f t="shared" si="11"/>
        <v>-0.5501501191152075</v>
      </c>
      <c r="H239" s="53">
        <v>40147</v>
      </c>
      <c r="I239">
        <v>-0.83399999999999996</v>
      </c>
      <c r="J239">
        <v>-0.22500000000000142</v>
      </c>
    </row>
    <row r="240" spans="2:10">
      <c r="B240" s="17">
        <v>40178</v>
      </c>
      <c r="C240">
        <v>100.55</v>
      </c>
      <c r="D240">
        <f t="shared" si="9"/>
        <v>-0.54999999999999716</v>
      </c>
      <c r="E240">
        <f t="shared" si="10"/>
        <v>-0.27499999999999858</v>
      </c>
      <c r="F240" s="18">
        <f t="shared" si="11"/>
        <v>-0.47173233516737295</v>
      </c>
      <c r="H240" s="53">
        <v>40178</v>
      </c>
      <c r="I240">
        <v>-0.14599999999999999</v>
      </c>
      <c r="J240">
        <v>-0.27499999999999858</v>
      </c>
    </row>
    <row r="241" spans="2:10">
      <c r="B241" s="17">
        <v>40207</v>
      </c>
      <c r="C241">
        <v>100.84</v>
      </c>
      <c r="D241">
        <f t="shared" si="9"/>
        <v>-0.84000000000000341</v>
      </c>
      <c r="E241">
        <f t="shared" si="10"/>
        <v>-0.42000000000000171</v>
      </c>
      <c r="F241" s="18">
        <f t="shared" si="11"/>
        <v>-0.45698861964467219</v>
      </c>
      <c r="H241" s="53">
        <v>40207</v>
      </c>
      <c r="I241">
        <v>-0.25</v>
      </c>
      <c r="J241">
        <v>-0.42000000000000171</v>
      </c>
    </row>
    <row r="242" spans="2:10">
      <c r="B242" s="17">
        <v>40235</v>
      </c>
      <c r="C242">
        <v>100.71</v>
      </c>
      <c r="D242">
        <f t="shared" si="9"/>
        <v>-0.70999999999999375</v>
      </c>
      <c r="E242">
        <f t="shared" si="10"/>
        <v>-0.35499999999999687</v>
      </c>
      <c r="F242" s="18">
        <f t="shared" si="11"/>
        <v>-0.42792186304593971</v>
      </c>
      <c r="H242" s="53">
        <v>40235</v>
      </c>
      <c r="I242">
        <v>8.5000000000000006E-2</v>
      </c>
      <c r="J242">
        <v>-0.35499999999999687</v>
      </c>
    </row>
    <row r="243" spans="2:10">
      <c r="B243" s="17">
        <v>40268</v>
      </c>
      <c r="C243">
        <v>100.42</v>
      </c>
      <c r="D243">
        <f t="shared" si="9"/>
        <v>-0.42000000000000171</v>
      </c>
      <c r="E243">
        <f t="shared" si="10"/>
        <v>-0.21000000000000085</v>
      </c>
      <c r="F243" s="18">
        <f t="shared" si="11"/>
        <v>-0.36581413207784713</v>
      </c>
      <c r="H243" s="53">
        <v>40268</v>
      </c>
      <c r="I243">
        <v>0.34100000000000003</v>
      </c>
      <c r="J243">
        <v>-0.21000000000000085</v>
      </c>
    </row>
    <row r="244" spans="2:10">
      <c r="B244" s="17">
        <v>40298</v>
      </c>
      <c r="C244">
        <v>100.27</v>
      </c>
      <c r="D244">
        <f t="shared" si="9"/>
        <v>-0.26999999999999602</v>
      </c>
      <c r="E244">
        <f t="shared" si="10"/>
        <v>-0.13499999999999801</v>
      </c>
      <c r="F244" s="18">
        <f t="shared" si="11"/>
        <v>-0.30003210443566014</v>
      </c>
      <c r="H244" s="53">
        <v>40298</v>
      </c>
      <c r="I244">
        <v>4.1000000000000002E-2</v>
      </c>
      <c r="J244">
        <v>-0.13499999999999801</v>
      </c>
    </row>
    <row r="245" spans="2:10">
      <c r="B245" s="17">
        <v>40329</v>
      </c>
      <c r="C245">
        <v>100.94</v>
      </c>
      <c r="D245">
        <f t="shared" si="9"/>
        <v>-0.93999999999999773</v>
      </c>
      <c r="E245">
        <f t="shared" si="10"/>
        <v>-0.46999999999999886</v>
      </c>
      <c r="F245" s="18">
        <f t="shared" si="11"/>
        <v>-0.34847295467149664</v>
      </c>
      <c r="H245" s="53">
        <v>40329</v>
      </c>
      <c r="I245">
        <v>-1.226</v>
      </c>
      <c r="J245">
        <v>-0.46999999999999886</v>
      </c>
    </row>
    <row r="246" spans="2:10">
      <c r="B246" s="17">
        <v>40359</v>
      </c>
      <c r="C246">
        <v>101.1</v>
      </c>
      <c r="D246">
        <f t="shared" si="9"/>
        <v>-1.0999999999999943</v>
      </c>
      <c r="E246">
        <f t="shared" si="10"/>
        <v>-0.54999999999999716</v>
      </c>
      <c r="F246" s="18">
        <f t="shared" si="11"/>
        <v>-0.4059081625901193</v>
      </c>
      <c r="H246" s="53">
        <v>40359</v>
      </c>
      <c r="I246">
        <v>-1.643</v>
      </c>
      <c r="J246">
        <v>-0.54999999999999716</v>
      </c>
    </row>
    <row r="247" spans="2:10">
      <c r="B247" s="17">
        <v>40389</v>
      </c>
      <c r="C247">
        <v>100.55</v>
      </c>
      <c r="D247">
        <f t="shared" si="9"/>
        <v>-0.54999999999999716</v>
      </c>
      <c r="E247">
        <f t="shared" si="10"/>
        <v>-0.27499999999999858</v>
      </c>
      <c r="F247" s="18">
        <f t="shared" si="11"/>
        <v>-0.36859933625193486</v>
      </c>
      <c r="H247" s="53">
        <v>40389</v>
      </c>
      <c r="I247">
        <v>-0.78300000000000003</v>
      </c>
      <c r="J247">
        <v>-0.27499999999999858</v>
      </c>
    </row>
    <row r="248" spans="2:10">
      <c r="B248" s="17">
        <v>40421</v>
      </c>
      <c r="C248">
        <v>100.76</v>
      </c>
      <c r="D248">
        <f t="shared" si="9"/>
        <v>-0.76000000000000512</v>
      </c>
      <c r="E248">
        <f t="shared" si="10"/>
        <v>-0.38000000000000256</v>
      </c>
      <c r="F248" s="18">
        <f t="shared" si="11"/>
        <v>-0.37184852542013414</v>
      </c>
      <c r="H248" s="53">
        <v>40421</v>
      </c>
      <c r="I248">
        <v>-0.83699999999999997</v>
      </c>
      <c r="J248">
        <v>-0.38000000000000256</v>
      </c>
    </row>
    <row r="249" spans="2:10">
      <c r="B249" s="17">
        <v>40451</v>
      </c>
      <c r="C249">
        <v>100.15</v>
      </c>
      <c r="D249">
        <f t="shared" si="9"/>
        <v>-0.15000000000000568</v>
      </c>
      <c r="E249">
        <f t="shared" si="10"/>
        <v>-7.5000000000002842E-2</v>
      </c>
      <c r="F249" s="18">
        <f t="shared" si="11"/>
        <v>-0.28724669567539668</v>
      </c>
      <c r="H249" s="53">
        <v>40451</v>
      </c>
      <c r="I249">
        <v>-0.57399999999999995</v>
      </c>
      <c r="J249">
        <v>-7.5000000000002842E-2</v>
      </c>
    </row>
    <row r="250" spans="2:10">
      <c r="B250" s="17">
        <v>40480</v>
      </c>
      <c r="C250">
        <v>99.98</v>
      </c>
      <c r="D250">
        <f t="shared" si="9"/>
        <v>1.9999999999996021E-2</v>
      </c>
      <c r="E250">
        <f t="shared" si="10"/>
        <v>9.9999999999980105E-3</v>
      </c>
      <c r="F250" s="18">
        <f t="shared" si="11"/>
        <v>-0.20253138740790919</v>
      </c>
      <c r="H250" s="53">
        <v>40480</v>
      </c>
      <c r="I250">
        <v>-0.36099999999999999</v>
      </c>
      <c r="J250">
        <v>9.9999999999980105E-3</v>
      </c>
    </row>
    <row r="251" spans="2:10">
      <c r="B251" s="17">
        <v>40512</v>
      </c>
      <c r="C251">
        <v>100.2</v>
      </c>
      <c r="D251">
        <f t="shared" si="9"/>
        <v>-0.20000000000000284</v>
      </c>
      <c r="E251">
        <f t="shared" si="10"/>
        <v>-0.10000000000000142</v>
      </c>
      <c r="F251" s="18">
        <f t="shared" si="11"/>
        <v>-0.17330994199665548</v>
      </c>
      <c r="H251" s="53">
        <v>40512</v>
      </c>
      <c r="I251">
        <v>-0.47199999999999998</v>
      </c>
      <c r="J251">
        <v>-0.10000000000000142</v>
      </c>
    </row>
    <row r="252" spans="2:10">
      <c r="B252" s="17">
        <v>40543</v>
      </c>
      <c r="C252">
        <v>99.85</v>
      </c>
      <c r="D252">
        <f t="shared" si="9"/>
        <v>0.15000000000000568</v>
      </c>
      <c r="E252">
        <f t="shared" si="10"/>
        <v>7.5000000000002842E-2</v>
      </c>
      <c r="F252" s="18">
        <f t="shared" si="11"/>
        <v>-0.10254160852760785</v>
      </c>
      <c r="H252" s="53">
        <v>40543</v>
      </c>
      <c r="I252">
        <v>-8.9999999999999993E-3</v>
      </c>
      <c r="J252">
        <v>7.5000000000002842E-2</v>
      </c>
    </row>
    <row r="253" spans="2:10">
      <c r="B253" s="17">
        <v>40574</v>
      </c>
      <c r="C253">
        <v>99.77</v>
      </c>
      <c r="D253">
        <f t="shared" si="9"/>
        <v>0.23000000000000398</v>
      </c>
      <c r="E253">
        <f t="shared" si="10"/>
        <v>0.11500000000000199</v>
      </c>
      <c r="F253" s="18">
        <f t="shared" si="11"/>
        <v>-4.0542250097239038E-2</v>
      </c>
      <c r="H253" s="53">
        <v>40574</v>
      </c>
      <c r="I253">
        <v>2.5000000000000001E-2</v>
      </c>
      <c r="J253">
        <v>0.11500000000000199</v>
      </c>
    </row>
    <row r="254" spans="2:10">
      <c r="B254" s="17">
        <v>40602</v>
      </c>
      <c r="C254">
        <v>99.56</v>
      </c>
      <c r="D254">
        <f t="shared" si="9"/>
        <v>0.43999999999999773</v>
      </c>
      <c r="E254">
        <f t="shared" si="10"/>
        <v>0.21999999999999886</v>
      </c>
      <c r="F254" s="18">
        <f t="shared" si="11"/>
        <v>3.371229118047378E-2</v>
      </c>
      <c r="H254" s="53">
        <v>40602</v>
      </c>
      <c r="I254">
        <v>0.19900000000000001</v>
      </c>
      <c r="J254">
        <v>0.21999999999999886</v>
      </c>
    </row>
    <row r="255" spans="2:10">
      <c r="B255" s="17">
        <v>40633</v>
      </c>
      <c r="C255">
        <v>99.55</v>
      </c>
      <c r="D255">
        <f t="shared" si="9"/>
        <v>0.45000000000000284</v>
      </c>
      <c r="E255">
        <f t="shared" si="10"/>
        <v>0.22500000000000142</v>
      </c>
      <c r="F255" s="18">
        <f t="shared" si="11"/>
        <v>8.8229288194039163E-2</v>
      </c>
      <c r="H255" s="53">
        <v>40633</v>
      </c>
      <c r="I255">
        <v>0.17</v>
      </c>
      <c r="J255">
        <v>0.22500000000000142</v>
      </c>
    </row>
    <row r="256" spans="2:10">
      <c r="B256" s="17">
        <v>40662</v>
      </c>
      <c r="C256">
        <v>99.2</v>
      </c>
      <c r="D256">
        <f t="shared" si="9"/>
        <v>0.79999999999999716</v>
      </c>
      <c r="E256">
        <f t="shared" si="10"/>
        <v>0.39999999999999858</v>
      </c>
      <c r="F256" s="18">
        <f t="shared" si="11"/>
        <v>0.17708394105873759</v>
      </c>
      <c r="H256" s="53">
        <v>40662</v>
      </c>
      <c r="I256">
        <v>0.33600000000000002</v>
      </c>
      <c r="J256">
        <v>0.39999999999999858</v>
      </c>
    </row>
    <row r="257" spans="2:10">
      <c r="B257" s="17">
        <v>40694</v>
      </c>
      <c r="C257">
        <v>99.3</v>
      </c>
      <c r="D257">
        <f t="shared" si="9"/>
        <v>0.70000000000000284</v>
      </c>
      <c r="E257">
        <f t="shared" si="10"/>
        <v>0.35000000000000142</v>
      </c>
      <c r="F257" s="18">
        <f t="shared" si="11"/>
        <v>0.22636501785699781</v>
      </c>
      <c r="H257" s="53">
        <v>40694</v>
      </c>
      <c r="I257">
        <v>0.26900000000000002</v>
      </c>
      <c r="J257">
        <v>0.35000000000000142</v>
      </c>
    </row>
    <row r="258" spans="2:10">
      <c r="B258" s="17">
        <v>40724</v>
      </c>
      <c r="C258">
        <v>99.49</v>
      </c>
      <c r="D258">
        <f t="shared" si="9"/>
        <v>0.51000000000000512</v>
      </c>
      <c r="E258">
        <f t="shared" si="10"/>
        <v>0.25500000000000256</v>
      </c>
      <c r="F258" s="18">
        <f t="shared" si="11"/>
        <v>0.23452598776775416</v>
      </c>
      <c r="H258" s="53">
        <v>40724</v>
      </c>
      <c r="I258">
        <v>0.14000000000000001</v>
      </c>
      <c r="J258">
        <v>0.25500000000000256</v>
      </c>
    </row>
    <row r="259" spans="2:10">
      <c r="B259" s="17">
        <v>40753</v>
      </c>
      <c r="C259">
        <v>99.46</v>
      </c>
      <c r="D259">
        <f t="shared" ref="D259:D322" si="12">C259*(-1)+100</f>
        <v>0.54000000000000625</v>
      </c>
      <c r="E259">
        <f t="shared" ref="E259:E322" si="13">D259/2</f>
        <v>0.27000000000000313</v>
      </c>
      <c r="F259" s="18">
        <f t="shared" ref="F259:F322" si="14">$K$1*F258+(1-$K$1)*E259</f>
        <v>0.24463608125394509</v>
      </c>
      <c r="H259" s="53">
        <v>40753</v>
      </c>
      <c r="I259">
        <v>-0.33700000000000002</v>
      </c>
      <c r="J259">
        <v>0.27000000000000313</v>
      </c>
    </row>
    <row r="260" spans="2:10">
      <c r="B260" s="17">
        <v>40786</v>
      </c>
      <c r="C260">
        <v>99.79</v>
      </c>
      <c r="D260">
        <f t="shared" si="12"/>
        <v>0.20999999999999375</v>
      </c>
      <c r="E260">
        <f t="shared" si="13"/>
        <v>0.10499999999999687</v>
      </c>
      <c r="F260" s="18">
        <f t="shared" si="14"/>
        <v>0.20483979809656985</v>
      </c>
      <c r="H260" s="53">
        <v>40786</v>
      </c>
      <c r="I260">
        <v>-1.4379999999999999</v>
      </c>
      <c r="J260">
        <v>0.10499999999999687</v>
      </c>
    </row>
    <row r="261" spans="2:10">
      <c r="B261" s="17">
        <v>40816</v>
      </c>
      <c r="C261">
        <v>100.49</v>
      </c>
      <c r="D261">
        <f t="shared" si="12"/>
        <v>-0.48999999999999488</v>
      </c>
      <c r="E261">
        <f t="shared" si="13"/>
        <v>-0.24499999999999744</v>
      </c>
      <c r="F261" s="18">
        <f t="shared" si="14"/>
        <v>7.6635455639048167E-2</v>
      </c>
      <c r="H261" s="53">
        <v>40816</v>
      </c>
      <c r="I261">
        <v>-2.431</v>
      </c>
      <c r="J261">
        <v>-0.24499999999999744</v>
      </c>
    </row>
    <row r="262" spans="2:10">
      <c r="B262" s="17">
        <v>40847</v>
      </c>
      <c r="C262">
        <v>99.76</v>
      </c>
      <c r="D262">
        <f t="shared" si="12"/>
        <v>0.23999999999999488</v>
      </c>
      <c r="E262">
        <f t="shared" si="13"/>
        <v>0.11999999999999744</v>
      </c>
      <c r="F262" s="18">
        <f t="shared" si="14"/>
        <v>8.899435078191871E-2</v>
      </c>
      <c r="H262" s="53">
        <v>40847</v>
      </c>
      <c r="I262">
        <v>-1.665</v>
      </c>
      <c r="J262">
        <v>0.11999999999999744</v>
      </c>
    </row>
    <row r="263" spans="2:10">
      <c r="B263" s="17">
        <v>40877</v>
      </c>
      <c r="C263">
        <v>100.03</v>
      </c>
      <c r="D263">
        <f t="shared" si="12"/>
        <v>-3.0000000000001137E-2</v>
      </c>
      <c r="E263">
        <f t="shared" si="13"/>
        <v>-1.5000000000000568E-2</v>
      </c>
      <c r="F263" s="18">
        <f t="shared" si="14"/>
        <v>5.9355960809071719E-2</v>
      </c>
      <c r="H263" s="53">
        <v>40877</v>
      </c>
      <c r="I263">
        <v>-1.85</v>
      </c>
      <c r="J263">
        <v>-1.5000000000000568E-2</v>
      </c>
    </row>
    <row r="264" spans="2:10">
      <c r="B264" s="17">
        <v>40907</v>
      </c>
      <c r="C264">
        <v>100.01</v>
      </c>
      <c r="D264">
        <f t="shared" si="12"/>
        <v>-1.0000000000005116E-2</v>
      </c>
      <c r="E264">
        <f t="shared" si="13"/>
        <v>-5.000000000002558E-3</v>
      </c>
      <c r="F264" s="18">
        <f t="shared" si="14"/>
        <v>4.1014511978485546E-2</v>
      </c>
      <c r="H264" s="53">
        <v>40907</v>
      </c>
      <c r="I264">
        <v>-1.6919999999999999</v>
      </c>
      <c r="J264">
        <v>-5.000000000002558E-3</v>
      </c>
    </row>
    <row r="265" spans="2:10">
      <c r="B265" s="17">
        <v>40939</v>
      </c>
      <c r="C265">
        <v>99.66</v>
      </c>
      <c r="D265">
        <f t="shared" si="12"/>
        <v>0.34000000000000341</v>
      </c>
      <c r="E265">
        <f t="shared" si="13"/>
        <v>0.17000000000000171</v>
      </c>
      <c r="F265" s="18">
        <f t="shared" si="14"/>
        <v>7.7775376064617652E-2</v>
      </c>
      <c r="H265" s="53">
        <v>40939</v>
      </c>
      <c r="I265">
        <v>-1.1240000000000001</v>
      </c>
      <c r="J265">
        <v>0.17000000000000171</v>
      </c>
    </row>
    <row r="266" spans="2:10">
      <c r="B266" s="17">
        <v>40968</v>
      </c>
      <c r="C266">
        <v>99.43</v>
      </c>
      <c r="D266">
        <f t="shared" si="12"/>
        <v>0.56999999999999318</v>
      </c>
      <c r="E266">
        <f t="shared" si="13"/>
        <v>0.28499999999999659</v>
      </c>
      <c r="F266" s="18">
        <f t="shared" si="14"/>
        <v>0.13683439388620067</v>
      </c>
      <c r="H266" s="53">
        <v>40968</v>
      </c>
      <c r="I266">
        <v>-0.72399999999999998</v>
      </c>
      <c r="J266">
        <v>0.28499999999999659</v>
      </c>
    </row>
    <row r="267" spans="2:10">
      <c r="B267" s="17">
        <v>40998</v>
      </c>
      <c r="C267">
        <v>99.5</v>
      </c>
      <c r="D267">
        <f t="shared" si="12"/>
        <v>0.5</v>
      </c>
      <c r="E267">
        <f t="shared" si="13"/>
        <v>0.25</v>
      </c>
      <c r="F267" s="18">
        <f t="shared" si="14"/>
        <v>0.16908659162863349</v>
      </c>
      <c r="H267" s="53">
        <v>40998</v>
      </c>
      <c r="I267">
        <v>-0.48099999999999998</v>
      </c>
      <c r="J267">
        <v>0.25</v>
      </c>
    </row>
    <row r="268" spans="2:10">
      <c r="B268" s="17">
        <v>41029</v>
      </c>
      <c r="C268">
        <v>99.52</v>
      </c>
      <c r="D268">
        <f t="shared" si="12"/>
        <v>0.48000000000000398</v>
      </c>
      <c r="E268">
        <f t="shared" si="13"/>
        <v>0.24000000000000199</v>
      </c>
      <c r="F268" s="18">
        <f t="shared" si="14"/>
        <v>0.18929691301447349</v>
      </c>
      <c r="H268" s="53">
        <v>41029</v>
      </c>
      <c r="I268">
        <v>-0.624</v>
      </c>
      <c r="J268">
        <v>0.24000000000000199</v>
      </c>
    </row>
    <row r="269" spans="2:10">
      <c r="B269" s="17">
        <v>41060</v>
      </c>
      <c r="C269">
        <v>100.1</v>
      </c>
      <c r="D269">
        <f t="shared" si="12"/>
        <v>-9.9999999999994316E-2</v>
      </c>
      <c r="E269">
        <f t="shared" si="13"/>
        <v>-4.9999999999997158E-2</v>
      </c>
      <c r="F269" s="18">
        <f t="shared" si="14"/>
        <v>0.12109729280534935</v>
      </c>
      <c r="H269" s="53">
        <v>41060</v>
      </c>
      <c r="I269">
        <v>-1.272</v>
      </c>
      <c r="J269">
        <v>-4.9999999999997158E-2</v>
      </c>
    </row>
    <row r="270" spans="2:10">
      <c r="B270" s="17">
        <v>41089</v>
      </c>
      <c r="C270">
        <v>99.83</v>
      </c>
      <c r="D270">
        <f t="shared" si="12"/>
        <v>0.17000000000000171</v>
      </c>
      <c r="E270">
        <f t="shared" si="13"/>
        <v>8.5000000000000853E-2</v>
      </c>
      <c r="F270" s="18">
        <f t="shared" si="14"/>
        <v>0.11080956435582504</v>
      </c>
      <c r="H270" s="53">
        <v>41089</v>
      </c>
      <c r="I270">
        <v>-0.80600000000000005</v>
      </c>
      <c r="J270">
        <v>8.5000000000000853E-2</v>
      </c>
    </row>
    <row r="271" spans="2:10">
      <c r="B271" s="17">
        <v>41121</v>
      </c>
      <c r="C271">
        <v>99.64</v>
      </c>
      <c r="D271">
        <f t="shared" si="12"/>
        <v>0.35999999999999943</v>
      </c>
      <c r="E271">
        <f t="shared" si="13"/>
        <v>0.17999999999999972</v>
      </c>
      <c r="F271" s="18">
        <f t="shared" si="14"/>
        <v>0.13052883851441482</v>
      </c>
      <c r="H271" s="53">
        <v>41121</v>
      </c>
      <c r="I271">
        <v>-0.77500000000000002</v>
      </c>
      <c r="J271">
        <v>0.17999999999999972</v>
      </c>
    </row>
    <row r="272" spans="2:10">
      <c r="B272" s="17">
        <v>41152</v>
      </c>
      <c r="C272">
        <v>99.59</v>
      </c>
      <c r="D272">
        <f t="shared" si="12"/>
        <v>0.40999999999999659</v>
      </c>
      <c r="E272">
        <f t="shared" si="13"/>
        <v>0.20499999999999829</v>
      </c>
      <c r="F272" s="18">
        <f t="shared" si="14"/>
        <v>0.15175311953780612</v>
      </c>
      <c r="H272" s="53">
        <v>41152</v>
      </c>
      <c r="I272">
        <v>-0.59599999999999997</v>
      </c>
      <c r="J272">
        <v>0.20499999999999829</v>
      </c>
    </row>
    <row r="273" spans="2:10">
      <c r="B273" s="17">
        <v>41180</v>
      </c>
      <c r="C273">
        <v>99.4</v>
      </c>
      <c r="D273">
        <f t="shared" si="12"/>
        <v>0.59999999999999432</v>
      </c>
      <c r="E273">
        <f t="shared" si="13"/>
        <v>0.29999999999999716</v>
      </c>
      <c r="F273" s="18">
        <f t="shared" si="14"/>
        <v>0.19400348046953059</v>
      </c>
      <c r="H273" s="53">
        <v>41180</v>
      </c>
      <c r="I273">
        <v>-0.188</v>
      </c>
      <c r="J273">
        <v>0.29999999999999716</v>
      </c>
    </row>
    <row r="274" spans="2:10">
      <c r="B274" s="17">
        <v>41213</v>
      </c>
      <c r="C274">
        <v>99.5</v>
      </c>
      <c r="D274">
        <f t="shared" si="12"/>
        <v>0.5</v>
      </c>
      <c r="E274">
        <f t="shared" si="13"/>
        <v>0.25</v>
      </c>
      <c r="F274" s="18">
        <f t="shared" si="14"/>
        <v>0.20996248853571436</v>
      </c>
      <c r="H274" s="53">
        <v>41213</v>
      </c>
      <c r="I274">
        <v>-0.124</v>
      </c>
      <c r="J274">
        <v>0.25</v>
      </c>
    </row>
    <row r="275" spans="2:10">
      <c r="B275" s="17">
        <v>41243</v>
      </c>
      <c r="C275">
        <v>99.56</v>
      </c>
      <c r="D275">
        <f t="shared" si="12"/>
        <v>0.43999999999999773</v>
      </c>
      <c r="E275">
        <f t="shared" si="13"/>
        <v>0.21999999999999886</v>
      </c>
      <c r="F275" s="18">
        <f t="shared" si="14"/>
        <v>0.21282317930303546</v>
      </c>
      <c r="H275" s="53">
        <v>41243</v>
      </c>
      <c r="I275">
        <v>-1.4E-2</v>
      </c>
      <c r="J275">
        <v>0.21999999999999886</v>
      </c>
    </row>
    <row r="276" spans="2:10">
      <c r="B276" s="17">
        <v>41274</v>
      </c>
      <c r="C276">
        <v>99.56</v>
      </c>
      <c r="D276">
        <f t="shared" si="12"/>
        <v>0.43999999999999773</v>
      </c>
      <c r="E276">
        <f t="shared" si="13"/>
        <v>0.21999999999999886</v>
      </c>
      <c r="F276" s="18">
        <f t="shared" si="14"/>
        <v>0.21486857320167002</v>
      </c>
      <c r="H276" s="53">
        <v>41274</v>
      </c>
      <c r="I276">
        <v>-0.112</v>
      </c>
      <c r="J276">
        <v>0.21999999999999886</v>
      </c>
    </row>
    <row r="277" spans="2:10">
      <c r="B277" s="17">
        <v>41305</v>
      </c>
      <c r="C277">
        <v>99.45</v>
      </c>
      <c r="D277">
        <f t="shared" si="12"/>
        <v>0.54999999999999716</v>
      </c>
      <c r="E277">
        <f t="shared" si="13"/>
        <v>0.27499999999999858</v>
      </c>
      <c r="F277" s="18">
        <f t="shared" si="14"/>
        <v>0.23200602983919366</v>
      </c>
      <c r="H277" s="53">
        <v>41305</v>
      </c>
      <c r="I277">
        <v>0.35299999999999998</v>
      </c>
      <c r="J277">
        <v>0.27499999999999858</v>
      </c>
    </row>
    <row r="278" spans="2:10">
      <c r="B278" s="17">
        <v>41333</v>
      </c>
      <c r="C278">
        <v>99.5</v>
      </c>
      <c r="D278">
        <f t="shared" si="12"/>
        <v>0.5</v>
      </c>
      <c r="E278">
        <f t="shared" si="13"/>
        <v>0.25</v>
      </c>
      <c r="F278" s="18">
        <f t="shared" si="14"/>
        <v>0.23713431133502347</v>
      </c>
      <c r="H278" s="53">
        <v>41333</v>
      </c>
      <c r="I278">
        <v>0.33400000000000002</v>
      </c>
      <c r="J278">
        <v>0.25</v>
      </c>
    </row>
    <row r="279" spans="2:10">
      <c r="B279" s="17">
        <v>41362</v>
      </c>
      <c r="C279">
        <v>99.38</v>
      </c>
      <c r="D279">
        <f t="shared" si="12"/>
        <v>0.62000000000000455</v>
      </c>
      <c r="E279">
        <f t="shared" si="13"/>
        <v>0.31000000000000227</v>
      </c>
      <c r="F279" s="18">
        <f t="shared" si="14"/>
        <v>0.25790103260454245</v>
      </c>
      <c r="H279" s="53">
        <v>41362</v>
      </c>
      <c r="I279">
        <v>0.42299999999999999</v>
      </c>
      <c r="J279">
        <v>0.31000000000000227</v>
      </c>
    </row>
    <row r="280" spans="2:10">
      <c r="B280" s="17">
        <v>41394</v>
      </c>
      <c r="C280">
        <v>99.16</v>
      </c>
      <c r="D280">
        <f t="shared" si="12"/>
        <v>0.84000000000000341</v>
      </c>
      <c r="E280">
        <f t="shared" si="13"/>
        <v>0.42000000000000171</v>
      </c>
      <c r="F280" s="18">
        <f t="shared" si="14"/>
        <v>0.30409923831224833</v>
      </c>
      <c r="H280" s="53">
        <v>41394</v>
      </c>
      <c r="I280">
        <v>0.38200000000000001</v>
      </c>
      <c r="J280">
        <v>0.42000000000000171</v>
      </c>
    </row>
    <row r="281" spans="2:10">
      <c r="B281" s="17">
        <v>41425</v>
      </c>
      <c r="C281">
        <v>99.46</v>
      </c>
      <c r="D281">
        <f t="shared" si="12"/>
        <v>0.54000000000000625</v>
      </c>
      <c r="E281">
        <f t="shared" si="13"/>
        <v>0.27000000000000313</v>
      </c>
      <c r="F281" s="18">
        <f t="shared" si="14"/>
        <v>0.29438095539325843</v>
      </c>
      <c r="H281" s="53">
        <v>41425</v>
      </c>
      <c r="I281">
        <v>0.38</v>
      </c>
      <c r="J281">
        <v>0.27000000000000313</v>
      </c>
    </row>
    <row r="282" spans="2:10">
      <c r="B282" s="17">
        <v>41453</v>
      </c>
      <c r="C282">
        <v>99.82</v>
      </c>
      <c r="D282">
        <f t="shared" si="12"/>
        <v>0.18000000000000682</v>
      </c>
      <c r="E282">
        <f t="shared" si="13"/>
        <v>9.0000000000003411E-2</v>
      </c>
      <c r="F282" s="18">
        <f t="shared" si="14"/>
        <v>0.23613238310618073</v>
      </c>
      <c r="H282" s="53">
        <v>41453</v>
      </c>
      <c r="I282">
        <v>0.19800000000000001</v>
      </c>
      <c r="J282">
        <v>9.0000000000003411E-2</v>
      </c>
    </row>
    <row r="283" spans="2:10">
      <c r="B283" s="17">
        <v>41486</v>
      </c>
      <c r="C283">
        <v>99.52</v>
      </c>
      <c r="D283">
        <f t="shared" si="12"/>
        <v>0.48000000000000398</v>
      </c>
      <c r="E283">
        <f t="shared" si="13"/>
        <v>0.24000000000000199</v>
      </c>
      <c r="F283" s="18">
        <f t="shared" si="14"/>
        <v>0.23723465392091977</v>
      </c>
      <c r="H283" s="53">
        <v>41486</v>
      </c>
      <c r="I283">
        <v>0.49099999999999999</v>
      </c>
      <c r="J283">
        <v>0.24000000000000199</v>
      </c>
    </row>
    <row r="284" spans="2:10">
      <c r="B284" s="17">
        <v>41516</v>
      </c>
      <c r="C284">
        <v>99.86</v>
      </c>
      <c r="D284">
        <f t="shared" si="12"/>
        <v>0.14000000000000057</v>
      </c>
      <c r="E284">
        <f t="shared" si="13"/>
        <v>7.0000000000000284E-2</v>
      </c>
      <c r="F284" s="18">
        <f t="shared" si="14"/>
        <v>0.18957277755345772</v>
      </c>
      <c r="H284" s="53">
        <v>41516</v>
      </c>
      <c r="I284">
        <v>0.29499999999999998</v>
      </c>
      <c r="J284">
        <v>7.0000000000000284E-2</v>
      </c>
    </row>
    <row r="285" spans="2:10">
      <c r="B285" s="17">
        <v>41547</v>
      </c>
      <c r="C285">
        <v>99.64</v>
      </c>
      <c r="D285">
        <f t="shared" si="12"/>
        <v>0.35999999999999943</v>
      </c>
      <c r="E285">
        <f t="shared" si="13"/>
        <v>0.17999999999999972</v>
      </c>
      <c r="F285" s="18">
        <f t="shared" si="14"/>
        <v>0.1868445359507222</v>
      </c>
      <c r="H285" s="53">
        <v>41547</v>
      </c>
      <c r="I285">
        <v>0.35399999999999998</v>
      </c>
      <c r="J285">
        <v>0.17999999999999972</v>
      </c>
    </row>
    <row r="286" spans="2:10">
      <c r="B286" s="17">
        <v>41578</v>
      </c>
      <c r="C286">
        <v>99.37</v>
      </c>
      <c r="D286">
        <f t="shared" si="12"/>
        <v>0.62999999999999545</v>
      </c>
      <c r="E286">
        <f t="shared" si="13"/>
        <v>0.31499999999999773</v>
      </c>
      <c r="F286" s="18">
        <f t="shared" si="14"/>
        <v>0.22336884320476572</v>
      </c>
      <c r="H286" s="53">
        <v>41578</v>
      </c>
      <c r="I286">
        <v>0.64700000000000002</v>
      </c>
      <c r="J286">
        <v>0.31499999999999773</v>
      </c>
    </row>
    <row r="287" spans="2:10">
      <c r="B287" s="17">
        <v>41607</v>
      </c>
      <c r="C287">
        <v>99.38</v>
      </c>
      <c r="D287">
        <f t="shared" si="12"/>
        <v>0.62000000000000455</v>
      </c>
      <c r="E287">
        <f t="shared" si="13"/>
        <v>0.31000000000000227</v>
      </c>
      <c r="F287" s="18">
        <f t="shared" si="14"/>
        <v>0.24805872289140812</v>
      </c>
      <c r="H287" s="53">
        <v>41607</v>
      </c>
      <c r="I287">
        <v>0.80800000000000005</v>
      </c>
      <c r="J287">
        <v>0.31000000000000227</v>
      </c>
    </row>
    <row r="288" spans="2:10">
      <c r="B288" s="17">
        <v>41639</v>
      </c>
      <c r="C288">
        <v>99.28</v>
      </c>
      <c r="D288">
        <f t="shared" si="12"/>
        <v>0.71999999999999886</v>
      </c>
      <c r="E288">
        <f t="shared" si="13"/>
        <v>0.35999999999999943</v>
      </c>
      <c r="F288" s="18">
        <f t="shared" si="14"/>
        <v>0.27996198686735663</v>
      </c>
      <c r="H288" s="53">
        <v>41639</v>
      </c>
      <c r="I288">
        <v>0.98699999999999999</v>
      </c>
      <c r="J288">
        <v>0.35999999999999943</v>
      </c>
    </row>
    <row r="289" spans="2:10">
      <c r="B289" s="17">
        <v>41670</v>
      </c>
      <c r="C289">
        <v>99.47</v>
      </c>
      <c r="D289">
        <f t="shared" si="12"/>
        <v>0.53000000000000114</v>
      </c>
      <c r="E289">
        <f t="shared" si="13"/>
        <v>0.26500000000000057</v>
      </c>
      <c r="F289" s="18">
        <f t="shared" si="14"/>
        <v>0.27569782061016013</v>
      </c>
      <c r="H289" s="53">
        <v>41670</v>
      </c>
      <c r="I289">
        <v>0.55000000000000004</v>
      </c>
      <c r="J289">
        <v>0.26500000000000057</v>
      </c>
    </row>
    <row r="290" spans="2:10">
      <c r="B290" s="17">
        <v>41698</v>
      </c>
      <c r="C290">
        <v>99.17</v>
      </c>
      <c r="D290">
        <f t="shared" si="12"/>
        <v>0.82999999999999829</v>
      </c>
      <c r="E290">
        <f t="shared" si="13"/>
        <v>0.41499999999999915</v>
      </c>
      <c r="F290" s="18">
        <f t="shared" si="14"/>
        <v>0.31539894173626426</v>
      </c>
      <c r="H290" s="53">
        <v>41698</v>
      </c>
      <c r="I290">
        <v>0.91300000000000003</v>
      </c>
      <c r="J290">
        <v>0.41499999999999915</v>
      </c>
    </row>
    <row r="291" spans="2:10">
      <c r="B291" s="17">
        <v>41729</v>
      </c>
      <c r="C291">
        <v>99.14</v>
      </c>
      <c r="D291">
        <f t="shared" si="12"/>
        <v>0.85999999999999943</v>
      </c>
      <c r="E291">
        <f t="shared" si="13"/>
        <v>0.42999999999999972</v>
      </c>
      <c r="F291" s="18">
        <f t="shared" si="14"/>
        <v>0.34806024334142888</v>
      </c>
      <c r="H291" s="53">
        <v>41729</v>
      </c>
      <c r="I291">
        <v>0.92700000000000005</v>
      </c>
      <c r="J291">
        <v>0.42999999999999972</v>
      </c>
    </row>
    <row r="292" spans="2:10">
      <c r="B292" s="17">
        <v>41759</v>
      </c>
      <c r="C292">
        <v>99.04</v>
      </c>
      <c r="D292">
        <f t="shared" si="12"/>
        <v>0.95999999999999375</v>
      </c>
      <c r="E292">
        <f t="shared" si="13"/>
        <v>0.47999999999999687</v>
      </c>
      <c r="F292" s="18">
        <f t="shared" si="14"/>
        <v>0.38566307398912075</v>
      </c>
      <c r="H292" s="53">
        <v>41759</v>
      </c>
      <c r="I292">
        <v>1.028</v>
      </c>
      <c r="J292">
        <v>0.47999999999999687</v>
      </c>
    </row>
    <row r="293" spans="2:10">
      <c r="B293" s="17">
        <v>41789</v>
      </c>
      <c r="C293">
        <v>98.89</v>
      </c>
      <c r="D293">
        <f t="shared" si="12"/>
        <v>1.1099999999999994</v>
      </c>
      <c r="E293">
        <f t="shared" si="13"/>
        <v>0.55499999999999972</v>
      </c>
      <c r="F293" s="18">
        <f t="shared" si="14"/>
        <v>0.43392409790222131</v>
      </c>
      <c r="H293" s="53">
        <v>41789</v>
      </c>
      <c r="I293">
        <v>1.091</v>
      </c>
      <c r="J293">
        <v>0.55499999999999972</v>
      </c>
    </row>
    <row r="294" spans="2:10">
      <c r="B294" s="17">
        <v>41820</v>
      </c>
      <c r="C294">
        <v>98.8</v>
      </c>
      <c r="D294">
        <f t="shared" si="12"/>
        <v>1.2000000000000028</v>
      </c>
      <c r="E294">
        <f t="shared" si="13"/>
        <v>0.60000000000000142</v>
      </c>
      <c r="F294" s="18">
        <f t="shared" si="14"/>
        <v>0.48125573000008864</v>
      </c>
      <c r="H294" s="53">
        <v>41820</v>
      </c>
      <c r="I294">
        <v>1.109</v>
      </c>
      <c r="J294">
        <v>0.60000000000000142</v>
      </c>
    </row>
    <row r="295" spans="2:10">
      <c r="B295" s="17">
        <v>41851</v>
      </c>
      <c r="C295">
        <v>99</v>
      </c>
      <c r="D295">
        <f t="shared" si="12"/>
        <v>1</v>
      </c>
      <c r="E295">
        <f t="shared" si="13"/>
        <v>0.5</v>
      </c>
      <c r="F295" s="18">
        <f t="shared" si="14"/>
        <v>0.48659784695006336</v>
      </c>
      <c r="H295" s="53">
        <v>41851</v>
      </c>
      <c r="I295">
        <v>0.753</v>
      </c>
      <c r="J295">
        <v>0.5</v>
      </c>
    </row>
    <row r="296" spans="2:10">
      <c r="B296" s="17">
        <v>41880</v>
      </c>
      <c r="C296">
        <v>98.76</v>
      </c>
      <c r="D296">
        <f t="shared" si="12"/>
        <v>1.2399999999999949</v>
      </c>
      <c r="E296">
        <f t="shared" si="13"/>
        <v>0.61999999999999744</v>
      </c>
      <c r="F296" s="18">
        <f t="shared" si="14"/>
        <v>0.52461746056929459</v>
      </c>
      <c r="H296" s="53">
        <v>41880</v>
      </c>
      <c r="I296">
        <v>0.97099999999999997</v>
      </c>
      <c r="J296">
        <v>0.61999999999999744</v>
      </c>
    </row>
    <row r="297" spans="2:10">
      <c r="B297" s="17">
        <v>41912</v>
      </c>
      <c r="C297">
        <v>99.14</v>
      </c>
      <c r="D297">
        <f t="shared" si="12"/>
        <v>0.85999999999999943</v>
      </c>
      <c r="E297">
        <f t="shared" si="13"/>
        <v>0.42999999999999972</v>
      </c>
      <c r="F297" s="18">
        <f t="shared" si="14"/>
        <v>0.49765148430704553</v>
      </c>
      <c r="H297" s="53">
        <v>41912</v>
      </c>
      <c r="I297">
        <v>0.68500000000000005</v>
      </c>
      <c r="J297">
        <v>0.42999999999999972</v>
      </c>
    </row>
    <row r="298" spans="2:10">
      <c r="B298" s="17">
        <v>41943</v>
      </c>
      <c r="C298">
        <v>99.07</v>
      </c>
      <c r="D298">
        <f t="shared" si="12"/>
        <v>0.93000000000000682</v>
      </c>
      <c r="E298">
        <f t="shared" si="13"/>
        <v>0.46500000000000341</v>
      </c>
      <c r="F298" s="18">
        <f t="shared" si="14"/>
        <v>0.48834581127953847</v>
      </c>
      <c r="H298" s="53">
        <v>41943</v>
      </c>
      <c r="I298">
        <v>0.74299999999999999</v>
      </c>
      <c r="J298">
        <v>0.46500000000000341</v>
      </c>
    </row>
    <row r="299" spans="2:10">
      <c r="B299" s="17">
        <v>41971</v>
      </c>
      <c r="C299">
        <v>99.06</v>
      </c>
      <c r="D299">
        <f t="shared" si="12"/>
        <v>0.93999999999999773</v>
      </c>
      <c r="E299">
        <f t="shared" si="13"/>
        <v>0.46999999999999886</v>
      </c>
      <c r="F299" s="18">
        <f t="shared" si="14"/>
        <v>0.48311725506486969</v>
      </c>
      <c r="H299" s="53">
        <v>41971</v>
      </c>
      <c r="I299">
        <v>0.64100000000000001</v>
      </c>
      <c r="J299">
        <v>0.46999999999999886</v>
      </c>
    </row>
    <row r="300" spans="2:10">
      <c r="B300" s="17">
        <v>42004</v>
      </c>
      <c r="C300">
        <v>99.26</v>
      </c>
      <c r="D300">
        <f t="shared" si="12"/>
        <v>0.73999999999999488</v>
      </c>
      <c r="E300">
        <f t="shared" si="13"/>
        <v>0.36999999999999744</v>
      </c>
      <c r="F300" s="18">
        <f t="shared" si="14"/>
        <v>0.45087883737138107</v>
      </c>
      <c r="H300" s="53">
        <v>42004</v>
      </c>
      <c r="I300">
        <v>0.27700000000000002</v>
      </c>
      <c r="J300">
        <v>0.36999999999999744</v>
      </c>
    </row>
    <row r="301" spans="2:10">
      <c r="B301" s="17">
        <v>42034</v>
      </c>
      <c r="C301">
        <v>99.47</v>
      </c>
      <c r="D301">
        <f t="shared" si="12"/>
        <v>0.53000000000000114</v>
      </c>
      <c r="E301">
        <f t="shared" si="13"/>
        <v>0.26500000000000057</v>
      </c>
      <c r="F301" s="18">
        <f t="shared" si="14"/>
        <v>0.39790336872053761</v>
      </c>
      <c r="H301" s="53">
        <v>42034</v>
      </c>
      <c r="I301">
        <v>-6.5000000000000002E-2</v>
      </c>
      <c r="J301">
        <v>0.26500000000000057</v>
      </c>
    </row>
    <row r="302" spans="2:10">
      <c r="B302" s="17">
        <v>42062</v>
      </c>
      <c r="C302">
        <v>99.32</v>
      </c>
      <c r="D302">
        <f t="shared" si="12"/>
        <v>0.68000000000000682</v>
      </c>
      <c r="E302">
        <f t="shared" si="13"/>
        <v>0.34000000000000341</v>
      </c>
      <c r="F302" s="18">
        <f t="shared" si="14"/>
        <v>0.38140090863518539</v>
      </c>
      <c r="H302" s="53">
        <v>42062</v>
      </c>
      <c r="I302">
        <v>0.504</v>
      </c>
      <c r="J302">
        <v>0.34000000000000341</v>
      </c>
    </row>
    <row r="303" spans="2:10">
      <c r="B303" s="17">
        <v>42094</v>
      </c>
      <c r="C303">
        <v>99.52</v>
      </c>
      <c r="D303">
        <f t="shared" si="12"/>
        <v>0.48000000000000398</v>
      </c>
      <c r="E303">
        <f t="shared" si="13"/>
        <v>0.24000000000000199</v>
      </c>
      <c r="F303" s="18">
        <f t="shared" si="14"/>
        <v>0.34110164967415812</v>
      </c>
      <c r="H303" s="53">
        <v>42094</v>
      </c>
      <c r="I303">
        <v>0.29199999999999998</v>
      </c>
      <c r="J303">
        <v>0.24000000000000199</v>
      </c>
    </row>
    <row r="304" spans="2:10">
      <c r="B304" s="17">
        <v>42124</v>
      </c>
      <c r="C304">
        <v>99.45</v>
      </c>
      <c r="D304">
        <f t="shared" si="12"/>
        <v>0.54999999999999716</v>
      </c>
      <c r="E304">
        <f t="shared" si="13"/>
        <v>0.27499999999999858</v>
      </c>
      <c r="F304" s="18">
        <f t="shared" si="14"/>
        <v>0.32226267951702264</v>
      </c>
      <c r="H304" s="53">
        <v>42124</v>
      </c>
      <c r="I304">
        <v>0.316</v>
      </c>
      <c r="J304">
        <v>0.27499999999999858</v>
      </c>
    </row>
    <row r="305" spans="2:10">
      <c r="B305" s="17">
        <v>42153</v>
      </c>
      <c r="C305">
        <v>99.61</v>
      </c>
      <c r="D305">
        <f t="shared" si="12"/>
        <v>0.39000000000000057</v>
      </c>
      <c r="E305">
        <f t="shared" si="13"/>
        <v>0.19500000000000028</v>
      </c>
      <c r="F305" s="18">
        <f t="shared" si="14"/>
        <v>0.28599281585467129</v>
      </c>
      <c r="H305" s="53">
        <v>42153</v>
      </c>
      <c r="I305">
        <v>0.33900000000000002</v>
      </c>
      <c r="J305">
        <v>0.19500000000000028</v>
      </c>
    </row>
    <row r="306" spans="2:10">
      <c r="B306" s="17">
        <v>42185</v>
      </c>
      <c r="C306">
        <v>99.87</v>
      </c>
      <c r="D306">
        <f t="shared" si="12"/>
        <v>0.12999999999999545</v>
      </c>
      <c r="E306">
        <f t="shared" si="13"/>
        <v>6.4999999999997726E-2</v>
      </c>
      <c r="F306" s="18">
        <f t="shared" si="14"/>
        <v>0.2230098633360893</v>
      </c>
      <c r="H306" s="53">
        <v>42185</v>
      </c>
      <c r="I306">
        <v>0.13500000000000001</v>
      </c>
      <c r="J306">
        <v>6.4999999999997726E-2</v>
      </c>
    </row>
    <row r="307" spans="2:10">
      <c r="B307" s="17">
        <v>42216</v>
      </c>
      <c r="C307">
        <v>99.91</v>
      </c>
      <c r="D307">
        <f t="shared" si="12"/>
        <v>9.0000000000003411E-2</v>
      </c>
      <c r="E307">
        <f t="shared" si="13"/>
        <v>4.5000000000001705E-2</v>
      </c>
      <c r="F307" s="18">
        <f t="shared" si="14"/>
        <v>0.17227705228530432</v>
      </c>
      <c r="H307" s="53">
        <v>42216</v>
      </c>
      <c r="I307">
        <v>0.311</v>
      </c>
      <c r="J307">
        <v>4.5000000000001705E-2</v>
      </c>
    </row>
    <row r="308" spans="2:10">
      <c r="B308" s="17">
        <v>42247</v>
      </c>
      <c r="C308">
        <v>100.42</v>
      </c>
      <c r="D308">
        <f t="shared" si="12"/>
        <v>-0.42000000000000171</v>
      </c>
      <c r="E308">
        <f t="shared" si="13"/>
        <v>-0.21000000000000085</v>
      </c>
      <c r="F308" s="18">
        <f t="shared" si="14"/>
        <v>6.332809238399234E-2</v>
      </c>
      <c r="H308" s="53">
        <v>42247</v>
      </c>
      <c r="I308">
        <v>-0.57899999999999996</v>
      </c>
      <c r="J308">
        <v>-0.21000000000000085</v>
      </c>
    </row>
    <row r="309" spans="2:10">
      <c r="B309" s="17">
        <v>42277</v>
      </c>
      <c r="C309">
        <v>100.6</v>
      </c>
      <c r="D309">
        <f t="shared" si="12"/>
        <v>-0.59999999999999432</v>
      </c>
      <c r="E309">
        <f t="shared" si="13"/>
        <v>-0.29999999999999716</v>
      </c>
      <c r="F309" s="18">
        <f t="shared" si="14"/>
        <v>-4.0220413945444677E-2</v>
      </c>
      <c r="H309" s="53">
        <v>42277</v>
      </c>
      <c r="I309">
        <v>-0.69</v>
      </c>
      <c r="J309">
        <v>-0.29999999999999716</v>
      </c>
    </row>
    <row r="310" spans="2:10">
      <c r="B310" s="17">
        <v>42307</v>
      </c>
      <c r="C310">
        <v>100.13</v>
      </c>
      <c r="D310">
        <f t="shared" si="12"/>
        <v>-0.12999999999999545</v>
      </c>
      <c r="E310">
        <f t="shared" si="13"/>
        <v>-6.4999999999997726E-2</v>
      </c>
      <c r="F310" s="18">
        <f t="shared" si="14"/>
        <v>-4.7282595970992297E-2</v>
      </c>
      <c r="H310" s="53">
        <v>42307</v>
      </c>
      <c r="I310">
        <v>3.4000000000000002E-2</v>
      </c>
      <c r="J310">
        <v>-6.4999999999997726E-2</v>
      </c>
    </row>
    <row r="311" spans="2:10">
      <c r="B311" s="17">
        <v>42338</v>
      </c>
      <c r="C311">
        <v>100.28</v>
      </c>
      <c r="D311">
        <f t="shared" si="12"/>
        <v>-0.28000000000000114</v>
      </c>
      <c r="E311">
        <f t="shared" si="13"/>
        <v>-0.14000000000000057</v>
      </c>
      <c r="F311" s="18">
        <f t="shared" si="14"/>
        <v>-7.3707056119259651E-2</v>
      </c>
      <c r="H311" s="53">
        <v>42338</v>
      </c>
      <c r="I311">
        <v>-3.4000000000000002E-2</v>
      </c>
      <c r="J311">
        <v>-0.14000000000000057</v>
      </c>
    </row>
    <row r="312" spans="2:10">
      <c r="B312" s="17">
        <v>42369</v>
      </c>
      <c r="C312">
        <v>100.52</v>
      </c>
      <c r="D312">
        <f t="shared" si="12"/>
        <v>-0.51999999999999602</v>
      </c>
      <c r="E312">
        <f t="shared" si="13"/>
        <v>-0.25999999999999801</v>
      </c>
      <c r="F312" s="18">
        <f t="shared" si="14"/>
        <v>-0.12680054512527009</v>
      </c>
      <c r="H312" s="53">
        <v>42369</v>
      </c>
      <c r="I312">
        <v>-0.52300000000000002</v>
      </c>
      <c r="J312">
        <v>-0.25999999999999801</v>
      </c>
    </row>
    <row r="313" spans="2:10">
      <c r="B313" s="17">
        <v>42398</v>
      </c>
      <c r="C313">
        <v>100.91</v>
      </c>
      <c r="D313">
        <f t="shared" si="12"/>
        <v>-0.90999999999999659</v>
      </c>
      <c r="E313">
        <f t="shared" si="13"/>
        <v>-0.45499999999999829</v>
      </c>
      <c r="F313" s="18">
        <f t="shared" si="14"/>
        <v>-0.22033738976456765</v>
      </c>
      <c r="H313" s="53">
        <v>42398</v>
      </c>
      <c r="I313">
        <v>-0.73699999999999999</v>
      </c>
      <c r="J313">
        <v>-0.45499999999999829</v>
      </c>
    </row>
    <row r="314" spans="2:10">
      <c r="B314" s="17">
        <v>42429</v>
      </c>
      <c r="C314">
        <v>100.8</v>
      </c>
      <c r="D314">
        <f t="shared" si="12"/>
        <v>-0.79999999999999716</v>
      </c>
      <c r="E314">
        <f t="shared" si="13"/>
        <v>-0.39999999999999858</v>
      </c>
      <c r="F314" s="18">
        <f t="shared" si="14"/>
        <v>-0.27154123368166549</v>
      </c>
      <c r="H314" s="53">
        <v>42429</v>
      </c>
      <c r="I314">
        <v>-0.85499999999999998</v>
      </c>
      <c r="J314">
        <v>-0.39999999999999858</v>
      </c>
    </row>
    <row r="315" spans="2:10">
      <c r="B315" s="17">
        <v>42460</v>
      </c>
      <c r="C315">
        <v>100.08</v>
      </c>
      <c r="D315">
        <f t="shared" si="12"/>
        <v>-7.9999999999998295E-2</v>
      </c>
      <c r="E315">
        <f t="shared" si="13"/>
        <v>-3.9999999999999147E-2</v>
      </c>
      <c r="F315" s="18">
        <f t="shared" si="14"/>
        <v>-0.20555198208239056</v>
      </c>
      <c r="H315" s="53">
        <v>42460</v>
      </c>
      <c r="I315">
        <v>-0.46600000000000003</v>
      </c>
      <c r="J315">
        <v>-3.9999999999999147E-2</v>
      </c>
    </row>
    <row r="316" spans="2:10">
      <c r="B316" s="17">
        <v>42489</v>
      </c>
      <c r="C316">
        <v>99.89</v>
      </c>
      <c r="D316">
        <f t="shared" si="12"/>
        <v>0.10999999999999943</v>
      </c>
      <c r="E316">
        <f t="shared" si="13"/>
        <v>5.4999999999999716E-2</v>
      </c>
      <c r="F316" s="18">
        <f t="shared" si="14"/>
        <v>-0.13129466718890934</v>
      </c>
      <c r="H316" s="53">
        <v>42489</v>
      </c>
      <c r="I316">
        <v>-0.33500000000000002</v>
      </c>
      <c r="J316">
        <v>5.4999999999999716E-2</v>
      </c>
    </row>
    <row r="317" spans="2:10">
      <c r="B317" s="17">
        <v>42521</v>
      </c>
      <c r="C317">
        <v>100.08</v>
      </c>
      <c r="D317">
        <f t="shared" si="12"/>
        <v>-7.9999999999998295E-2</v>
      </c>
      <c r="E317">
        <f t="shared" si="13"/>
        <v>-3.9999999999999147E-2</v>
      </c>
      <c r="F317" s="18">
        <f t="shared" si="14"/>
        <v>-0.10527568704006993</v>
      </c>
      <c r="H317" s="53">
        <v>42521</v>
      </c>
      <c r="I317">
        <v>-0.13200000000000001</v>
      </c>
      <c r="J317">
        <v>-3.9999999999999147E-2</v>
      </c>
    </row>
    <row r="318" spans="2:10">
      <c r="B318" s="17">
        <v>42551</v>
      </c>
      <c r="C318">
        <v>99.86</v>
      </c>
      <c r="D318">
        <f t="shared" si="12"/>
        <v>0.14000000000000057</v>
      </c>
      <c r="E318">
        <f t="shared" si="13"/>
        <v>7.0000000000000284E-2</v>
      </c>
      <c r="F318" s="18">
        <f t="shared" si="14"/>
        <v>-5.5322116233649909E-2</v>
      </c>
      <c r="H318" s="53">
        <v>42551</v>
      </c>
      <c r="I318">
        <v>-0.48199999999999998</v>
      </c>
      <c r="J318">
        <v>7.0000000000000284E-2</v>
      </c>
    </row>
    <row r="319" spans="2:10">
      <c r="B319" s="17">
        <v>42580</v>
      </c>
      <c r="C319">
        <v>99.62</v>
      </c>
      <c r="D319">
        <f t="shared" si="12"/>
        <v>0.37999999999999545</v>
      </c>
      <c r="E319">
        <f t="shared" si="13"/>
        <v>0.18999999999999773</v>
      </c>
      <c r="F319" s="18">
        <f t="shared" si="14"/>
        <v>1.4594686892939676E-2</v>
      </c>
      <c r="H319" s="53">
        <v>42580</v>
      </c>
      <c r="I319">
        <v>-0.33200000000000002</v>
      </c>
      <c r="J319">
        <v>0.18999999999999773</v>
      </c>
    </row>
    <row r="320" spans="2:10">
      <c r="B320" s="17">
        <v>42613</v>
      </c>
      <c r="C320">
        <v>99.65</v>
      </c>
      <c r="D320">
        <f t="shared" si="12"/>
        <v>0.34999999999999432</v>
      </c>
      <c r="E320">
        <f t="shared" si="13"/>
        <v>0.17499999999999716</v>
      </c>
      <c r="F320" s="18">
        <f t="shared" si="14"/>
        <v>6.0310201128451063E-2</v>
      </c>
      <c r="H320" s="53">
        <v>42613</v>
      </c>
      <c r="I320">
        <v>-0.39800000000000002</v>
      </c>
      <c r="J320">
        <v>0.17499999999999716</v>
      </c>
    </row>
    <row r="321" spans="2:10">
      <c r="B321" s="17">
        <v>42643</v>
      </c>
      <c r="C321">
        <v>99.7</v>
      </c>
      <c r="D321">
        <f t="shared" si="12"/>
        <v>0.29999999999999716</v>
      </c>
      <c r="E321">
        <f t="shared" si="13"/>
        <v>0.14999999999999858</v>
      </c>
      <c r="F321" s="18">
        <f t="shared" si="14"/>
        <v>8.5871793806842109E-2</v>
      </c>
      <c r="H321" s="53">
        <v>42643</v>
      </c>
      <c r="I321">
        <v>-0.57499999999999996</v>
      </c>
      <c r="J321">
        <v>0.14999999999999858</v>
      </c>
    </row>
    <row r="322" spans="2:10">
      <c r="B322" s="17">
        <v>42674</v>
      </c>
      <c r="C322">
        <v>99.98</v>
      </c>
      <c r="D322">
        <f t="shared" si="12"/>
        <v>1.9999999999996021E-2</v>
      </c>
      <c r="E322">
        <f t="shared" si="13"/>
        <v>9.9999999999980105E-3</v>
      </c>
      <c r="F322" s="18">
        <f t="shared" si="14"/>
        <v>6.4248332571891539E-2</v>
      </c>
      <c r="H322" s="53">
        <v>42674</v>
      </c>
      <c r="I322">
        <v>-0.59</v>
      </c>
      <c r="J322">
        <v>9.9999999999980105E-3</v>
      </c>
    </row>
    <row r="323" spans="2:10">
      <c r="B323" s="17">
        <v>42704</v>
      </c>
      <c r="C323">
        <v>100.2</v>
      </c>
      <c r="D323">
        <f t="shared" ref="D323:D386" si="15">C323*(-1)+100</f>
        <v>-0.20000000000000284</v>
      </c>
      <c r="E323">
        <f t="shared" ref="E323:E386" si="16">D323/2</f>
        <v>-0.10000000000000142</v>
      </c>
      <c r="F323" s="18">
        <f t="shared" ref="F323:F386" si="17">$K$1*F322+(1-$K$1)*E323</f>
        <v>1.743755778890204E-2</v>
      </c>
      <c r="H323" s="53">
        <v>42704</v>
      </c>
      <c r="I323">
        <v>-0.224</v>
      </c>
      <c r="J323">
        <v>-0.10000000000000142</v>
      </c>
    </row>
    <row r="324" spans="2:10">
      <c r="B324" s="17">
        <v>42734</v>
      </c>
      <c r="C324">
        <v>100.09</v>
      </c>
      <c r="D324">
        <f t="shared" si="15"/>
        <v>-9.0000000000003411E-2</v>
      </c>
      <c r="E324">
        <f t="shared" si="16"/>
        <v>-4.5000000000001705E-2</v>
      </c>
      <c r="F324" s="18">
        <f t="shared" si="17"/>
        <v>-3.5714618093552961E-4</v>
      </c>
      <c r="H324" s="53">
        <v>42734</v>
      </c>
      <c r="I324">
        <v>-0.26800000000000002</v>
      </c>
      <c r="J324">
        <v>-4.5000000000001705E-2</v>
      </c>
    </row>
    <row r="325" spans="2:10">
      <c r="B325" s="17">
        <v>42766</v>
      </c>
      <c r="C325">
        <v>99.91</v>
      </c>
      <c r="D325">
        <f t="shared" si="15"/>
        <v>9.0000000000003411E-2</v>
      </c>
      <c r="E325">
        <f t="shared" si="16"/>
        <v>4.5000000000001705E-2</v>
      </c>
      <c r="F325" s="18">
        <f t="shared" si="17"/>
        <v>1.2569640480631583E-2</v>
      </c>
      <c r="H325" s="53">
        <v>42766</v>
      </c>
      <c r="I325">
        <v>-0.04</v>
      </c>
      <c r="J325">
        <v>4.5000000000001705E-2</v>
      </c>
    </row>
    <row r="326" spans="2:10">
      <c r="B326" s="17">
        <v>42794</v>
      </c>
      <c r="C326">
        <v>99.68</v>
      </c>
      <c r="D326">
        <f t="shared" si="15"/>
        <v>0.31999999999999318</v>
      </c>
      <c r="E326">
        <f t="shared" si="16"/>
        <v>0.15999999999999659</v>
      </c>
      <c r="F326" s="18">
        <f t="shared" si="17"/>
        <v>5.4587292943650612E-2</v>
      </c>
      <c r="H326" s="53">
        <v>42794</v>
      </c>
      <c r="I326">
        <v>0.28799999999999998</v>
      </c>
      <c r="J326">
        <v>0.15999999999999659</v>
      </c>
    </row>
    <row r="327" spans="2:10">
      <c r="B327" s="17">
        <v>42825</v>
      </c>
      <c r="C327">
        <v>99.66</v>
      </c>
      <c r="D327">
        <f t="shared" si="15"/>
        <v>0.34000000000000341</v>
      </c>
      <c r="E327">
        <f t="shared" si="16"/>
        <v>0.17000000000000171</v>
      </c>
      <c r="F327" s="18">
        <f t="shared" si="17"/>
        <v>8.7479914454710678E-2</v>
      </c>
      <c r="H327" s="53">
        <v>42825</v>
      </c>
      <c r="I327">
        <v>0.22900000000000001</v>
      </c>
      <c r="J327">
        <v>0.17000000000000171</v>
      </c>
    </row>
    <row r="328" spans="2:10">
      <c r="B328" s="17">
        <v>42853</v>
      </c>
      <c r="C328">
        <v>99.6</v>
      </c>
      <c r="D328">
        <f t="shared" si="15"/>
        <v>0.40000000000000568</v>
      </c>
      <c r="E328">
        <f t="shared" si="16"/>
        <v>0.20000000000000284</v>
      </c>
      <c r="F328" s="18">
        <f t="shared" si="17"/>
        <v>0.11954813883511894</v>
      </c>
      <c r="H328" s="53">
        <v>42853</v>
      </c>
      <c r="I328">
        <v>0.39900000000000002</v>
      </c>
      <c r="J328">
        <v>0.20000000000000284</v>
      </c>
    </row>
    <row r="329" spans="2:10">
      <c r="B329" s="17">
        <v>42886</v>
      </c>
      <c r="C329">
        <v>99.42</v>
      </c>
      <c r="D329">
        <f t="shared" si="15"/>
        <v>0.57999999999999829</v>
      </c>
      <c r="E329">
        <f t="shared" si="16"/>
        <v>0.28999999999999915</v>
      </c>
      <c r="F329" s="18">
        <f t="shared" si="17"/>
        <v>0.16812691926710982</v>
      </c>
      <c r="H329" s="53">
        <v>42886</v>
      </c>
      <c r="I329">
        <v>0.68600000000000005</v>
      </c>
      <c r="J329">
        <v>0.28999999999999915</v>
      </c>
    </row>
    <row r="330" spans="2:10">
      <c r="B330" s="17">
        <v>42916</v>
      </c>
      <c r="C330">
        <v>99.31</v>
      </c>
      <c r="D330">
        <f t="shared" si="15"/>
        <v>0.68999999999999773</v>
      </c>
      <c r="E330">
        <f t="shared" si="16"/>
        <v>0.34499999999999886</v>
      </c>
      <c r="F330" s="18">
        <f t="shared" si="17"/>
        <v>0.21853574727598321</v>
      </c>
      <c r="H330" s="53">
        <v>42916</v>
      </c>
      <c r="I330">
        <v>0.51100000000000001</v>
      </c>
      <c r="J330">
        <v>0.34499999999999886</v>
      </c>
    </row>
    <row r="331" spans="2:10">
      <c r="B331" s="17">
        <v>42947</v>
      </c>
      <c r="C331">
        <v>99.09</v>
      </c>
      <c r="D331">
        <f t="shared" si="15"/>
        <v>0.90999999999999659</v>
      </c>
      <c r="E331">
        <f t="shared" si="16"/>
        <v>0.45499999999999829</v>
      </c>
      <c r="F331" s="18">
        <f t="shared" si="17"/>
        <v>0.28592805930232756</v>
      </c>
      <c r="H331" s="53">
        <v>42947</v>
      </c>
      <c r="I331">
        <v>0.65800000000000003</v>
      </c>
      <c r="J331">
        <v>0.45499999999999829</v>
      </c>
    </row>
    <row r="332" spans="2:10">
      <c r="B332" s="17">
        <v>42978</v>
      </c>
      <c r="C332">
        <v>99.05</v>
      </c>
      <c r="D332">
        <f t="shared" si="15"/>
        <v>0.95000000000000284</v>
      </c>
      <c r="E332">
        <f t="shared" si="16"/>
        <v>0.47500000000000142</v>
      </c>
      <c r="F332" s="18">
        <f t="shared" si="17"/>
        <v>0.33981356240116461</v>
      </c>
      <c r="H332" s="53">
        <v>42978</v>
      </c>
      <c r="I332">
        <v>0.42099999999999999</v>
      </c>
      <c r="J332">
        <v>0.47500000000000142</v>
      </c>
    </row>
    <row r="333" spans="2:10">
      <c r="B333" s="17">
        <v>43007</v>
      </c>
      <c r="C333">
        <v>99.03</v>
      </c>
      <c r="D333">
        <f t="shared" si="15"/>
        <v>0.96999999999999886</v>
      </c>
      <c r="E333">
        <f t="shared" si="16"/>
        <v>0.48499999999999943</v>
      </c>
      <c r="F333" s="18">
        <f t="shared" si="17"/>
        <v>0.38119169711683254</v>
      </c>
      <c r="H333" s="53">
        <v>43007</v>
      </c>
      <c r="I333">
        <v>0.65900000000000003</v>
      </c>
      <c r="J333">
        <v>0.48499999999999943</v>
      </c>
    </row>
    <row r="334" spans="2:10">
      <c r="B334" s="17">
        <v>43039</v>
      </c>
      <c r="C334">
        <v>99.03</v>
      </c>
      <c r="D334">
        <f t="shared" si="15"/>
        <v>0.96999999999999886</v>
      </c>
      <c r="E334">
        <f t="shared" si="16"/>
        <v>0.48499999999999943</v>
      </c>
      <c r="F334" s="18">
        <f t="shared" si="17"/>
        <v>0.41077706343853515</v>
      </c>
      <c r="H334" s="53">
        <v>43039</v>
      </c>
      <c r="I334">
        <v>0.73099999999999998</v>
      </c>
      <c r="J334">
        <v>0.48499999999999943</v>
      </c>
    </row>
    <row r="335" spans="2:10">
      <c r="B335" s="17">
        <v>43069</v>
      </c>
      <c r="C335">
        <v>98.84</v>
      </c>
      <c r="D335">
        <f t="shared" si="15"/>
        <v>1.1599999999999966</v>
      </c>
      <c r="E335">
        <f t="shared" si="16"/>
        <v>0.57999999999999829</v>
      </c>
      <c r="F335" s="18">
        <f t="shared" si="17"/>
        <v>0.4590056003585522</v>
      </c>
      <c r="H335" s="53">
        <v>43069</v>
      </c>
      <c r="I335">
        <v>0.62</v>
      </c>
      <c r="J335">
        <v>0.57999999999999829</v>
      </c>
    </row>
    <row r="336" spans="2:10">
      <c r="B336" s="17">
        <v>43098</v>
      </c>
      <c r="C336">
        <v>98.72</v>
      </c>
      <c r="D336">
        <f t="shared" si="15"/>
        <v>1.2800000000000011</v>
      </c>
      <c r="E336">
        <f t="shared" si="16"/>
        <v>0.64000000000000057</v>
      </c>
      <c r="F336" s="18">
        <f t="shared" si="17"/>
        <v>0.510589004256365</v>
      </c>
      <c r="H336" s="53">
        <v>43098</v>
      </c>
      <c r="I336">
        <v>0.45100000000000001</v>
      </c>
      <c r="J336">
        <v>0.64000000000000057</v>
      </c>
    </row>
    <row r="337" spans="2:10">
      <c r="B337" s="17">
        <v>43131</v>
      </c>
      <c r="C337">
        <v>98.34</v>
      </c>
      <c r="D337">
        <f t="shared" si="15"/>
        <v>1.6599999999999966</v>
      </c>
      <c r="E337">
        <f t="shared" si="16"/>
        <v>0.82999999999999829</v>
      </c>
      <c r="F337" s="18">
        <f t="shared" si="17"/>
        <v>0.60162113804330053</v>
      </c>
      <c r="H337" s="53">
        <v>43131</v>
      </c>
      <c r="I337">
        <v>0.55400000000000005</v>
      </c>
      <c r="J337">
        <v>0.82999999999999829</v>
      </c>
    </row>
    <row r="338" spans="2:10">
      <c r="B338" s="17">
        <v>43159</v>
      </c>
      <c r="C338">
        <v>98.77</v>
      </c>
      <c r="D338">
        <f t="shared" si="15"/>
        <v>1.230000000000004</v>
      </c>
      <c r="E338">
        <f t="shared" si="16"/>
        <v>0.61500000000000199</v>
      </c>
      <c r="F338" s="18">
        <f t="shared" si="17"/>
        <v>0.60543411370096045</v>
      </c>
      <c r="H338" s="53">
        <v>43159</v>
      </c>
      <c r="I338">
        <v>4.2000000000000003E-2</v>
      </c>
      <c r="J338">
        <v>0.61500000000000199</v>
      </c>
    </row>
    <row r="339" spans="2:10">
      <c r="B339" s="17">
        <v>43189</v>
      </c>
      <c r="C339">
        <v>98.88</v>
      </c>
      <c r="D339">
        <f t="shared" si="15"/>
        <v>1.1200000000000045</v>
      </c>
      <c r="E339">
        <f t="shared" si="16"/>
        <v>0.56000000000000227</v>
      </c>
      <c r="F339" s="18">
        <f t="shared" si="17"/>
        <v>0.59248539129618738</v>
      </c>
      <c r="H339" s="53">
        <v>43189</v>
      </c>
      <c r="I339">
        <v>-0.51500000000000001</v>
      </c>
      <c r="J339">
        <v>0.56000000000000227</v>
      </c>
    </row>
    <row r="340" spans="2:10">
      <c r="B340" s="17">
        <v>43220</v>
      </c>
      <c r="C340">
        <v>99.07</v>
      </c>
      <c r="D340">
        <f t="shared" si="15"/>
        <v>0.93000000000000682</v>
      </c>
      <c r="E340">
        <f t="shared" si="16"/>
        <v>0.46500000000000341</v>
      </c>
      <c r="F340" s="18">
        <f t="shared" si="17"/>
        <v>0.55615205477677498</v>
      </c>
      <c r="H340" s="53">
        <v>43220</v>
      </c>
      <c r="I340">
        <v>-0.13700000000000001</v>
      </c>
      <c r="J340">
        <v>0.46500000000000341</v>
      </c>
    </row>
    <row r="341" spans="2:10">
      <c r="B341" s="17">
        <v>43251</v>
      </c>
      <c r="C341">
        <v>99.14</v>
      </c>
      <c r="D341">
        <f t="shared" si="15"/>
        <v>0.85999999999999943</v>
      </c>
      <c r="E341">
        <f t="shared" si="16"/>
        <v>0.42999999999999972</v>
      </c>
      <c r="F341" s="18">
        <f t="shared" si="17"/>
        <v>0.52019871916539406</v>
      </c>
      <c r="H341" s="53">
        <v>43251</v>
      </c>
      <c r="I341">
        <v>9.7000000000000003E-2</v>
      </c>
      <c r="J341">
        <v>0.42999999999999972</v>
      </c>
    </row>
    <row r="342" spans="2:10">
      <c r="B342" s="17">
        <v>43280</v>
      </c>
      <c r="C342">
        <v>99.31</v>
      </c>
      <c r="D342">
        <f t="shared" si="15"/>
        <v>0.68999999999999773</v>
      </c>
      <c r="E342">
        <f t="shared" si="16"/>
        <v>0.34499999999999886</v>
      </c>
      <c r="F342" s="18">
        <f t="shared" si="17"/>
        <v>0.47026708420325647</v>
      </c>
      <c r="H342" s="53">
        <v>43280</v>
      </c>
      <c r="I342">
        <v>1.4999999999999999E-2</v>
      </c>
      <c r="J342">
        <v>0.34499999999999886</v>
      </c>
    </row>
    <row r="343" spans="2:10">
      <c r="B343" s="17">
        <v>43312</v>
      </c>
      <c r="C343">
        <v>99.09</v>
      </c>
      <c r="D343">
        <f t="shared" si="15"/>
        <v>0.90999999999999659</v>
      </c>
      <c r="E343">
        <f t="shared" si="16"/>
        <v>0.45499999999999829</v>
      </c>
      <c r="F343" s="18">
        <f t="shared" si="17"/>
        <v>0.46591596520532791</v>
      </c>
      <c r="H343" s="53">
        <v>43312</v>
      </c>
      <c r="I343">
        <v>0.50600000000000001</v>
      </c>
      <c r="J343">
        <v>0.45499999999999829</v>
      </c>
    </row>
    <row r="344" spans="2:10">
      <c r="B344" s="17">
        <v>43343</v>
      </c>
      <c r="C344">
        <v>99.05</v>
      </c>
      <c r="D344">
        <f t="shared" si="15"/>
        <v>0.95000000000000284</v>
      </c>
      <c r="E344">
        <f t="shared" si="16"/>
        <v>0.47500000000000142</v>
      </c>
      <c r="F344" s="18">
        <f t="shared" si="17"/>
        <v>0.46850491512180986</v>
      </c>
      <c r="H344" s="53">
        <v>43343</v>
      </c>
      <c r="I344">
        <v>0.64</v>
      </c>
      <c r="J344">
        <v>0.47500000000000142</v>
      </c>
    </row>
    <row r="345" spans="2:10">
      <c r="B345" s="17">
        <v>43371</v>
      </c>
      <c r="C345">
        <v>99.08</v>
      </c>
      <c r="D345">
        <f t="shared" si="15"/>
        <v>0.92000000000000171</v>
      </c>
      <c r="E345">
        <f t="shared" si="16"/>
        <v>0.46000000000000085</v>
      </c>
      <c r="F345" s="18">
        <f t="shared" si="17"/>
        <v>0.46608101431209426</v>
      </c>
      <c r="H345" s="53">
        <v>43371</v>
      </c>
      <c r="I345">
        <v>0.72799999999999998</v>
      </c>
      <c r="J345">
        <v>0.46000000000000085</v>
      </c>
    </row>
    <row r="346" spans="2:10">
      <c r="B346" s="17">
        <v>43404</v>
      </c>
      <c r="C346">
        <v>99.76</v>
      </c>
      <c r="D346">
        <f t="shared" si="15"/>
        <v>0.23999999999999488</v>
      </c>
      <c r="E346">
        <f t="shared" si="16"/>
        <v>0.11999999999999744</v>
      </c>
      <c r="F346" s="18">
        <f t="shared" si="17"/>
        <v>0.36744792523314668</v>
      </c>
      <c r="H346" s="53">
        <v>43404</v>
      </c>
      <c r="I346">
        <v>-4.3999999999999997E-2</v>
      </c>
      <c r="J346">
        <v>0.11999999999999744</v>
      </c>
    </row>
    <row r="347" spans="2:10">
      <c r="B347" s="17">
        <v>43434</v>
      </c>
      <c r="C347">
        <v>99.75</v>
      </c>
      <c r="D347">
        <f t="shared" si="15"/>
        <v>0.25</v>
      </c>
      <c r="E347">
        <f t="shared" si="16"/>
        <v>0.125</v>
      </c>
      <c r="F347" s="18">
        <f t="shared" si="17"/>
        <v>0.29835026654169988</v>
      </c>
      <c r="H347" s="53">
        <v>43434</v>
      </c>
      <c r="I347">
        <v>-0.222</v>
      </c>
      <c r="J347">
        <v>0.125</v>
      </c>
    </row>
    <row r="348" spans="2:10">
      <c r="B348" s="17">
        <v>43465</v>
      </c>
      <c r="C348">
        <v>100.14</v>
      </c>
      <c r="D348">
        <f t="shared" si="15"/>
        <v>-0.14000000000000057</v>
      </c>
      <c r="E348">
        <f t="shared" si="16"/>
        <v>-7.0000000000000284E-2</v>
      </c>
      <c r="F348" s="18">
        <f t="shared" si="17"/>
        <v>0.19337044057731534</v>
      </c>
      <c r="H348" s="53">
        <v>43465</v>
      </c>
      <c r="I348">
        <v>-1.036</v>
      </c>
      <c r="J348">
        <v>-7.0000000000000284E-2</v>
      </c>
    </row>
    <row r="349" spans="2:10">
      <c r="B349" s="17">
        <v>43496</v>
      </c>
      <c r="C349">
        <v>99.6</v>
      </c>
      <c r="D349">
        <f t="shared" si="15"/>
        <v>0.40000000000000568</v>
      </c>
      <c r="E349">
        <f t="shared" si="16"/>
        <v>0.20000000000000284</v>
      </c>
      <c r="F349" s="18">
        <f t="shared" si="17"/>
        <v>0.19525986501278125</v>
      </c>
      <c r="H349" s="53">
        <v>43496</v>
      </c>
      <c r="I349">
        <v>-0.06</v>
      </c>
      <c r="J349">
        <v>0.20000000000000284</v>
      </c>
    </row>
    <row r="350" spans="2:10">
      <c r="B350" s="17">
        <v>43524</v>
      </c>
      <c r="C350">
        <v>99.57</v>
      </c>
      <c r="D350">
        <f t="shared" si="15"/>
        <v>0.43000000000000682</v>
      </c>
      <c r="E350">
        <f t="shared" si="16"/>
        <v>0.21500000000000341</v>
      </c>
      <c r="F350" s="18">
        <f t="shared" si="17"/>
        <v>0.20088580348413959</v>
      </c>
      <c r="H350" s="53">
        <v>43524</v>
      </c>
      <c r="I350">
        <v>0.39700000000000002</v>
      </c>
      <c r="J350">
        <v>0.21500000000000341</v>
      </c>
    </row>
    <row r="351" spans="2:10">
      <c r="B351" s="17">
        <v>43553</v>
      </c>
      <c r="C351">
        <v>99.44</v>
      </c>
      <c r="D351">
        <f t="shared" si="15"/>
        <v>0.56000000000000227</v>
      </c>
      <c r="E351">
        <f t="shared" si="16"/>
        <v>0.28000000000000114</v>
      </c>
      <c r="F351" s="18">
        <f t="shared" si="17"/>
        <v>0.22343334949116012</v>
      </c>
      <c r="H351" s="53">
        <v>43553</v>
      </c>
      <c r="I351">
        <v>0.34200000000000003</v>
      </c>
      <c r="J351">
        <v>0.28000000000000114</v>
      </c>
    </row>
    <row r="352" spans="2:10">
      <c r="B352" s="17">
        <v>43585</v>
      </c>
      <c r="C352">
        <v>99.27</v>
      </c>
      <c r="D352">
        <f t="shared" si="15"/>
        <v>0.73000000000000398</v>
      </c>
      <c r="E352">
        <f t="shared" si="16"/>
        <v>0.36500000000000199</v>
      </c>
      <c r="F352" s="18">
        <f t="shared" si="17"/>
        <v>0.26377984488618006</v>
      </c>
      <c r="H352" s="53">
        <v>43585</v>
      </c>
      <c r="I352">
        <v>0.6</v>
      </c>
      <c r="J352">
        <v>0.36500000000000199</v>
      </c>
    </row>
    <row r="353" spans="2:10">
      <c r="B353" s="17">
        <v>43616</v>
      </c>
      <c r="C353">
        <v>99.66</v>
      </c>
      <c r="D353">
        <f t="shared" si="15"/>
        <v>0.34000000000000341</v>
      </c>
      <c r="E353">
        <f t="shared" si="16"/>
        <v>0.17000000000000171</v>
      </c>
      <c r="F353" s="18">
        <f t="shared" si="17"/>
        <v>0.23705258909361923</v>
      </c>
      <c r="H353" s="53">
        <v>43616</v>
      </c>
      <c r="I353">
        <v>0.03</v>
      </c>
      <c r="J353">
        <v>0.17000000000000171</v>
      </c>
    </row>
    <row r="354" spans="2:10">
      <c r="B354" s="17">
        <v>43644</v>
      </c>
      <c r="C354">
        <v>99.12</v>
      </c>
      <c r="D354">
        <f t="shared" si="15"/>
        <v>0.87999999999999545</v>
      </c>
      <c r="E354">
        <f t="shared" si="16"/>
        <v>0.43999999999999773</v>
      </c>
      <c r="F354" s="18">
        <f t="shared" si="17"/>
        <v>0.29489260120193711</v>
      </c>
      <c r="H354" s="53">
        <v>43644</v>
      </c>
      <c r="I354">
        <v>0.252</v>
      </c>
      <c r="J354">
        <v>0.43999999999999773</v>
      </c>
    </row>
    <row r="355" spans="2:10">
      <c r="B355" s="17">
        <v>43677</v>
      </c>
      <c r="C355">
        <v>99.16</v>
      </c>
      <c r="D355">
        <f t="shared" si="15"/>
        <v>0.84000000000000341</v>
      </c>
      <c r="E355">
        <f t="shared" si="16"/>
        <v>0.42000000000000171</v>
      </c>
      <c r="F355" s="18">
        <f t="shared" si="17"/>
        <v>0.33054820985938549</v>
      </c>
      <c r="H355" s="53">
        <v>43677</v>
      </c>
      <c r="I355">
        <v>0.32500000000000001</v>
      </c>
      <c r="J355">
        <v>0.42000000000000171</v>
      </c>
    </row>
    <row r="356" spans="2:10">
      <c r="B356" s="17">
        <v>43707</v>
      </c>
      <c r="C356">
        <v>99.22</v>
      </c>
      <c r="D356">
        <f t="shared" si="15"/>
        <v>0.78000000000000114</v>
      </c>
      <c r="E356">
        <f t="shared" si="16"/>
        <v>0.39000000000000057</v>
      </c>
      <c r="F356" s="18">
        <f t="shared" si="17"/>
        <v>0.34749197004946081</v>
      </c>
      <c r="H356" s="53">
        <v>43707</v>
      </c>
      <c r="I356">
        <v>-1E-3</v>
      </c>
      <c r="J356">
        <v>0.39000000000000057</v>
      </c>
    </row>
    <row r="357" spans="2:10">
      <c r="B357" s="17">
        <v>43738</v>
      </c>
      <c r="C357">
        <v>99.21</v>
      </c>
      <c r="D357">
        <f t="shared" si="15"/>
        <v>0.79000000000000625</v>
      </c>
      <c r="E357">
        <f t="shared" si="16"/>
        <v>0.39500000000000313</v>
      </c>
      <c r="F357" s="18">
        <f t="shared" si="17"/>
        <v>0.3610317585853654</v>
      </c>
      <c r="H357" s="53">
        <v>43738</v>
      </c>
      <c r="I357">
        <v>-0.104</v>
      </c>
      <c r="J357">
        <v>0.39500000000000313</v>
      </c>
    </row>
    <row r="358" spans="2:10">
      <c r="B358" s="17">
        <v>43769</v>
      </c>
      <c r="C358">
        <v>99.05</v>
      </c>
      <c r="D358">
        <f t="shared" si="15"/>
        <v>0.95000000000000284</v>
      </c>
      <c r="E358">
        <f t="shared" si="16"/>
        <v>0.47500000000000142</v>
      </c>
      <c r="F358" s="18">
        <f t="shared" si="17"/>
        <v>0.39351270738853666</v>
      </c>
      <c r="H358" s="53">
        <v>43769</v>
      </c>
      <c r="I358">
        <v>-7.5999999999999998E-2</v>
      </c>
      <c r="J358">
        <v>0.47500000000000142</v>
      </c>
    </row>
    <row r="359" spans="2:10">
      <c r="B359" s="17">
        <v>43798</v>
      </c>
      <c r="C359">
        <v>98.96</v>
      </c>
      <c r="D359">
        <f t="shared" si="15"/>
        <v>1.0400000000000063</v>
      </c>
      <c r="E359">
        <f t="shared" si="16"/>
        <v>0.52000000000000313</v>
      </c>
      <c r="F359" s="18">
        <f t="shared" si="17"/>
        <v>0.42956158578280457</v>
      </c>
      <c r="H359" s="53">
        <v>43798</v>
      </c>
      <c r="I359">
        <v>0.17399999999999999</v>
      </c>
      <c r="J359">
        <v>0.52000000000000313</v>
      </c>
    </row>
    <row r="360" spans="2:10">
      <c r="B360" s="17">
        <v>43830</v>
      </c>
      <c r="C360">
        <v>98.75</v>
      </c>
      <c r="D360">
        <f t="shared" si="15"/>
        <v>1.25</v>
      </c>
      <c r="E360">
        <f t="shared" si="16"/>
        <v>0.625</v>
      </c>
      <c r="F360" s="18">
        <f t="shared" si="17"/>
        <v>0.48526153383470527</v>
      </c>
      <c r="H360" s="53">
        <v>43830</v>
      </c>
      <c r="I360">
        <v>0.32400000000000001</v>
      </c>
      <c r="J360">
        <v>0.625</v>
      </c>
    </row>
    <row r="361" spans="2:10">
      <c r="B361" s="17">
        <v>43861</v>
      </c>
      <c r="C361">
        <v>98.73</v>
      </c>
      <c r="D361">
        <f t="shared" si="15"/>
        <v>1.269999999999996</v>
      </c>
      <c r="E361">
        <f t="shared" si="16"/>
        <v>0.63499999999999801</v>
      </c>
      <c r="F361" s="18">
        <f t="shared" si="17"/>
        <v>0.52793699669181371</v>
      </c>
      <c r="H361" s="53">
        <v>43861</v>
      </c>
      <c r="I361">
        <v>0.25600000000000001</v>
      </c>
      <c r="J361">
        <v>0.63499999999999801</v>
      </c>
    </row>
    <row r="362" spans="2:10">
      <c r="B362" s="17">
        <v>43889</v>
      </c>
      <c r="C362">
        <v>99.23</v>
      </c>
      <c r="D362">
        <f t="shared" si="15"/>
        <v>0.76999999999999602</v>
      </c>
      <c r="E362">
        <f t="shared" si="16"/>
        <v>0.38499999999999801</v>
      </c>
      <c r="F362" s="18">
        <f t="shared" si="17"/>
        <v>0.48719995263464627</v>
      </c>
      <c r="H362" s="53">
        <v>43889</v>
      </c>
      <c r="I362">
        <v>-1.3660000000000001</v>
      </c>
      <c r="J362">
        <v>0.38499999999999801</v>
      </c>
    </row>
    <row r="363" spans="2:10">
      <c r="B363" s="17">
        <v>43921</v>
      </c>
      <c r="C363">
        <v>100.42</v>
      </c>
      <c r="D363">
        <f t="shared" si="15"/>
        <v>-0.42000000000000171</v>
      </c>
      <c r="E363">
        <f t="shared" si="16"/>
        <v>-0.21000000000000085</v>
      </c>
      <c r="F363" s="18">
        <f t="shared" si="17"/>
        <v>0.28849796613377182</v>
      </c>
      <c r="H363" s="53">
        <v>43921</v>
      </c>
      <c r="I363">
        <v>-5.3109999999999999</v>
      </c>
      <c r="J363">
        <v>-0.21000000000000085</v>
      </c>
    </row>
    <row r="364" spans="2:10">
      <c r="B364" s="17">
        <v>43951</v>
      </c>
      <c r="C364">
        <v>99.66</v>
      </c>
      <c r="D364">
        <f t="shared" si="15"/>
        <v>0.34000000000000341</v>
      </c>
      <c r="E364">
        <f t="shared" si="16"/>
        <v>0.17000000000000171</v>
      </c>
      <c r="F364" s="18">
        <f t="shared" si="17"/>
        <v>0.25472604578564734</v>
      </c>
      <c r="H364" s="53">
        <v>43951</v>
      </c>
      <c r="I364">
        <v>-2.2709999999999999</v>
      </c>
      <c r="J364">
        <v>0.17000000000000171</v>
      </c>
    </row>
    <row r="365" spans="2:10">
      <c r="B365" s="17">
        <v>43980</v>
      </c>
      <c r="C365">
        <v>99.31</v>
      </c>
      <c r="D365">
        <f t="shared" si="15"/>
        <v>0.68999999999999773</v>
      </c>
      <c r="E365">
        <f t="shared" si="16"/>
        <v>0.34499999999999886</v>
      </c>
      <c r="F365" s="18">
        <f t="shared" si="17"/>
        <v>0.28045412273673753</v>
      </c>
      <c r="H365" s="53">
        <v>43980</v>
      </c>
      <c r="I365">
        <v>-0.98</v>
      </c>
      <c r="J365">
        <v>0.34499999999999886</v>
      </c>
    </row>
    <row r="366" spans="2:10">
      <c r="B366" s="17">
        <v>44012</v>
      </c>
      <c r="C366">
        <v>99.18</v>
      </c>
      <c r="D366">
        <f t="shared" si="15"/>
        <v>0.81999999999999318</v>
      </c>
      <c r="E366">
        <f t="shared" si="16"/>
        <v>0.40999999999999659</v>
      </c>
      <c r="F366" s="18">
        <f t="shared" si="17"/>
        <v>0.31737469775676636</v>
      </c>
      <c r="H366" s="53">
        <v>44012</v>
      </c>
      <c r="I366">
        <v>-0.92500000000000004</v>
      </c>
      <c r="J366">
        <v>0.40999999999999659</v>
      </c>
    </row>
    <row r="367" spans="2:10">
      <c r="B367" s="17">
        <v>44043</v>
      </c>
      <c r="C367">
        <v>98.59</v>
      </c>
      <c r="D367">
        <f t="shared" si="15"/>
        <v>1.4099999999999966</v>
      </c>
      <c r="E367">
        <f t="shared" si="16"/>
        <v>0.70499999999999829</v>
      </c>
      <c r="F367" s="18">
        <f t="shared" si="17"/>
        <v>0.42784790889608748</v>
      </c>
      <c r="H367" s="53">
        <v>44043</v>
      </c>
      <c r="I367">
        <v>-0.36699999999999999</v>
      </c>
      <c r="J367">
        <v>0.70499999999999829</v>
      </c>
    </row>
    <row r="368" spans="2:10">
      <c r="B368" s="17">
        <v>44074</v>
      </c>
      <c r="C368">
        <v>98.28</v>
      </c>
      <c r="D368">
        <f t="shared" si="15"/>
        <v>1.7199999999999989</v>
      </c>
      <c r="E368">
        <f t="shared" si="16"/>
        <v>0.85999999999999943</v>
      </c>
      <c r="F368" s="18">
        <f t="shared" si="17"/>
        <v>0.55101125486070246</v>
      </c>
      <c r="H368" s="53">
        <v>44074</v>
      </c>
      <c r="I368">
        <v>-0.221</v>
      </c>
      <c r="J368">
        <v>0.85999999999999943</v>
      </c>
    </row>
    <row r="369" spans="2:10">
      <c r="B369" s="17">
        <v>44104</v>
      </c>
      <c r="C369">
        <v>98.53</v>
      </c>
      <c r="D369">
        <f t="shared" si="15"/>
        <v>1.4699999999999989</v>
      </c>
      <c r="E369">
        <f t="shared" si="16"/>
        <v>0.73499999999999943</v>
      </c>
      <c r="F369" s="18">
        <f t="shared" si="17"/>
        <v>0.60344804722540202</v>
      </c>
      <c r="H369" s="53">
        <v>44104</v>
      </c>
      <c r="I369">
        <v>-0.379</v>
      </c>
      <c r="J369">
        <v>0.73499999999999943</v>
      </c>
    </row>
    <row r="370" spans="2:10">
      <c r="B370" s="17">
        <v>44134</v>
      </c>
      <c r="C370">
        <v>98.64</v>
      </c>
      <c r="D370">
        <f t="shared" si="15"/>
        <v>1.3599999999999994</v>
      </c>
      <c r="E370">
        <f t="shared" si="16"/>
        <v>0.67999999999999972</v>
      </c>
      <c r="F370" s="18">
        <f t="shared" si="17"/>
        <v>0.62526535376616232</v>
      </c>
      <c r="H370" s="53">
        <v>44134</v>
      </c>
      <c r="I370">
        <v>-0.86</v>
      </c>
      <c r="J370">
        <v>0.67999999999999972</v>
      </c>
    </row>
    <row r="371" spans="2:10">
      <c r="B371" s="17">
        <v>44165</v>
      </c>
      <c r="C371">
        <v>97.83</v>
      </c>
      <c r="D371">
        <f t="shared" si="15"/>
        <v>2.1700000000000017</v>
      </c>
      <c r="E371">
        <f t="shared" si="16"/>
        <v>1.0850000000000009</v>
      </c>
      <c r="F371" s="18">
        <f t="shared" si="17"/>
        <v>0.75628972794280624</v>
      </c>
      <c r="H371" s="53">
        <v>44165</v>
      </c>
      <c r="I371">
        <v>0.183</v>
      </c>
      <c r="J371">
        <v>1.0850000000000009</v>
      </c>
    </row>
    <row r="372" spans="2:10">
      <c r="B372" s="17">
        <v>44196</v>
      </c>
      <c r="C372">
        <v>97.54</v>
      </c>
      <c r="D372">
        <f t="shared" si="15"/>
        <v>2.4599999999999937</v>
      </c>
      <c r="E372">
        <f t="shared" si="16"/>
        <v>1.2299999999999969</v>
      </c>
      <c r="F372" s="18">
        <f t="shared" si="17"/>
        <v>0.8912971554791056</v>
      </c>
      <c r="H372" s="53">
        <v>44196</v>
      </c>
      <c r="I372">
        <v>0.29499999999999998</v>
      </c>
      <c r="J372">
        <v>1.2299999999999969</v>
      </c>
    </row>
    <row r="373" spans="2:10">
      <c r="B373" s="17">
        <v>44225</v>
      </c>
      <c r="C373">
        <v>97.75</v>
      </c>
      <c r="D373">
        <f t="shared" si="15"/>
        <v>2.25</v>
      </c>
      <c r="E373">
        <f t="shared" si="16"/>
        <v>1.125</v>
      </c>
      <c r="F373" s="18">
        <f t="shared" si="17"/>
        <v>0.95790246616756047</v>
      </c>
      <c r="H373" s="53">
        <v>44225</v>
      </c>
      <c r="I373">
        <v>-0.05</v>
      </c>
      <c r="J373">
        <v>1.125</v>
      </c>
    </row>
    <row r="374" spans="2:10">
      <c r="B374" s="17">
        <v>44253</v>
      </c>
      <c r="C374">
        <v>97.81</v>
      </c>
      <c r="D374">
        <f t="shared" si="15"/>
        <v>2.1899999999999977</v>
      </c>
      <c r="E374">
        <f t="shared" si="16"/>
        <v>1.0949999999999989</v>
      </c>
      <c r="F374" s="18">
        <f t="shared" si="17"/>
        <v>0.99697526330980546</v>
      </c>
      <c r="H374" s="53">
        <v>44253</v>
      </c>
      <c r="I374">
        <v>0.29599999999999999</v>
      </c>
      <c r="J374">
        <v>1.0949999999999989</v>
      </c>
    </row>
    <row r="375" spans="2:10">
      <c r="B375" s="17">
        <v>44286</v>
      </c>
      <c r="C375">
        <v>97.75</v>
      </c>
      <c r="D375">
        <f t="shared" si="15"/>
        <v>2.25</v>
      </c>
      <c r="E375">
        <f t="shared" si="16"/>
        <v>1.125</v>
      </c>
      <c r="F375" s="18">
        <f t="shared" si="17"/>
        <v>1.0334623132665111</v>
      </c>
      <c r="H375" s="53">
        <v>44286</v>
      </c>
      <c r="I375">
        <v>0.86</v>
      </c>
      <c r="J375">
        <v>1.125</v>
      </c>
    </row>
    <row r="376" spans="2:10">
      <c r="B376" s="17">
        <v>44316</v>
      </c>
      <c r="C376">
        <v>97.39</v>
      </c>
      <c r="D376">
        <f t="shared" si="15"/>
        <v>2.6099999999999994</v>
      </c>
      <c r="E376">
        <f t="shared" si="16"/>
        <v>1.3049999999999997</v>
      </c>
      <c r="F376" s="18">
        <f t="shared" si="17"/>
        <v>1.1108505539855553</v>
      </c>
      <c r="H376" s="53">
        <v>44316</v>
      </c>
      <c r="I376">
        <v>1.002</v>
      </c>
      <c r="J376">
        <v>1.3049999999999997</v>
      </c>
    </row>
    <row r="377" spans="2:10">
      <c r="B377" s="17">
        <v>44347</v>
      </c>
      <c r="C377">
        <v>97.26</v>
      </c>
      <c r="D377">
        <f t="shared" si="15"/>
        <v>2.7399999999999949</v>
      </c>
      <c r="E377">
        <f t="shared" si="16"/>
        <v>1.3699999999999974</v>
      </c>
      <c r="F377" s="18">
        <f t="shared" si="17"/>
        <v>1.1847081460996713</v>
      </c>
      <c r="H377" s="53">
        <v>44347</v>
      </c>
      <c r="I377">
        <v>1.163</v>
      </c>
      <c r="J377">
        <v>1.3699999999999974</v>
      </c>
    </row>
    <row r="378" spans="2:10">
      <c r="B378" s="17">
        <v>44377</v>
      </c>
      <c r="C378">
        <v>97.16</v>
      </c>
      <c r="D378">
        <f t="shared" si="15"/>
        <v>2.8400000000000034</v>
      </c>
      <c r="E378">
        <f t="shared" si="16"/>
        <v>1.4200000000000017</v>
      </c>
      <c r="F378" s="18">
        <f t="shared" si="17"/>
        <v>1.2517663244612653</v>
      </c>
      <c r="H378" s="53">
        <v>44377</v>
      </c>
      <c r="I378">
        <v>1.1950000000000001</v>
      </c>
      <c r="J378">
        <v>1.4200000000000017</v>
      </c>
    </row>
    <row r="379" spans="2:10">
      <c r="B379" s="17">
        <v>44407</v>
      </c>
      <c r="C379">
        <v>97.04</v>
      </c>
      <c r="D379">
        <f t="shared" si="15"/>
        <v>2.9599999999999937</v>
      </c>
      <c r="E379">
        <f t="shared" si="16"/>
        <v>1.4799999999999969</v>
      </c>
      <c r="F379" s="18">
        <f t="shared" si="17"/>
        <v>1.3168129219898037</v>
      </c>
      <c r="H379" s="53">
        <v>44407</v>
      </c>
      <c r="I379">
        <v>1.004</v>
      </c>
      <c r="J379">
        <v>1.4799999999999969</v>
      </c>
    </row>
    <row r="380" spans="2:10">
      <c r="B380" s="17">
        <v>44439</v>
      </c>
      <c r="C380">
        <v>96.99</v>
      </c>
      <c r="D380">
        <f t="shared" si="15"/>
        <v>3.0100000000000051</v>
      </c>
      <c r="E380">
        <f t="shared" si="16"/>
        <v>1.5050000000000026</v>
      </c>
      <c r="F380" s="18">
        <f t="shared" si="17"/>
        <v>1.3704462392227104</v>
      </c>
      <c r="H380" s="53">
        <v>44439</v>
      </c>
      <c r="I380">
        <v>1.1040000000000001</v>
      </c>
      <c r="J380">
        <v>1.5050000000000026</v>
      </c>
    </row>
    <row r="381" spans="2:10">
      <c r="B381" s="17">
        <v>44469</v>
      </c>
      <c r="C381">
        <v>97.41</v>
      </c>
      <c r="D381">
        <f t="shared" si="15"/>
        <v>2.5900000000000034</v>
      </c>
      <c r="E381">
        <f t="shared" si="16"/>
        <v>1.2950000000000017</v>
      </c>
      <c r="F381" s="18">
        <f t="shared" si="17"/>
        <v>1.3489440610442385</v>
      </c>
      <c r="H381" s="53">
        <v>44469</v>
      </c>
      <c r="I381">
        <v>0.73899999999999999</v>
      </c>
      <c r="J381">
        <v>1.2950000000000017</v>
      </c>
    </row>
    <row r="382" spans="2:10">
      <c r="B382" s="17">
        <v>44498</v>
      </c>
      <c r="C382">
        <v>97.07</v>
      </c>
      <c r="D382">
        <f t="shared" si="15"/>
        <v>2.9300000000000068</v>
      </c>
      <c r="E382">
        <f t="shared" si="16"/>
        <v>1.4650000000000034</v>
      </c>
      <c r="F382" s="18">
        <f t="shared" si="17"/>
        <v>1.3820200036466315</v>
      </c>
      <c r="H382" s="53">
        <v>44498</v>
      </c>
      <c r="I382">
        <v>1.077</v>
      </c>
      <c r="J382">
        <v>1.4650000000000034</v>
      </c>
    </row>
    <row r="383" spans="2:10">
      <c r="B383" s="17">
        <v>44530</v>
      </c>
      <c r="C383">
        <v>97.25</v>
      </c>
      <c r="D383">
        <f t="shared" si="15"/>
        <v>2.75</v>
      </c>
      <c r="E383">
        <f t="shared" si="16"/>
        <v>1.375</v>
      </c>
      <c r="F383" s="18">
        <f t="shared" si="17"/>
        <v>1.3800193026073415</v>
      </c>
      <c r="H383" s="53">
        <v>44530</v>
      </c>
      <c r="I383">
        <v>0.39500000000000002</v>
      </c>
      <c r="J383">
        <v>1.375</v>
      </c>
    </row>
    <row r="384" spans="2:10">
      <c r="B384" s="17">
        <v>44561</v>
      </c>
      <c r="C384">
        <v>97.05</v>
      </c>
      <c r="D384">
        <f t="shared" si="15"/>
        <v>2.9500000000000028</v>
      </c>
      <c r="E384">
        <f t="shared" si="16"/>
        <v>1.4750000000000014</v>
      </c>
      <c r="F384" s="18">
        <f t="shared" si="17"/>
        <v>1.4070888013642495</v>
      </c>
      <c r="H384" s="53">
        <v>44561</v>
      </c>
      <c r="I384">
        <v>0.94399999999999995</v>
      </c>
      <c r="J384">
        <v>1.4750000000000014</v>
      </c>
    </row>
    <row r="385" spans="2:10">
      <c r="B385" s="17">
        <v>44592</v>
      </c>
      <c r="C385">
        <v>97.55</v>
      </c>
      <c r="D385">
        <f t="shared" si="15"/>
        <v>2.4500000000000028</v>
      </c>
      <c r="E385">
        <f t="shared" si="16"/>
        <v>1.2250000000000014</v>
      </c>
      <c r="F385" s="18">
        <f t="shared" si="17"/>
        <v>1.355193492975439</v>
      </c>
      <c r="H385" s="53">
        <v>44592</v>
      </c>
      <c r="I385">
        <v>0.34300000000000003</v>
      </c>
      <c r="J385">
        <v>1.2250000000000014</v>
      </c>
    </row>
    <row r="386" spans="2:10">
      <c r="B386" s="17">
        <v>44620</v>
      </c>
      <c r="C386">
        <v>97.84</v>
      </c>
      <c r="D386">
        <f t="shared" si="15"/>
        <v>2.1599999999999966</v>
      </c>
      <c r="E386">
        <f t="shared" si="16"/>
        <v>1.0799999999999983</v>
      </c>
      <c r="F386" s="18">
        <f t="shared" si="17"/>
        <v>1.2767633474774385</v>
      </c>
      <c r="H386" s="53">
        <v>44620</v>
      </c>
      <c r="I386">
        <v>-0.25800000000000001</v>
      </c>
      <c r="J386">
        <v>1.0799999999999983</v>
      </c>
    </row>
    <row r="387" spans="2:10">
      <c r="B387" s="17">
        <v>44651</v>
      </c>
      <c r="C387">
        <v>97.83</v>
      </c>
      <c r="D387">
        <f t="shared" ref="D387:D408" si="18">C387*(-1)+100</f>
        <v>2.1700000000000017</v>
      </c>
      <c r="E387">
        <f t="shared" ref="E387:E408" si="19">D387/2</f>
        <v>1.0850000000000009</v>
      </c>
      <c r="F387" s="18">
        <f t="shared" ref="F387:F408" si="20">$K$1*F386+(1-$K$1)*E387</f>
        <v>1.2221107934463686</v>
      </c>
      <c r="H387" s="53">
        <v>44651</v>
      </c>
      <c r="I387">
        <v>-0.154</v>
      </c>
      <c r="J387">
        <v>1.0850000000000009</v>
      </c>
    </row>
    <row r="388" spans="2:10">
      <c r="B388" s="17">
        <v>44680</v>
      </c>
      <c r="C388">
        <v>98.91</v>
      </c>
      <c r="D388">
        <f t="shared" si="18"/>
        <v>1.0900000000000034</v>
      </c>
      <c r="E388">
        <f t="shared" si="19"/>
        <v>0.54500000000000171</v>
      </c>
      <c r="F388" s="18">
        <f t="shared" si="20"/>
        <v>1.029134217314154</v>
      </c>
      <c r="H388" s="53">
        <v>44680</v>
      </c>
      <c r="I388">
        <v>-0.66800000000000004</v>
      </c>
      <c r="J388">
        <v>0.54500000000000171</v>
      </c>
    </row>
    <row r="389" spans="2:10">
      <c r="B389" s="17">
        <v>44712</v>
      </c>
      <c r="C389">
        <v>98.89</v>
      </c>
      <c r="D389">
        <f t="shared" si="18"/>
        <v>1.1099999999999994</v>
      </c>
      <c r="E389">
        <f t="shared" si="19"/>
        <v>0.55499999999999972</v>
      </c>
      <c r="F389" s="18">
        <f t="shared" si="20"/>
        <v>0.89400596537962007</v>
      </c>
      <c r="H389" s="53">
        <v>44712</v>
      </c>
      <c r="I389">
        <v>-0.50700000000000001</v>
      </c>
      <c r="J389">
        <v>0.55499999999999972</v>
      </c>
    </row>
    <row r="390" spans="2:10">
      <c r="B390" s="17">
        <v>44742</v>
      </c>
      <c r="C390">
        <v>99.7</v>
      </c>
      <c r="D390">
        <f t="shared" si="18"/>
        <v>0.29999999999999716</v>
      </c>
      <c r="E390">
        <f t="shared" si="19"/>
        <v>0.14999999999999858</v>
      </c>
      <c r="F390" s="18">
        <f t="shared" si="20"/>
        <v>0.68196426524642795</v>
      </c>
      <c r="H390" s="53">
        <v>44742</v>
      </c>
      <c r="I390">
        <v>-1.1970000000000001</v>
      </c>
      <c r="J390">
        <v>0.14999999999999858</v>
      </c>
    </row>
    <row r="391" spans="2:10">
      <c r="B391" s="17">
        <v>44771</v>
      </c>
      <c r="C391">
        <v>99.23</v>
      </c>
      <c r="D391">
        <f t="shared" si="18"/>
        <v>0.76999999999999602</v>
      </c>
      <c r="E391">
        <f t="shared" si="19"/>
        <v>0.38499999999999801</v>
      </c>
      <c r="F391" s="18">
        <f t="shared" si="20"/>
        <v>0.59732944965119539</v>
      </c>
      <c r="H391" s="53">
        <v>44771</v>
      </c>
      <c r="I391">
        <v>-0.57799999999999996</v>
      </c>
      <c r="J391">
        <v>0.38499999999999801</v>
      </c>
    </row>
    <row r="392" spans="2:10">
      <c r="B392" s="17">
        <v>44804</v>
      </c>
      <c r="C392">
        <v>99.76</v>
      </c>
      <c r="D392">
        <f t="shared" si="18"/>
        <v>0.23999999999999488</v>
      </c>
      <c r="E392">
        <f t="shared" si="19"/>
        <v>0.11999999999999744</v>
      </c>
      <c r="F392" s="18">
        <f t="shared" si="20"/>
        <v>0.46129055650060397</v>
      </c>
      <c r="H392" s="53">
        <v>44804</v>
      </c>
      <c r="I392">
        <v>-0.221</v>
      </c>
      <c r="J392">
        <v>0.11999999999999744</v>
      </c>
    </row>
    <row r="393" spans="2:10">
      <c r="B393" s="17">
        <v>44834</v>
      </c>
      <c r="C393">
        <v>100.81</v>
      </c>
      <c r="D393">
        <f t="shared" si="18"/>
        <v>-0.81000000000000227</v>
      </c>
      <c r="E393">
        <f t="shared" si="19"/>
        <v>-0.40500000000000114</v>
      </c>
      <c r="F393" s="18">
        <f t="shared" si="20"/>
        <v>0.21439774789793148</v>
      </c>
      <c r="H393" s="53">
        <v>44834</v>
      </c>
      <c r="I393">
        <v>-1.121</v>
      </c>
      <c r="J393">
        <v>-0.40500000000000114</v>
      </c>
    </row>
    <row r="394" spans="2:10">
      <c r="B394" s="17">
        <v>44865</v>
      </c>
      <c r="C394">
        <v>100.54</v>
      </c>
      <c r="D394">
        <f t="shared" si="18"/>
        <v>-0.54000000000000625</v>
      </c>
      <c r="E394">
        <f t="shared" si="19"/>
        <v>-0.27000000000000313</v>
      </c>
      <c r="F394" s="18">
        <f t="shared" si="20"/>
        <v>7.6344389747020111E-2</v>
      </c>
      <c r="H394" s="53">
        <v>44865</v>
      </c>
      <c r="I394">
        <v>-0.67900000000000005</v>
      </c>
      <c r="J394">
        <v>-0.27000000000000313</v>
      </c>
    </row>
    <row r="395" spans="2:10">
      <c r="B395" s="17">
        <v>44895</v>
      </c>
      <c r="C395">
        <v>99.85</v>
      </c>
      <c r="D395">
        <f t="shared" si="18"/>
        <v>0.15000000000000568</v>
      </c>
      <c r="E395">
        <f t="shared" si="19"/>
        <v>7.5000000000002842E-2</v>
      </c>
      <c r="F395" s="18">
        <f t="shared" si="20"/>
        <v>7.596123866912019E-2</v>
      </c>
      <c r="H395" s="53">
        <v>44895</v>
      </c>
      <c r="I395">
        <v>-0.24199999999999999</v>
      </c>
      <c r="J395">
        <v>7.5000000000002842E-2</v>
      </c>
    </row>
    <row r="396" spans="2:10">
      <c r="B396" s="17">
        <v>44925</v>
      </c>
      <c r="C396">
        <v>100.2</v>
      </c>
      <c r="D396">
        <f t="shared" si="18"/>
        <v>-0.20000000000000284</v>
      </c>
      <c r="E396">
        <f t="shared" si="19"/>
        <v>-0.10000000000000142</v>
      </c>
      <c r="F396" s="18">
        <f t="shared" si="20"/>
        <v>2.581228564842053E-2</v>
      </c>
      <c r="H396" s="53">
        <v>44925</v>
      </c>
      <c r="I396">
        <v>-0.105</v>
      </c>
      <c r="J396">
        <v>-0.10000000000000142</v>
      </c>
    </row>
    <row r="397" spans="2:10">
      <c r="B397" s="17">
        <v>44957</v>
      </c>
      <c r="C397">
        <v>99.59</v>
      </c>
      <c r="D397">
        <f t="shared" si="18"/>
        <v>0.40999999999999659</v>
      </c>
      <c r="E397">
        <f t="shared" si="19"/>
        <v>0.20499999999999829</v>
      </c>
      <c r="F397" s="18">
        <f t="shared" si="20"/>
        <v>7.6880784238620201E-2</v>
      </c>
      <c r="H397" s="53">
        <v>44957</v>
      </c>
      <c r="I397">
        <v>0.313</v>
      </c>
      <c r="J397">
        <v>0.20499999999999829</v>
      </c>
    </row>
    <row r="398" spans="2:10">
      <c r="B398" s="17">
        <v>44985</v>
      </c>
      <c r="C398">
        <v>100.13</v>
      </c>
      <c r="D398">
        <f t="shared" si="18"/>
        <v>-0.12999999999999545</v>
      </c>
      <c r="E398">
        <f t="shared" si="19"/>
        <v>-6.4999999999997726E-2</v>
      </c>
      <c r="F398" s="18">
        <f t="shared" si="20"/>
        <v>3.644476073061409E-2</v>
      </c>
      <c r="H398" s="53">
        <v>44985</v>
      </c>
      <c r="I398">
        <v>0.224</v>
      </c>
      <c r="J398">
        <v>-6.4999999999997726E-2</v>
      </c>
    </row>
    <row r="399" spans="2:10">
      <c r="B399" s="17">
        <v>45016</v>
      </c>
      <c r="C399">
        <v>99.74</v>
      </c>
      <c r="D399">
        <f t="shared" si="18"/>
        <v>0.26000000000000512</v>
      </c>
      <c r="E399">
        <f t="shared" si="19"/>
        <v>0.13000000000000256</v>
      </c>
      <c r="F399" s="18">
        <f t="shared" si="20"/>
        <v>6.3108003922389813E-2</v>
      </c>
      <c r="H399" s="53">
        <v>45016</v>
      </c>
      <c r="I399">
        <v>-0.69399999999999995</v>
      </c>
      <c r="J399">
        <v>0.13000000000000256</v>
      </c>
    </row>
    <row r="400" spans="2:10">
      <c r="B400" s="17">
        <v>45044</v>
      </c>
      <c r="C400">
        <v>99.69</v>
      </c>
      <c r="D400">
        <f t="shared" si="18"/>
        <v>0.31000000000000227</v>
      </c>
      <c r="E400">
        <f t="shared" si="19"/>
        <v>0.15500000000000114</v>
      </c>
      <c r="F400" s="18">
        <f t="shared" si="20"/>
        <v>8.9297222804509052E-2</v>
      </c>
      <c r="H400" s="53">
        <v>45044</v>
      </c>
      <c r="I400">
        <v>-0.28000000000000003</v>
      </c>
      <c r="J400">
        <v>0.15500000000000114</v>
      </c>
    </row>
    <row r="401" spans="2:10">
      <c r="B401" s="17">
        <v>45077</v>
      </c>
      <c r="C401">
        <v>99.93</v>
      </c>
      <c r="D401">
        <f t="shared" si="18"/>
        <v>6.9999999999993179E-2</v>
      </c>
      <c r="E401">
        <f t="shared" si="19"/>
        <v>3.4999999999996589E-2</v>
      </c>
      <c r="F401" s="18">
        <f t="shared" si="20"/>
        <v>7.3822514305222992E-2</v>
      </c>
      <c r="H401" s="53">
        <v>45077</v>
      </c>
      <c r="I401">
        <v>-0.33200000000000002</v>
      </c>
      <c r="J401">
        <v>3.4999999999996589E-2</v>
      </c>
    </row>
    <row r="402" spans="2:10">
      <c r="B402" s="17">
        <v>45107</v>
      </c>
      <c r="C402">
        <v>99.56</v>
      </c>
      <c r="D402">
        <f t="shared" si="18"/>
        <v>0.43999999999999773</v>
      </c>
      <c r="E402">
        <f t="shared" si="19"/>
        <v>0.21999999999999886</v>
      </c>
      <c r="F402" s="18">
        <f t="shared" si="20"/>
        <v>0.11548309772823412</v>
      </c>
      <c r="H402" s="53">
        <v>45107</v>
      </c>
      <c r="I402">
        <v>0.161</v>
      </c>
      <c r="J402">
        <v>0.21999999999999886</v>
      </c>
    </row>
    <row r="403" spans="2:10">
      <c r="B403" s="17">
        <v>45138</v>
      </c>
      <c r="C403">
        <v>99.41</v>
      </c>
      <c r="D403">
        <f t="shared" si="18"/>
        <v>0.59000000000000341</v>
      </c>
      <c r="E403">
        <f t="shared" si="19"/>
        <v>0.29500000000000171</v>
      </c>
      <c r="F403" s="18">
        <f t="shared" si="20"/>
        <v>0.1666454148756879</v>
      </c>
      <c r="H403" s="53">
        <v>45138</v>
      </c>
      <c r="I403">
        <v>0.44400000000000001</v>
      </c>
      <c r="J403">
        <v>0.29500000000000171</v>
      </c>
    </row>
    <row r="404" spans="2:10">
      <c r="B404" s="17">
        <v>45169</v>
      </c>
      <c r="C404">
        <v>99.72</v>
      </c>
      <c r="D404">
        <f t="shared" si="18"/>
        <v>0.28000000000000114</v>
      </c>
      <c r="E404">
        <f t="shared" si="19"/>
        <v>0.14000000000000057</v>
      </c>
      <c r="F404" s="18">
        <f t="shared" si="20"/>
        <v>0.15905147163611702</v>
      </c>
      <c r="H404" s="53">
        <v>45169</v>
      </c>
      <c r="I404">
        <v>0.375</v>
      </c>
      <c r="J404">
        <v>0.14000000000000057</v>
      </c>
    </row>
    <row r="405" spans="2:10">
      <c r="B405" s="17">
        <v>45198</v>
      </c>
      <c r="C405">
        <v>100.3</v>
      </c>
      <c r="D405">
        <f t="shared" si="18"/>
        <v>-0.29999999999999716</v>
      </c>
      <c r="E405">
        <f t="shared" si="19"/>
        <v>-0.14999999999999858</v>
      </c>
      <c r="F405" s="18">
        <f t="shared" si="20"/>
        <v>7.0971802219824076E-2</v>
      </c>
      <c r="H405" s="53">
        <v>45198</v>
      </c>
      <c r="I405">
        <v>0.13300000000000001</v>
      </c>
      <c r="J405">
        <v>-0.14999999999999858</v>
      </c>
    </row>
    <row r="406" spans="2:10">
      <c r="B406" s="17">
        <v>45230</v>
      </c>
      <c r="C406">
        <v>100.68</v>
      </c>
      <c r="D406">
        <f t="shared" si="18"/>
        <v>-0.68000000000000682</v>
      </c>
      <c r="E406">
        <f t="shared" si="19"/>
        <v>-0.34000000000000341</v>
      </c>
      <c r="F406" s="18">
        <f t="shared" si="20"/>
        <v>-4.6155161412826773E-2</v>
      </c>
      <c r="H406" s="53">
        <v>45230</v>
      </c>
      <c r="I406">
        <v>-2.7E-2</v>
      </c>
      <c r="J406">
        <v>-0.34000000000000341</v>
      </c>
    </row>
    <row r="407" spans="2:10">
      <c r="B407" s="17">
        <v>45260</v>
      </c>
      <c r="C407">
        <v>99.78</v>
      </c>
      <c r="D407">
        <f t="shared" si="18"/>
        <v>0.21999999999999886</v>
      </c>
      <c r="E407">
        <f t="shared" si="19"/>
        <v>0.10999999999999943</v>
      </c>
      <c r="F407" s="18">
        <f t="shared" si="20"/>
        <v>-1.6509404101712963E-3</v>
      </c>
      <c r="H407" s="53">
        <v>45260</v>
      </c>
      <c r="I407">
        <v>0.40699999999999997</v>
      </c>
      <c r="J407">
        <v>0.10999999999999943</v>
      </c>
    </row>
    <row r="408" spans="2:10">
      <c r="B408" s="17">
        <v>45289</v>
      </c>
      <c r="C408">
        <v>99.27</v>
      </c>
      <c r="D408">
        <f t="shared" si="18"/>
        <v>0.73000000000000398</v>
      </c>
      <c r="E408">
        <f t="shared" si="19"/>
        <v>0.36500000000000199</v>
      </c>
      <c r="F408" s="18">
        <f t="shared" si="20"/>
        <v>0.1028445776067281</v>
      </c>
      <c r="H408" s="53">
        <v>45289</v>
      </c>
      <c r="I408">
        <v>0.60199999999999998</v>
      </c>
      <c r="J408">
        <v>0.36500000000000199</v>
      </c>
    </row>
    <row r="409" spans="2:10">
      <c r="B409" s="17">
        <v>45322</v>
      </c>
      <c r="C409">
        <v>99.35</v>
      </c>
      <c r="H409" s="53">
        <v>45322</v>
      </c>
      <c r="I409">
        <v>0.71299999999999997</v>
      </c>
    </row>
    <row r="410" spans="2:10">
      <c r="B410" s="17">
        <v>45351</v>
      </c>
      <c r="C410">
        <v>99.28</v>
      </c>
      <c r="H410" s="53">
        <v>45351</v>
      </c>
      <c r="I410">
        <v>0.95099999999999996</v>
      </c>
    </row>
    <row r="411" spans="2:10">
      <c r="B411" s="17">
        <v>45380</v>
      </c>
      <c r="C411">
        <v>99.11</v>
      </c>
      <c r="H411" s="53">
        <v>45380</v>
      </c>
      <c r="I411">
        <v>0.998</v>
      </c>
    </row>
    <row r="412" spans="2:10">
      <c r="B412" s="17">
        <v>45412</v>
      </c>
      <c r="C412">
        <v>99.63</v>
      </c>
      <c r="H412" s="53">
        <v>45412</v>
      </c>
      <c r="I412">
        <v>0.93500000000000005</v>
      </c>
    </row>
    <row r="413" spans="2:10">
      <c r="B413" s="17">
        <v>45443</v>
      </c>
      <c r="C413">
        <v>99.3</v>
      </c>
      <c r="H413" s="53">
        <v>45443</v>
      </c>
      <c r="I413">
        <v>0.97199999999999998</v>
      </c>
    </row>
    <row r="414" spans="2:10">
      <c r="B414" s="17">
        <v>45471</v>
      </c>
      <c r="C414">
        <v>99.25</v>
      </c>
      <c r="H414" s="53">
        <v>45471</v>
      </c>
      <c r="I414">
        <v>0.93100000000000005</v>
      </c>
    </row>
    <row r="415" spans="2:10">
      <c r="B415" s="17">
        <v>45504</v>
      </c>
      <c r="C415">
        <v>99.11</v>
      </c>
      <c r="H415" s="53">
        <v>45504</v>
      </c>
      <c r="I415">
        <v>0.69299999999999995</v>
      </c>
    </row>
    <row r="416" spans="2:10">
      <c r="B416" s="17">
        <v>45534</v>
      </c>
      <c r="C416">
        <v>98.93</v>
      </c>
      <c r="H416" s="53">
        <v>45534</v>
      </c>
      <c r="I416">
        <v>0.79100000000000004</v>
      </c>
    </row>
    <row r="417" spans="2:9">
      <c r="B417" s="17">
        <v>45565</v>
      </c>
      <c r="C417">
        <v>98.71</v>
      </c>
      <c r="H417" s="53">
        <v>45565</v>
      </c>
      <c r="I417">
        <v>0.79</v>
      </c>
    </row>
    <row r="418" spans="2:9">
      <c r="B418" s="17">
        <v>45596</v>
      </c>
      <c r="C418">
        <v>99.11</v>
      </c>
      <c r="H418" s="53">
        <v>45596</v>
      </c>
      <c r="I418">
        <v>0.49099999999999999</v>
      </c>
    </row>
    <row r="419" spans="2:9">
      <c r="B419" s="17">
        <v>45625</v>
      </c>
      <c r="C419">
        <v>98.87</v>
      </c>
      <c r="H419" s="53">
        <v>45625</v>
      </c>
      <c r="I419">
        <v>1.0980000000000001</v>
      </c>
    </row>
    <row r="420" spans="2:9">
      <c r="B420" s="17">
        <v>45657</v>
      </c>
      <c r="C420">
        <v>99.33</v>
      </c>
      <c r="H420" s="53">
        <v>45657</v>
      </c>
      <c r="I420">
        <v>0.88900000000000001</v>
      </c>
    </row>
    <row r="421" spans="2:9">
      <c r="B421" s="17">
        <v>45688</v>
      </c>
      <c r="C421">
        <v>99.22</v>
      </c>
      <c r="H421" s="53">
        <v>45688</v>
      </c>
      <c r="I421">
        <v>1.069</v>
      </c>
    </row>
    <row r="422" spans="2:9">
      <c r="B422" s="17">
        <v>45716</v>
      </c>
      <c r="C422">
        <v>99.19</v>
      </c>
      <c r="H422" s="53">
        <v>45716</v>
      </c>
      <c r="I422">
        <v>0.81399999999999995</v>
      </c>
    </row>
    <row r="423" spans="2:9">
      <c r="B423" s="17">
        <v>45747</v>
      </c>
      <c r="C423">
        <v>99.49</v>
      </c>
      <c r="H423" s="53">
        <v>45747</v>
      </c>
      <c r="I423">
        <v>0.441</v>
      </c>
    </row>
    <row r="424" spans="2:9">
      <c r="B424" s="17">
        <v>45777</v>
      </c>
      <c r="C424">
        <v>99.44</v>
      </c>
      <c r="H424" s="53">
        <v>45777</v>
      </c>
      <c r="I424">
        <v>1.7000000000000001E-2</v>
      </c>
    </row>
    <row r="425" spans="2:9">
      <c r="B425" s="17">
        <v>45807</v>
      </c>
      <c r="C425">
        <v>99.19</v>
      </c>
      <c r="H425" s="53">
        <v>45807</v>
      </c>
      <c r="I425">
        <v>0.58099999999999996</v>
      </c>
    </row>
    <row r="426" spans="2:9">
      <c r="B426" s="17">
        <v>45838</v>
      </c>
      <c r="C426">
        <v>98.77</v>
      </c>
      <c r="H426" s="53">
        <v>45838</v>
      </c>
      <c r="I426">
        <v>0.73499999999999999</v>
      </c>
    </row>
    <row r="427" spans="2:9">
      <c r="B427" s="17">
        <v>45869</v>
      </c>
      <c r="C427">
        <v>98.83</v>
      </c>
      <c r="H427" s="53">
        <v>45869</v>
      </c>
      <c r="I427">
        <v>0.97199999999999998</v>
      </c>
    </row>
    <row r="428" spans="2:9">
      <c r="B428" s="17">
        <v>45898</v>
      </c>
      <c r="C428">
        <v>98.69</v>
      </c>
      <c r="H428" s="53">
        <v>45898</v>
      </c>
      <c r="I428">
        <v>0.98099999999999998</v>
      </c>
    </row>
    <row r="429" spans="2:9">
      <c r="B429" s="17">
        <v>45930</v>
      </c>
      <c r="C429">
        <v>98.44</v>
      </c>
      <c r="H429" s="53">
        <v>45930</v>
      </c>
      <c r="I429">
        <v>1.0049999999999999</v>
      </c>
    </row>
    <row r="430" spans="2:9">
      <c r="B430" s="17">
        <v>45961</v>
      </c>
      <c r="C430">
        <v>98.45</v>
      </c>
      <c r="H430" s="53">
        <v>45961</v>
      </c>
      <c r="I430">
        <v>0.86699999999999999</v>
      </c>
    </row>
    <row r="431" spans="2:9">
      <c r="B431" s="17">
        <v>45989</v>
      </c>
      <c r="C431">
        <v>98.46</v>
      </c>
      <c r="H431" s="53">
        <v>45989</v>
      </c>
      <c r="I431">
        <v>0.97699999999999998</v>
      </c>
    </row>
    <row r="432" spans="2:9">
      <c r="B432" s="17">
        <v>46022</v>
      </c>
      <c r="C432">
        <v>98.49</v>
      </c>
      <c r="H432" s="53">
        <v>46022</v>
      </c>
      <c r="I432">
        <v>1.0620000000000001</v>
      </c>
    </row>
    <row r="433" spans="2:9">
      <c r="B433" s="17">
        <v>46052</v>
      </c>
      <c r="C433">
        <v>98.39</v>
      </c>
      <c r="H433" s="53">
        <v>46052</v>
      </c>
      <c r="I433">
        <v>1.242</v>
      </c>
    </row>
    <row r="434" spans="2:9">
      <c r="B434" s="17">
        <v>46080</v>
      </c>
      <c r="C434">
        <v>98.4</v>
      </c>
      <c r="H434" s="53">
        <v>46080</v>
      </c>
      <c r="I434">
        <v>0.96499999999999997</v>
      </c>
    </row>
    <row r="435" spans="2:9">
      <c r="B435" s="17">
        <v>46112</v>
      </c>
      <c r="C435">
        <v>98.97</v>
      </c>
      <c r="H435" s="53">
        <v>46112</v>
      </c>
      <c r="I435">
        <v>0.26400000000000001</v>
      </c>
    </row>
    <row r="436" spans="2:9">
      <c r="B436" s="17">
        <v>46142</v>
      </c>
      <c r="C436">
        <v>98.44</v>
      </c>
      <c r="H436" s="53">
        <v>46142</v>
      </c>
      <c r="I436">
        <v>0.90300000000000002</v>
      </c>
    </row>
    <row r="437" spans="2:9">
      <c r="B437" s="17">
        <v>46171</v>
      </c>
      <c r="C437">
        <v>98.22</v>
      </c>
      <c r="H437" s="53">
        <v>46171</v>
      </c>
      <c r="I437">
        <v>1.1439999999999999</v>
      </c>
    </row>
    <row r="438" spans="2:9">
      <c r="B438" s="17"/>
    </row>
    <row r="439" spans="2:9">
      <c r="B439" s="17"/>
    </row>
    <row r="440" spans="2:9">
      <c r="B440" s="17"/>
    </row>
    <row r="441" spans="2:9">
      <c r="B441" s="17"/>
    </row>
    <row r="442" spans="2:9">
      <c r="B442" s="17"/>
    </row>
    <row r="443" spans="2:9">
      <c r="B443" s="17"/>
    </row>
    <row r="444" spans="2:9">
      <c r="B444" s="17"/>
    </row>
    <row r="445" spans="2:9">
      <c r="B445" s="17"/>
    </row>
    <row r="446" spans="2:9">
      <c r="B446" s="17"/>
    </row>
    <row r="447" spans="2:9">
      <c r="B447" s="17"/>
    </row>
    <row r="448" spans="2:9">
      <c r="B448" s="17"/>
    </row>
    <row r="449" spans="2:2">
      <c r="B449" s="17"/>
    </row>
    <row r="450" spans="2:2">
      <c r="B450" s="17"/>
    </row>
    <row r="451" spans="2:2">
      <c r="B451" s="17"/>
    </row>
    <row r="452" spans="2:2">
      <c r="B452" s="17"/>
    </row>
    <row r="453" spans="2:2">
      <c r="B453" s="17"/>
    </row>
    <row r="454" spans="2:2">
      <c r="B454" s="17"/>
    </row>
    <row r="455" spans="2:2">
      <c r="B455" s="17"/>
    </row>
    <row r="456" spans="2:2">
      <c r="B456" s="17"/>
    </row>
    <row r="457" spans="2:2">
      <c r="B457" s="17"/>
    </row>
    <row r="458" spans="2:2">
      <c r="B458" s="17"/>
    </row>
    <row r="459" spans="2:2">
      <c r="B459" s="17"/>
    </row>
    <row r="460" spans="2:2">
      <c r="B460" s="17"/>
    </row>
    <row r="461" spans="2:2">
      <c r="B461" s="17"/>
    </row>
    <row r="462" spans="2:2">
      <c r="B462" s="17"/>
    </row>
    <row r="463" spans="2:2">
      <c r="B463" s="17"/>
    </row>
    <row r="464" spans="2:2">
      <c r="B464" s="17"/>
    </row>
    <row r="465" spans="2:2">
      <c r="B465" s="17"/>
    </row>
    <row r="466" spans="2:2">
      <c r="B466" s="17"/>
    </row>
    <row r="467" spans="2:2">
      <c r="B467" s="17"/>
    </row>
    <row r="468" spans="2:2">
      <c r="B468" s="17"/>
    </row>
    <row r="469" spans="2:2">
      <c r="B469" s="17"/>
    </row>
    <row r="470" spans="2:2">
      <c r="B470" s="17"/>
    </row>
    <row r="471" spans="2:2">
      <c r="B471" s="17"/>
    </row>
    <row r="472" spans="2:2">
      <c r="B472" s="17"/>
    </row>
    <row r="473" spans="2:2">
      <c r="B473" s="17"/>
    </row>
    <row r="474" spans="2:2">
      <c r="B474" s="17"/>
    </row>
    <row r="475" spans="2:2">
      <c r="B475" s="17"/>
    </row>
    <row r="476" spans="2:2">
      <c r="B476" s="17"/>
    </row>
    <row r="477" spans="2:2">
      <c r="B477" s="17"/>
    </row>
    <row r="478" spans="2:2">
      <c r="B478" s="17"/>
    </row>
    <row r="479" spans="2:2">
      <c r="B479" s="17"/>
    </row>
    <row r="480" spans="2:2">
      <c r="B480" s="17"/>
    </row>
    <row r="481" spans="2:2">
      <c r="B481" s="17"/>
    </row>
    <row r="482" spans="2:2">
      <c r="B482" s="17"/>
    </row>
    <row r="483" spans="2:2">
      <c r="B483" s="17"/>
    </row>
    <row r="484" spans="2:2">
      <c r="B484" s="17"/>
    </row>
    <row r="485" spans="2:2">
      <c r="B485" s="17"/>
    </row>
    <row r="486" spans="2:2">
      <c r="B486" s="17"/>
    </row>
    <row r="487" spans="2:2">
      <c r="B487" s="17"/>
    </row>
    <row r="488" spans="2:2">
      <c r="B488" s="17"/>
    </row>
    <row r="489" spans="2:2">
      <c r="B489" s="17"/>
    </row>
    <row r="490" spans="2:2">
      <c r="B490" s="17"/>
    </row>
    <row r="491" spans="2:2">
      <c r="B491" s="17"/>
    </row>
    <row r="492" spans="2:2">
      <c r="B492" s="17"/>
    </row>
    <row r="493" spans="2:2">
      <c r="B493" s="17"/>
    </row>
    <row r="494" spans="2:2">
      <c r="B494" s="17"/>
    </row>
    <row r="495" spans="2:2">
      <c r="B495" s="17"/>
    </row>
    <row r="496" spans="2:2">
      <c r="B496" s="17"/>
    </row>
    <row r="497" spans="2:2">
      <c r="B497" s="17"/>
    </row>
    <row r="498" spans="2:2">
      <c r="B498" s="17"/>
    </row>
    <row r="499" spans="2:2">
      <c r="B499" s="17"/>
    </row>
    <row r="500" spans="2:2">
      <c r="B500" s="17"/>
    </row>
    <row r="501" spans="2:2">
      <c r="B501" s="17"/>
    </row>
    <row r="502" spans="2:2">
      <c r="B502" s="17"/>
    </row>
    <row r="503" spans="2:2">
      <c r="B503" s="17"/>
    </row>
    <row r="504" spans="2:2">
      <c r="B504" s="17"/>
    </row>
    <row r="505" spans="2:2">
      <c r="B505" s="17"/>
    </row>
    <row r="506" spans="2:2">
      <c r="B506" s="17"/>
    </row>
    <row r="507" spans="2:2">
      <c r="B507" s="17"/>
    </row>
    <row r="508" spans="2:2">
      <c r="B508" s="17"/>
    </row>
    <row r="509" spans="2:2">
      <c r="B509" s="17"/>
    </row>
    <row r="510" spans="2:2">
      <c r="B510" s="17"/>
    </row>
    <row r="511" spans="2:2">
      <c r="B511" s="17"/>
    </row>
    <row r="512" spans="2:2">
      <c r="B512" s="17"/>
    </row>
    <row r="513" spans="2:2">
      <c r="B513" s="17"/>
    </row>
    <row r="514" spans="2:2">
      <c r="B514" s="17"/>
    </row>
    <row r="515" spans="2:2">
      <c r="B515" s="17"/>
    </row>
    <row r="516" spans="2:2">
      <c r="B516" s="17"/>
    </row>
    <row r="517" spans="2:2">
      <c r="B517" s="17"/>
    </row>
    <row r="518" spans="2:2">
      <c r="B518" s="17"/>
    </row>
    <row r="519" spans="2:2">
      <c r="B519" s="17"/>
    </row>
    <row r="520" spans="2:2">
      <c r="B520" s="17"/>
    </row>
    <row r="521" spans="2:2">
      <c r="B521" s="17"/>
    </row>
    <row r="522" spans="2:2">
      <c r="B522" s="17"/>
    </row>
    <row r="523" spans="2:2">
      <c r="B523" s="17"/>
    </row>
    <row r="524" spans="2:2">
      <c r="B524" s="17"/>
    </row>
    <row r="525" spans="2:2">
      <c r="B525" s="17"/>
    </row>
    <row r="526" spans="2:2">
      <c r="B526" s="17"/>
    </row>
    <row r="527" spans="2:2">
      <c r="B527" s="17"/>
    </row>
    <row r="528" spans="2:2">
      <c r="B528" s="17"/>
    </row>
    <row r="529" spans="2:2">
      <c r="B529" s="17"/>
    </row>
    <row r="530" spans="2:2">
      <c r="B530" s="17"/>
    </row>
    <row r="531" spans="2:2">
      <c r="B531" s="17"/>
    </row>
    <row r="532" spans="2:2">
      <c r="B532" s="17"/>
    </row>
    <row r="533" spans="2:2">
      <c r="B533" s="17"/>
    </row>
    <row r="534" spans="2:2">
      <c r="B534" s="17"/>
    </row>
    <row r="535" spans="2:2">
      <c r="B535" s="17"/>
    </row>
    <row r="536" spans="2:2">
      <c r="B536" s="17"/>
    </row>
    <row r="537" spans="2:2">
      <c r="B537" s="17"/>
    </row>
    <row r="538" spans="2:2">
      <c r="B538" s="17"/>
    </row>
    <row r="539" spans="2:2">
      <c r="B539" s="17"/>
    </row>
    <row r="540" spans="2:2">
      <c r="B540" s="17"/>
    </row>
    <row r="541" spans="2:2">
      <c r="B541" s="17"/>
    </row>
    <row r="542" spans="2:2">
      <c r="B542" s="17"/>
    </row>
    <row r="543" spans="2:2">
      <c r="B543" s="17"/>
    </row>
    <row r="544" spans="2:2">
      <c r="B544" s="17"/>
    </row>
    <row r="545" spans="2:2">
      <c r="B545" s="17"/>
    </row>
    <row r="546" spans="2:2">
      <c r="B546" s="17"/>
    </row>
    <row r="547" spans="2:2">
      <c r="B547" s="17"/>
    </row>
    <row r="548" spans="2:2">
      <c r="B548" s="17"/>
    </row>
    <row r="549" spans="2:2">
      <c r="B549" s="17"/>
    </row>
    <row r="550" spans="2:2">
      <c r="B550" s="17"/>
    </row>
    <row r="551" spans="2:2">
      <c r="B551" s="17"/>
    </row>
    <row r="552" spans="2:2">
      <c r="B552" s="17"/>
    </row>
    <row r="553" spans="2:2">
      <c r="B553" s="17"/>
    </row>
    <row r="554" spans="2:2">
      <c r="B554" s="17"/>
    </row>
    <row r="555" spans="2:2">
      <c r="B555" s="17"/>
    </row>
    <row r="556" spans="2:2">
      <c r="B556" s="17"/>
    </row>
    <row r="557" spans="2:2">
      <c r="B557" s="17"/>
    </row>
    <row r="558" spans="2:2">
      <c r="B558" s="17"/>
    </row>
    <row r="559" spans="2:2">
      <c r="B559" s="17"/>
    </row>
    <row r="560" spans="2:2">
      <c r="B560" s="17"/>
    </row>
    <row r="561" spans="2:2">
      <c r="B561" s="17"/>
    </row>
    <row r="562" spans="2:2">
      <c r="B562" s="17"/>
    </row>
    <row r="563" spans="2:2">
      <c r="B563" s="17"/>
    </row>
    <row r="564" spans="2:2">
      <c r="B564" s="17"/>
    </row>
    <row r="565" spans="2:2">
      <c r="B565" s="17"/>
    </row>
    <row r="566" spans="2:2">
      <c r="B566" s="17"/>
    </row>
    <row r="567" spans="2:2">
      <c r="B567" s="17"/>
    </row>
    <row r="568" spans="2:2">
      <c r="B568" s="17"/>
    </row>
    <row r="569" spans="2:2">
      <c r="B569" s="17"/>
    </row>
    <row r="570" spans="2:2">
      <c r="B570" s="17"/>
    </row>
    <row r="571" spans="2:2">
      <c r="B571" s="17"/>
    </row>
    <row r="572" spans="2:2">
      <c r="B572" s="17"/>
    </row>
    <row r="573" spans="2:2">
      <c r="B573" s="17"/>
    </row>
    <row r="574" spans="2:2">
      <c r="B574" s="17"/>
    </row>
    <row r="575" spans="2:2">
      <c r="B575" s="17"/>
    </row>
    <row r="576" spans="2:2">
      <c r="B576" s="17"/>
    </row>
    <row r="577" spans="2:2">
      <c r="B577" s="17"/>
    </row>
    <row r="578" spans="2:2">
      <c r="B578" s="17"/>
    </row>
    <row r="579" spans="2:2">
      <c r="B579" s="17"/>
    </row>
    <row r="580" spans="2:2">
      <c r="B580" s="17"/>
    </row>
    <row r="581" spans="2:2">
      <c r="B581" s="17"/>
    </row>
    <row r="582" spans="2:2">
      <c r="B582" s="17"/>
    </row>
    <row r="583" spans="2:2">
      <c r="B583" s="17"/>
    </row>
    <row r="584" spans="2:2">
      <c r="B584" s="17"/>
    </row>
    <row r="585" spans="2:2">
      <c r="B585" s="17"/>
    </row>
    <row r="586" spans="2:2">
      <c r="B586" s="17"/>
    </row>
    <row r="587" spans="2:2">
      <c r="B587" s="17"/>
    </row>
    <row r="588" spans="2:2">
      <c r="B588" s="17"/>
    </row>
    <row r="589" spans="2:2">
      <c r="B589" s="17"/>
    </row>
    <row r="590" spans="2:2">
      <c r="B590" s="17"/>
    </row>
    <row r="591" spans="2:2">
      <c r="B591" s="17"/>
    </row>
    <row r="592" spans="2:2">
      <c r="B592" s="17"/>
    </row>
    <row r="593" spans="2:2">
      <c r="B593" s="17"/>
    </row>
    <row r="594" spans="2:2">
      <c r="B594" s="17"/>
    </row>
    <row r="595" spans="2:2">
      <c r="B595" s="17"/>
    </row>
    <row r="596" spans="2:2">
      <c r="B596" s="17"/>
    </row>
    <row r="597" spans="2:2">
      <c r="B597" s="17"/>
    </row>
    <row r="598" spans="2:2">
      <c r="B598" s="17"/>
    </row>
    <row r="599" spans="2:2">
      <c r="B599" s="17"/>
    </row>
    <row r="600" spans="2:2">
      <c r="B600" s="17"/>
    </row>
    <row r="601" spans="2:2">
      <c r="B601" s="17"/>
    </row>
    <row r="602" spans="2:2">
      <c r="B602" s="17"/>
    </row>
    <row r="603" spans="2:2">
      <c r="B603" s="17"/>
    </row>
    <row r="604" spans="2:2">
      <c r="B604" s="17"/>
    </row>
    <row r="605" spans="2:2">
      <c r="B605" s="17"/>
    </row>
    <row r="606" spans="2:2">
      <c r="B606" s="17"/>
    </row>
    <row r="607" spans="2:2">
      <c r="B607" s="17"/>
    </row>
    <row r="608" spans="2:2">
      <c r="B608" s="17"/>
    </row>
    <row r="609" spans="2:2">
      <c r="B609" s="17"/>
    </row>
    <row r="610" spans="2:2">
      <c r="B610" s="17"/>
    </row>
    <row r="611" spans="2:2">
      <c r="B611" s="17"/>
    </row>
    <row r="612" spans="2:2">
      <c r="B612" s="17"/>
    </row>
    <row r="613" spans="2:2">
      <c r="B613" s="17"/>
    </row>
    <row r="614" spans="2:2">
      <c r="B614" s="17"/>
    </row>
    <row r="615" spans="2:2">
      <c r="B615" s="17"/>
    </row>
    <row r="616" spans="2:2">
      <c r="B616" s="17"/>
    </row>
    <row r="617" spans="2:2">
      <c r="B617" s="17"/>
    </row>
    <row r="618" spans="2:2">
      <c r="B618" s="17"/>
    </row>
    <row r="619" spans="2:2">
      <c r="B619" s="17"/>
    </row>
    <row r="620" spans="2:2">
      <c r="B620" s="17"/>
    </row>
    <row r="621" spans="2:2">
      <c r="B621" s="17"/>
    </row>
    <row r="622" spans="2:2">
      <c r="B622" s="17"/>
    </row>
    <row r="623" spans="2:2">
      <c r="B623" s="17"/>
    </row>
    <row r="624" spans="2:2">
      <c r="B624" s="17"/>
    </row>
    <row r="625" spans="2:2">
      <c r="B625" s="17"/>
    </row>
    <row r="626" spans="2:2">
      <c r="B626" s="17"/>
    </row>
    <row r="627" spans="2:2">
      <c r="B627" s="17"/>
    </row>
    <row r="628" spans="2:2">
      <c r="B628" s="17"/>
    </row>
    <row r="629" spans="2:2">
      <c r="B629" s="17"/>
    </row>
    <row r="630" spans="2:2">
      <c r="B630" s="17"/>
    </row>
    <row r="631" spans="2:2">
      <c r="B631" s="17"/>
    </row>
    <row r="632" spans="2:2">
      <c r="B632" s="17"/>
    </row>
    <row r="633" spans="2:2">
      <c r="B633" s="17"/>
    </row>
    <row r="634" spans="2:2">
      <c r="B634" s="17"/>
    </row>
    <row r="635" spans="2:2">
      <c r="B635" s="17"/>
    </row>
    <row r="636" spans="2:2">
      <c r="B636" s="17"/>
    </row>
    <row r="637" spans="2:2">
      <c r="B637" s="17"/>
    </row>
    <row r="638" spans="2:2">
      <c r="B638" s="17"/>
    </row>
    <row r="639" spans="2:2">
      <c r="B639" s="17"/>
    </row>
    <row r="640" spans="2:2">
      <c r="B640" s="17"/>
    </row>
    <row r="641" spans="2:2">
      <c r="B641" s="17"/>
    </row>
    <row r="642" spans="2:2">
      <c r="B642" s="17"/>
    </row>
    <row r="643" spans="2:2">
      <c r="B643" s="17"/>
    </row>
    <row r="644" spans="2:2">
      <c r="B644" s="17"/>
    </row>
    <row r="645" spans="2:2">
      <c r="B645" s="17"/>
    </row>
    <row r="646" spans="2:2">
      <c r="B646" s="17"/>
    </row>
    <row r="647" spans="2:2">
      <c r="B647" s="17"/>
    </row>
    <row r="648" spans="2:2">
      <c r="B648" s="17"/>
    </row>
    <row r="649" spans="2:2">
      <c r="B649" s="17"/>
    </row>
    <row r="650" spans="2:2">
      <c r="B650" s="17"/>
    </row>
    <row r="651" spans="2:2">
      <c r="B651" s="17"/>
    </row>
    <row r="652" spans="2:2">
      <c r="B652" s="17"/>
    </row>
    <row r="653" spans="2:2">
      <c r="B653" s="17"/>
    </row>
    <row r="654" spans="2:2">
      <c r="B654" s="17"/>
    </row>
    <row r="655" spans="2:2">
      <c r="B655" s="17"/>
    </row>
    <row r="656" spans="2:2">
      <c r="B656" s="17"/>
    </row>
    <row r="657" spans="2:2">
      <c r="B657" s="17"/>
    </row>
    <row r="658" spans="2:2">
      <c r="B658" s="17"/>
    </row>
    <row r="659" spans="2:2">
      <c r="B659" s="17"/>
    </row>
    <row r="660" spans="2:2">
      <c r="B660" s="17"/>
    </row>
    <row r="661" spans="2:2">
      <c r="B661" s="17"/>
    </row>
    <row r="662" spans="2:2">
      <c r="B662" s="17"/>
    </row>
    <row r="663" spans="2:2">
      <c r="B663" s="17"/>
    </row>
    <row r="664" spans="2:2">
      <c r="B664" s="17"/>
    </row>
    <row r="665" spans="2:2">
      <c r="B665" s="17"/>
    </row>
    <row r="666" spans="2:2">
      <c r="B666" s="17"/>
    </row>
    <row r="667" spans="2:2">
      <c r="B667" s="17"/>
    </row>
    <row r="668" spans="2:2">
      <c r="B668" s="17"/>
    </row>
    <row r="669" spans="2:2">
      <c r="B669" s="17"/>
    </row>
    <row r="670" spans="2:2">
      <c r="B670" s="17"/>
    </row>
    <row r="671" spans="2:2">
      <c r="B671" s="17"/>
    </row>
    <row r="672" spans="2:2">
      <c r="B672" s="17"/>
    </row>
    <row r="673" spans="2:2">
      <c r="B673" s="17"/>
    </row>
    <row r="674" spans="2:2">
      <c r="B674" s="17"/>
    </row>
    <row r="675" spans="2:2">
      <c r="B675" s="17"/>
    </row>
    <row r="676" spans="2:2">
      <c r="B676" s="17"/>
    </row>
    <row r="677" spans="2:2">
      <c r="B677" s="17"/>
    </row>
    <row r="678" spans="2:2">
      <c r="B678" s="17"/>
    </row>
    <row r="679" spans="2:2">
      <c r="B679" s="17"/>
    </row>
    <row r="680" spans="2:2">
      <c r="B680" s="17"/>
    </row>
    <row r="681" spans="2:2">
      <c r="B681" s="17"/>
    </row>
    <row r="682" spans="2:2">
      <c r="B682" s="17"/>
    </row>
    <row r="683" spans="2:2">
      <c r="B683" s="17"/>
    </row>
    <row r="684" spans="2:2">
      <c r="B684" s="17"/>
    </row>
    <row r="685" spans="2:2">
      <c r="B685" s="17"/>
    </row>
    <row r="686" spans="2:2">
      <c r="B686" s="17"/>
    </row>
    <row r="687" spans="2:2">
      <c r="B687" s="17"/>
    </row>
    <row r="688" spans="2:2">
      <c r="B688" s="17"/>
    </row>
    <row r="689" spans="2:2">
      <c r="B689" s="17"/>
    </row>
    <row r="690" spans="2:2">
      <c r="B690" s="17"/>
    </row>
    <row r="691" spans="2:2">
      <c r="B691" s="17"/>
    </row>
    <row r="692" spans="2:2">
      <c r="B692" s="17"/>
    </row>
    <row r="693" spans="2:2">
      <c r="B693" s="17"/>
    </row>
    <row r="694" spans="2:2">
      <c r="B694" s="17"/>
    </row>
    <row r="695" spans="2:2">
      <c r="B695" s="17"/>
    </row>
    <row r="696" spans="2:2">
      <c r="B696" s="17"/>
    </row>
    <row r="697" spans="2:2">
      <c r="B697" s="17"/>
    </row>
    <row r="698" spans="2:2">
      <c r="B698" s="17"/>
    </row>
    <row r="699" spans="2:2">
      <c r="B699" s="17"/>
    </row>
    <row r="700" spans="2:2">
      <c r="B700" s="17"/>
    </row>
    <row r="701" spans="2:2">
      <c r="B701" s="17"/>
    </row>
    <row r="702" spans="2:2">
      <c r="B702" s="17"/>
    </row>
    <row r="703" spans="2:2">
      <c r="B703" s="17"/>
    </row>
    <row r="704" spans="2:2">
      <c r="B704" s="17"/>
    </row>
    <row r="705" spans="2:2">
      <c r="B705" s="17"/>
    </row>
    <row r="706" spans="2:2">
      <c r="B706" s="17"/>
    </row>
    <row r="707" spans="2:2">
      <c r="B707" s="17"/>
    </row>
    <row r="708" spans="2:2">
      <c r="B708" s="17"/>
    </row>
    <row r="709" spans="2:2">
      <c r="B709" s="17"/>
    </row>
    <row r="710" spans="2:2">
      <c r="B710" s="17"/>
    </row>
    <row r="711" spans="2:2">
      <c r="B711" s="17"/>
    </row>
    <row r="712" spans="2:2">
      <c r="B712" s="17"/>
    </row>
    <row r="713" spans="2:2">
      <c r="B713" s="17"/>
    </row>
    <row r="714" spans="2:2">
      <c r="B714" s="17"/>
    </row>
    <row r="715" spans="2:2">
      <c r="B715" s="17"/>
    </row>
    <row r="716" spans="2:2">
      <c r="B716" s="17"/>
    </row>
    <row r="717" spans="2:2">
      <c r="B717" s="17"/>
    </row>
    <row r="718" spans="2:2">
      <c r="B718" s="17"/>
    </row>
    <row r="719" spans="2:2">
      <c r="B719" s="17"/>
    </row>
    <row r="720" spans="2:2">
      <c r="B720" s="17"/>
    </row>
    <row r="721" spans="2:2">
      <c r="B721" s="17"/>
    </row>
    <row r="722" spans="2:2">
      <c r="B722" s="17"/>
    </row>
    <row r="723" spans="2:2">
      <c r="B723" s="17"/>
    </row>
    <row r="724" spans="2:2">
      <c r="B724" s="17"/>
    </row>
    <row r="725" spans="2:2">
      <c r="B725" s="17"/>
    </row>
    <row r="726" spans="2:2">
      <c r="B726" s="17"/>
    </row>
    <row r="727" spans="2:2">
      <c r="B727" s="17"/>
    </row>
    <row r="728" spans="2:2">
      <c r="B728" s="17"/>
    </row>
    <row r="729" spans="2:2">
      <c r="B729" s="17"/>
    </row>
    <row r="730" spans="2:2">
      <c r="B730" s="17"/>
    </row>
    <row r="731" spans="2:2">
      <c r="B731" s="17"/>
    </row>
    <row r="732" spans="2:2">
      <c r="B732" s="17"/>
    </row>
    <row r="733" spans="2:2">
      <c r="B733" s="17"/>
    </row>
    <row r="734" spans="2:2">
      <c r="B734" s="17"/>
    </row>
    <row r="735" spans="2:2">
      <c r="B735" s="17"/>
    </row>
    <row r="736" spans="2:2">
      <c r="B736" s="17"/>
    </row>
    <row r="737" spans="2:2">
      <c r="B737" s="17"/>
    </row>
    <row r="738" spans="2:2">
      <c r="B738" s="17"/>
    </row>
    <row r="739" spans="2:2">
      <c r="B739" s="17"/>
    </row>
    <row r="740" spans="2:2">
      <c r="B740" s="17"/>
    </row>
    <row r="741" spans="2:2">
      <c r="B741" s="17"/>
    </row>
    <row r="742" spans="2:2">
      <c r="B742" s="17"/>
    </row>
    <row r="743" spans="2:2">
      <c r="B743" s="17"/>
    </row>
    <row r="744" spans="2:2">
      <c r="B744" s="17"/>
    </row>
    <row r="745" spans="2:2">
      <c r="B745" s="17"/>
    </row>
    <row r="746" spans="2:2">
      <c r="B746" s="17"/>
    </row>
    <row r="747" spans="2:2">
      <c r="B747" s="17"/>
    </row>
    <row r="748" spans="2:2">
      <c r="B748" s="17"/>
    </row>
    <row r="749" spans="2:2">
      <c r="B749" s="17"/>
    </row>
    <row r="750" spans="2:2">
      <c r="B750" s="17"/>
    </row>
    <row r="751" spans="2:2">
      <c r="B751" s="17"/>
    </row>
    <row r="752" spans="2:2">
      <c r="B752" s="17"/>
    </row>
    <row r="753" spans="2:2">
      <c r="B753" s="17"/>
    </row>
    <row r="754" spans="2:2">
      <c r="B754" s="17"/>
    </row>
    <row r="755" spans="2:2">
      <c r="B755" s="17"/>
    </row>
    <row r="756" spans="2:2">
      <c r="B756" s="17"/>
    </row>
    <row r="757" spans="2:2">
      <c r="B757" s="17"/>
    </row>
    <row r="758" spans="2:2">
      <c r="B758" s="17"/>
    </row>
    <row r="759" spans="2:2">
      <c r="B759" s="17"/>
    </row>
    <row r="760" spans="2:2">
      <c r="B760" s="17"/>
    </row>
    <row r="761" spans="2:2">
      <c r="B761" s="17"/>
    </row>
    <row r="762" spans="2:2">
      <c r="B762" s="17"/>
    </row>
    <row r="763" spans="2:2">
      <c r="B763" s="17"/>
    </row>
    <row r="764" spans="2:2">
      <c r="B764" s="17"/>
    </row>
    <row r="765" spans="2:2">
      <c r="B765" s="17"/>
    </row>
    <row r="766" spans="2:2">
      <c r="B766" s="17"/>
    </row>
    <row r="767" spans="2:2">
      <c r="B767" s="17"/>
    </row>
    <row r="768" spans="2:2">
      <c r="B768" s="17"/>
    </row>
    <row r="769" spans="2:2">
      <c r="B769" s="17"/>
    </row>
    <row r="770" spans="2:2">
      <c r="B770" s="17"/>
    </row>
    <row r="771" spans="2:2">
      <c r="B771" s="17"/>
    </row>
    <row r="772" spans="2:2">
      <c r="B772" s="17"/>
    </row>
    <row r="773" spans="2:2">
      <c r="B773" s="17"/>
    </row>
    <row r="774" spans="2:2">
      <c r="B774" s="17"/>
    </row>
    <row r="775" spans="2:2">
      <c r="B775" s="17"/>
    </row>
    <row r="776" spans="2:2">
      <c r="B776" s="17"/>
    </row>
    <row r="777" spans="2:2">
      <c r="B777" s="17"/>
    </row>
    <row r="778" spans="2:2">
      <c r="B778" s="17"/>
    </row>
    <row r="779" spans="2:2">
      <c r="B779" s="17"/>
    </row>
    <row r="780" spans="2:2">
      <c r="B780" s="17"/>
    </row>
    <row r="781" spans="2:2">
      <c r="B781" s="17"/>
    </row>
    <row r="782" spans="2:2">
      <c r="B782" s="17"/>
    </row>
    <row r="783" spans="2:2">
      <c r="B783" s="17"/>
    </row>
    <row r="784" spans="2:2">
      <c r="B784" s="17"/>
    </row>
    <row r="785" spans="2:2">
      <c r="B785" s="17"/>
    </row>
    <row r="786" spans="2:2">
      <c r="B786" s="17"/>
    </row>
    <row r="787" spans="2:2">
      <c r="B787" s="17"/>
    </row>
    <row r="788" spans="2:2">
      <c r="B788" s="17"/>
    </row>
    <row r="789" spans="2:2">
      <c r="B789" s="17"/>
    </row>
    <row r="790" spans="2:2">
      <c r="B790" s="17"/>
    </row>
    <row r="791" spans="2:2">
      <c r="B791" s="17"/>
    </row>
    <row r="792" spans="2:2">
      <c r="B792" s="17"/>
    </row>
    <row r="793" spans="2:2">
      <c r="B793" s="17"/>
    </row>
    <row r="794" spans="2:2">
      <c r="B794" s="17"/>
    </row>
    <row r="795" spans="2:2">
      <c r="B795" s="17"/>
    </row>
    <row r="796" spans="2:2">
      <c r="B796" s="17"/>
    </row>
    <row r="797" spans="2:2">
      <c r="B797" s="17"/>
    </row>
    <row r="798" spans="2:2">
      <c r="B798" s="17"/>
    </row>
    <row r="799" spans="2:2">
      <c r="B799" s="17"/>
    </row>
    <row r="800" spans="2:2">
      <c r="B800" s="17"/>
    </row>
    <row r="801" spans="2:2">
      <c r="B801" s="17"/>
    </row>
    <row r="802" spans="2:2">
      <c r="B802" s="17"/>
    </row>
    <row r="803" spans="2:2">
      <c r="B803" s="17"/>
    </row>
    <row r="804" spans="2:2">
      <c r="B804" s="17"/>
    </row>
    <row r="805" spans="2:2">
      <c r="B805" s="17"/>
    </row>
    <row r="806" spans="2:2">
      <c r="B806" s="17"/>
    </row>
    <row r="807" spans="2:2">
      <c r="B807" s="17"/>
    </row>
    <row r="808" spans="2:2">
      <c r="B808" s="17"/>
    </row>
    <row r="809" spans="2:2">
      <c r="B809" s="17"/>
    </row>
    <row r="810" spans="2:2">
      <c r="B810" s="17"/>
    </row>
    <row r="811" spans="2:2">
      <c r="B811" s="17"/>
    </row>
    <row r="812" spans="2:2">
      <c r="B812" s="17"/>
    </row>
    <row r="813" spans="2:2">
      <c r="B813" s="17"/>
    </row>
    <row r="814" spans="2:2">
      <c r="B814" s="17"/>
    </row>
    <row r="815" spans="2:2">
      <c r="B815" s="17"/>
    </row>
    <row r="816" spans="2:2">
      <c r="B816" s="17"/>
    </row>
    <row r="817" spans="2:2">
      <c r="B817" s="17"/>
    </row>
    <row r="818" spans="2:2">
      <c r="B818" s="17"/>
    </row>
    <row r="819" spans="2:2">
      <c r="B819" s="17"/>
    </row>
    <row r="820" spans="2:2">
      <c r="B820" s="17"/>
    </row>
    <row r="821" spans="2:2">
      <c r="B821" s="17"/>
    </row>
    <row r="822" spans="2:2">
      <c r="B822" s="17"/>
    </row>
    <row r="823" spans="2:2">
      <c r="B823" s="17"/>
    </row>
    <row r="824" spans="2:2">
      <c r="B824" s="17"/>
    </row>
    <row r="825" spans="2:2">
      <c r="B825" s="17"/>
    </row>
    <row r="826" spans="2:2">
      <c r="B826" s="17"/>
    </row>
    <row r="827" spans="2:2">
      <c r="B827" s="17"/>
    </row>
    <row r="828" spans="2:2">
      <c r="B828" s="17"/>
    </row>
    <row r="829" spans="2:2">
      <c r="B829" s="17"/>
    </row>
    <row r="830" spans="2:2">
      <c r="B830" s="17"/>
    </row>
    <row r="831" spans="2:2">
      <c r="B831" s="17"/>
    </row>
    <row r="832" spans="2:2">
      <c r="B832" s="17"/>
    </row>
    <row r="833" spans="2:2">
      <c r="B833" s="17"/>
    </row>
    <row r="834" spans="2:2">
      <c r="B834" s="17"/>
    </row>
    <row r="835" spans="2:2">
      <c r="B835" s="17"/>
    </row>
    <row r="836" spans="2:2">
      <c r="B836" s="17"/>
    </row>
    <row r="837" spans="2:2">
      <c r="B837" s="17"/>
    </row>
    <row r="838" spans="2:2">
      <c r="B838" s="17"/>
    </row>
    <row r="839" spans="2:2">
      <c r="B839" s="17"/>
    </row>
    <row r="840" spans="2:2">
      <c r="B840" s="17"/>
    </row>
    <row r="841" spans="2:2">
      <c r="B841" s="17"/>
    </row>
    <row r="842" spans="2:2">
      <c r="B842" s="17"/>
    </row>
    <row r="843" spans="2:2">
      <c r="B843" s="17"/>
    </row>
    <row r="844" spans="2:2">
      <c r="B844" s="17"/>
    </row>
    <row r="845" spans="2:2">
      <c r="B845" s="17"/>
    </row>
    <row r="846" spans="2:2">
      <c r="B846" s="17"/>
    </row>
    <row r="847" spans="2:2">
      <c r="B847" s="17"/>
    </row>
    <row r="848" spans="2:2">
      <c r="B848" s="17"/>
    </row>
    <row r="849" spans="2:2">
      <c r="B849" s="17"/>
    </row>
    <row r="850" spans="2:2">
      <c r="B850" s="17"/>
    </row>
    <row r="851" spans="2:2">
      <c r="B851" s="17"/>
    </row>
    <row r="852" spans="2:2">
      <c r="B852" s="17"/>
    </row>
    <row r="853" spans="2:2">
      <c r="B853" s="17"/>
    </row>
    <row r="854" spans="2:2">
      <c r="B854" s="17"/>
    </row>
    <row r="855" spans="2:2">
      <c r="B855" s="17"/>
    </row>
    <row r="856" spans="2:2">
      <c r="B856" s="17"/>
    </row>
    <row r="857" spans="2:2">
      <c r="B857" s="17"/>
    </row>
    <row r="858" spans="2:2">
      <c r="B858" s="17"/>
    </row>
    <row r="859" spans="2:2">
      <c r="B859" s="17"/>
    </row>
    <row r="860" spans="2:2">
      <c r="B860" s="17"/>
    </row>
    <row r="861" spans="2:2">
      <c r="B861" s="17"/>
    </row>
    <row r="862" spans="2:2">
      <c r="B862" s="17"/>
    </row>
    <row r="863" spans="2:2">
      <c r="B863" s="17"/>
    </row>
    <row r="864" spans="2:2">
      <c r="B864" s="17"/>
    </row>
    <row r="865" spans="2:2">
      <c r="B865" s="17"/>
    </row>
    <row r="866" spans="2:2">
      <c r="B866" s="17"/>
    </row>
    <row r="867" spans="2:2">
      <c r="B867" s="17"/>
    </row>
    <row r="868" spans="2:2">
      <c r="B868" s="17"/>
    </row>
    <row r="869" spans="2:2">
      <c r="B869" s="17"/>
    </row>
    <row r="870" spans="2:2">
      <c r="B870" s="17"/>
    </row>
    <row r="871" spans="2:2">
      <c r="B871" s="17"/>
    </row>
    <row r="872" spans="2:2">
      <c r="B872" s="17"/>
    </row>
    <row r="873" spans="2:2">
      <c r="B873" s="17"/>
    </row>
    <row r="874" spans="2:2">
      <c r="B874" s="17"/>
    </row>
    <row r="875" spans="2:2">
      <c r="B875" s="17"/>
    </row>
    <row r="876" spans="2:2">
      <c r="B876" s="17"/>
    </row>
    <row r="877" spans="2:2">
      <c r="B877" s="17"/>
    </row>
    <row r="878" spans="2:2">
      <c r="B878" s="17"/>
    </row>
    <row r="879" spans="2:2">
      <c r="B879" s="17"/>
    </row>
    <row r="880" spans="2:2">
      <c r="B880" s="17"/>
    </row>
    <row r="881" spans="2:2">
      <c r="B881" s="17"/>
    </row>
    <row r="882" spans="2:2">
      <c r="B882" s="17"/>
    </row>
    <row r="883" spans="2:2">
      <c r="B883" s="17"/>
    </row>
    <row r="884" spans="2:2">
      <c r="B884" s="17"/>
    </row>
    <row r="885" spans="2:2">
      <c r="B885" s="17"/>
    </row>
    <row r="886" spans="2:2">
      <c r="B886" s="17"/>
    </row>
    <row r="887" spans="2:2">
      <c r="B887" s="17"/>
    </row>
    <row r="888" spans="2:2">
      <c r="B888" s="17"/>
    </row>
    <row r="889" spans="2:2">
      <c r="B889" s="17"/>
    </row>
    <row r="890" spans="2:2">
      <c r="B890" s="17"/>
    </row>
    <row r="891" spans="2:2">
      <c r="B891" s="17"/>
    </row>
    <row r="892" spans="2:2">
      <c r="B892" s="17"/>
    </row>
    <row r="893" spans="2:2">
      <c r="B893" s="17"/>
    </row>
    <row r="894" spans="2:2">
      <c r="B894" s="17"/>
    </row>
    <row r="895" spans="2:2">
      <c r="B895" s="17"/>
    </row>
    <row r="896" spans="2:2">
      <c r="B896" s="17"/>
    </row>
    <row r="897" spans="2:2">
      <c r="B897" s="17"/>
    </row>
    <row r="898" spans="2:2">
      <c r="B898" s="17"/>
    </row>
    <row r="899" spans="2:2">
      <c r="B899" s="17"/>
    </row>
    <row r="900" spans="2:2">
      <c r="B900" s="17"/>
    </row>
    <row r="901" spans="2:2">
      <c r="B901" s="17"/>
    </row>
    <row r="902" spans="2:2">
      <c r="B902" s="17"/>
    </row>
    <row r="903" spans="2:2">
      <c r="B903" s="17"/>
    </row>
    <row r="904" spans="2:2">
      <c r="B904" s="17"/>
    </row>
    <row r="905" spans="2:2">
      <c r="B905" s="17"/>
    </row>
    <row r="906" spans="2:2">
      <c r="B906" s="17"/>
    </row>
    <row r="907" spans="2:2">
      <c r="B907" s="17"/>
    </row>
    <row r="908" spans="2:2">
      <c r="B908" s="17"/>
    </row>
    <row r="909" spans="2:2">
      <c r="B909" s="17"/>
    </row>
    <row r="910" spans="2:2">
      <c r="B910" s="17"/>
    </row>
    <row r="911" spans="2:2">
      <c r="B911" s="17"/>
    </row>
    <row r="912" spans="2:2">
      <c r="B912" s="17"/>
    </row>
    <row r="913" spans="2:2">
      <c r="B913" s="17"/>
    </row>
    <row r="914" spans="2:2">
      <c r="B914" s="17"/>
    </row>
    <row r="915" spans="2:2">
      <c r="B915" s="17"/>
    </row>
    <row r="916" spans="2:2">
      <c r="B916" s="17"/>
    </row>
    <row r="917" spans="2:2">
      <c r="B917" s="17"/>
    </row>
    <row r="918" spans="2:2">
      <c r="B918" s="17"/>
    </row>
    <row r="919" spans="2:2">
      <c r="B919" s="17"/>
    </row>
    <row r="920" spans="2:2">
      <c r="B920" s="17"/>
    </row>
    <row r="921" spans="2:2">
      <c r="B921" s="17"/>
    </row>
    <row r="922" spans="2:2">
      <c r="B922" s="17"/>
    </row>
    <row r="923" spans="2:2">
      <c r="B923" s="17"/>
    </row>
    <row r="924" spans="2:2">
      <c r="B924" s="17"/>
    </row>
    <row r="925" spans="2:2">
      <c r="B925" s="17"/>
    </row>
    <row r="926" spans="2:2">
      <c r="B926" s="17"/>
    </row>
    <row r="927" spans="2:2">
      <c r="B927" s="17"/>
    </row>
    <row r="928" spans="2:2">
      <c r="B928" s="17"/>
    </row>
    <row r="929" spans="2:2">
      <c r="B929" s="17"/>
    </row>
    <row r="930" spans="2:2">
      <c r="B930" s="17"/>
    </row>
    <row r="931" spans="2:2">
      <c r="B931" s="17"/>
    </row>
    <row r="932" spans="2:2">
      <c r="B932" s="17"/>
    </row>
    <row r="933" spans="2:2">
      <c r="B933" s="17"/>
    </row>
    <row r="934" spans="2:2">
      <c r="B934" s="17"/>
    </row>
    <row r="935" spans="2:2">
      <c r="B935" s="17"/>
    </row>
    <row r="936" spans="2:2">
      <c r="B936" s="17"/>
    </row>
    <row r="937" spans="2:2">
      <c r="B937" s="17"/>
    </row>
    <row r="938" spans="2:2">
      <c r="B938" s="17"/>
    </row>
    <row r="939" spans="2:2">
      <c r="B939" s="17"/>
    </row>
    <row r="940" spans="2:2">
      <c r="B940" s="17"/>
    </row>
    <row r="941" spans="2:2">
      <c r="B941" s="17"/>
    </row>
    <row r="942" spans="2:2">
      <c r="B942" s="17"/>
    </row>
    <row r="943" spans="2:2">
      <c r="B943" s="17"/>
    </row>
    <row r="944" spans="2:2">
      <c r="B944" s="17"/>
    </row>
    <row r="945" spans="2:2">
      <c r="B945" s="17"/>
    </row>
    <row r="946" spans="2:2">
      <c r="B946" s="17"/>
    </row>
    <row r="947" spans="2:2">
      <c r="B947" s="17"/>
    </row>
    <row r="948" spans="2:2">
      <c r="B948" s="17"/>
    </row>
    <row r="949" spans="2:2">
      <c r="B949" s="17"/>
    </row>
    <row r="950" spans="2:2">
      <c r="B950" s="17"/>
    </row>
    <row r="951" spans="2:2">
      <c r="B951" s="17"/>
    </row>
    <row r="952" spans="2:2">
      <c r="B952" s="17"/>
    </row>
    <row r="953" spans="2:2">
      <c r="B953" s="17"/>
    </row>
    <row r="954" spans="2:2">
      <c r="B954" s="17"/>
    </row>
    <row r="955" spans="2:2">
      <c r="B955" s="17"/>
    </row>
    <row r="956" spans="2:2">
      <c r="B956" s="17"/>
    </row>
    <row r="957" spans="2:2">
      <c r="B957" s="17"/>
    </row>
    <row r="958" spans="2:2">
      <c r="B958" s="17"/>
    </row>
    <row r="959" spans="2:2">
      <c r="B959" s="17"/>
    </row>
    <row r="960" spans="2:2">
      <c r="B960" s="17"/>
    </row>
    <row r="961" spans="2:2">
      <c r="B961" s="17"/>
    </row>
    <row r="962" spans="2:2">
      <c r="B962" s="17"/>
    </row>
    <row r="963" spans="2:2">
      <c r="B963" s="17"/>
    </row>
    <row r="964" spans="2:2">
      <c r="B964" s="17"/>
    </row>
    <row r="965" spans="2:2">
      <c r="B965" s="17"/>
    </row>
    <row r="966" spans="2:2">
      <c r="B966" s="17"/>
    </row>
    <row r="967" spans="2:2">
      <c r="B967" s="17"/>
    </row>
    <row r="968" spans="2:2">
      <c r="B968" s="17"/>
    </row>
    <row r="969" spans="2:2">
      <c r="B969" s="17"/>
    </row>
    <row r="970" spans="2:2">
      <c r="B970" s="17"/>
    </row>
    <row r="971" spans="2:2">
      <c r="B971" s="17"/>
    </row>
    <row r="972" spans="2:2">
      <c r="B972" s="17"/>
    </row>
    <row r="973" spans="2:2">
      <c r="B973" s="17"/>
    </row>
    <row r="974" spans="2:2">
      <c r="B974" s="17"/>
    </row>
    <row r="975" spans="2:2">
      <c r="B975" s="17"/>
    </row>
    <row r="976" spans="2:2">
      <c r="B976" s="17"/>
    </row>
    <row r="977" spans="2:2">
      <c r="B977" s="17"/>
    </row>
    <row r="978" spans="2:2">
      <c r="B978" s="17"/>
    </row>
    <row r="979" spans="2:2">
      <c r="B979" s="17"/>
    </row>
    <row r="980" spans="2:2">
      <c r="B980" s="17"/>
    </row>
    <row r="981" spans="2:2">
      <c r="B981" s="17"/>
    </row>
    <row r="982" spans="2:2">
      <c r="B982" s="17"/>
    </row>
    <row r="983" spans="2:2">
      <c r="B983" s="17"/>
    </row>
    <row r="984" spans="2:2">
      <c r="B984" s="17"/>
    </row>
    <row r="985" spans="2:2">
      <c r="B985" s="17"/>
    </row>
    <row r="986" spans="2:2">
      <c r="B986" s="17"/>
    </row>
    <row r="987" spans="2:2">
      <c r="B987" s="17"/>
    </row>
    <row r="988" spans="2:2">
      <c r="B988" s="17"/>
    </row>
    <row r="989" spans="2:2">
      <c r="B989" s="17"/>
    </row>
    <row r="990" spans="2:2">
      <c r="B990" s="17"/>
    </row>
    <row r="991" spans="2:2">
      <c r="B991" s="17"/>
    </row>
    <row r="992" spans="2:2">
      <c r="B992" s="17"/>
    </row>
    <row r="993" spans="2:2">
      <c r="B993" s="17"/>
    </row>
    <row r="994" spans="2:2">
      <c r="B994" s="17"/>
    </row>
    <row r="995" spans="2:2">
      <c r="B995" s="17"/>
    </row>
    <row r="996" spans="2:2">
      <c r="B996" s="17"/>
    </row>
    <row r="997" spans="2:2">
      <c r="B997" s="17"/>
    </row>
    <row r="998" spans="2:2">
      <c r="B998" s="17"/>
    </row>
    <row r="999" spans="2:2">
      <c r="B999" s="17"/>
    </row>
    <row r="1000" spans="2:2">
      <c r="B1000" s="17"/>
    </row>
    <row r="1001" spans="2:2">
      <c r="B1001" s="17"/>
    </row>
    <row r="1002" spans="2:2">
      <c r="B1002" s="17"/>
    </row>
    <row r="1003" spans="2:2">
      <c r="B1003" s="17"/>
    </row>
    <row r="1004" spans="2:2">
      <c r="B1004" s="17"/>
    </row>
    <row r="1005" spans="2:2">
      <c r="B1005" s="17"/>
    </row>
    <row r="1006" spans="2:2">
      <c r="B1006" s="17"/>
    </row>
    <row r="1007" spans="2:2">
      <c r="B1007" s="17"/>
    </row>
    <row r="1008" spans="2:2">
      <c r="B1008" s="17"/>
    </row>
    <row r="1009" spans="2:2">
      <c r="B1009" s="17"/>
    </row>
    <row r="1010" spans="2:2">
      <c r="B1010" s="17"/>
    </row>
    <row r="1011" spans="2:2">
      <c r="B1011" s="17"/>
    </row>
    <row r="1012" spans="2:2">
      <c r="B1012" s="17"/>
    </row>
    <row r="1013" spans="2:2">
      <c r="B1013" s="17"/>
    </row>
    <row r="1014" spans="2:2">
      <c r="B1014" s="17"/>
    </row>
    <row r="1015" spans="2:2">
      <c r="B1015" s="17"/>
    </row>
    <row r="1016" spans="2:2">
      <c r="B1016" s="17"/>
    </row>
    <row r="1017" spans="2:2">
      <c r="B1017" s="17"/>
    </row>
    <row r="1018" spans="2:2">
      <c r="B1018" s="17"/>
    </row>
    <row r="1019" spans="2:2">
      <c r="B1019" s="17"/>
    </row>
    <row r="1020" spans="2:2">
      <c r="B1020" s="17"/>
    </row>
    <row r="1021" spans="2:2">
      <c r="B1021" s="17"/>
    </row>
    <row r="1022" spans="2:2">
      <c r="B1022" s="17"/>
    </row>
    <row r="1023" spans="2:2">
      <c r="B1023" s="17"/>
    </row>
    <row r="1024" spans="2:2">
      <c r="B1024" s="17"/>
    </row>
    <row r="1025" spans="2:2">
      <c r="B1025" s="17"/>
    </row>
    <row r="1026" spans="2:2">
      <c r="B1026" s="17"/>
    </row>
    <row r="1027" spans="2:2">
      <c r="B1027" s="17"/>
    </row>
    <row r="1028" spans="2:2">
      <c r="B1028" s="17"/>
    </row>
    <row r="1029" spans="2:2">
      <c r="B1029" s="17"/>
    </row>
    <row r="1030" spans="2:2">
      <c r="B1030" s="17"/>
    </row>
    <row r="1031" spans="2:2">
      <c r="B1031" s="17"/>
    </row>
    <row r="1032" spans="2:2">
      <c r="B1032" s="17"/>
    </row>
    <row r="1033" spans="2:2">
      <c r="B1033" s="17"/>
    </row>
    <row r="1034" spans="2:2">
      <c r="B1034" s="17"/>
    </row>
    <row r="1035" spans="2:2">
      <c r="B1035" s="17"/>
    </row>
    <row r="1036" spans="2:2">
      <c r="B1036" s="17"/>
    </row>
    <row r="1037" spans="2:2">
      <c r="B1037" s="17"/>
    </row>
    <row r="1038" spans="2:2">
      <c r="B1038" s="17"/>
    </row>
    <row r="1039" spans="2:2">
      <c r="B1039" s="17"/>
    </row>
    <row r="1040" spans="2:2">
      <c r="B1040" s="17"/>
    </row>
    <row r="1041" spans="2:2">
      <c r="B1041" s="17"/>
    </row>
    <row r="1042" spans="2:2">
      <c r="B1042" s="17"/>
    </row>
    <row r="1043" spans="2:2">
      <c r="B1043" s="17"/>
    </row>
    <row r="1044" spans="2:2">
      <c r="B1044" s="17"/>
    </row>
    <row r="1045" spans="2:2">
      <c r="B1045" s="17"/>
    </row>
    <row r="1046" spans="2:2">
      <c r="B1046" s="17"/>
    </row>
    <row r="1047" spans="2:2">
      <c r="B1047" s="17"/>
    </row>
    <row r="1048" spans="2:2">
      <c r="B1048" s="17"/>
    </row>
    <row r="1049" spans="2:2">
      <c r="B1049" s="17"/>
    </row>
    <row r="1050" spans="2:2">
      <c r="B1050" s="17"/>
    </row>
    <row r="1051" spans="2:2">
      <c r="B1051" s="17"/>
    </row>
    <row r="1052" spans="2:2">
      <c r="B1052" s="17"/>
    </row>
    <row r="1053" spans="2:2">
      <c r="B1053" s="17"/>
    </row>
    <row r="1054" spans="2:2">
      <c r="B1054" s="17"/>
    </row>
    <row r="1055" spans="2:2">
      <c r="B1055" s="17"/>
    </row>
    <row r="1056" spans="2:2">
      <c r="B1056" s="17"/>
    </row>
    <row r="1057" spans="2:2">
      <c r="B1057" s="17"/>
    </row>
    <row r="1058" spans="2:2">
      <c r="B1058" s="17"/>
    </row>
    <row r="1059" spans="2:2">
      <c r="B1059" s="17"/>
    </row>
    <row r="1060" spans="2:2">
      <c r="B1060" s="17"/>
    </row>
    <row r="1061" spans="2:2">
      <c r="B1061" s="17"/>
    </row>
    <row r="1062" spans="2:2">
      <c r="B1062" s="17"/>
    </row>
    <row r="1063" spans="2:2">
      <c r="B1063" s="17"/>
    </row>
    <row r="1064" spans="2:2">
      <c r="B1064" s="17"/>
    </row>
    <row r="1065" spans="2:2">
      <c r="B1065" s="17"/>
    </row>
    <row r="1066" spans="2:2">
      <c r="B1066" s="17"/>
    </row>
    <row r="1067" spans="2:2">
      <c r="B1067" s="17"/>
    </row>
    <row r="1068" spans="2:2">
      <c r="B1068" s="17"/>
    </row>
    <row r="1069" spans="2:2">
      <c r="B1069" s="17"/>
    </row>
    <row r="1070" spans="2:2">
      <c r="B1070" s="17"/>
    </row>
    <row r="1071" spans="2:2">
      <c r="B1071" s="17"/>
    </row>
    <row r="1072" spans="2:2">
      <c r="B1072" s="17"/>
    </row>
    <row r="1073" spans="2:2">
      <c r="B1073" s="17"/>
    </row>
    <row r="1074" spans="2:2">
      <c r="B1074" s="17"/>
    </row>
    <row r="1075" spans="2:2">
      <c r="B1075" s="17"/>
    </row>
    <row r="1076" spans="2:2">
      <c r="B1076" s="17"/>
    </row>
    <row r="1077" spans="2:2">
      <c r="B1077" s="17"/>
    </row>
    <row r="1078" spans="2:2">
      <c r="B1078" s="17"/>
    </row>
    <row r="1079" spans="2:2">
      <c r="B1079" s="17"/>
    </row>
    <row r="1080" spans="2:2">
      <c r="B1080" s="17"/>
    </row>
    <row r="1081" spans="2:2">
      <c r="B1081" s="17"/>
    </row>
    <row r="1082" spans="2:2">
      <c r="B1082" s="17"/>
    </row>
    <row r="1083" spans="2:2">
      <c r="B1083" s="17"/>
    </row>
    <row r="1084" spans="2:2">
      <c r="B1084" s="17"/>
    </row>
    <row r="1085" spans="2:2">
      <c r="B1085" s="17"/>
    </row>
    <row r="1086" spans="2:2">
      <c r="B1086" s="17"/>
    </row>
    <row r="1087" spans="2:2">
      <c r="B1087" s="17"/>
    </row>
    <row r="1088" spans="2:2">
      <c r="B1088" s="17"/>
    </row>
    <row r="1089" spans="2:2">
      <c r="B1089" s="17"/>
    </row>
    <row r="1090" spans="2:2">
      <c r="B1090" s="17"/>
    </row>
    <row r="1091" spans="2:2">
      <c r="B1091" s="17"/>
    </row>
    <row r="1092" spans="2:2">
      <c r="B1092" s="17"/>
    </row>
    <row r="1093" spans="2:2">
      <c r="B1093" s="17"/>
    </row>
    <row r="1094" spans="2:2">
      <c r="B1094" s="17"/>
    </row>
    <row r="1095" spans="2:2">
      <c r="B1095" s="17"/>
    </row>
    <row r="1096" spans="2:2">
      <c r="B1096" s="17"/>
    </row>
    <row r="1097" spans="2:2">
      <c r="B1097" s="17"/>
    </row>
    <row r="1098" spans="2:2">
      <c r="B1098" s="17"/>
    </row>
    <row r="1099" spans="2:2">
      <c r="B1099" s="17"/>
    </row>
    <row r="1100" spans="2:2">
      <c r="B1100" s="17"/>
    </row>
    <row r="1101" spans="2:2">
      <c r="B1101" s="17"/>
    </row>
    <row r="1102" spans="2:2">
      <c r="B1102" s="17"/>
    </row>
    <row r="1103" spans="2:2">
      <c r="B1103" s="17"/>
    </row>
    <row r="1104" spans="2:2">
      <c r="B1104" s="17"/>
    </row>
    <row r="1105" spans="2:2">
      <c r="B1105" s="17"/>
    </row>
    <row r="1106" spans="2:2">
      <c r="B1106" s="17"/>
    </row>
    <row r="1107" spans="2:2">
      <c r="B1107" s="17"/>
    </row>
    <row r="1108" spans="2:2">
      <c r="B1108" s="17"/>
    </row>
    <row r="1109" spans="2:2">
      <c r="B1109" s="17"/>
    </row>
    <row r="1110" spans="2:2">
      <c r="B1110" s="17"/>
    </row>
    <row r="1111" spans="2:2">
      <c r="B1111" s="17"/>
    </row>
    <row r="1112" spans="2:2">
      <c r="B1112" s="17"/>
    </row>
    <row r="1113" spans="2:2">
      <c r="B1113" s="17"/>
    </row>
    <row r="1114" spans="2:2">
      <c r="B1114" s="17"/>
    </row>
    <row r="1115" spans="2:2">
      <c r="B1115" s="17"/>
    </row>
    <row r="1116" spans="2:2">
      <c r="B1116" s="17"/>
    </row>
    <row r="1117" spans="2:2">
      <c r="B1117" s="17"/>
    </row>
    <row r="1118" spans="2:2">
      <c r="B1118" s="17"/>
    </row>
    <row r="1119" spans="2:2">
      <c r="B1119" s="17"/>
    </row>
    <row r="1120" spans="2:2">
      <c r="B1120" s="17"/>
    </row>
    <row r="1121" spans="2:2">
      <c r="B1121" s="17"/>
    </row>
    <row r="1122" spans="2:2">
      <c r="B1122" s="17"/>
    </row>
    <row r="1123" spans="2:2">
      <c r="B1123" s="17"/>
    </row>
    <row r="1124" spans="2:2">
      <c r="B1124" s="17"/>
    </row>
    <row r="1125" spans="2:2">
      <c r="B1125" s="17"/>
    </row>
    <row r="1126" spans="2:2">
      <c r="B1126" s="17"/>
    </row>
    <row r="1127" spans="2:2">
      <c r="B1127" s="17"/>
    </row>
    <row r="1128" spans="2:2">
      <c r="B1128" s="17"/>
    </row>
    <row r="1129" spans="2:2">
      <c r="B1129" s="17"/>
    </row>
    <row r="1130" spans="2:2">
      <c r="B1130" s="17"/>
    </row>
    <row r="1131" spans="2:2">
      <c r="B1131" s="17"/>
    </row>
    <row r="1132" spans="2:2">
      <c r="B1132" s="17"/>
    </row>
    <row r="1133" spans="2:2">
      <c r="B1133" s="17"/>
    </row>
    <row r="1134" spans="2:2">
      <c r="B1134" s="17"/>
    </row>
    <row r="1135" spans="2:2">
      <c r="B1135" s="17"/>
    </row>
    <row r="1136" spans="2:2">
      <c r="B1136" s="17"/>
    </row>
    <row r="1137" spans="2:2">
      <c r="B1137" s="17"/>
    </row>
    <row r="1138" spans="2:2">
      <c r="B1138" s="17"/>
    </row>
    <row r="1139" spans="2:2">
      <c r="B1139" s="17"/>
    </row>
    <row r="1140" spans="2:2">
      <c r="B1140" s="17"/>
    </row>
    <row r="1141" spans="2:2">
      <c r="B1141" s="17"/>
    </row>
    <row r="1142" spans="2:2">
      <c r="B1142" s="17"/>
    </row>
    <row r="1143" spans="2:2">
      <c r="B1143" s="17"/>
    </row>
    <row r="1144" spans="2:2">
      <c r="B1144" s="17"/>
    </row>
    <row r="1145" spans="2:2">
      <c r="B1145" s="17"/>
    </row>
    <row r="1146" spans="2:2">
      <c r="B1146" s="17"/>
    </row>
    <row r="1147" spans="2:2">
      <c r="B1147" s="17"/>
    </row>
    <row r="1148" spans="2:2">
      <c r="B1148" s="17"/>
    </row>
    <row r="1149" spans="2:2">
      <c r="B1149" s="17"/>
    </row>
    <row r="1150" spans="2:2">
      <c r="B1150" s="17"/>
    </row>
    <row r="1151" spans="2:2">
      <c r="B1151" s="17"/>
    </row>
    <row r="1152" spans="2:2">
      <c r="B1152" s="17"/>
    </row>
    <row r="1153" spans="2:2">
      <c r="B1153" s="17"/>
    </row>
    <row r="1154" spans="2:2">
      <c r="B1154" s="17"/>
    </row>
    <row r="1155" spans="2:2">
      <c r="B1155" s="17"/>
    </row>
    <row r="1156" spans="2:2">
      <c r="B1156" s="17"/>
    </row>
    <row r="1157" spans="2:2">
      <c r="B1157" s="17"/>
    </row>
    <row r="1158" spans="2:2">
      <c r="B1158" s="17"/>
    </row>
    <row r="1159" spans="2:2">
      <c r="B1159" s="17"/>
    </row>
    <row r="1160" spans="2:2">
      <c r="B1160" s="17"/>
    </row>
    <row r="1161" spans="2:2">
      <c r="B1161" s="17"/>
    </row>
    <row r="1162" spans="2:2">
      <c r="B1162" s="17"/>
    </row>
    <row r="1163" spans="2:2">
      <c r="B1163" s="17"/>
    </row>
    <row r="1164" spans="2:2">
      <c r="B1164" s="17"/>
    </row>
    <row r="1165" spans="2:2">
      <c r="B1165" s="17"/>
    </row>
    <row r="1166" spans="2:2">
      <c r="B1166" s="17"/>
    </row>
    <row r="1167" spans="2:2">
      <c r="B1167" s="17"/>
    </row>
    <row r="1168" spans="2:2">
      <c r="B1168" s="17"/>
    </row>
    <row r="1169" spans="2:2">
      <c r="B1169" s="17"/>
    </row>
    <row r="1170" spans="2:2">
      <c r="B1170" s="17"/>
    </row>
    <row r="1171" spans="2:2">
      <c r="B1171" s="17"/>
    </row>
    <row r="1172" spans="2:2">
      <c r="B1172" s="17"/>
    </row>
    <row r="1173" spans="2:2">
      <c r="B1173" s="17"/>
    </row>
    <row r="1174" spans="2:2">
      <c r="B1174" s="17"/>
    </row>
    <row r="1175" spans="2:2">
      <c r="B1175" s="17"/>
    </row>
    <row r="1176" spans="2:2">
      <c r="B1176" s="17"/>
    </row>
    <row r="1177" spans="2:2">
      <c r="B1177" s="17"/>
    </row>
    <row r="1178" spans="2:2">
      <c r="B1178" s="17"/>
    </row>
    <row r="1179" spans="2:2">
      <c r="B1179" s="17"/>
    </row>
    <row r="1180" spans="2:2">
      <c r="B1180" s="17"/>
    </row>
    <row r="1181" spans="2:2">
      <c r="B1181" s="17"/>
    </row>
    <row r="1182" spans="2:2">
      <c r="B1182" s="17"/>
    </row>
    <row r="1183" spans="2:2">
      <c r="B1183" s="17"/>
    </row>
    <row r="1184" spans="2:2">
      <c r="B1184" s="17"/>
    </row>
    <row r="1185" spans="2:2">
      <c r="B1185" s="17"/>
    </row>
    <row r="1186" spans="2:2">
      <c r="B1186" s="17"/>
    </row>
    <row r="1187" spans="2:2">
      <c r="B1187" s="17"/>
    </row>
    <row r="1188" spans="2:2">
      <c r="B1188" s="17"/>
    </row>
    <row r="1189" spans="2:2">
      <c r="B1189" s="17"/>
    </row>
    <row r="1190" spans="2:2">
      <c r="B1190" s="17"/>
    </row>
    <row r="1191" spans="2:2">
      <c r="B1191" s="17"/>
    </row>
    <row r="1192" spans="2:2">
      <c r="B1192" s="17"/>
    </row>
    <row r="1193" spans="2:2">
      <c r="B1193" s="17"/>
    </row>
    <row r="1194" spans="2:2">
      <c r="B1194" s="17"/>
    </row>
    <row r="1195" spans="2:2">
      <c r="B1195" s="17"/>
    </row>
    <row r="1196" spans="2:2">
      <c r="B1196" s="17"/>
    </row>
    <row r="1197" spans="2:2">
      <c r="B1197" s="17"/>
    </row>
    <row r="1198" spans="2:2">
      <c r="B1198" s="17"/>
    </row>
    <row r="1199" spans="2:2">
      <c r="B1199" s="17"/>
    </row>
    <row r="1200" spans="2:2">
      <c r="B1200" s="17"/>
    </row>
    <row r="1201" spans="2:2">
      <c r="B1201" s="17"/>
    </row>
    <row r="1202" spans="2:2">
      <c r="B1202" s="17"/>
    </row>
    <row r="1203" spans="2:2">
      <c r="B1203" s="17"/>
    </row>
    <row r="1204" spans="2:2">
      <c r="B1204" s="17"/>
    </row>
    <row r="1205" spans="2:2">
      <c r="B1205" s="17"/>
    </row>
    <row r="1206" spans="2:2">
      <c r="B1206" s="17"/>
    </row>
    <row r="1207" spans="2:2">
      <c r="B1207" s="17"/>
    </row>
    <row r="1208" spans="2:2">
      <c r="B1208" s="17"/>
    </row>
    <row r="1209" spans="2:2">
      <c r="B1209" s="17"/>
    </row>
    <row r="1210" spans="2:2">
      <c r="B1210" s="17"/>
    </row>
    <row r="1211" spans="2:2">
      <c r="B1211" s="17"/>
    </row>
    <row r="1212" spans="2:2">
      <c r="B1212" s="17"/>
    </row>
    <row r="1213" spans="2:2">
      <c r="B1213" s="17"/>
    </row>
    <row r="1214" spans="2:2">
      <c r="B1214" s="17"/>
    </row>
    <row r="1215" spans="2:2">
      <c r="B1215" s="17"/>
    </row>
    <row r="1216" spans="2:2">
      <c r="B1216" s="17"/>
    </row>
    <row r="1217" spans="2:2">
      <c r="B1217" s="17"/>
    </row>
    <row r="1218" spans="2:2">
      <c r="B1218" s="17"/>
    </row>
    <row r="1219" spans="2:2">
      <c r="B1219" s="17"/>
    </row>
    <row r="1220" spans="2:2">
      <c r="B1220" s="17"/>
    </row>
    <row r="1221" spans="2:2">
      <c r="B1221" s="17"/>
    </row>
    <row r="1222" spans="2:2">
      <c r="B1222" s="17"/>
    </row>
    <row r="1223" spans="2:2">
      <c r="B1223" s="17"/>
    </row>
    <row r="1224" spans="2:2">
      <c r="B1224" s="17"/>
    </row>
    <row r="1225" spans="2:2">
      <c r="B1225" s="17"/>
    </row>
    <row r="1226" spans="2:2">
      <c r="B1226" s="17"/>
    </row>
    <row r="1227" spans="2:2">
      <c r="B1227" s="17"/>
    </row>
    <row r="1228" spans="2:2">
      <c r="B1228" s="17"/>
    </row>
    <row r="1229" spans="2:2">
      <c r="B1229" s="17"/>
    </row>
    <row r="1230" spans="2:2">
      <c r="B1230" s="17"/>
    </row>
    <row r="1231" spans="2:2">
      <c r="B1231" s="17"/>
    </row>
    <row r="1232" spans="2:2">
      <c r="B1232" s="17"/>
    </row>
    <row r="1233" spans="2:2">
      <c r="B1233" s="17"/>
    </row>
    <row r="1234" spans="2:2">
      <c r="B1234" s="17"/>
    </row>
    <row r="1235" spans="2:2">
      <c r="B1235" s="17"/>
    </row>
    <row r="1236" spans="2:2">
      <c r="B1236" s="17"/>
    </row>
    <row r="1237" spans="2:2">
      <c r="B1237" s="17"/>
    </row>
    <row r="1238" spans="2:2">
      <c r="B1238" s="17"/>
    </row>
    <row r="1239" spans="2:2">
      <c r="B1239" s="17"/>
    </row>
    <row r="1240" spans="2:2">
      <c r="B1240" s="17"/>
    </row>
    <row r="1241" spans="2:2">
      <c r="B1241" s="17"/>
    </row>
    <row r="1242" spans="2:2">
      <c r="B1242" s="17"/>
    </row>
    <row r="1243" spans="2:2">
      <c r="B1243" s="17"/>
    </row>
    <row r="1244" spans="2:2">
      <c r="B1244" s="17"/>
    </row>
    <row r="1245" spans="2:2">
      <c r="B1245" s="17"/>
    </row>
    <row r="1246" spans="2:2">
      <c r="B1246" s="17"/>
    </row>
    <row r="1247" spans="2:2">
      <c r="B1247" s="17"/>
    </row>
    <row r="1248" spans="2:2">
      <c r="B1248" s="17"/>
    </row>
    <row r="1249" spans="2:2">
      <c r="B1249" s="17"/>
    </row>
    <row r="1250" spans="2:2">
      <c r="B1250" s="17"/>
    </row>
    <row r="1251" spans="2:2">
      <c r="B1251" s="17"/>
    </row>
    <row r="1252" spans="2:2">
      <c r="B1252" s="17"/>
    </row>
    <row r="1253" spans="2:2">
      <c r="B1253" s="17"/>
    </row>
    <row r="1254" spans="2:2">
      <c r="B1254" s="17"/>
    </row>
    <row r="1255" spans="2:2">
      <c r="B1255" s="17"/>
    </row>
    <row r="1256" spans="2:2">
      <c r="B1256" s="17"/>
    </row>
    <row r="1257" spans="2:2">
      <c r="B1257" s="17"/>
    </row>
    <row r="1258" spans="2:2">
      <c r="B1258" s="17"/>
    </row>
    <row r="1259" spans="2:2">
      <c r="B1259" s="17"/>
    </row>
    <row r="1260" spans="2:2">
      <c r="B1260" s="17"/>
    </row>
    <row r="1261" spans="2:2">
      <c r="B1261" s="17"/>
    </row>
    <row r="1262" spans="2:2">
      <c r="B1262" s="17"/>
    </row>
    <row r="1263" spans="2:2">
      <c r="B1263" s="17"/>
    </row>
    <row r="1264" spans="2:2">
      <c r="B1264" s="17"/>
    </row>
    <row r="1265" spans="2:2">
      <c r="B1265" s="17"/>
    </row>
    <row r="1266" spans="2:2">
      <c r="B1266" s="17"/>
    </row>
    <row r="1267" spans="2:2">
      <c r="B1267" s="17"/>
    </row>
    <row r="1268" spans="2:2">
      <c r="B1268" s="17"/>
    </row>
    <row r="1269" spans="2:2">
      <c r="B1269" s="17"/>
    </row>
    <row r="1270" spans="2:2">
      <c r="B1270" s="17"/>
    </row>
    <row r="1271" spans="2:2">
      <c r="B1271" s="17"/>
    </row>
    <row r="1272" spans="2:2">
      <c r="B1272" s="17"/>
    </row>
    <row r="1273" spans="2:2">
      <c r="B1273" s="17"/>
    </row>
    <row r="1274" spans="2:2">
      <c r="B1274" s="17"/>
    </row>
    <row r="1275" spans="2:2">
      <c r="B1275" s="17"/>
    </row>
    <row r="1276" spans="2:2">
      <c r="B1276" s="17"/>
    </row>
    <row r="1277" spans="2:2">
      <c r="B1277" s="17"/>
    </row>
    <row r="1278" spans="2:2">
      <c r="B1278" s="17"/>
    </row>
    <row r="1279" spans="2:2">
      <c r="B1279" s="17"/>
    </row>
    <row r="1280" spans="2:2">
      <c r="B1280" s="17"/>
    </row>
    <row r="1281" spans="2:2">
      <c r="B1281" s="17"/>
    </row>
    <row r="1282" spans="2:2">
      <c r="B1282" s="17"/>
    </row>
    <row r="1283" spans="2:2">
      <c r="B1283" s="17"/>
    </row>
    <row r="1284" spans="2:2">
      <c r="B1284" s="17"/>
    </row>
    <row r="1285" spans="2:2">
      <c r="B1285" s="17"/>
    </row>
    <row r="1286" spans="2:2">
      <c r="B1286" s="17"/>
    </row>
    <row r="1287" spans="2:2">
      <c r="B1287" s="17"/>
    </row>
    <row r="1288" spans="2:2">
      <c r="B1288" s="17"/>
    </row>
    <row r="1289" spans="2:2">
      <c r="B1289" s="17"/>
    </row>
    <row r="1290" spans="2:2">
      <c r="B1290" s="17"/>
    </row>
    <row r="1291" spans="2:2">
      <c r="B1291" s="17"/>
    </row>
    <row r="1292" spans="2:2">
      <c r="B1292" s="17"/>
    </row>
    <row r="1293" spans="2:2">
      <c r="B1293" s="17"/>
    </row>
    <row r="1294" spans="2:2">
      <c r="B1294" s="17"/>
    </row>
    <row r="1295" spans="2:2">
      <c r="B1295" s="17"/>
    </row>
    <row r="1296" spans="2:2">
      <c r="B1296" s="17"/>
    </row>
    <row r="1297" spans="2:2">
      <c r="B1297" s="17"/>
    </row>
    <row r="1298" spans="2:2">
      <c r="B1298" s="17"/>
    </row>
    <row r="1299" spans="2:2">
      <c r="B1299" s="17"/>
    </row>
    <row r="1300" spans="2:2">
      <c r="B1300" s="17"/>
    </row>
    <row r="1301" spans="2:2">
      <c r="B1301" s="17"/>
    </row>
    <row r="1302" spans="2:2">
      <c r="B1302" s="17"/>
    </row>
    <row r="1303" spans="2:2">
      <c r="B1303" s="17"/>
    </row>
    <row r="1304" spans="2:2">
      <c r="B1304" s="17"/>
    </row>
    <row r="1305" spans="2:2">
      <c r="B1305" s="17"/>
    </row>
    <row r="1306" spans="2:2">
      <c r="B1306" s="17"/>
    </row>
    <row r="1307" spans="2:2">
      <c r="B1307" s="17"/>
    </row>
    <row r="1308" spans="2:2">
      <c r="B1308" s="17"/>
    </row>
    <row r="1309" spans="2:2">
      <c r="B1309" s="17"/>
    </row>
    <row r="1310" spans="2:2">
      <c r="B1310" s="17"/>
    </row>
    <row r="1311" spans="2:2">
      <c r="B1311" s="17"/>
    </row>
    <row r="1312" spans="2:2">
      <c r="B1312" s="17"/>
    </row>
    <row r="1313" spans="2:2">
      <c r="B1313" s="17"/>
    </row>
    <row r="1314" spans="2:2">
      <c r="B1314" s="17"/>
    </row>
    <row r="1315" spans="2:2">
      <c r="B1315" s="17"/>
    </row>
    <row r="1316" spans="2:2">
      <c r="B1316" s="17"/>
    </row>
    <row r="1317" spans="2:2">
      <c r="B1317" s="17"/>
    </row>
    <row r="1318" spans="2:2">
      <c r="B1318" s="17"/>
    </row>
    <row r="1319" spans="2:2">
      <c r="B1319" s="17"/>
    </row>
    <row r="1320" spans="2:2">
      <c r="B1320" s="17"/>
    </row>
    <row r="1321" spans="2:2">
      <c r="B1321" s="17"/>
    </row>
    <row r="1322" spans="2:2">
      <c r="B1322" s="17"/>
    </row>
    <row r="1323" spans="2:2">
      <c r="B1323" s="17"/>
    </row>
    <row r="1324" spans="2:2">
      <c r="B1324" s="17"/>
    </row>
    <row r="1325" spans="2:2">
      <c r="B1325" s="17"/>
    </row>
    <row r="1326" spans="2:2">
      <c r="B1326" s="17"/>
    </row>
    <row r="1327" spans="2:2">
      <c r="B1327" s="17"/>
    </row>
    <row r="1328" spans="2:2">
      <c r="B1328" s="17"/>
    </row>
    <row r="1329" spans="2:2">
      <c r="B1329" s="17"/>
    </row>
    <row r="1330" spans="2:2">
      <c r="B1330" s="17"/>
    </row>
    <row r="1331" spans="2:2">
      <c r="B1331" s="17"/>
    </row>
    <row r="1332" spans="2:2">
      <c r="B1332" s="17"/>
    </row>
    <row r="1333" spans="2:2">
      <c r="B1333" s="17"/>
    </row>
    <row r="1334" spans="2:2">
      <c r="B1334" s="17"/>
    </row>
    <row r="1335" spans="2:2">
      <c r="B1335" s="17"/>
    </row>
    <row r="1336" spans="2:2">
      <c r="B1336" s="17"/>
    </row>
    <row r="1337" spans="2:2">
      <c r="B1337" s="17"/>
    </row>
    <row r="1338" spans="2:2">
      <c r="B1338" s="17"/>
    </row>
    <row r="1339" spans="2:2">
      <c r="B1339" s="17"/>
    </row>
    <row r="1340" spans="2:2">
      <c r="B1340" s="17"/>
    </row>
    <row r="1341" spans="2:2">
      <c r="B1341" s="17"/>
    </row>
    <row r="1342" spans="2:2">
      <c r="B1342" s="17"/>
    </row>
    <row r="1343" spans="2:2">
      <c r="B1343" s="17"/>
    </row>
    <row r="1344" spans="2:2">
      <c r="B1344" s="17"/>
    </row>
    <row r="1345" spans="2:2">
      <c r="B1345" s="17"/>
    </row>
    <row r="1346" spans="2:2">
      <c r="B1346" s="17"/>
    </row>
    <row r="1347" spans="2:2">
      <c r="B1347" s="17"/>
    </row>
    <row r="1348" spans="2:2">
      <c r="B1348" s="17"/>
    </row>
    <row r="1349" spans="2:2">
      <c r="B1349" s="17"/>
    </row>
    <row r="1350" spans="2:2">
      <c r="B1350" s="17"/>
    </row>
    <row r="1351" spans="2:2">
      <c r="B1351" s="17"/>
    </row>
    <row r="1352" spans="2:2">
      <c r="B1352" s="17"/>
    </row>
    <row r="1353" spans="2:2">
      <c r="B1353" s="17"/>
    </row>
    <row r="1354" spans="2:2">
      <c r="B1354" s="17"/>
    </row>
    <row r="1355" spans="2:2">
      <c r="B1355" s="17"/>
    </row>
    <row r="1356" spans="2:2">
      <c r="B1356" s="17"/>
    </row>
    <row r="1357" spans="2:2">
      <c r="B1357" s="17"/>
    </row>
    <row r="1358" spans="2:2">
      <c r="B1358" s="17"/>
    </row>
    <row r="1359" spans="2:2">
      <c r="B1359" s="17"/>
    </row>
    <row r="1360" spans="2:2">
      <c r="B1360" s="17"/>
    </row>
    <row r="1361" spans="2:2">
      <c r="B1361" s="17"/>
    </row>
    <row r="1362" spans="2:2">
      <c r="B1362" s="17"/>
    </row>
    <row r="1363" spans="2:2">
      <c r="B1363" s="17"/>
    </row>
    <row r="1364" spans="2:2">
      <c r="B1364" s="17"/>
    </row>
    <row r="1365" spans="2:2">
      <c r="B1365" s="17"/>
    </row>
    <row r="1366" spans="2:2">
      <c r="B1366" s="17"/>
    </row>
    <row r="1367" spans="2:2">
      <c r="B1367" s="17"/>
    </row>
    <row r="1368" spans="2:2">
      <c r="B1368" s="17"/>
    </row>
    <row r="1369" spans="2:2">
      <c r="B1369" s="17"/>
    </row>
    <row r="1370" spans="2:2">
      <c r="B1370" s="17"/>
    </row>
    <row r="1371" spans="2:2">
      <c r="B1371" s="17"/>
    </row>
    <row r="1372" spans="2:2">
      <c r="B1372" s="17"/>
    </row>
    <row r="1373" spans="2:2">
      <c r="B1373" s="17"/>
    </row>
    <row r="1374" spans="2:2">
      <c r="B1374" s="17"/>
    </row>
    <row r="1375" spans="2:2">
      <c r="B1375" s="17"/>
    </row>
    <row r="1376" spans="2:2">
      <c r="B1376" s="17"/>
    </row>
    <row r="1377" spans="2:2">
      <c r="B1377" s="17"/>
    </row>
    <row r="1378" spans="2:2">
      <c r="B1378" s="17"/>
    </row>
    <row r="1379" spans="2:2">
      <c r="B1379" s="17"/>
    </row>
    <row r="1380" spans="2:2">
      <c r="B1380" s="17"/>
    </row>
    <row r="1381" spans="2:2">
      <c r="B1381" s="17"/>
    </row>
    <row r="1382" spans="2:2">
      <c r="B1382" s="17"/>
    </row>
    <row r="1383" spans="2:2">
      <c r="B1383" s="17"/>
    </row>
    <row r="1384" spans="2:2">
      <c r="B1384" s="17"/>
    </row>
    <row r="1385" spans="2:2">
      <c r="B1385" s="17"/>
    </row>
    <row r="1386" spans="2:2">
      <c r="B1386" s="17"/>
    </row>
    <row r="1387" spans="2:2">
      <c r="B1387" s="17"/>
    </row>
    <row r="1388" spans="2:2">
      <c r="B1388" s="17"/>
    </row>
    <row r="1389" spans="2:2">
      <c r="B1389" s="17"/>
    </row>
    <row r="1390" spans="2:2">
      <c r="B1390" s="17"/>
    </row>
    <row r="1391" spans="2:2">
      <c r="B1391" s="17"/>
    </row>
    <row r="1392" spans="2:2">
      <c r="B1392" s="17"/>
    </row>
    <row r="1393" spans="2:2">
      <c r="B1393" s="17"/>
    </row>
    <row r="1394" spans="2:2">
      <c r="B1394" s="17"/>
    </row>
    <row r="1395" spans="2:2">
      <c r="B1395" s="17"/>
    </row>
    <row r="1396" spans="2:2">
      <c r="B1396" s="17"/>
    </row>
    <row r="1397" spans="2:2">
      <c r="B1397" s="17"/>
    </row>
    <row r="1398" spans="2:2">
      <c r="B1398" s="17"/>
    </row>
    <row r="1399" spans="2:2">
      <c r="B1399" s="17"/>
    </row>
    <row r="1400" spans="2:2">
      <c r="B1400" s="17"/>
    </row>
    <row r="1401" spans="2:2">
      <c r="B1401" s="17"/>
    </row>
    <row r="1402" spans="2:2">
      <c r="B1402" s="17"/>
    </row>
    <row r="1403" spans="2:2">
      <c r="B1403" s="17"/>
    </row>
    <row r="1404" spans="2:2">
      <c r="B1404" s="17"/>
    </row>
    <row r="1405" spans="2:2">
      <c r="B1405" s="17"/>
    </row>
    <row r="1406" spans="2:2">
      <c r="B1406" s="17"/>
    </row>
    <row r="1407" spans="2:2">
      <c r="B1407" s="17"/>
    </row>
    <row r="1408" spans="2:2">
      <c r="B1408" s="17"/>
    </row>
    <row r="1409" spans="2:2">
      <c r="B1409" s="17"/>
    </row>
    <row r="1410" spans="2:2">
      <c r="B1410" s="17"/>
    </row>
    <row r="1411" spans="2:2">
      <c r="B1411" s="17"/>
    </row>
    <row r="1412" spans="2:2">
      <c r="B1412" s="17"/>
    </row>
    <row r="1413" spans="2:2">
      <c r="B1413" s="17"/>
    </row>
    <row r="1414" spans="2:2">
      <c r="B1414" s="17"/>
    </row>
    <row r="1415" spans="2:2">
      <c r="B1415" s="17"/>
    </row>
    <row r="1416" spans="2:2">
      <c r="B1416" s="17"/>
    </row>
    <row r="1417" spans="2:2">
      <c r="B1417" s="17"/>
    </row>
    <row r="1418" spans="2:2">
      <c r="B1418" s="17"/>
    </row>
    <row r="1419" spans="2:2">
      <c r="B1419" s="17"/>
    </row>
    <row r="1420" spans="2:2">
      <c r="B1420" s="17"/>
    </row>
    <row r="1421" spans="2:2">
      <c r="B1421" s="17"/>
    </row>
    <row r="1422" spans="2:2">
      <c r="B1422" s="17"/>
    </row>
    <row r="1423" spans="2:2">
      <c r="B1423" s="17"/>
    </row>
    <row r="1424" spans="2:2">
      <c r="B1424" s="17"/>
    </row>
    <row r="1425" spans="2:2">
      <c r="B1425" s="17"/>
    </row>
    <row r="1426" spans="2:2">
      <c r="B1426" s="17"/>
    </row>
    <row r="1427" spans="2:2">
      <c r="B1427" s="17"/>
    </row>
    <row r="1428" spans="2:2">
      <c r="B1428" s="17"/>
    </row>
    <row r="1429" spans="2:2">
      <c r="B1429" s="17"/>
    </row>
    <row r="1430" spans="2:2">
      <c r="B1430" s="17"/>
    </row>
    <row r="1431" spans="2:2">
      <c r="B1431" s="17"/>
    </row>
    <row r="1432" spans="2:2">
      <c r="B1432" s="17"/>
    </row>
    <row r="1433" spans="2:2">
      <c r="B1433" s="17"/>
    </row>
    <row r="1434" spans="2:2">
      <c r="B1434" s="17"/>
    </row>
    <row r="1435" spans="2:2">
      <c r="B1435" s="17"/>
    </row>
    <row r="1436" spans="2:2">
      <c r="B1436" s="17"/>
    </row>
    <row r="1437" spans="2:2">
      <c r="B1437" s="17"/>
    </row>
    <row r="1438" spans="2:2">
      <c r="B1438" s="17"/>
    </row>
    <row r="1439" spans="2:2">
      <c r="B1439" s="17"/>
    </row>
    <row r="1440" spans="2:2">
      <c r="B1440" s="17"/>
    </row>
    <row r="1441" spans="2:2">
      <c r="B1441" s="17"/>
    </row>
    <row r="1442" spans="2:2">
      <c r="B1442" s="17"/>
    </row>
    <row r="1443" spans="2:2">
      <c r="B1443" s="17"/>
    </row>
    <row r="1444" spans="2:2">
      <c r="B1444" s="17"/>
    </row>
    <row r="1445" spans="2:2">
      <c r="B1445" s="17"/>
    </row>
    <row r="1446" spans="2:2">
      <c r="B1446" s="17"/>
    </row>
    <row r="1447" spans="2:2">
      <c r="B1447" s="17"/>
    </row>
    <row r="1448" spans="2:2">
      <c r="B1448" s="17"/>
    </row>
    <row r="1449" spans="2:2">
      <c r="B1449" s="17"/>
    </row>
    <row r="1450" spans="2:2">
      <c r="B1450" s="17"/>
    </row>
    <row r="1451" spans="2:2">
      <c r="B1451" s="17"/>
    </row>
    <row r="1452" spans="2:2">
      <c r="B1452" s="17"/>
    </row>
    <row r="1453" spans="2:2">
      <c r="B1453" s="17"/>
    </row>
    <row r="1454" spans="2:2">
      <c r="B1454" s="17"/>
    </row>
    <row r="1455" spans="2:2">
      <c r="B1455" s="17"/>
    </row>
    <row r="1456" spans="2:2">
      <c r="B1456" s="17"/>
    </row>
    <row r="1457" spans="2:2">
      <c r="B1457" s="17"/>
    </row>
    <row r="1458" spans="2:2">
      <c r="B1458" s="17"/>
    </row>
    <row r="1459" spans="2:2">
      <c r="B1459" s="17"/>
    </row>
    <row r="1460" spans="2:2">
      <c r="B1460" s="17"/>
    </row>
    <row r="1461" spans="2:2">
      <c r="B1461" s="17"/>
    </row>
    <row r="1462" spans="2:2">
      <c r="B1462" s="17"/>
    </row>
    <row r="1463" spans="2:2">
      <c r="B1463" s="17"/>
    </row>
    <row r="1464" spans="2:2">
      <c r="B1464" s="17"/>
    </row>
    <row r="1465" spans="2:2">
      <c r="B1465" s="17"/>
    </row>
    <row r="1466" spans="2:2">
      <c r="B1466" s="17"/>
    </row>
    <row r="1467" spans="2:2">
      <c r="B1467" s="17"/>
    </row>
    <row r="1468" spans="2:2">
      <c r="B1468" s="17"/>
    </row>
    <row r="1469" spans="2:2">
      <c r="B1469" s="17"/>
    </row>
    <row r="1470" spans="2:2">
      <c r="B1470" s="17"/>
    </row>
    <row r="1471" spans="2:2">
      <c r="B1471" s="17"/>
    </row>
    <row r="1472" spans="2:2">
      <c r="B1472" s="17"/>
    </row>
    <row r="1473" spans="2:2">
      <c r="B1473" s="17"/>
    </row>
    <row r="1474" spans="2:2">
      <c r="B1474" s="17"/>
    </row>
    <row r="1475" spans="2:2">
      <c r="B1475" s="17"/>
    </row>
    <row r="1476" spans="2:2">
      <c r="B1476" s="17"/>
    </row>
    <row r="1477" spans="2:2">
      <c r="B1477" s="17"/>
    </row>
    <row r="1478" spans="2:2">
      <c r="B1478" s="17"/>
    </row>
    <row r="1479" spans="2:2">
      <c r="B1479" s="17"/>
    </row>
    <row r="1480" spans="2:2">
      <c r="B1480" s="17"/>
    </row>
    <row r="1481" spans="2:2">
      <c r="B1481" s="17"/>
    </row>
    <row r="1482" spans="2:2">
      <c r="B1482" s="17"/>
    </row>
    <row r="1483" spans="2:2">
      <c r="B1483" s="17"/>
    </row>
    <row r="1484" spans="2:2">
      <c r="B1484" s="17"/>
    </row>
    <row r="1485" spans="2:2">
      <c r="B1485" s="17"/>
    </row>
    <row r="1486" spans="2:2">
      <c r="B1486" s="17"/>
    </row>
    <row r="1487" spans="2:2">
      <c r="B1487" s="17"/>
    </row>
    <row r="1488" spans="2:2">
      <c r="B1488" s="17"/>
    </row>
    <row r="1489" spans="2:2">
      <c r="B1489" s="17"/>
    </row>
    <row r="1490" spans="2:2">
      <c r="B1490" s="17"/>
    </row>
    <row r="1491" spans="2:2">
      <c r="B1491" s="17"/>
    </row>
    <row r="1492" spans="2:2">
      <c r="B1492" s="17"/>
    </row>
    <row r="1493" spans="2:2">
      <c r="B1493" s="17"/>
    </row>
    <row r="1494" spans="2:2">
      <c r="B1494" s="17"/>
    </row>
    <row r="1495" spans="2:2">
      <c r="B1495" s="17"/>
    </row>
    <row r="1496" spans="2:2">
      <c r="B1496" s="17"/>
    </row>
    <row r="1497" spans="2:2">
      <c r="B1497" s="17"/>
    </row>
    <row r="1498" spans="2:2">
      <c r="B1498" s="17"/>
    </row>
    <row r="1499" spans="2:2">
      <c r="B1499" s="17"/>
    </row>
    <row r="1500" spans="2:2">
      <c r="B1500" s="17"/>
    </row>
    <row r="1501" spans="2:2">
      <c r="B1501" s="17"/>
    </row>
    <row r="1502" spans="2:2">
      <c r="B1502" s="17"/>
    </row>
    <row r="1503" spans="2:2">
      <c r="B1503" s="17"/>
    </row>
    <row r="1504" spans="2:2">
      <c r="B1504" s="17"/>
    </row>
    <row r="1505" spans="2:2">
      <c r="B1505" s="17"/>
    </row>
    <row r="1506" spans="2:2">
      <c r="B1506" s="17"/>
    </row>
    <row r="1507" spans="2:2">
      <c r="B1507" s="17"/>
    </row>
    <row r="1508" spans="2:2">
      <c r="B1508" s="17"/>
    </row>
    <row r="1509" spans="2:2">
      <c r="B1509" s="17"/>
    </row>
    <row r="1510" spans="2:2">
      <c r="B1510" s="17"/>
    </row>
    <row r="1511" spans="2:2">
      <c r="B1511" s="17"/>
    </row>
    <row r="1512" spans="2:2">
      <c r="B1512" s="17"/>
    </row>
    <row r="1513" spans="2:2">
      <c r="B1513" s="17"/>
    </row>
    <row r="1514" spans="2:2">
      <c r="B1514" s="17"/>
    </row>
    <row r="1515" spans="2:2">
      <c r="B1515" s="17"/>
    </row>
    <row r="1516" spans="2:2">
      <c r="B1516" s="17"/>
    </row>
    <row r="1517" spans="2:2">
      <c r="B1517" s="17"/>
    </row>
    <row r="1518" spans="2:2">
      <c r="B1518" s="17"/>
    </row>
    <row r="1519" spans="2:2">
      <c r="B1519" s="17"/>
    </row>
    <row r="1520" spans="2:2">
      <c r="B1520" s="17"/>
    </row>
    <row r="1521" spans="2:2">
      <c r="B1521" s="17"/>
    </row>
    <row r="1522" spans="2:2">
      <c r="B1522" s="17"/>
    </row>
    <row r="1523" spans="2:2">
      <c r="B1523" s="17"/>
    </row>
    <row r="1524" spans="2:2">
      <c r="B1524" s="17"/>
    </row>
    <row r="1525" spans="2:2">
      <c r="B1525" s="17"/>
    </row>
    <row r="1526" spans="2:2">
      <c r="B1526" s="17"/>
    </row>
    <row r="1527" spans="2:2">
      <c r="B1527" s="17"/>
    </row>
    <row r="1528" spans="2:2">
      <c r="B1528" s="17"/>
    </row>
    <row r="1529" spans="2:2">
      <c r="B1529" s="17"/>
    </row>
    <row r="1530" spans="2:2">
      <c r="B1530" s="17"/>
    </row>
    <row r="1531" spans="2:2">
      <c r="B1531" s="17"/>
    </row>
    <row r="1532" spans="2:2">
      <c r="B1532" s="17"/>
    </row>
    <row r="1533" spans="2:2">
      <c r="B1533" s="17"/>
    </row>
    <row r="1534" spans="2:2">
      <c r="B1534" s="17"/>
    </row>
    <row r="1535" spans="2:2">
      <c r="B1535" s="17"/>
    </row>
    <row r="1536" spans="2:2">
      <c r="B1536" s="17"/>
    </row>
    <row r="1537" spans="2:2">
      <c r="B1537" s="17"/>
    </row>
    <row r="1538" spans="2:2">
      <c r="B1538" s="17"/>
    </row>
    <row r="1539" spans="2:2">
      <c r="B1539" s="17"/>
    </row>
    <row r="1540" spans="2:2">
      <c r="B1540" s="17"/>
    </row>
    <row r="1541" spans="2:2">
      <c r="B1541" s="17"/>
    </row>
    <row r="1542" spans="2:2">
      <c r="B1542" s="17"/>
    </row>
    <row r="1543" spans="2:2">
      <c r="B1543" s="17"/>
    </row>
    <row r="1544" spans="2:2">
      <c r="B1544" s="17"/>
    </row>
    <row r="1545" spans="2:2">
      <c r="B1545" s="17"/>
    </row>
    <row r="1546" spans="2:2">
      <c r="B1546" s="17"/>
    </row>
    <row r="1547" spans="2:2">
      <c r="B1547" s="17"/>
    </row>
    <row r="1548" spans="2:2">
      <c r="B1548" s="17"/>
    </row>
    <row r="1549" spans="2:2">
      <c r="B1549" s="17"/>
    </row>
    <row r="1550" spans="2:2">
      <c r="B1550" s="17"/>
    </row>
    <row r="1551" spans="2:2">
      <c r="B1551" s="17"/>
    </row>
    <row r="1552" spans="2:2">
      <c r="B1552" s="17"/>
    </row>
    <row r="1553" spans="2:2">
      <c r="B1553" s="17"/>
    </row>
    <row r="1554" spans="2:2">
      <c r="B1554" s="17"/>
    </row>
    <row r="1555" spans="2:2">
      <c r="B1555" s="17"/>
    </row>
    <row r="1556" spans="2:2">
      <c r="B1556" s="17"/>
    </row>
    <row r="1557" spans="2:2">
      <c r="B1557" s="17"/>
    </row>
    <row r="1558" spans="2:2">
      <c r="B1558" s="17"/>
    </row>
    <row r="1559" spans="2:2">
      <c r="B1559" s="17"/>
    </row>
    <row r="1560" spans="2:2">
      <c r="B1560" s="17"/>
    </row>
    <row r="1561" spans="2:2">
      <c r="B1561" s="17"/>
    </row>
    <row r="1562" spans="2:2">
      <c r="B1562" s="17"/>
    </row>
    <row r="1563" spans="2:2">
      <c r="B1563" s="17"/>
    </row>
    <row r="1564" spans="2:2">
      <c r="B1564" s="17"/>
    </row>
    <row r="1565" spans="2:2">
      <c r="B1565" s="17"/>
    </row>
    <row r="1566" spans="2:2">
      <c r="B1566" s="17"/>
    </row>
    <row r="1567" spans="2:2">
      <c r="B1567" s="17"/>
    </row>
    <row r="1568" spans="2:2">
      <c r="B1568" s="17"/>
    </row>
    <row r="1569" spans="2:2">
      <c r="B1569" s="17"/>
    </row>
    <row r="1570" spans="2:2">
      <c r="B1570" s="17"/>
    </row>
    <row r="1571" spans="2:2">
      <c r="B1571" s="17"/>
    </row>
    <row r="1572" spans="2:2">
      <c r="B1572" s="17"/>
    </row>
    <row r="1573" spans="2:2">
      <c r="B1573" s="17"/>
    </row>
    <row r="1574" spans="2:2">
      <c r="B1574" s="17"/>
    </row>
    <row r="1575" spans="2:2">
      <c r="B1575" s="17"/>
    </row>
    <row r="1576" spans="2:2">
      <c r="B1576" s="17"/>
    </row>
    <row r="1577" spans="2:2">
      <c r="B1577" s="17"/>
    </row>
    <row r="1578" spans="2:2">
      <c r="B1578" s="17"/>
    </row>
    <row r="1579" spans="2:2">
      <c r="B1579" s="17"/>
    </row>
    <row r="1580" spans="2:2">
      <c r="B1580" s="17"/>
    </row>
    <row r="1581" spans="2:2">
      <c r="B1581" s="17"/>
    </row>
    <row r="1582" spans="2:2">
      <c r="B1582" s="17"/>
    </row>
    <row r="1583" spans="2:2">
      <c r="B1583" s="17"/>
    </row>
    <row r="1584" spans="2:2">
      <c r="B1584" s="17"/>
    </row>
    <row r="1585" spans="2:2">
      <c r="B1585" s="17"/>
    </row>
    <row r="1586" spans="2:2">
      <c r="B1586" s="17"/>
    </row>
    <row r="1587" spans="2:2">
      <c r="B1587" s="17"/>
    </row>
    <row r="1588" spans="2:2">
      <c r="B1588" s="17"/>
    </row>
    <row r="1589" spans="2:2">
      <c r="B1589" s="17"/>
    </row>
    <row r="1590" spans="2:2">
      <c r="B1590" s="17"/>
    </row>
    <row r="1591" spans="2:2">
      <c r="B1591" s="17"/>
    </row>
    <row r="1592" spans="2:2">
      <c r="B1592" s="17"/>
    </row>
    <row r="1593" spans="2:2">
      <c r="B1593" s="17"/>
    </row>
    <row r="1594" spans="2:2">
      <c r="B1594" s="17"/>
    </row>
    <row r="1595" spans="2:2">
      <c r="B1595" s="17"/>
    </row>
    <row r="1596" spans="2:2">
      <c r="B1596" s="17"/>
    </row>
    <row r="1597" spans="2:2">
      <c r="B1597" s="17"/>
    </row>
    <row r="1598" spans="2:2">
      <c r="B1598" s="17"/>
    </row>
    <row r="1599" spans="2:2">
      <c r="B1599" s="17"/>
    </row>
    <row r="1600" spans="2:2">
      <c r="B1600" s="17"/>
    </row>
    <row r="1601" spans="2:2">
      <c r="B1601" s="17"/>
    </row>
    <row r="1602" spans="2:2">
      <c r="B1602" s="17"/>
    </row>
    <row r="1603" spans="2:2">
      <c r="B1603" s="17"/>
    </row>
    <row r="1604" spans="2:2">
      <c r="B1604" s="17"/>
    </row>
    <row r="1605" spans="2:2">
      <c r="B1605" s="17"/>
    </row>
    <row r="1606" spans="2:2">
      <c r="B1606" s="17"/>
    </row>
    <row r="1607" spans="2:2">
      <c r="B1607" s="17"/>
    </row>
    <row r="1608" spans="2:2">
      <c r="B1608" s="17"/>
    </row>
    <row r="1609" spans="2:2">
      <c r="B1609" s="17"/>
    </row>
    <row r="1610" spans="2:2">
      <c r="B1610" s="17"/>
    </row>
    <row r="1611" spans="2:2">
      <c r="B1611" s="17"/>
    </row>
    <row r="1612" spans="2:2">
      <c r="B1612" s="17"/>
    </row>
    <row r="1613" spans="2:2">
      <c r="B1613" s="17"/>
    </row>
    <row r="1614" spans="2:2">
      <c r="B1614" s="17"/>
    </row>
    <row r="1615" spans="2:2">
      <c r="B1615" s="17"/>
    </row>
    <row r="1616" spans="2:2">
      <c r="B1616" s="17"/>
    </row>
    <row r="1617" spans="2:2">
      <c r="B1617" s="17"/>
    </row>
    <row r="1618" spans="2:2">
      <c r="B1618" s="17"/>
    </row>
    <row r="1619" spans="2:2">
      <c r="B1619" s="17"/>
    </row>
    <row r="1620" spans="2:2">
      <c r="B1620" s="17"/>
    </row>
    <row r="1621" spans="2:2">
      <c r="B1621" s="17"/>
    </row>
    <row r="1622" spans="2:2">
      <c r="B1622" s="17"/>
    </row>
    <row r="1623" spans="2:2">
      <c r="B1623" s="17"/>
    </row>
    <row r="1624" spans="2:2">
      <c r="B1624" s="17"/>
    </row>
    <row r="1625" spans="2:2">
      <c r="B1625" s="17"/>
    </row>
    <row r="1626" spans="2:2">
      <c r="B1626" s="17"/>
    </row>
    <row r="1627" spans="2:2">
      <c r="B1627" s="17"/>
    </row>
    <row r="1628" spans="2:2">
      <c r="B1628" s="17"/>
    </row>
    <row r="1629" spans="2:2">
      <c r="B1629" s="17"/>
    </row>
    <row r="1630" spans="2:2">
      <c r="B1630" s="17"/>
    </row>
    <row r="1631" spans="2:2">
      <c r="B1631" s="17"/>
    </row>
    <row r="1632" spans="2:2">
      <c r="B1632" s="17"/>
    </row>
    <row r="1633" spans="2:2">
      <c r="B1633" s="17"/>
    </row>
    <row r="1634" spans="2:2">
      <c r="B1634" s="17"/>
    </row>
    <row r="1635" spans="2:2">
      <c r="B1635" s="17"/>
    </row>
    <row r="1636" spans="2:2">
      <c r="B1636" s="17"/>
    </row>
    <row r="1637" spans="2:2">
      <c r="B1637" s="17"/>
    </row>
    <row r="1638" spans="2:2">
      <c r="B1638" s="17"/>
    </row>
    <row r="1639" spans="2:2">
      <c r="B1639" s="17"/>
    </row>
    <row r="1640" spans="2:2">
      <c r="B1640" s="17"/>
    </row>
    <row r="1641" spans="2:2">
      <c r="B1641" s="17"/>
    </row>
    <row r="1642" spans="2:2">
      <c r="B1642" s="17"/>
    </row>
    <row r="1643" spans="2:2">
      <c r="B1643" s="17"/>
    </row>
    <row r="1644" spans="2:2">
      <c r="B1644" s="17"/>
    </row>
    <row r="1645" spans="2:2">
      <c r="B1645" s="17"/>
    </row>
    <row r="1646" spans="2:2">
      <c r="B1646" s="17"/>
    </row>
    <row r="1647" spans="2:2">
      <c r="B1647" s="17"/>
    </row>
    <row r="1648" spans="2:2">
      <c r="B1648" s="17"/>
    </row>
    <row r="1649" spans="2:2">
      <c r="B1649" s="17"/>
    </row>
    <row r="1650" spans="2:2">
      <c r="B1650" s="17"/>
    </row>
    <row r="1651" spans="2:2">
      <c r="B1651" s="17"/>
    </row>
    <row r="1652" spans="2:2">
      <c r="B1652" s="17"/>
    </row>
    <row r="1653" spans="2:2">
      <c r="B1653" s="17"/>
    </row>
    <row r="1654" spans="2:2">
      <c r="B1654" s="17"/>
    </row>
    <row r="1655" spans="2:2">
      <c r="B1655" s="17"/>
    </row>
    <row r="1656" spans="2:2">
      <c r="B1656" s="17"/>
    </row>
    <row r="1657" spans="2:2">
      <c r="B1657" s="17"/>
    </row>
    <row r="1658" spans="2:2">
      <c r="B1658" s="17"/>
    </row>
    <row r="1659" spans="2:2">
      <c r="B1659" s="17"/>
    </row>
    <row r="1660" spans="2:2">
      <c r="B1660" s="17"/>
    </row>
    <row r="1661" spans="2:2">
      <c r="B1661" s="17"/>
    </row>
    <row r="1662" spans="2:2">
      <c r="B1662" s="17"/>
    </row>
    <row r="1663" spans="2:2">
      <c r="B1663" s="17"/>
    </row>
    <row r="1664" spans="2:2">
      <c r="B1664" s="17"/>
    </row>
    <row r="1665" spans="2:2">
      <c r="B1665" s="17"/>
    </row>
    <row r="1666" spans="2:2">
      <c r="B1666" s="17"/>
    </row>
    <row r="1667" spans="2:2">
      <c r="B1667" s="17"/>
    </row>
    <row r="1668" spans="2:2">
      <c r="B1668" s="17"/>
    </row>
    <row r="1669" spans="2:2">
      <c r="B1669" s="17"/>
    </row>
    <row r="1670" spans="2:2">
      <c r="B1670" s="17"/>
    </row>
    <row r="1671" spans="2:2">
      <c r="B1671" s="17"/>
    </row>
    <row r="1672" spans="2:2">
      <c r="B1672" s="17"/>
    </row>
    <row r="1673" spans="2:2">
      <c r="B1673" s="17"/>
    </row>
    <row r="1674" spans="2:2">
      <c r="B1674" s="17"/>
    </row>
    <row r="1675" spans="2:2">
      <c r="B1675" s="17"/>
    </row>
    <row r="1676" spans="2:2">
      <c r="B1676" s="17"/>
    </row>
    <row r="1677" spans="2:2">
      <c r="B1677" s="17"/>
    </row>
    <row r="1678" spans="2:2">
      <c r="B1678" s="17"/>
    </row>
    <row r="1679" spans="2:2">
      <c r="B1679" s="17"/>
    </row>
    <row r="1680" spans="2:2">
      <c r="B1680" s="17"/>
    </row>
    <row r="1681" spans="2:2">
      <c r="B1681" s="17"/>
    </row>
    <row r="1682" spans="2:2">
      <c r="B1682" s="17"/>
    </row>
    <row r="1683" spans="2:2">
      <c r="B1683" s="17"/>
    </row>
    <row r="1684" spans="2:2">
      <c r="B1684" s="17"/>
    </row>
    <row r="1685" spans="2:2">
      <c r="B1685" s="17"/>
    </row>
    <row r="1686" spans="2:2">
      <c r="B1686" s="17"/>
    </row>
    <row r="1687" spans="2:2">
      <c r="B1687" s="17"/>
    </row>
    <row r="1688" spans="2:2">
      <c r="B1688" s="17"/>
    </row>
    <row r="1689" spans="2:2">
      <c r="B1689" s="17"/>
    </row>
    <row r="1690" spans="2:2">
      <c r="B1690" s="17"/>
    </row>
    <row r="1691" spans="2:2">
      <c r="B1691" s="17"/>
    </row>
    <row r="1692" spans="2:2">
      <c r="B1692" s="17"/>
    </row>
    <row r="1693" spans="2:2">
      <c r="B1693" s="17"/>
    </row>
    <row r="1694" spans="2:2">
      <c r="B1694" s="17"/>
    </row>
    <row r="1695" spans="2:2">
      <c r="B1695" s="17"/>
    </row>
    <row r="1696" spans="2:2">
      <c r="B1696" s="17"/>
    </row>
    <row r="1697" spans="2:2">
      <c r="B1697" s="17"/>
    </row>
    <row r="1698" spans="2:2">
      <c r="B1698" s="17"/>
    </row>
    <row r="1699" spans="2:2">
      <c r="B1699" s="17"/>
    </row>
    <row r="1700" spans="2:2">
      <c r="B1700" s="17"/>
    </row>
    <row r="1701" spans="2:2">
      <c r="B1701" s="17"/>
    </row>
    <row r="1702" spans="2:2">
      <c r="B1702" s="17"/>
    </row>
    <row r="1703" spans="2:2">
      <c r="B1703" s="17"/>
    </row>
    <row r="1704" spans="2:2">
      <c r="B1704" s="17"/>
    </row>
    <row r="1705" spans="2:2">
      <c r="B1705" s="17"/>
    </row>
    <row r="1706" spans="2:2">
      <c r="B1706" s="17"/>
    </row>
    <row r="1707" spans="2:2">
      <c r="B1707" s="17"/>
    </row>
    <row r="1708" spans="2:2">
      <c r="B1708" s="17"/>
    </row>
    <row r="1709" spans="2:2">
      <c r="B1709" s="17"/>
    </row>
    <row r="1710" spans="2:2">
      <c r="B1710" s="17"/>
    </row>
    <row r="1711" spans="2:2">
      <c r="B1711" s="17"/>
    </row>
    <row r="1712" spans="2:2">
      <c r="B1712" s="17"/>
    </row>
    <row r="1713" spans="2:2">
      <c r="B1713" s="17"/>
    </row>
    <row r="1714" spans="2:2">
      <c r="B1714" s="17"/>
    </row>
    <row r="1715" spans="2:2">
      <c r="B1715" s="17"/>
    </row>
    <row r="1716" spans="2:2">
      <c r="B1716" s="17"/>
    </row>
    <row r="1717" spans="2:2">
      <c r="B1717" s="17"/>
    </row>
    <row r="1718" spans="2:2">
      <c r="B1718" s="17"/>
    </row>
    <row r="1719" spans="2:2">
      <c r="B1719" s="17"/>
    </row>
    <row r="1720" spans="2:2">
      <c r="B1720" s="17"/>
    </row>
    <row r="1721" spans="2:2">
      <c r="B1721" s="17"/>
    </row>
    <row r="1722" spans="2:2">
      <c r="B1722" s="17"/>
    </row>
    <row r="1723" spans="2:2">
      <c r="B1723" s="17"/>
    </row>
    <row r="1724" spans="2:2">
      <c r="B1724" s="17"/>
    </row>
    <row r="1725" spans="2:2">
      <c r="B1725" s="17"/>
    </row>
    <row r="1726" spans="2:2">
      <c r="B1726" s="17"/>
    </row>
    <row r="1727" spans="2:2">
      <c r="B1727" s="17"/>
    </row>
    <row r="1728" spans="2:2">
      <c r="B1728" s="17"/>
    </row>
    <row r="1729" spans="2:2">
      <c r="B1729" s="17"/>
    </row>
    <row r="1730" spans="2:2">
      <c r="B1730" s="17"/>
    </row>
    <row r="1731" spans="2:2">
      <c r="B1731" s="17"/>
    </row>
    <row r="1732" spans="2:2">
      <c r="B1732" s="17"/>
    </row>
    <row r="1733" spans="2:2">
      <c r="B1733" s="17"/>
    </row>
    <row r="1734" spans="2:2">
      <c r="B1734" s="17"/>
    </row>
    <row r="1735" spans="2:2">
      <c r="B1735" s="17"/>
    </row>
    <row r="1736" spans="2:2">
      <c r="B1736" s="17"/>
    </row>
    <row r="1737" spans="2:2">
      <c r="B1737" s="17"/>
    </row>
    <row r="1738" spans="2:2">
      <c r="B1738" s="17"/>
    </row>
    <row r="1739" spans="2:2">
      <c r="B1739" s="17"/>
    </row>
    <row r="1740" spans="2:2">
      <c r="B1740" s="17"/>
    </row>
    <row r="1741" spans="2:2">
      <c r="B1741" s="17"/>
    </row>
    <row r="1742" spans="2:2">
      <c r="B1742" s="17"/>
    </row>
    <row r="1743" spans="2:2">
      <c r="B1743" s="17"/>
    </row>
    <row r="1744" spans="2:2">
      <c r="B1744" s="17"/>
    </row>
    <row r="1745" spans="2:2">
      <c r="B1745" s="17"/>
    </row>
    <row r="1746" spans="2:2">
      <c r="B1746" s="17"/>
    </row>
    <row r="1747" spans="2:2">
      <c r="B1747" s="17"/>
    </row>
    <row r="1748" spans="2:2">
      <c r="B1748" s="17"/>
    </row>
    <row r="1749" spans="2:2">
      <c r="B1749" s="17"/>
    </row>
    <row r="1750" spans="2:2">
      <c r="B1750" s="17"/>
    </row>
    <row r="1751" spans="2:2">
      <c r="B1751" s="17"/>
    </row>
    <row r="1752" spans="2:2">
      <c r="B1752" s="17"/>
    </row>
    <row r="1753" spans="2:2">
      <c r="B1753" s="17"/>
    </row>
    <row r="1754" spans="2:2">
      <c r="B1754" s="17"/>
    </row>
    <row r="1755" spans="2:2">
      <c r="B1755" s="17"/>
    </row>
    <row r="1756" spans="2:2">
      <c r="B1756" s="17"/>
    </row>
    <row r="1757" spans="2:2">
      <c r="B1757" s="17"/>
    </row>
    <row r="1758" spans="2:2">
      <c r="B1758" s="17"/>
    </row>
    <row r="1759" spans="2:2">
      <c r="B1759" s="17"/>
    </row>
    <row r="1760" spans="2:2">
      <c r="B1760" s="17"/>
    </row>
    <row r="1761" spans="2:2">
      <c r="B1761" s="17"/>
    </row>
    <row r="1762" spans="2:2">
      <c r="B1762" s="17"/>
    </row>
    <row r="1763" spans="2:2">
      <c r="B1763" s="17"/>
    </row>
    <row r="1764" spans="2:2">
      <c r="B1764" s="17"/>
    </row>
    <row r="1765" spans="2:2">
      <c r="B1765" s="17"/>
    </row>
    <row r="1766" spans="2:2">
      <c r="B1766" s="17"/>
    </row>
    <row r="1767" spans="2:2">
      <c r="B1767" s="17"/>
    </row>
    <row r="1768" spans="2:2">
      <c r="B1768" s="17"/>
    </row>
    <row r="1769" spans="2:2">
      <c r="B1769" s="17"/>
    </row>
    <row r="1770" spans="2:2">
      <c r="B1770" s="17"/>
    </row>
    <row r="1771" spans="2:2">
      <c r="B1771" s="17"/>
    </row>
    <row r="1772" spans="2:2">
      <c r="B1772" s="17"/>
    </row>
    <row r="1773" spans="2:2">
      <c r="B1773" s="17"/>
    </row>
    <row r="1774" spans="2:2">
      <c r="B1774" s="17"/>
    </row>
    <row r="1775" spans="2:2">
      <c r="B1775" s="17"/>
    </row>
    <row r="1776" spans="2:2">
      <c r="B1776" s="17"/>
    </row>
    <row r="1777" spans="2:2">
      <c r="B1777" s="17"/>
    </row>
    <row r="1778" spans="2:2">
      <c r="B1778" s="17"/>
    </row>
    <row r="1779" spans="2:2">
      <c r="B1779" s="17"/>
    </row>
    <row r="1780" spans="2:2">
      <c r="B1780" s="17"/>
    </row>
    <row r="1781" spans="2:2">
      <c r="B1781" s="17"/>
    </row>
    <row r="1782" spans="2:2">
      <c r="B1782" s="17"/>
    </row>
    <row r="1783" spans="2:2">
      <c r="B1783" s="17"/>
    </row>
    <row r="1784" spans="2:2">
      <c r="B1784" s="17"/>
    </row>
    <row r="1785" spans="2:2">
      <c r="B1785" s="17"/>
    </row>
    <row r="1786" spans="2:2">
      <c r="B1786" s="17"/>
    </row>
    <row r="1787" spans="2:2">
      <c r="B1787" s="17"/>
    </row>
    <row r="1788" spans="2:2">
      <c r="B1788" s="17"/>
    </row>
    <row r="1789" spans="2:2">
      <c r="B1789" s="17"/>
    </row>
    <row r="1790" spans="2:2">
      <c r="B1790" s="17"/>
    </row>
    <row r="1791" spans="2:2">
      <c r="B1791" s="17"/>
    </row>
    <row r="1792" spans="2:2">
      <c r="B1792" s="17"/>
    </row>
    <row r="1793" spans="2:2">
      <c r="B1793" s="17"/>
    </row>
    <row r="1794" spans="2:2">
      <c r="B1794" s="17"/>
    </row>
    <row r="1795" spans="2:2">
      <c r="B1795" s="17"/>
    </row>
    <row r="1796" spans="2:2">
      <c r="B1796" s="17"/>
    </row>
    <row r="1797" spans="2:2">
      <c r="B1797" s="17"/>
    </row>
    <row r="1798" spans="2:2">
      <c r="B1798" s="17"/>
    </row>
    <row r="1799" spans="2:2">
      <c r="B1799" s="17"/>
    </row>
    <row r="1800" spans="2:2">
      <c r="B1800" s="17"/>
    </row>
    <row r="1801" spans="2:2">
      <c r="B1801" s="17"/>
    </row>
    <row r="1802" spans="2:2">
      <c r="B1802" s="17"/>
    </row>
    <row r="1803" spans="2:2">
      <c r="B1803" s="17"/>
    </row>
    <row r="1804" spans="2:2">
      <c r="B1804" s="17"/>
    </row>
    <row r="1805" spans="2:2">
      <c r="B1805" s="17"/>
    </row>
    <row r="1806" spans="2:2">
      <c r="B1806" s="17"/>
    </row>
    <row r="1807" spans="2:2">
      <c r="B1807" s="17"/>
    </row>
    <row r="1808" spans="2:2">
      <c r="B1808" s="17"/>
    </row>
    <row r="1809" spans="2:2">
      <c r="B1809" s="17"/>
    </row>
    <row r="1810" spans="2:2">
      <c r="B1810" s="17"/>
    </row>
    <row r="1811" spans="2:2">
      <c r="B1811" s="17"/>
    </row>
    <row r="1812" spans="2:2">
      <c r="B1812" s="17"/>
    </row>
    <row r="1813" spans="2:2">
      <c r="B1813" s="17"/>
    </row>
    <row r="1814" spans="2:2">
      <c r="B1814" s="17"/>
    </row>
    <row r="1815" spans="2:2">
      <c r="B1815" s="17"/>
    </row>
    <row r="1816" spans="2:2">
      <c r="B1816" s="17"/>
    </row>
    <row r="1817" spans="2:2">
      <c r="B1817" s="17"/>
    </row>
    <row r="1818" spans="2:2">
      <c r="B1818" s="17"/>
    </row>
    <row r="1819" spans="2:2">
      <c r="B1819" s="17"/>
    </row>
    <row r="1820" spans="2:2">
      <c r="B1820" s="17"/>
    </row>
    <row r="1821" spans="2:2">
      <c r="B1821" s="17"/>
    </row>
    <row r="1822" spans="2:2">
      <c r="B1822" s="17"/>
    </row>
    <row r="1823" spans="2:2">
      <c r="B1823" s="17"/>
    </row>
    <row r="1824" spans="2:2">
      <c r="B1824" s="17"/>
    </row>
    <row r="1825" spans="2:2">
      <c r="B1825" s="17"/>
    </row>
    <row r="1826" spans="2:2">
      <c r="B1826" s="17"/>
    </row>
    <row r="1827" spans="2:2">
      <c r="B1827" s="17"/>
    </row>
    <row r="1828" spans="2:2">
      <c r="B1828" s="17"/>
    </row>
    <row r="1829" spans="2:2">
      <c r="B1829" s="17"/>
    </row>
    <row r="1830" spans="2:2">
      <c r="B1830" s="17"/>
    </row>
    <row r="1831" spans="2:2">
      <c r="B1831" s="17"/>
    </row>
    <row r="1832" spans="2:2">
      <c r="B1832" s="17"/>
    </row>
    <row r="1833" spans="2:2">
      <c r="B1833" s="17"/>
    </row>
    <row r="1834" spans="2:2">
      <c r="B1834" s="17"/>
    </row>
    <row r="1835" spans="2:2">
      <c r="B1835" s="17"/>
    </row>
    <row r="1836" spans="2:2">
      <c r="B1836" s="17"/>
    </row>
    <row r="1837" spans="2:2">
      <c r="B1837" s="17"/>
    </row>
    <row r="1838" spans="2:2">
      <c r="B1838" s="17"/>
    </row>
    <row r="1839" spans="2:2">
      <c r="B1839" s="17"/>
    </row>
    <row r="1840" spans="2:2">
      <c r="B1840" s="17"/>
    </row>
    <row r="1841" spans="2:2">
      <c r="B1841" s="17"/>
    </row>
    <row r="1842" spans="2:2">
      <c r="B1842" s="17"/>
    </row>
    <row r="1843" spans="2:2">
      <c r="B1843" s="17"/>
    </row>
    <row r="1844" spans="2:2">
      <c r="B1844" s="17"/>
    </row>
    <row r="1845" spans="2:2">
      <c r="B1845" s="17"/>
    </row>
    <row r="1846" spans="2:2">
      <c r="B1846" s="17"/>
    </row>
    <row r="1847" spans="2:2">
      <c r="B1847" s="17"/>
    </row>
    <row r="1848" spans="2:2">
      <c r="B1848" s="17"/>
    </row>
    <row r="1849" spans="2:2">
      <c r="B1849" s="17"/>
    </row>
    <row r="1850" spans="2:2">
      <c r="B1850" s="17"/>
    </row>
    <row r="1851" spans="2:2">
      <c r="B1851" s="17"/>
    </row>
    <row r="1852" spans="2:2">
      <c r="B1852" s="17"/>
    </row>
    <row r="1853" spans="2:2">
      <c r="B1853" s="17"/>
    </row>
    <row r="1854" spans="2:2">
      <c r="B1854" s="17"/>
    </row>
    <row r="1855" spans="2:2">
      <c r="B1855" s="17"/>
    </row>
    <row r="1856" spans="2:2">
      <c r="B1856" s="17"/>
    </row>
    <row r="1857" spans="2:2">
      <c r="B1857" s="17"/>
    </row>
    <row r="1858" spans="2:2">
      <c r="B1858" s="17"/>
    </row>
    <row r="1859" spans="2:2">
      <c r="B1859" s="17"/>
    </row>
    <row r="1860" spans="2:2">
      <c r="B1860" s="17"/>
    </row>
    <row r="1861" spans="2:2">
      <c r="B1861" s="17"/>
    </row>
    <row r="1862" spans="2:2">
      <c r="B1862" s="17"/>
    </row>
    <row r="1863" spans="2:2">
      <c r="B1863" s="17"/>
    </row>
    <row r="1864" spans="2:2">
      <c r="B1864" s="17"/>
    </row>
    <row r="1865" spans="2:2">
      <c r="B1865" s="17"/>
    </row>
    <row r="1866" spans="2:2">
      <c r="B1866" s="17"/>
    </row>
    <row r="1867" spans="2:2">
      <c r="B1867" s="17"/>
    </row>
    <row r="1868" spans="2:2">
      <c r="B1868" s="17"/>
    </row>
    <row r="1869" spans="2:2">
      <c r="B1869" s="17"/>
    </row>
    <row r="1870" spans="2:2">
      <c r="B1870" s="17"/>
    </row>
    <row r="1871" spans="2:2">
      <c r="B1871" s="17"/>
    </row>
    <row r="1872" spans="2:2">
      <c r="B1872" s="17"/>
    </row>
    <row r="1873" spans="2:2">
      <c r="B1873" s="17"/>
    </row>
    <row r="1874" spans="2:2">
      <c r="B1874" s="17"/>
    </row>
    <row r="1875" spans="2:2">
      <c r="B1875" s="17"/>
    </row>
    <row r="1876" spans="2:2">
      <c r="B1876" s="17"/>
    </row>
    <row r="1877" spans="2:2">
      <c r="B1877" s="17"/>
    </row>
    <row r="1878" spans="2:2">
      <c r="B1878" s="17"/>
    </row>
    <row r="1879" spans="2:2">
      <c r="B1879" s="17"/>
    </row>
    <row r="1880" spans="2:2">
      <c r="B1880" s="17"/>
    </row>
    <row r="1881" spans="2:2">
      <c r="B1881" s="17"/>
    </row>
    <row r="1882" spans="2:2">
      <c r="B1882" s="17"/>
    </row>
    <row r="1883" spans="2:2">
      <c r="B1883" s="17"/>
    </row>
    <row r="1884" spans="2:2">
      <c r="B1884" s="17"/>
    </row>
    <row r="1885" spans="2:2">
      <c r="B1885" s="17"/>
    </row>
    <row r="1886" spans="2:2">
      <c r="B1886" s="17"/>
    </row>
    <row r="1887" spans="2:2">
      <c r="B1887" s="17"/>
    </row>
    <row r="1888" spans="2:2">
      <c r="B1888" s="17"/>
    </row>
    <row r="1889" spans="2:2">
      <c r="B1889" s="17"/>
    </row>
    <row r="1890" spans="2:2">
      <c r="B1890" s="17"/>
    </row>
    <row r="1891" spans="2:2">
      <c r="B1891" s="17"/>
    </row>
    <row r="1892" spans="2:2">
      <c r="B1892" s="17"/>
    </row>
    <row r="1893" spans="2:2">
      <c r="B1893" s="17"/>
    </row>
    <row r="1894" spans="2:2">
      <c r="B1894" s="17"/>
    </row>
    <row r="1895" spans="2:2">
      <c r="B1895" s="17"/>
    </row>
    <row r="1896" spans="2:2">
      <c r="B1896" s="17"/>
    </row>
    <row r="1897" spans="2:2">
      <c r="B1897" s="17"/>
    </row>
    <row r="1898" spans="2:2">
      <c r="B1898" s="17"/>
    </row>
    <row r="1899" spans="2:2">
      <c r="B1899" s="17"/>
    </row>
    <row r="1900" spans="2:2">
      <c r="B1900" s="17"/>
    </row>
    <row r="1901" spans="2:2">
      <c r="B1901" s="17"/>
    </row>
    <row r="1902" spans="2:2">
      <c r="B1902" s="17"/>
    </row>
    <row r="1903" spans="2:2">
      <c r="B1903" s="17"/>
    </row>
    <row r="1904" spans="2:2">
      <c r="B1904" s="17"/>
    </row>
    <row r="1905" spans="2:2">
      <c r="B1905" s="17"/>
    </row>
    <row r="1906" spans="2:2">
      <c r="B1906" s="17"/>
    </row>
    <row r="1907" spans="2:2">
      <c r="B1907" s="17"/>
    </row>
    <row r="1908" spans="2:2">
      <c r="B1908" s="17"/>
    </row>
    <row r="1909" spans="2:2">
      <c r="B1909" s="17"/>
    </row>
    <row r="1910" spans="2:2">
      <c r="B1910" s="17"/>
    </row>
    <row r="1911" spans="2:2">
      <c r="B1911" s="17"/>
    </row>
    <row r="1912" spans="2:2">
      <c r="B1912" s="17"/>
    </row>
    <row r="1913" spans="2:2">
      <c r="B1913" s="17"/>
    </row>
    <row r="1914" spans="2:2">
      <c r="B1914" s="17"/>
    </row>
    <row r="1915" spans="2:2">
      <c r="B1915" s="17"/>
    </row>
    <row r="1916" spans="2:2">
      <c r="B1916" s="17"/>
    </row>
    <row r="1917" spans="2:2">
      <c r="B1917" s="17"/>
    </row>
    <row r="1918" spans="2:2">
      <c r="B1918" s="17"/>
    </row>
    <row r="1919" spans="2:2">
      <c r="B1919" s="17"/>
    </row>
    <row r="1920" spans="2:2">
      <c r="B1920" s="17"/>
    </row>
    <row r="1921" spans="2:2">
      <c r="B1921" s="17"/>
    </row>
    <row r="1922" spans="2:2">
      <c r="B1922" s="17"/>
    </row>
    <row r="1923" spans="2:2">
      <c r="B1923" s="17"/>
    </row>
    <row r="1924" spans="2:2">
      <c r="B1924" s="17"/>
    </row>
    <row r="1925" spans="2:2">
      <c r="B1925" s="17"/>
    </row>
    <row r="1926" spans="2:2">
      <c r="B1926" s="17"/>
    </row>
    <row r="1927" spans="2:2">
      <c r="B1927" s="17"/>
    </row>
    <row r="1928" spans="2:2">
      <c r="B1928" s="17"/>
    </row>
    <row r="1929" spans="2:2">
      <c r="B1929" s="17"/>
    </row>
    <row r="1930" spans="2:2">
      <c r="B1930" s="17"/>
    </row>
    <row r="1931" spans="2:2">
      <c r="B1931" s="17"/>
    </row>
    <row r="1932" spans="2:2">
      <c r="B1932" s="17"/>
    </row>
    <row r="1933" spans="2:2">
      <c r="B1933" s="17"/>
    </row>
    <row r="1934" spans="2:2">
      <c r="B1934" s="17"/>
    </row>
    <row r="1935" spans="2:2">
      <c r="B1935" s="17"/>
    </row>
    <row r="1936" spans="2:2">
      <c r="B1936" s="17"/>
    </row>
    <row r="1937" spans="2:2">
      <c r="B1937" s="17"/>
    </row>
    <row r="1938" spans="2:2">
      <c r="B1938" s="17"/>
    </row>
    <row r="1939" spans="2:2">
      <c r="B1939" s="17"/>
    </row>
    <row r="1940" spans="2:2">
      <c r="B1940" s="17"/>
    </row>
    <row r="1941" spans="2:2">
      <c r="B1941" s="17"/>
    </row>
    <row r="1942" spans="2:2">
      <c r="B1942" s="17"/>
    </row>
    <row r="1943" spans="2:2">
      <c r="B1943" s="17"/>
    </row>
    <row r="1944" spans="2:2">
      <c r="B1944" s="17"/>
    </row>
    <row r="1945" spans="2:2">
      <c r="B1945" s="17"/>
    </row>
    <row r="1946" spans="2:2">
      <c r="B1946" s="17"/>
    </row>
    <row r="1947" spans="2:2">
      <c r="B1947" s="17"/>
    </row>
    <row r="1948" spans="2:2">
      <c r="B1948" s="17"/>
    </row>
    <row r="1949" spans="2:2">
      <c r="B1949" s="17"/>
    </row>
    <row r="1950" spans="2:2">
      <c r="B1950" s="17"/>
    </row>
    <row r="1951" spans="2:2">
      <c r="B1951" s="17"/>
    </row>
    <row r="1952" spans="2:2">
      <c r="B1952" s="17"/>
    </row>
    <row r="1953" spans="2:2">
      <c r="B1953" s="17"/>
    </row>
    <row r="1954" spans="2:2">
      <c r="B1954" s="17"/>
    </row>
    <row r="1955" spans="2:2">
      <c r="B1955" s="17"/>
    </row>
    <row r="1956" spans="2:2">
      <c r="B1956" s="17"/>
    </row>
    <row r="1957" spans="2:2">
      <c r="B1957" s="17"/>
    </row>
    <row r="1958" spans="2:2">
      <c r="B1958" s="17"/>
    </row>
    <row r="1959" spans="2:2">
      <c r="B1959" s="17"/>
    </row>
    <row r="1960" spans="2:2">
      <c r="B1960" s="17"/>
    </row>
    <row r="1961" spans="2:2">
      <c r="B1961" s="17"/>
    </row>
    <row r="1962" spans="2:2">
      <c r="B1962" s="17"/>
    </row>
    <row r="1963" spans="2:2">
      <c r="B1963" s="17"/>
    </row>
    <row r="1964" spans="2:2">
      <c r="B1964" s="17"/>
    </row>
    <row r="1965" spans="2:2">
      <c r="B1965" s="17"/>
    </row>
    <row r="1966" spans="2:2">
      <c r="B1966" s="17"/>
    </row>
    <row r="1967" spans="2:2">
      <c r="B1967" s="17"/>
    </row>
    <row r="1968" spans="2:2">
      <c r="B1968" s="17"/>
    </row>
    <row r="1969" spans="2:2">
      <c r="B1969" s="17"/>
    </row>
    <row r="1970" spans="2:2">
      <c r="B1970" s="17"/>
    </row>
    <row r="1971" spans="2:2">
      <c r="B1971" s="17"/>
    </row>
    <row r="1972" spans="2:2">
      <c r="B1972" s="17"/>
    </row>
    <row r="1973" spans="2:2">
      <c r="B1973" s="17"/>
    </row>
    <row r="1974" spans="2:2">
      <c r="B1974" s="17"/>
    </row>
    <row r="1975" spans="2:2">
      <c r="B1975" s="17"/>
    </row>
    <row r="1976" spans="2:2">
      <c r="B1976" s="17"/>
    </row>
    <row r="1977" spans="2:2">
      <c r="B1977" s="17"/>
    </row>
    <row r="1978" spans="2:2">
      <c r="B1978" s="17"/>
    </row>
    <row r="1979" spans="2:2">
      <c r="B1979" s="17"/>
    </row>
    <row r="1980" spans="2:2">
      <c r="B1980" s="17"/>
    </row>
    <row r="1981" spans="2:2">
      <c r="B1981" s="17"/>
    </row>
    <row r="1982" spans="2:2">
      <c r="B1982" s="17"/>
    </row>
    <row r="1983" spans="2:2">
      <c r="B1983" s="17"/>
    </row>
    <row r="1984" spans="2:2">
      <c r="B1984" s="17"/>
    </row>
    <row r="1985" spans="2:2">
      <c r="B1985" s="17"/>
    </row>
    <row r="1986" spans="2:2">
      <c r="B1986" s="17"/>
    </row>
    <row r="1987" spans="2:2">
      <c r="B1987" s="17"/>
    </row>
    <row r="1988" spans="2:2">
      <c r="B1988" s="17"/>
    </row>
    <row r="1989" spans="2:2">
      <c r="B1989" s="17"/>
    </row>
    <row r="1990" spans="2:2">
      <c r="B1990" s="17"/>
    </row>
    <row r="1991" spans="2:2">
      <c r="B1991" s="17"/>
    </row>
    <row r="1992" spans="2:2">
      <c r="B1992" s="17"/>
    </row>
    <row r="1993" spans="2:2">
      <c r="B1993" s="17"/>
    </row>
    <row r="1994" spans="2:2">
      <c r="B1994" s="17"/>
    </row>
    <row r="1995" spans="2:2">
      <c r="B1995" s="17"/>
    </row>
    <row r="1996" spans="2:2">
      <c r="B1996" s="17"/>
    </row>
    <row r="1997" spans="2:2">
      <c r="B1997" s="17"/>
    </row>
    <row r="1998" spans="2:2">
      <c r="B1998" s="17"/>
    </row>
    <row r="1999" spans="2:2">
      <c r="B1999" s="17"/>
    </row>
    <row r="2000" spans="2:2">
      <c r="B2000" s="17"/>
    </row>
    <row r="2001" spans="2:2">
      <c r="B2001" s="17"/>
    </row>
    <row r="2002" spans="2:2">
      <c r="B2002" s="17"/>
    </row>
    <row r="2003" spans="2:2">
      <c r="B2003" s="17"/>
    </row>
    <row r="2004" spans="2:2">
      <c r="B2004" s="17"/>
    </row>
    <row r="2005" spans="2:2">
      <c r="B2005" s="17"/>
    </row>
    <row r="2006" spans="2:2">
      <c r="B2006" s="17"/>
    </row>
    <row r="2007" spans="2:2">
      <c r="B2007" s="17"/>
    </row>
    <row r="2008" spans="2:2">
      <c r="B2008" s="17"/>
    </row>
    <row r="2009" spans="2:2">
      <c r="B2009" s="17"/>
    </row>
    <row r="2010" spans="2:2">
      <c r="B2010" s="17"/>
    </row>
    <row r="2011" spans="2:2">
      <c r="B2011" s="17"/>
    </row>
    <row r="2012" spans="2:2">
      <c r="B2012" s="17"/>
    </row>
    <row r="2013" spans="2:2">
      <c r="B2013" s="17"/>
    </row>
    <row r="2014" spans="2:2">
      <c r="B2014" s="17"/>
    </row>
    <row r="2015" spans="2:2">
      <c r="B2015" s="17"/>
    </row>
    <row r="2016" spans="2:2">
      <c r="B2016" s="17"/>
    </row>
    <row r="2017" spans="2:2">
      <c r="B2017" s="17"/>
    </row>
    <row r="2018" spans="2:2">
      <c r="B2018" s="17"/>
    </row>
    <row r="2019" spans="2:2">
      <c r="B2019" s="17"/>
    </row>
    <row r="2020" spans="2:2">
      <c r="B2020" s="17"/>
    </row>
    <row r="2021" spans="2:2">
      <c r="B2021" s="17"/>
    </row>
    <row r="2022" spans="2:2">
      <c r="B2022" s="17"/>
    </row>
    <row r="2023" spans="2:2">
      <c r="B2023" s="17"/>
    </row>
    <row r="2024" spans="2:2">
      <c r="B2024" s="17"/>
    </row>
    <row r="2025" spans="2:2">
      <c r="B2025" s="17"/>
    </row>
    <row r="2026" spans="2:2">
      <c r="B2026" s="17"/>
    </row>
    <row r="2027" spans="2:2">
      <c r="B2027" s="17"/>
    </row>
    <row r="2028" spans="2:2">
      <c r="B2028" s="17"/>
    </row>
    <row r="2029" spans="2:2">
      <c r="B2029" s="17"/>
    </row>
    <row r="2030" spans="2:2">
      <c r="B2030" s="17"/>
    </row>
    <row r="2031" spans="2:2">
      <c r="B2031" s="17"/>
    </row>
    <row r="2032" spans="2:2">
      <c r="B2032" s="17"/>
    </row>
    <row r="2033" spans="2:2">
      <c r="B2033" s="17"/>
    </row>
    <row r="2034" spans="2:2">
      <c r="B2034" s="17"/>
    </row>
    <row r="2035" spans="2:2">
      <c r="B2035" s="17"/>
    </row>
    <row r="2036" spans="2:2">
      <c r="B2036" s="17"/>
    </row>
    <row r="2037" spans="2:2">
      <c r="B2037" s="17"/>
    </row>
    <row r="2038" spans="2:2">
      <c r="B2038" s="17"/>
    </row>
    <row r="2039" spans="2:2">
      <c r="B2039" s="17"/>
    </row>
    <row r="2040" spans="2:2">
      <c r="B2040" s="17"/>
    </row>
    <row r="2041" spans="2:2">
      <c r="B2041" s="17"/>
    </row>
    <row r="2042" spans="2:2">
      <c r="B2042" s="17"/>
    </row>
    <row r="2043" spans="2:2">
      <c r="B2043" s="17"/>
    </row>
    <row r="2044" spans="2:2">
      <c r="B2044" s="17"/>
    </row>
    <row r="2045" spans="2:2">
      <c r="B2045" s="17"/>
    </row>
    <row r="2046" spans="2:2">
      <c r="B2046" s="17"/>
    </row>
    <row r="2047" spans="2:2">
      <c r="B2047" s="17"/>
    </row>
    <row r="2048" spans="2:2">
      <c r="B2048" s="17"/>
    </row>
    <row r="2049" spans="2:2">
      <c r="B2049" s="17"/>
    </row>
    <row r="2050" spans="2:2">
      <c r="B2050" s="17"/>
    </row>
    <row r="2051" spans="2:2">
      <c r="B2051" s="17"/>
    </row>
    <row r="2052" spans="2:2">
      <c r="B2052" s="17"/>
    </row>
    <row r="2053" spans="2:2">
      <c r="B2053" s="17"/>
    </row>
    <row r="2054" spans="2:2">
      <c r="B2054" s="17"/>
    </row>
    <row r="2055" spans="2:2">
      <c r="B2055" s="17"/>
    </row>
    <row r="2056" spans="2:2">
      <c r="B2056" s="17"/>
    </row>
    <row r="2057" spans="2:2">
      <c r="B2057" s="17"/>
    </row>
    <row r="2058" spans="2:2">
      <c r="B2058" s="17"/>
    </row>
    <row r="2059" spans="2:2">
      <c r="B2059" s="17"/>
    </row>
    <row r="2060" spans="2:2">
      <c r="B2060" s="17"/>
    </row>
    <row r="2061" spans="2:2">
      <c r="B2061" s="17"/>
    </row>
    <row r="2062" spans="2:2">
      <c r="B2062" s="17"/>
    </row>
    <row r="2063" spans="2:2">
      <c r="B2063" s="17"/>
    </row>
    <row r="2064" spans="2:2">
      <c r="B2064" s="17"/>
    </row>
    <row r="2065" spans="2:2">
      <c r="B2065" s="17"/>
    </row>
    <row r="2066" spans="2:2">
      <c r="B2066" s="17"/>
    </row>
    <row r="2067" spans="2:2">
      <c r="B2067" s="17"/>
    </row>
    <row r="2068" spans="2:2">
      <c r="B2068" s="17"/>
    </row>
    <row r="2069" spans="2:2">
      <c r="B2069" s="17"/>
    </row>
    <row r="2070" spans="2:2">
      <c r="B2070" s="17"/>
    </row>
    <row r="2071" spans="2:2">
      <c r="B2071" s="17"/>
    </row>
    <row r="2072" spans="2:2">
      <c r="B2072" s="17"/>
    </row>
    <row r="2073" spans="2:2">
      <c r="B2073" s="17"/>
    </row>
    <row r="2074" spans="2:2">
      <c r="B2074" s="17"/>
    </row>
    <row r="2075" spans="2:2">
      <c r="B2075" s="17"/>
    </row>
    <row r="2076" spans="2:2">
      <c r="B2076" s="17"/>
    </row>
    <row r="2077" spans="2:2">
      <c r="B2077" s="17"/>
    </row>
    <row r="2078" spans="2:2">
      <c r="B2078" s="17"/>
    </row>
    <row r="2079" spans="2:2">
      <c r="B2079" s="17"/>
    </row>
    <row r="2080" spans="2:2">
      <c r="B2080" s="17"/>
    </row>
    <row r="2081" spans="2:2">
      <c r="B2081" s="17"/>
    </row>
    <row r="2082" spans="2:2">
      <c r="B2082" s="17"/>
    </row>
    <row r="2083" spans="2:2">
      <c r="B2083" s="17"/>
    </row>
    <row r="2084" spans="2:2">
      <c r="B2084" s="17"/>
    </row>
    <row r="2085" spans="2:2">
      <c r="B2085" s="17"/>
    </row>
    <row r="2086" spans="2:2">
      <c r="B2086" s="17"/>
    </row>
    <row r="2087" spans="2:2">
      <c r="B2087" s="17"/>
    </row>
    <row r="2088" spans="2:2">
      <c r="B2088" s="17"/>
    </row>
    <row r="2089" spans="2:2">
      <c r="B2089" s="17"/>
    </row>
    <row r="2090" spans="2:2">
      <c r="B2090" s="17"/>
    </row>
    <row r="2091" spans="2:2">
      <c r="B2091" s="17"/>
    </row>
    <row r="2092" spans="2:2">
      <c r="B2092" s="17"/>
    </row>
    <row r="2093" spans="2:2">
      <c r="B2093" s="17"/>
    </row>
    <row r="2094" spans="2:2">
      <c r="B2094" s="17"/>
    </row>
    <row r="2095" spans="2:2">
      <c r="B2095" s="17"/>
    </row>
    <row r="2096" spans="2:2">
      <c r="B2096" s="17"/>
    </row>
    <row r="2097" spans="2:2">
      <c r="B2097" s="17"/>
    </row>
    <row r="2098" spans="2:2">
      <c r="B2098" s="17"/>
    </row>
    <row r="2099" spans="2:2">
      <c r="B2099" s="17"/>
    </row>
    <row r="2100" spans="2:2">
      <c r="B2100" s="17"/>
    </row>
    <row r="2101" spans="2:2">
      <c r="B2101" s="17"/>
    </row>
    <row r="2102" spans="2:2">
      <c r="B2102" s="17"/>
    </row>
    <row r="2103" spans="2:2">
      <c r="B2103" s="17"/>
    </row>
    <row r="2104" spans="2:2">
      <c r="B2104" s="17"/>
    </row>
    <row r="2105" spans="2:2">
      <c r="B2105" s="17"/>
    </row>
    <row r="2106" spans="2:2">
      <c r="B2106" s="17"/>
    </row>
    <row r="2107" spans="2:2">
      <c r="B2107" s="17"/>
    </row>
    <row r="2108" spans="2:2">
      <c r="B2108" s="17"/>
    </row>
    <row r="2109" spans="2:2">
      <c r="B2109" s="17"/>
    </row>
    <row r="2110" spans="2:2">
      <c r="B2110" s="17"/>
    </row>
    <row r="2111" spans="2:2">
      <c r="B2111" s="17"/>
    </row>
    <row r="2112" spans="2:2">
      <c r="B2112" s="17"/>
    </row>
    <row r="2113" spans="2:2">
      <c r="B2113" s="17"/>
    </row>
    <row r="2114" spans="2:2">
      <c r="B2114" s="17"/>
    </row>
    <row r="2115" spans="2:2">
      <c r="B2115" s="17"/>
    </row>
    <row r="2116" spans="2:2">
      <c r="B2116" s="17"/>
    </row>
    <row r="2117" spans="2:2">
      <c r="B2117" s="17"/>
    </row>
    <row r="2118" spans="2:2">
      <c r="B2118" s="17"/>
    </row>
    <row r="2119" spans="2:2">
      <c r="B2119" s="17"/>
    </row>
    <row r="2120" spans="2:2">
      <c r="B2120" s="17"/>
    </row>
    <row r="2121" spans="2:2">
      <c r="B2121" s="17"/>
    </row>
    <row r="2122" spans="2:2">
      <c r="B2122" s="17"/>
    </row>
    <row r="2123" spans="2:2">
      <c r="B2123" s="17"/>
    </row>
    <row r="2124" spans="2:2">
      <c r="B2124" s="17"/>
    </row>
    <row r="2125" spans="2:2">
      <c r="B2125" s="17"/>
    </row>
    <row r="2126" spans="2:2">
      <c r="B2126" s="17"/>
    </row>
    <row r="2127" spans="2:2">
      <c r="B2127" s="17"/>
    </row>
    <row r="2128" spans="2:2">
      <c r="B2128" s="17"/>
    </row>
    <row r="2129" spans="2:2">
      <c r="B2129" s="17"/>
    </row>
    <row r="2130" spans="2:2">
      <c r="B2130" s="17"/>
    </row>
    <row r="2131" spans="2:2">
      <c r="B2131" s="17"/>
    </row>
    <row r="2132" spans="2:2">
      <c r="B2132" s="17"/>
    </row>
    <row r="2133" spans="2:2">
      <c r="B2133" s="17"/>
    </row>
    <row r="2134" spans="2:2">
      <c r="B2134" s="17"/>
    </row>
    <row r="2135" spans="2:2">
      <c r="B2135" s="17"/>
    </row>
    <row r="2136" spans="2:2">
      <c r="B2136" s="17"/>
    </row>
    <row r="2137" spans="2:2">
      <c r="B2137" s="17"/>
    </row>
    <row r="2138" spans="2:2">
      <c r="B2138" s="17"/>
    </row>
    <row r="2139" spans="2:2">
      <c r="B2139" s="17"/>
    </row>
    <row r="2140" spans="2:2">
      <c r="B2140" s="17"/>
    </row>
    <row r="2141" spans="2:2">
      <c r="B2141" s="17"/>
    </row>
    <row r="2142" spans="2:2">
      <c r="B2142" s="17"/>
    </row>
    <row r="2143" spans="2:2">
      <c r="B2143" s="17"/>
    </row>
    <row r="2144" spans="2:2">
      <c r="B2144" s="17"/>
    </row>
    <row r="2145" spans="2:2">
      <c r="B2145" s="17"/>
    </row>
    <row r="2146" spans="2:2">
      <c r="B2146" s="17"/>
    </row>
    <row r="2147" spans="2:2">
      <c r="B2147" s="17"/>
    </row>
    <row r="2148" spans="2:2">
      <c r="B2148" s="17"/>
    </row>
    <row r="2149" spans="2:2">
      <c r="B2149" s="17"/>
    </row>
    <row r="2150" spans="2:2">
      <c r="B2150" s="17"/>
    </row>
    <row r="2151" spans="2:2">
      <c r="B2151" s="17"/>
    </row>
    <row r="2152" spans="2:2">
      <c r="B2152" s="17"/>
    </row>
    <row r="2153" spans="2:2">
      <c r="B2153" s="17"/>
    </row>
    <row r="2154" spans="2:2">
      <c r="B2154" s="17"/>
    </row>
    <row r="2155" spans="2:2">
      <c r="B2155" s="17"/>
    </row>
    <row r="2156" spans="2:2">
      <c r="B2156" s="17"/>
    </row>
    <row r="2157" spans="2:2">
      <c r="B2157" s="17"/>
    </row>
    <row r="2158" spans="2:2">
      <c r="B2158" s="17"/>
    </row>
    <row r="2159" spans="2:2">
      <c r="B2159" s="17"/>
    </row>
    <row r="2160" spans="2:2">
      <c r="B2160" s="17"/>
    </row>
    <row r="2161" spans="2:2">
      <c r="B2161" s="17"/>
    </row>
    <row r="2162" spans="2:2">
      <c r="B2162" s="17"/>
    </row>
    <row r="2163" spans="2:2">
      <c r="B2163" s="17"/>
    </row>
    <row r="2164" spans="2:2">
      <c r="B2164" s="17"/>
    </row>
    <row r="2165" spans="2:2">
      <c r="B2165" s="17"/>
    </row>
    <row r="2166" spans="2:2">
      <c r="B2166" s="17"/>
    </row>
    <row r="2167" spans="2:2">
      <c r="B2167" s="17"/>
    </row>
    <row r="2168" spans="2:2">
      <c r="B2168" s="17"/>
    </row>
    <row r="2169" spans="2:2">
      <c r="B2169" s="17"/>
    </row>
    <row r="2170" spans="2:2">
      <c r="B2170" s="17"/>
    </row>
    <row r="2171" spans="2:2">
      <c r="B2171" s="17"/>
    </row>
    <row r="2172" spans="2:2">
      <c r="B2172" s="17"/>
    </row>
    <row r="2173" spans="2:2">
      <c r="B2173" s="17"/>
    </row>
    <row r="2174" spans="2:2">
      <c r="B2174" s="17"/>
    </row>
    <row r="2175" spans="2:2">
      <c r="B2175" s="17"/>
    </row>
    <row r="2176" spans="2:2">
      <c r="B2176" s="17"/>
    </row>
    <row r="2177" spans="2:2">
      <c r="B2177" s="17"/>
    </row>
    <row r="2178" spans="2:2">
      <c r="B2178" s="17"/>
    </row>
    <row r="2179" spans="2:2">
      <c r="B2179" s="17"/>
    </row>
    <row r="2180" spans="2:2">
      <c r="B2180" s="17"/>
    </row>
    <row r="2181" spans="2:2">
      <c r="B2181" s="17"/>
    </row>
    <row r="2182" spans="2:2">
      <c r="B2182" s="17"/>
    </row>
    <row r="2183" spans="2:2">
      <c r="B2183" s="17"/>
    </row>
    <row r="2184" spans="2:2">
      <c r="B2184" s="17"/>
    </row>
    <row r="2185" spans="2:2">
      <c r="B2185" s="17"/>
    </row>
    <row r="2186" spans="2:2">
      <c r="B2186" s="17"/>
    </row>
    <row r="2187" spans="2:2">
      <c r="B2187" s="17"/>
    </row>
    <row r="2188" spans="2:2">
      <c r="B2188" s="17"/>
    </row>
    <row r="2189" spans="2:2">
      <c r="B2189" s="17"/>
    </row>
    <row r="2190" spans="2:2">
      <c r="B2190" s="17"/>
    </row>
    <row r="2191" spans="2:2">
      <c r="B2191" s="17"/>
    </row>
    <row r="2192" spans="2:2">
      <c r="B2192" s="17"/>
    </row>
    <row r="2193" spans="2:2">
      <c r="B2193" s="17"/>
    </row>
    <row r="2194" spans="2:2">
      <c r="B2194" s="17"/>
    </row>
    <row r="2195" spans="2:2">
      <c r="B2195" s="17"/>
    </row>
    <row r="2196" spans="2:2">
      <c r="B2196" s="17"/>
    </row>
    <row r="2197" spans="2:2">
      <c r="B2197" s="17"/>
    </row>
    <row r="2198" spans="2:2">
      <c r="B2198" s="17"/>
    </row>
    <row r="2199" spans="2:2">
      <c r="B2199" s="17"/>
    </row>
    <row r="2200" spans="2:2">
      <c r="B2200" s="17"/>
    </row>
    <row r="2201" spans="2:2">
      <c r="B2201" s="17"/>
    </row>
    <row r="2202" spans="2:2">
      <c r="B2202" s="17"/>
    </row>
    <row r="2203" spans="2:2">
      <c r="B2203" s="17"/>
    </row>
    <row r="2204" spans="2:2">
      <c r="B2204" s="17"/>
    </row>
    <row r="2205" spans="2:2">
      <c r="B2205" s="17"/>
    </row>
    <row r="2206" spans="2:2">
      <c r="B2206" s="17"/>
    </row>
    <row r="2207" spans="2:2">
      <c r="B2207" s="17"/>
    </row>
    <row r="2208" spans="2:2">
      <c r="B2208" s="17"/>
    </row>
    <row r="2209" spans="2:2">
      <c r="B2209" s="17"/>
    </row>
    <row r="2210" spans="2:2">
      <c r="B2210" s="17"/>
    </row>
    <row r="2211" spans="2:2">
      <c r="B2211" s="17"/>
    </row>
    <row r="2212" spans="2:2">
      <c r="B2212" s="17"/>
    </row>
    <row r="2213" spans="2:2">
      <c r="B2213" s="17"/>
    </row>
    <row r="2214" spans="2:2">
      <c r="B2214" s="17"/>
    </row>
    <row r="2215" spans="2:2">
      <c r="B2215" s="17"/>
    </row>
    <row r="2216" spans="2:2">
      <c r="B2216" s="17"/>
    </row>
    <row r="2217" spans="2:2">
      <c r="B2217" s="17"/>
    </row>
    <row r="2218" spans="2:2">
      <c r="B2218" s="17"/>
    </row>
    <row r="2219" spans="2:2">
      <c r="B2219" s="17"/>
    </row>
    <row r="2220" spans="2:2">
      <c r="B2220" s="17"/>
    </row>
    <row r="2221" spans="2:2">
      <c r="B2221" s="17"/>
    </row>
    <row r="2222" spans="2:2">
      <c r="B2222" s="17"/>
    </row>
    <row r="2223" spans="2:2">
      <c r="B2223" s="17"/>
    </row>
    <row r="2224" spans="2:2">
      <c r="B2224" s="17"/>
    </row>
    <row r="2225" spans="2:2">
      <c r="B2225" s="17"/>
    </row>
    <row r="2226" spans="2:2">
      <c r="B2226" s="17"/>
    </row>
    <row r="2227" spans="2:2">
      <c r="B2227" s="17"/>
    </row>
    <row r="2228" spans="2:2">
      <c r="B2228" s="17"/>
    </row>
    <row r="2229" spans="2:2">
      <c r="B2229" s="17"/>
    </row>
    <row r="2230" spans="2:2">
      <c r="B2230" s="17"/>
    </row>
    <row r="2231" spans="2:2">
      <c r="B2231" s="17"/>
    </row>
    <row r="2232" spans="2:2">
      <c r="B2232" s="17"/>
    </row>
    <row r="2233" spans="2:2">
      <c r="B2233" s="17"/>
    </row>
    <row r="2234" spans="2:2">
      <c r="B2234" s="17"/>
    </row>
    <row r="2235" spans="2:2">
      <c r="B2235" s="17"/>
    </row>
    <row r="2236" spans="2:2">
      <c r="B2236" s="17"/>
    </row>
    <row r="2237" spans="2:2">
      <c r="B2237" s="17"/>
    </row>
    <row r="2238" spans="2:2">
      <c r="B2238" s="17"/>
    </row>
    <row r="2239" spans="2:2">
      <c r="B2239" s="17"/>
    </row>
    <row r="2240" spans="2:2">
      <c r="B2240" s="17"/>
    </row>
    <row r="2241" spans="2:2">
      <c r="B2241" s="17"/>
    </row>
    <row r="2242" spans="2:2">
      <c r="B2242" s="17"/>
    </row>
    <row r="2243" spans="2:2">
      <c r="B2243" s="17"/>
    </row>
    <row r="2244" spans="2:2">
      <c r="B2244" s="17"/>
    </row>
    <row r="2245" spans="2:2">
      <c r="B2245" s="17"/>
    </row>
    <row r="2246" spans="2:2">
      <c r="B2246" s="17"/>
    </row>
    <row r="2247" spans="2:2">
      <c r="B2247" s="17"/>
    </row>
    <row r="2248" spans="2:2">
      <c r="B2248" s="17"/>
    </row>
    <row r="2249" spans="2:2">
      <c r="B2249" s="17"/>
    </row>
    <row r="2250" spans="2:2">
      <c r="B2250" s="17"/>
    </row>
    <row r="2251" spans="2:2">
      <c r="B2251" s="17"/>
    </row>
    <row r="2252" spans="2:2">
      <c r="B2252" s="17"/>
    </row>
    <row r="2253" spans="2:2">
      <c r="B2253" s="17"/>
    </row>
    <row r="2254" spans="2:2">
      <c r="B2254" s="17"/>
    </row>
    <row r="2255" spans="2:2">
      <c r="B2255" s="17"/>
    </row>
    <row r="2256" spans="2:2">
      <c r="B2256" s="17"/>
    </row>
    <row r="2257" spans="2:2">
      <c r="B2257" s="17"/>
    </row>
    <row r="2258" spans="2:2">
      <c r="B2258" s="17"/>
    </row>
    <row r="2259" spans="2:2">
      <c r="B2259" s="17"/>
    </row>
    <row r="2260" spans="2:2">
      <c r="B2260" s="17"/>
    </row>
    <row r="2261" spans="2:2">
      <c r="B2261" s="17"/>
    </row>
    <row r="2262" spans="2:2">
      <c r="B2262" s="17"/>
    </row>
    <row r="2263" spans="2:2">
      <c r="B2263" s="17"/>
    </row>
    <row r="2264" spans="2:2">
      <c r="B2264" s="17"/>
    </row>
    <row r="2265" spans="2:2">
      <c r="B2265" s="17"/>
    </row>
    <row r="2266" spans="2:2">
      <c r="B2266" s="17"/>
    </row>
    <row r="2267" spans="2:2">
      <c r="B2267" s="17"/>
    </row>
    <row r="2268" spans="2:2">
      <c r="B2268" s="17"/>
    </row>
    <row r="2269" spans="2:2">
      <c r="B2269" s="17"/>
    </row>
    <row r="2270" spans="2:2">
      <c r="B2270" s="17"/>
    </row>
    <row r="2271" spans="2:2">
      <c r="B2271" s="17"/>
    </row>
    <row r="2272" spans="2:2">
      <c r="B2272" s="17"/>
    </row>
    <row r="2273" spans="2:2">
      <c r="B2273" s="17"/>
    </row>
    <row r="2274" spans="2:2">
      <c r="B2274" s="17"/>
    </row>
    <row r="2275" spans="2:2">
      <c r="B2275" s="17"/>
    </row>
    <row r="2276" spans="2:2">
      <c r="B2276" s="17"/>
    </row>
    <row r="2277" spans="2:2">
      <c r="B2277" s="17"/>
    </row>
    <row r="2278" spans="2:2">
      <c r="B2278" s="17"/>
    </row>
    <row r="2279" spans="2:2">
      <c r="B2279" s="17"/>
    </row>
    <row r="2280" spans="2:2">
      <c r="B2280" s="17"/>
    </row>
    <row r="2281" spans="2:2">
      <c r="B2281" s="17"/>
    </row>
    <row r="2282" spans="2:2">
      <c r="B2282" s="17"/>
    </row>
    <row r="2283" spans="2:2">
      <c r="B2283" s="17"/>
    </row>
    <row r="2284" spans="2:2">
      <c r="B2284" s="17"/>
    </row>
    <row r="2285" spans="2:2">
      <c r="B2285" s="17"/>
    </row>
    <row r="2286" spans="2:2">
      <c r="B2286" s="17"/>
    </row>
    <row r="2287" spans="2:2">
      <c r="B2287" s="17"/>
    </row>
    <row r="2288" spans="2:2">
      <c r="B2288" s="17"/>
    </row>
    <row r="2289" spans="2:2">
      <c r="B2289" s="17"/>
    </row>
    <row r="2290" spans="2:2">
      <c r="B2290" s="17"/>
    </row>
    <row r="2291" spans="2:2">
      <c r="B2291" s="17"/>
    </row>
    <row r="2292" spans="2:2">
      <c r="B2292" s="17"/>
    </row>
    <row r="2293" spans="2:2">
      <c r="B2293" s="17"/>
    </row>
    <row r="2294" spans="2:2">
      <c r="B2294" s="17"/>
    </row>
    <row r="2295" spans="2:2">
      <c r="B2295" s="17"/>
    </row>
    <row r="2296" spans="2:2">
      <c r="B2296" s="17"/>
    </row>
    <row r="2297" spans="2:2">
      <c r="B2297" s="17"/>
    </row>
    <row r="2298" spans="2:2">
      <c r="B2298" s="17"/>
    </row>
    <row r="2299" spans="2:2">
      <c r="B2299" s="17"/>
    </row>
    <row r="2300" spans="2:2">
      <c r="B2300" s="17"/>
    </row>
    <row r="2301" spans="2:2">
      <c r="B2301" s="17"/>
    </row>
    <row r="2302" spans="2:2">
      <c r="B2302" s="17"/>
    </row>
    <row r="2303" spans="2:2">
      <c r="B2303" s="17"/>
    </row>
    <row r="2304" spans="2:2">
      <c r="B2304" s="17"/>
    </row>
    <row r="2305" spans="2:2">
      <c r="B2305" s="17"/>
    </row>
    <row r="2306" spans="2:2">
      <c r="B2306" s="17"/>
    </row>
    <row r="2307" spans="2:2">
      <c r="B2307" s="17"/>
    </row>
    <row r="2308" spans="2:2">
      <c r="B2308" s="17"/>
    </row>
    <row r="2309" spans="2:2">
      <c r="B2309" s="17"/>
    </row>
    <row r="2310" spans="2:2">
      <c r="B2310" s="17"/>
    </row>
    <row r="2311" spans="2:2">
      <c r="B2311" s="17"/>
    </row>
    <row r="2312" spans="2:2">
      <c r="B2312" s="17"/>
    </row>
    <row r="2313" spans="2:2">
      <c r="B2313" s="17"/>
    </row>
    <row r="2314" spans="2:2">
      <c r="B2314" s="17"/>
    </row>
    <row r="2315" spans="2:2">
      <c r="B2315" s="17"/>
    </row>
    <row r="2316" spans="2:2">
      <c r="B2316" s="17"/>
    </row>
    <row r="2317" spans="2:2">
      <c r="B2317" s="17"/>
    </row>
    <row r="2318" spans="2:2">
      <c r="B2318" s="17"/>
    </row>
    <row r="2319" spans="2:2">
      <c r="B2319" s="17"/>
    </row>
    <row r="2320" spans="2:2">
      <c r="B2320" s="17"/>
    </row>
    <row r="2321" spans="2:2">
      <c r="B2321" s="17"/>
    </row>
    <row r="2322" spans="2:2">
      <c r="B2322" s="17"/>
    </row>
    <row r="2323" spans="2:2">
      <c r="B2323" s="17"/>
    </row>
    <row r="2324" spans="2:2">
      <c r="B2324" s="17"/>
    </row>
    <row r="2325" spans="2:2">
      <c r="B2325" s="17"/>
    </row>
    <row r="2326" spans="2:2">
      <c r="B2326" s="17"/>
    </row>
    <row r="2327" spans="2:2">
      <c r="B2327" s="17"/>
    </row>
    <row r="2328" spans="2:2">
      <c r="B2328" s="17"/>
    </row>
    <row r="2329" spans="2:2">
      <c r="B2329" s="17"/>
    </row>
    <row r="2330" spans="2:2">
      <c r="B2330" s="17"/>
    </row>
    <row r="2331" spans="2:2">
      <c r="B2331" s="17"/>
    </row>
    <row r="2332" spans="2:2">
      <c r="B2332" s="17"/>
    </row>
    <row r="2333" spans="2:2">
      <c r="B2333" s="17"/>
    </row>
    <row r="2334" spans="2:2">
      <c r="B2334" s="17"/>
    </row>
    <row r="2335" spans="2:2">
      <c r="B2335" s="17"/>
    </row>
    <row r="2336" spans="2:2">
      <c r="B2336" s="17"/>
    </row>
    <row r="2337" spans="2:2">
      <c r="B2337" s="17"/>
    </row>
    <row r="2338" spans="2:2">
      <c r="B2338" s="17"/>
    </row>
    <row r="2339" spans="2:2">
      <c r="B2339" s="17"/>
    </row>
    <row r="2340" spans="2:2">
      <c r="B2340" s="17"/>
    </row>
    <row r="2341" spans="2:2">
      <c r="B2341" s="17"/>
    </row>
    <row r="2342" spans="2:2">
      <c r="B2342" s="17"/>
    </row>
    <row r="2343" spans="2:2">
      <c r="B2343" s="17"/>
    </row>
    <row r="2344" spans="2:2">
      <c r="B2344" s="17"/>
    </row>
    <row r="2345" spans="2:2">
      <c r="B2345" s="17"/>
    </row>
    <row r="2346" spans="2:2">
      <c r="B2346" s="17"/>
    </row>
    <row r="2347" spans="2:2">
      <c r="B2347" s="17"/>
    </row>
    <row r="2348" spans="2:2">
      <c r="B2348" s="17"/>
    </row>
    <row r="2349" spans="2:2">
      <c r="B2349" s="17"/>
    </row>
    <row r="2350" spans="2:2">
      <c r="B2350" s="17"/>
    </row>
    <row r="2351" spans="2:2">
      <c r="B2351" s="17"/>
    </row>
    <row r="2352" spans="2:2">
      <c r="B2352" s="17"/>
    </row>
    <row r="2353" spans="2:2">
      <c r="B2353" s="17"/>
    </row>
    <row r="2354" spans="2:2">
      <c r="B2354" s="17"/>
    </row>
    <row r="2355" spans="2:2">
      <c r="B2355" s="17"/>
    </row>
    <row r="2356" spans="2:2">
      <c r="B2356" s="17"/>
    </row>
    <row r="2357" spans="2:2">
      <c r="B2357" s="17"/>
    </row>
    <row r="2358" spans="2:2">
      <c r="B2358" s="17"/>
    </row>
    <row r="2359" spans="2:2">
      <c r="B2359" s="17"/>
    </row>
    <row r="2360" spans="2:2">
      <c r="B2360" s="17"/>
    </row>
    <row r="2361" spans="2:2">
      <c r="B2361" s="17"/>
    </row>
    <row r="2362" spans="2:2">
      <c r="B2362" s="17"/>
    </row>
    <row r="2363" spans="2:2">
      <c r="B2363" s="17"/>
    </row>
    <row r="2364" spans="2:2">
      <c r="B2364" s="17"/>
    </row>
    <row r="2365" spans="2:2">
      <c r="B2365" s="17"/>
    </row>
    <row r="2366" spans="2:2">
      <c r="B2366" s="17"/>
    </row>
    <row r="2367" spans="2:2">
      <c r="B2367" s="17"/>
    </row>
    <row r="2368" spans="2:2">
      <c r="B2368" s="17"/>
    </row>
    <row r="2369" spans="2:2">
      <c r="B2369" s="17"/>
    </row>
    <row r="2370" spans="2:2">
      <c r="B2370" s="17"/>
    </row>
    <row r="2371" spans="2:2">
      <c r="B2371" s="17"/>
    </row>
    <row r="2372" spans="2:2">
      <c r="B2372" s="17"/>
    </row>
    <row r="2373" spans="2:2">
      <c r="B2373" s="17"/>
    </row>
    <row r="2374" spans="2:2">
      <c r="B2374" s="17"/>
    </row>
    <row r="2375" spans="2:2">
      <c r="B2375" s="17"/>
    </row>
    <row r="2376" spans="2:2">
      <c r="B2376" s="17"/>
    </row>
    <row r="2377" spans="2:2">
      <c r="B2377" s="17"/>
    </row>
    <row r="2378" spans="2:2">
      <c r="B2378" s="17"/>
    </row>
    <row r="2379" spans="2:2">
      <c r="B2379" s="17"/>
    </row>
    <row r="2380" spans="2:2">
      <c r="B2380" s="17"/>
    </row>
    <row r="2381" spans="2:2">
      <c r="B2381" s="17"/>
    </row>
    <row r="2382" spans="2:2">
      <c r="B2382" s="17"/>
    </row>
    <row r="2383" spans="2:2">
      <c r="B2383" s="17"/>
    </row>
    <row r="2384" spans="2:2">
      <c r="B2384" s="17"/>
    </row>
    <row r="2385" spans="2:2">
      <c r="B2385" s="17"/>
    </row>
    <row r="2386" spans="2:2">
      <c r="B2386" s="17"/>
    </row>
    <row r="2387" spans="2:2">
      <c r="B2387" s="17"/>
    </row>
    <row r="2388" spans="2:2">
      <c r="B2388" s="17"/>
    </row>
    <row r="2389" spans="2:2">
      <c r="B2389" s="17"/>
    </row>
    <row r="2390" spans="2:2">
      <c r="B2390" s="17"/>
    </row>
    <row r="2391" spans="2:2">
      <c r="B2391" s="17"/>
    </row>
    <row r="2392" spans="2:2">
      <c r="B2392" s="17"/>
    </row>
    <row r="2393" spans="2:2">
      <c r="B2393" s="17"/>
    </row>
    <row r="2394" spans="2:2">
      <c r="B2394" s="17"/>
    </row>
    <row r="2395" spans="2:2">
      <c r="B2395" s="17"/>
    </row>
    <row r="2396" spans="2:2">
      <c r="B2396" s="17"/>
    </row>
    <row r="2397" spans="2:2">
      <c r="B2397" s="17"/>
    </row>
    <row r="2398" spans="2:2">
      <c r="B2398" s="17"/>
    </row>
    <row r="2399" spans="2:2">
      <c r="B2399" s="17"/>
    </row>
    <row r="2400" spans="2:2">
      <c r="B2400" s="17"/>
    </row>
    <row r="2401" spans="2:2">
      <c r="B2401" s="17"/>
    </row>
    <row r="2402" spans="2:2">
      <c r="B2402" s="17"/>
    </row>
    <row r="2403" spans="2:2">
      <c r="B2403" s="17"/>
    </row>
    <row r="2404" spans="2:2">
      <c r="B2404" s="17"/>
    </row>
    <row r="2405" spans="2:2">
      <c r="B2405" s="17"/>
    </row>
    <row r="2406" spans="2:2">
      <c r="B2406" s="17"/>
    </row>
    <row r="2407" spans="2:2">
      <c r="B2407" s="17"/>
    </row>
    <row r="2408" spans="2:2">
      <c r="B2408" s="17"/>
    </row>
    <row r="2409" spans="2:2">
      <c r="B2409" s="17"/>
    </row>
    <row r="2410" spans="2:2">
      <c r="B2410" s="17"/>
    </row>
    <row r="2411" spans="2:2">
      <c r="B2411" s="17"/>
    </row>
    <row r="2412" spans="2:2">
      <c r="B2412" s="17"/>
    </row>
    <row r="2413" spans="2:2">
      <c r="B2413" s="17"/>
    </row>
    <row r="2414" spans="2:2">
      <c r="B2414" s="17"/>
    </row>
    <row r="2415" spans="2:2">
      <c r="B2415" s="17"/>
    </row>
    <row r="2416" spans="2:2">
      <c r="B2416" s="17"/>
    </row>
    <row r="2417" spans="2:2">
      <c r="B2417" s="17"/>
    </row>
    <row r="2418" spans="2:2">
      <c r="B2418" s="17"/>
    </row>
    <row r="2419" spans="2:2">
      <c r="B2419" s="17"/>
    </row>
    <row r="2420" spans="2:2">
      <c r="B2420" s="17"/>
    </row>
    <row r="2421" spans="2:2">
      <c r="B2421" s="17"/>
    </row>
    <row r="2422" spans="2:2">
      <c r="B2422" s="17"/>
    </row>
    <row r="2423" spans="2:2">
      <c r="B2423" s="17"/>
    </row>
    <row r="2424" spans="2:2">
      <c r="B2424" s="17"/>
    </row>
    <row r="2425" spans="2:2">
      <c r="B2425" s="17"/>
    </row>
    <row r="2426" spans="2:2">
      <c r="B2426" s="17"/>
    </row>
    <row r="2427" spans="2:2">
      <c r="B2427" s="17"/>
    </row>
    <row r="2428" spans="2:2">
      <c r="B2428" s="17"/>
    </row>
    <row r="2429" spans="2:2">
      <c r="B2429" s="17"/>
    </row>
    <row r="2430" spans="2:2">
      <c r="B2430" s="17"/>
    </row>
    <row r="2431" spans="2:2">
      <c r="B2431" s="17"/>
    </row>
    <row r="2432" spans="2:2">
      <c r="B2432" s="17"/>
    </row>
    <row r="2433" spans="2:2">
      <c r="B2433" s="17"/>
    </row>
    <row r="2434" spans="2:2">
      <c r="B2434" s="17"/>
    </row>
    <row r="2435" spans="2:2">
      <c r="B2435" s="17"/>
    </row>
    <row r="2436" spans="2:2">
      <c r="B2436" s="17"/>
    </row>
    <row r="2437" spans="2:2">
      <c r="B2437" s="17"/>
    </row>
    <row r="2438" spans="2:2">
      <c r="B2438" s="17"/>
    </row>
    <row r="2439" spans="2:2">
      <c r="B2439" s="17"/>
    </row>
    <row r="2440" spans="2:2">
      <c r="B2440" s="17"/>
    </row>
    <row r="2441" spans="2:2">
      <c r="B2441" s="17"/>
    </row>
    <row r="2442" spans="2:2">
      <c r="B2442" s="17"/>
    </row>
    <row r="2443" spans="2:2">
      <c r="B2443" s="17"/>
    </row>
    <row r="2444" spans="2:2">
      <c r="B2444" s="17"/>
    </row>
    <row r="2445" spans="2:2">
      <c r="B2445" s="17"/>
    </row>
    <row r="2446" spans="2:2">
      <c r="B2446" s="17"/>
    </row>
    <row r="2447" spans="2:2">
      <c r="B2447" s="17"/>
    </row>
    <row r="2448" spans="2:2">
      <c r="B2448" s="17"/>
    </row>
    <row r="2449" spans="2:2">
      <c r="B2449" s="17"/>
    </row>
    <row r="2450" spans="2:2">
      <c r="B2450" s="17"/>
    </row>
    <row r="2451" spans="2:2">
      <c r="B2451" s="17"/>
    </row>
    <row r="2452" spans="2:2">
      <c r="B2452" s="17"/>
    </row>
    <row r="2453" spans="2:2">
      <c r="B2453" s="17"/>
    </row>
    <row r="2454" spans="2:2">
      <c r="B2454" s="17"/>
    </row>
    <row r="2455" spans="2:2">
      <c r="B2455" s="17"/>
    </row>
    <row r="2456" spans="2:2">
      <c r="B2456" s="17"/>
    </row>
    <row r="2457" spans="2:2">
      <c r="B2457" s="17"/>
    </row>
    <row r="2458" spans="2:2">
      <c r="B2458" s="17"/>
    </row>
    <row r="2459" spans="2:2">
      <c r="B2459" s="17"/>
    </row>
    <row r="2460" spans="2:2">
      <c r="B2460" s="17"/>
    </row>
    <row r="2461" spans="2:2">
      <c r="B2461" s="17"/>
    </row>
    <row r="2462" spans="2:2">
      <c r="B2462" s="17"/>
    </row>
    <row r="2463" spans="2:2">
      <c r="B2463" s="17"/>
    </row>
    <row r="2464" spans="2:2">
      <c r="B2464" s="17"/>
    </row>
    <row r="2465" spans="2:2">
      <c r="B2465" s="17"/>
    </row>
    <row r="2466" spans="2:2">
      <c r="B2466" s="17"/>
    </row>
    <row r="2467" spans="2:2">
      <c r="B2467" s="17"/>
    </row>
    <row r="2468" spans="2:2">
      <c r="B2468" s="17"/>
    </row>
    <row r="2469" spans="2:2">
      <c r="B2469" s="17"/>
    </row>
    <row r="2470" spans="2:2">
      <c r="B2470" s="17"/>
    </row>
    <row r="2471" spans="2:2">
      <c r="B2471" s="17"/>
    </row>
    <row r="2472" spans="2:2">
      <c r="B2472" s="17"/>
    </row>
    <row r="2473" spans="2:2">
      <c r="B2473" s="17"/>
    </row>
    <row r="2474" spans="2:2">
      <c r="B2474" s="17"/>
    </row>
    <row r="2475" spans="2:2">
      <c r="B2475" s="17"/>
    </row>
    <row r="2476" spans="2:2">
      <c r="B2476" s="17"/>
    </row>
    <row r="2477" spans="2:2">
      <c r="B2477" s="17"/>
    </row>
    <row r="2478" spans="2:2">
      <c r="B2478" s="17"/>
    </row>
    <row r="2479" spans="2:2">
      <c r="B2479" s="17"/>
    </row>
    <row r="2480" spans="2:2">
      <c r="B2480" s="17"/>
    </row>
    <row r="2481" spans="2:2">
      <c r="B2481" s="17"/>
    </row>
    <row r="2482" spans="2:2">
      <c r="B2482" s="17"/>
    </row>
    <row r="2483" spans="2:2">
      <c r="B2483" s="17"/>
    </row>
    <row r="2484" spans="2:2">
      <c r="B2484" s="17"/>
    </row>
    <row r="2485" spans="2:2">
      <c r="B2485" s="17"/>
    </row>
    <row r="2486" spans="2:2">
      <c r="B2486" s="17"/>
    </row>
    <row r="2487" spans="2:2">
      <c r="B2487" s="17"/>
    </row>
    <row r="2488" spans="2:2">
      <c r="B2488" s="17"/>
    </row>
    <row r="2489" spans="2:2">
      <c r="B2489" s="17"/>
    </row>
    <row r="2490" spans="2:2">
      <c r="B2490" s="17"/>
    </row>
    <row r="2491" spans="2:2">
      <c r="B2491" s="17"/>
    </row>
    <row r="2492" spans="2:2">
      <c r="B2492" s="17"/>
    </row>
    <row r="2493" spans="2:2">
      <c r="B2493" s="17"/>
    </row>
    <row r="2494" spans="2:2">
      <c r="B2494" s="17"/>
    </row>
    <row r="2495" spans="2:2">
      <c r="B2495" s="17"/>
    </row>
    <row r="2496" spans="2:2">
      <c r="B2496" s="17"/>
    </row>
    <row r="2497" spans="2:2">
      <c r="B2497" s="17"/>
    </row>
    <row r="2498" spans="2:2">
      <c r="B2498" s="17"/>
    </row>
    <row r="2499" spans="2:2">
      <c r="B2499" s="17"/>
    </row>
    <row r="2500" spans="2:2">
      <c r="B2500" s="17"/>
    </row>
    <row r="2501" spans="2:2">
      <c r="B2501" s="17"/>
    </row>
    <row r="2502" spans="2:2">
      <c r="B2502" s="17"/>
    </row>
    <row r="2503" spans="2:2">
      <c r="B2503" s="17"/>
    </row>
    <row r="2504" spans="2:2">
      <c r="B2504" s="17"/>
    </row>
    <row r="2505" spans="2:2">
      <c r="B2505" s="17"/>
    </row>
    <row r="2506" spans="2:2">
      <c r="B2506" s="17"/>
    </row>
    <row r="2507" spans="2:2">
      <c r="B2507" s="17"/>
    </row>
    <row r="2508" spans="2:2">
      <c r="B2508" s="17"/>
    </row>
    <row r="2509" spans="2:2">
      <c r="B2509" s="17"/>
    </row>
    <row r="2510" spans="2:2">
      <c r="B2510" s="17"/>
    </row>
    <row r="2511" spans="2:2">
      <c r="B2511" s="17"/>
    </row>
    <row r="2512" spans="2:2">
      <c r="B2512" s="17"/>
    </row>
    <row r="2513" spans="2:2">
      <c r="B2513" s="17"/>
    </row>
    <row r="2514" spans="2:2">
      <c r="B2514" s="17"/>
    </row>
    <row r="2515" spans="2:2">
      <c r="B2515" s="17"/>
    </row>
    <row r="2516" spans="2:2">
      <c r="B2516" s="17"/>
    </row>
    <row r="2517" spans="2:2">
      <c r="B2517" s="17"/>
    </row>
    <row r="2518" spans="2:2">
      <c r="B2518" s="17"/>
    </row>
    <row r="2519" spans="2:2">
      <c r="B2519" s="17"/>
    </row>
    <row r="2520" spans="2:2">
      <c r="B2520" s="17"/>
    </row>
    <row r="2521" spans="2:2">
      <c r="B2521" s="17"/>
    </row>
    <row r="2522" spans="2:2">
      <c r="B2522" s="17"/>
    </row>
    <row r="2523" spans="2:2">
      <c r="B2523" s="17"/>
    </row>
    <row r="2524" spans="2:2">
      <c r="B2524" s="17"/>
    </row>
    <row r="2525" spans="2:2">
      <c r="B2525" s="17"/>
    </row>
    <row r="2526" spans="2:2">
      <c r="B2526" s="17"/>
    </row>
    <row r="2527" spans="2:2">
      <c r="B2527" s="17"/>
    </row>
    <row r="2528" spans="2:2">
      <c r="B2528" s="17"/>
    </row>
    <row r="2529" spans="2:2">
      <c r="B2529" s="17"/>
    </row>
    <row r="2530" spans="2:2">
      <c r="B2530" s="17"/>
    </row>
    <row r="2531" spans="2:2">
      <c r="B2531" s="17"/>
    </row>
    <row r="2532" spans="2:2">
      <c r="B2532" s="17"/>
    </row>
    <row r="2533" spans="2:2">
      <c r="B2533" s="17"/>
    </row>
    <row r="2534" spans="2:2">
      <c r="B2534" s="17"/>
    </row>
    <row r="2535" spans="2:2">
      <c r="B2535" s="17"/>
    </row>
    <row r="2536" spans="2:2">
      <c r="B2536" s="17"/>
    </row>
    <row r="2537" spans="2:2">
      <c r="B2537" s="17"/>
    </row>
    <row r="2538" spans="2:2">
      <c r="B2538" s="17"/>
    </row>
    <row r="2539" spans="2:2">
      <c r="B2539" s="17"/>
    </row>
    <row r="2540" spans="2:2">
      <c r="B2540" s="17"/>
    </row>
    <row r="2541" spans="2:2">
      <c r="B2541" s="17"/>
    </row>
    <row r="2542" spans="2:2">
      <c r="B2542" s="17"/>
    </row>
    <row r="2543" spans="2:2">
      <c r="B2543" s="17"/>
    </row>
    <row r="2544" spans="2:2">
      <c r="B2544" s="17"/>
    </row>
    <row r="2545" spans="2:2">
      <c r="B2545" s="17"/>
    </row>
    <row r="2546" spans="2:2">
      <c r="B2546" s="17"/>
    </row>
    <row r="2547" spans="2:2">
      <c r="B2547" s="17"/>
    </row>
    <row r="2548" spans="2:2">
      <c r="B2548" s="17"/>
    </row>
    <row r="2549" spans="2:2">
      <c r="B2549" s="17"/>
    </row>
    <row r="2550" spans="2:2">
      <c r="B2550" s="17"/>
    </row>
    <row r="2551" spans="2:2">
      <c r="B2551" s="17"/>
    </row>
    <row r="2552" spans="2:2">
      <c r="B2552" s="17"/>
    </row>
    <row r="2553" spans="2:2">
      <c r="B2553" s="17"/>
    </row>
    <row r="2554" spans="2:2">
      <c r="B2554" s="17"/>
    </row>
    <row r="2555" spans="2:2">
      <c r="B2555" s="17"/>
    </row>
    <row r="2556" spans="2:2">
      <c r="B2556" s="17"/>
    </row>
    <row r="2557" spans="2:2">
      <c r="B2557" s="17"/>
    </row>
    <row r="2558" spans="2:2">
      <c r="B2558" s="17"/>
    </row>
    <row r="2559" spans="2:2">
      <c r="B2559" s="17"/>
    </row>
    <row r="2560" spans="2:2">
      <c r="B2560" s="17"/>
    </row>
    <row r="2561" spans="2:2">
      <c r="B2561" s="17"/>
    </row>
    <row r="2562" spans="2:2">
      <c r="B2562" s="17"/>
    </row>
    <row r="2563" spans="2:2">
      <c r="B2563" s="17"/>
    </row>
    <row r="2564" spans="2:2">
      <c r="B2564" s="17"/>
    </row>
    <row r="2565" spans="2:2">
      <c r="B2565" s="17"/>
    </row>
    <row r="2566" spans="2:2">
      <c r="B2566" s="17"/>
    </row>
    <row r="2567" spans="2:2">
      <c r="B2567" s="17"/>
    </row>
    <row r="2568" spans="2:2">
      <c r="B2568" s="17"/>
    </row>
    <row r="2569" spans="2:2">
      <c r="B2569" s="17"/>
    </row>
    <row r="2570" spans="2:2">
      <c r="B2570" s="17"/>
    </row>
    <row r="2571" spans="2:2">
      <c r="B2571" s="17"/>
    </row>
    <row r="2572" spans="2:2">
      <c r="B2572" s="17"/>
    </row>
    <row r="2573" spans="2:2">
      <c r="B2573" s="17"/>
    </row>
    <row r="2574" spans="2:2">
      <c r="B2574" s="17"/>
    </row>
    <row r="2575" spans="2:2">
      <c r="B2575" s="17"/>
    </row>
    <row r="2576" spans="2:2">
      <c r="B2576" s="17"/>
    </row>
    <row r="2577" spans="2:2">
      <c r="B2577" s="17"/>
    </row>
    <row r="2578" spans="2:2">
      <c r="B2578" s="17"/>
    </row>
    <row r="2579" spans="2:2">
      <c r="B2579" s="17"/>
    </row>
    <row r="2580" spans="2:2">
      <c r="B2580" s="17"/>
    </row>
    <row r="2581" spans="2:2">
      <c r="B2581" s="17"/>
    </row>
    <row r="2582" spans="2:2">
      <c r="B2582" s="17"/>
    </row>
    <row r="2583" spans="2:2">
      <c r="B2583" s="17"/>
    </row>
    <row r="2584" spans="2:2">
      <c r="B2584" s="17"/>
    </row>
    <row r="2585" spans="2:2">
      <c r="B2585" s="17"/>
    </row>
    <row r="2586" spans="2:2">
      <c r="B2586" s="17"/>
    </row>
    <row r="2587" spans="2:2">
      <c r="B2587" s="17"/>
    </row>
    <row r="2588" spans="2:2">
      <c r="B2588" s="17"/>
    </row>
    <row r="2589" spans="2:2">
      <c r="B2589" s="17"/>
    </row>
    <row r="2590" spans="2:2">
      <c r="B2590" s="17"/>
    </row>
    <row r="2591" spans="2:2">
      <c r="B2591" s="17"/>
    </row>
    <row r="2592" spans="2:2">
      <c r="B2592" s="17"/>
    </row>
    <row r="2593" spans="2:2">
      <c r="B2593" s="17"/>
    </row>
    <row r="2594" spans="2:2">
      <c r="B2594" s="17"/>
    </row>
    <row r="2595" spans="2:2">
      <c r="B2595" s="17"/>
    </row>
    <row r="2596" spans="2:2">
      <c r="B2596" s="17"/>
    </row>
    <row r="2597" spans="2:2">
      <c r="B2597" s="17"/>
    </row>
    <row r="2598" spans="2:2">
      <c r="B2598" s="17"/>
    </row>
    <row r="2599" spans="2:2">
      <c r="B2599" s="17"/>
    </row>
    <row r="2600" spans="2:2">
      <c r="B2600" s="17"/>
    </row>
    <row r="2601" spans="2:2">
      <c r="B2601" s="17"/>
    </row>
    <row r="2602" spans="2:2">
      <c r="B2602" s="17"/>
    </row>
    <row r="2603" spans="2:2">
      <c r="B2603" s="17"/>
    </row>
    <row r="2604" spans="2:2">
      <c r="B2604" s="17"/>
    </row>
    <row r="2605" spans="2:2">
      <c r="B2605" s="17"/>
    </row>
    <row r="2606" spans="2:2">
      <c r="B2606" s="17"/>
    </row>
    <row r="2607" spans="2:2">
      <c r="B2607" s="17"/>
    </row>
    <row r="2608" spans="2:2">
      <c r="B2608" s="17"/>
    </row>
    <row r="2609" spans="2:2">
      <c r="B2609" s="17"/>
    </row>
    <row r="2610" spans="2:2">
      <c r="B2610" s="17"/>
    </row>
    <row r="2611" spans="2:2">
      <c r="B2611" s="17"/>
    </row>
    <row r="2612" spans="2:2">
      <c r="B2612" s="17"/>
    </row>
    <row r="2613" spans="2:2">
      <c r="B2613" s="17"/>
    </row>
    <row r="2614" spans="2:2">
      <c r="B2614" s="17"/>
    </row>
    <row r="2615" spans="2:2">
      <c r="B2615" s="17"/>
    </row>
    <row r="2616" spans="2:2">
      <c r="B2616" s="17"/>
    </row>
    <row r="2617" spans="2:2">
      <c r="B2617" s="17"/>
    </row>
    <row r="2618" spans="2:2">
      <c r="B2618" s="17"/>
    </row>
    <row r="2619" spans="2:2">
      <c r="B2619" s="17"/>
    </row>
    <row r="2620" spans="2:2">
      <c r="B2620" s="17"/>
    </row>
    <row r="2621" spans="2:2">
      <c r="B2621" s="17"/>
    </row>
    <row r="2622" spans="2:2">
      <c r="B2622" s="17"/>
    </row>
    <row r="2623" spans="2:2">
      <c r="B2623" s="17"/>
    </row>
    <row r="2624" spans="2:2">
      <c r="B2624" s="17"/>
    </row>
    <row r="2625" spans="2:2">
      <c r="B2625" s="17"/>
    </row>
    <row r="2626" spans="2:2">
      <c r="B2626" s="17"/>
    </row>
    <row r="2627" spans="2:2">
      <c r="B2627" s="17"/>
    </row>
    <row r="2628" spans="2:2">
      <c r="B2628" s="17"/>
    </row>
    <row r="2629" spans="2:2">
      <c r="B2629" s="17"/>
    </row>
    <row r="2630" spans="2:2">
      <c r="B2630" s="17"/>
    </row>
    <row r="2631" spans="2:2">
      <c r="B2631" s="17"/>
    </row>
    <row r="2632" spans="2:2">
      <c r="B2632" s="17"/>
    </row>
    <row r="2633" spans="2:2">
      <c r="B2633" s="17"/>
    </row>
    <row r="2634" spans="2:2">
      <c r="B2634" s="17"/>
    </row>
    <row r="2635" spans="2:2">
      <c r="B2635" s="17"/>
    </row>
    <row r="2636" spans="2:2">
      <c r="B2636" s="17"/>
    </row>
    <row r="2637" spans="2:2">
      <c r="B2637" s="17"/>
    </row>
    <row r="2638" spans="2:2">
      <c r="B2638" s="17"/>
    </row>
    <row r="2639" spans="2:2">
      <c r="B2639" s="17"/>
    </row>
    <row r="2640" spans="2:2">
      <c r="B2640" s="17"/>
    </row>
    <row r="2641" spans="2:2">
      <c r="B2641" s="17"/>
    </row>
    <row r="2642" spans="2:2">
      <c r="B2642" s="17"/>
    </row>
    <row r="2643" spans="2:2">
      <c r="B2643" s="17"/>
    </row>
    <row r="2644" spans="2:2">
      <c r="B2644" s="17"/>
    </row>
    <row r="2645" spans="2:2">
      <c r="B2645" s="17"/>
    </row>
    <row r="2646" spans="2:2">
      <c r="B2646" s="17"/>
    </row>
    <row r="2647" spans="2:2">
      <c r="B2647" s="17"/>
    </row>
    <row r="2648" spans="2:2">
      <c r="B2648" s="17"/>
    </row>
    <row r="2649" spans="2:2">
      <c r="B2649" s="17"/>
    </row>
    <row r="2650" spans="2:2">
      <c r="B2650" s="17"/>
    </row>
    <row r="2651" spans="2:2">
      <c r="B2651" s="17"/>
    </row>
    <row r="2652" spans="2:2">
      <c r="B2652" s="17"/>
    </row>
    <row r="2653" spans="2:2">
      <c r="B2653" s="17"/>
    </row>
    <row r="2654" spans="2:2">
      <c r="B2654" s="17"/>
    </row>
    <row r="2655" spans="2:2">
      <c r="B2655" s="17"/>
    </row>
    <row r="2656" spans="2:2">
      <c r="B2656" s="17"/>
    </row>
    <row r="2657" spans="2:2">
      <c r="B2657" s="17"/>
    </row>
    <row r="2658" spans="2:2">
      <c r="B2658" s="17"/>
    </row>
    <row r="2659" spans="2:2">
      <c r="B2659" s="17"/>
    </row>
    <row r="2660" spans="2:2">
      <c r="B2660" s="17"/>
    </row>
    <row r="2661" spans="2:2">
      <c r="B2661" s="17"/>
    </row>
    <row r="2662" spans="2:2">
      <c r="B2662" s="17"/>
    </row>
    <row r="2663" spans="2:2">
      <c r="B2663" s="17"/>
    </row>
    <row r="2664" spans="2:2">
      <c r="B2664" s="17"/>
    </row>
    <row r="2665" spans="2:2">
      <c r="B2665" s="17"/>
    </row>
    <row r="2666" spans="2:2">
      <c r="B2666" s="17"/>
    </row>
    <row r="2667" spans="2:2">
      <c r="B2667" s="17"/>
    </row>
    <row r="2668" spans="2:2">
      <c r="B2668" s="17"/>
    </row>
    <row r="2669" spans="2:2">
      <c r="B2669" s="17"/>
    </row>
    <row r="2670" spans="2:2">
      <c r="B2670" s="17"/>
    </row>
    <row r="2671" spans="2:2">
      <c r="B2671" s="17"/>
    </row>
    <row r="2672" spans="2:2">
      <c r="B2672" s="17"/>
    </row>
    <row r="2673" spans="2:2">
      <c r="B2673" s="17"/>
    </row>
    <row r="2674" spans="2:2">
      <c r="B2674" s="17"/>
    </row>
    <row r="2675" spans="2:2">
      <c r="B2675" s="17"/>
    </row>
    <row r="2676" spans="2:2">
      <c r="B2676" s="17"/>
    </row>
    <row r="2677" spans="2:2">
      <c r="B2677" s="17"/>
    </row>
    <row r="2678" spans="2:2">
      <c r="B2678" s="17"/>
    </row>
    <row r="2679" spans="2:2">
      <c r="B2679" s="17"/>
    </row>
    <row r="2680" spans="2:2">
      <c r="B2680" s="17"/>
    </row>
    <row r="2681" spans="2:2">
      <c r="B2681" s="17"/>
    </row>
    <row r="2682" spans="2:2">
      <c r="B2682" s="17"/>
    </row>
    <row r="2683" spans="2:2">
      <c r="B2683" s="17"/>
    </row>
    <row r="2684" spans="2:2">
      <c r="B2684" s="17"/>
    </row>
    <row r="2685" spans="2:2">
      <c r="B2685" s="17"/>
    </row>
    <row r="2686" spans="2:2">
      <c r="B2686" s="17"/>
    </row>
    <row r="2687" spans="2:2">
      <c r="B2687" s="17"/>
    </row>
    <row r="2688" spans="2:2">
      <c r="B2688" s="17"/>
    </row>
    <row r="2689" spans="2:2">
      <c r="B2689" s="17"/>
    </row>
    <row r="2690" spans="2:2">
      <c r="B2690" s="17"/>
    </row>
    <row r="2691" spans="2:2">
      <c r="B2691" s="17"/>
    </row>
    <row r="2692" spans="2:2">
      <c r="B2692" s="17"/>
    </row>
    <row r="2693" spans="2:2">
      <c r="B2693" s="17"/>
    </row>
    <row r="2694" spans="2:2">
      <c r="B2694" s="17"/>
    </row>
    <row r="2695" spans="2:2">
      <c r="B2695" s="17"/>
    </row>
    <row r="2696" spans="2:2">
      <c r="B2696" s="17"/>
    </row>
    <row r="2697" spans="2:2">
      <c r="B2697" s="17"/>
    </row>
    <row r="2698" spans="2:2">
      <c r="B2698" s="17"/>
    </row>
    <row r="2699" spans="2:2">
      <c r="B2699" s="17"/>
    </row>
    <row r="2700" spans="2:2">
      <c r="B2700" s="17"/>
    </row>
    <row r="2701" spans="2:2">
      <c r="B2701" s="17"/>
    </row>
    <row r="2702" spans="2:2">
      <c r="B2702" s="17"/>
    </row>
    <row r="2703" spans="2:2">
      <c r="B2703" s="17"/>
    </row>
    <row r="2704" spans="2:2">
      <c r="B2704" s="17"/>
    </row>
    <row r="2705" spans="2:2">
      <c r="B2705" s="17"/>
    </row>
    <row r="2706" spans="2:2">
      <c r="B2706" s="17"/>
    </row>
    <row r="2707" spans="2:2">
      <c r="B2707" s="17"/>
    </row>
    <row r="2708" spans="2:2">
      <c r="B2708" s="17"/>
    </row>
    <row r="2709" spans="2:2">
      <c r="B2709" s="17"/>
    </row>
    <row r="2710" spans="2:2">
      <c r="B2710" s="17"/>
    </row>
    <row r="2711" spans="2:2">
      <c r="B2711" s="17"/>
    </row>
    <row r="2712" spans="2:2">
      <c r="B2712" s="17"/>
    </row>
    <row r="2713" spans="2:2">
      <c r="B2713" s="17"/>
    </row>
    <row r="2714" spans="2:2">
      <c r="B2714" s="17"/>
    </row>
    <row r="2715" spans="2:2">
      <c r="B2715" s="17"/>
    </row>
    <row r="2716" spans="2:2">
      <c r="B2716" s="17"/>
    </row>
    <row r="2717" spans="2:2">
      <c r="B2717" s="17"/>
    </row>
    <row r="2718" spans="2:2">
      <c r="B2718" s="17"/>
    </row>
    <row r="2719" spans="2:2">
      <c r="B2719" s="17"/>
    </row>
    <row r="2720" spans="2:2">
      <c r="B2720" s="17"/>
    </row>
    <row r="2721" spans="2:2">
      <c r="B2721" s="17"/>
    </row>
    <row r="2722" spans="2:2">
      <c r="B2722" s="17"/>
    </row>
    <row r="2723" spans="2:2">
      <c r="B2723" s="17"/>
    </row>
    <row r="2724" spans="2:2">
      <c r="B2724" s="17"/>
    </row>
    <row r="2725" spans="2:2">
      <c r="B2725" s="17"/>
    </row>
    <row r="2726" spans="2:2">
      <c r="B2726" s="17"/>
    </row>
    <row r="2727" spans="2:2">
      <c r="B2727" s="17"/>
    </row>
    <row r="2728" spans="2:2">
      <c r="B2728" s="17"/>
    </row>
    <row r="2729" spans="2:2">
      <c r="B2729" s="17"/>
    </row>
    <row r="2730" spans="2:2">
      <c r="B2730" s="17"/>
    </row>
    <row r="2731" spans="2:2">
      <c r="B2731" s="17"/>
    </row>
    <row r="2732" spans="2:2">
      <c r="B2732" s="17"/>
    </row>
    <row r="2733" spans="2:2">
      <c r="B2733" s="17"/>
    </row>
    <row r="2734" spans="2:2">
      <c r="B2734" s="17"/>
    </row>
    <row r="2735" spans="2:2">
      <c r="B2735" s="17"/>
    </row>
    <row r="2736" spans="2:2">
      <c r="B2736" s="17"/>
    </row>
    <row r="2737" spans="2:2">
      <c r="B2737" s="17"/>
    </row>
    <row r="2738" spans="2:2">
      <c r="B2738" s="17"/>
    </row>
    <row r="2739" spans="2:2">
      <c r="B2739" s="17"/>
    </row>
    <row r="2740" spans="2:2">
      <c r="B2740" s="17"/>
    </row>
    <row r="2741" spans="2:2">
      <c r="B2741" s="17"/>
    </row>
    <row r="2742" spans="2:2">
      <c r="B2742" s="17"/>
    </row>
    <row r="2743" spans="2:2">
      <c r="B2743" s="17"/>
    </row>
    <row r="2744" spans="2:2">
      <c r="B2744" s="17"/>
    </row>
    <row r="2745" spans="2:2">
      <c r="B2745" s="17"/>
    </row>
    <row r="2746" spans="2:2">
      <c r="B2746" s="17"/>
    </row>
    <row r="2747" spans="2:2">
      <c r="B2747" s="17"/>
    </row>
    <row r="2748" spans="2:2">
      <c r="B2748" s="17"/>
    </row>
    <row r="2749" spans="2:2">
      <c r="B2749" s="17"/>
    </row>
    <row r="2750" spans="2:2">
      <c r="B2750" s="17"/>
    </row>
    <row r="2751" spans="2:2">
      <c r="B2751" s="17"/>
    </row>
    <row r="2752" spans="2:2">
      <c r="B2752" s="17"/>
    </row>
    <row r="2753" spans="2:2">
      <c r="B2753" s="17"/>
    </row>
    <row r="2754" spans="2:2">
      <c r="B2754" s="17"/>
    </row>
    <row r="2755" spans="2:2">
      <c r="B2755" s="17"/>
    </row>
    <row r="2756" spans="2:2">
      <c r="B2756" s="17"/>
    </row>
    <row r="2757" spans="2:2">
      <c r="B2757" s="17"/>
    </row>
    <row r="2758" spans="2:2">
      <c r="B2758" s="17"/>
    </row>
    <row r="2759" spans="2:2">
      <c r="B2759" s="17"/>
    </row>
    <row r="2760" spans="2:2">
      <c r="B2760" s="17"/>
    </row>
    <row r="2761" spans="2:2">
      <c r="B2761" s="17"/>
    </row>
    <row r="2762" spans="2:2">
      <c r="B2762" s="17"/>
    </row>
    <row r="2763" spans="2:2">
      <c r="B2763" s="17"/>
    </row>
    <row r="2764" spans="2:2">
      <c r="B2764" s="17"/>
    </row>
    <row r="2765" spans="2:2">
      <c r="B2765" s="17"/>
    </row>
    <row r="2766" spans="2:2">
      <c r="B2766" s="17"/>
    </row>
    <row r="2767" spans="2:2">
      <c r="B2767" s="17"/>
    </row>
    <row r="2768" spans="2:2">
      <c r="B2768" s="17"/>
    </row>
    <row r="2769" spans="2:2">
      <c r="B2769" s="17"/>
    </row>
    <row r="2770" spans="2:2">
      <c r="B2770" s="17"/>
    </row>
    <row r="2771" spans="2:2">
      <c r="B2771" s="17"/>
    </row>
    <row r="2772" spans="2:2">
      <c r="B2772" s="17"/>
    </row>
    <row r="2773" spans="2:2">
      <c r="B2773" s="17"/>
    </row>
    <row r="2774" spans="2:2">
      <c r="B2774" s="17"/>
    </row>
    <row r="2775" spans="2:2">
      <c r="B2775" s="17"/>
    </row>
    <row r="2776" spans="2:2">
      <c r="B2776" s="17"/>
    </row>
    <row r="2777" spans="2:2">
      <c r="B2777" s="17"/>
    </row>
    <row r="2778" spans="2:2">
      <c r="B2778" s="17"/>
    </row>
    <row r="2779" spans="2:2">
      <c r="B2779" s="17"/>
    </row>
    <row r="2780" spans="2:2">
      <c r="B2780" s="17"/>
    </row>
    <row r="2781" spans="2:2">
      <c r="B2781" s="17"/>
    </row>
    <row r="2782" spans="2:2">
      <c r="B2782" s="17"/>
    </row>
    <row r="2783" spans="2:2">
      <c r="B2783" s="17"/>
    </row>
    <row r="2784" spans="2:2">
      <c r="B2784" s="17"/>
    </row>
    <row r="2785" spans="2:2">
      <c r="B2785" s="17"/>
    </row>
    <row r="2786" spans="2:2">
      <c r="B2786" s="17"/>
    </row>
    <row r="2787" spans="2:2">
      <c r="B2787" s="17"/>
    </row>
    <row r="2788" spans="2:2">
      <c r="B2788" s="17"/>
    </row>
    <row r="2789" spans="2:2">
      <c r="B2789" s="17"/>
    </row>
    <row r="2790" spans="2:2">
      <c r="B2790" s="17"/>
    </row>
    <row r="2791" spans="2:2">
      <c r="B2791" s="17"/>
    </row>
    <row r="2792" spans="2:2">
      <c r="B2792" s="17"/>
    </row>
    <row r="2793" spans="2:2">
      <c r="B2793" s="17"/>
    </row>
    <row r="2794" spans="2:2">
      <c r="B2794" s="17"/>
    </row>
    <row r="2795" spans="2:2">
      <c r="B2795" s="17"/>
    </row>
    <row r="2796" spans="2:2">
      <c r="B2796" s="17"/>
    </row>
    <row r="2797" spans="2:2">
      <c r="B2797" s="17"/>
    </row>
    <row r="2798" spans="2:2">
      <c r="B2798" s="17"/>
    </row>
    <row r="2799" spans="2:2">
      <c r="B2799" s="17"/>
    </row>
    <row r="2800" spans="2:2">
      <c r="B2800" s="17"/>
    </row>
    <row r="2801" spans="2:2">
      <c r="B2801" s="17"/>
    </row>
    <row r="2802" spans="2:2">
      <c r="B2802" s="17"/>
    </row>
    <row r="2803" spans="2:2">
      <c r="B2803" s="17"/>
    </row>
    <row r="2804" spans="2:2">
      <c r="B2804" s="17"/>
    </row>
    <row r="2805" spans="2:2">
      <c r="B2805" s="17"/>
    </row>
    <row r="2806" spans="2:2">
      <c r="B2806" s="17"/>
    </row>
    <row r="2807" spans="2:2">
      <c r="B2807" s="17"/>
    </row>
    <row r="2808" spans="2:2">
      <c r="B2808" s="17"/>
    </row>
    <row r="2809" spans="2:2">
      <c r="B2809" s="17"/>
    </row>
    <row r="2810" spans="2:2">
      <c r="B2810" s="17"/>
    </row>
    <row r="2811" spans="2:2">
      <c r="B2811" s="17"/>
    </row>
    <row r="2812" spans="2:2">
      <c r="B2812" s="17"/>
    </row>
    <row r="2813" spans="2:2">
      <c r="B2813" s="17"/>
    </row>
    <row r="2814" spans="2:2">
      <c r="B2814" s="17"/>
    </row>
    <row r="2815" spans="2:2">
      <c r="B2815" s="17"/>
    </row>
    <row r="2816" spans="2:2">
      <c r="B2816" s="17"/>
    </row>
    <row r="2817" spans="2:2">
      <c r="B2817" s="17"/>
    </row>
    <row r="2818" spans="2:2">
      <c r="B2818" s="17"/>
    </row>
    <row r="2819" spans="2:2">
      <c r="B2819" s="17"/>
    </row>
    <row r="2820" spans="2:2">
      <c r="B2820" s="17"/>
    </row>
    <row r="2821" spans="2:2">
      <c r="B2821" s="17"/>
    </row>
    <row r="2822" spans="2:2">
      <c r="B2822" s="17"/>
    </row>
    <row r="2823" spans="2:2">
      <c r="B2823" s="17"/>
    </row>
    <row r="2824" spans="2:2">
      <c r="B2824" s="17"/>
    </row>
    <row r="2825" spans="2:2">
      <c r="B2825" s="17"/>
    </row>
    <row r="2826" spans="2:2">
      <c r="B2826" s="17"/>
    </row>
    <row r="2827" spans="2:2">
      <c r="B2827" s="17"/>
    </row>
    <row r="2828" spans="2:2">
      <c r="B2828" s="17"/>
    </row>
    <row r="2829" spans="2:2">
      <c r="B2829" s="17"/>
    </row>
    <row r="2830" spans="2:2">
      <c r="B2830" s="17"/>
    </row>
    <row r="2831" spans="2:2">
      <c r="B2831" s="17"/>
    </row>
    <row r="2832" spans="2:2">
      <c r="B2832" s="17"/>
    </row>
    <row r="2833" spans="2:2">
      <c r="B2833" s="17"/>
    </row>
    <row r="2834" spans="2:2">
      <c r="B2834" s="17"/>
    </row>
    <row r="2835" spans="2:2">
      <c r="B2835" s="17"/>
    </row>
    <row r="2836" spans="2:2">
      <c r="B2836" s="17"/>
    </row>
    <row r="2837" spans="2:2">
      <c r="B2837" s="17"/>
    </row>
    <row r="2838" spans="2:2">
      <c r="B2838" s="17"/>
    </row>
    <row r="2839" spans="2:2">
      <c r="B2839" s="17"/>
    </row>
    <row r="2840" spans="2:2">
      <c r="B2840" s="17"/>
    </row>
    <row r="2841" spans="2:2">
      <c r="B2841" s="17"/>
    </row>
    <row r="2842" spans="2:2">
      <c r="B2842" s="17"/>
    </row>
    <row r="2843" spans="2:2">
      <c r="B2843" s="17"/>
    </row>
    <row r="2844" spans="2:2">
      <c r="B2844" s="17"/>
    </row>
    <row r="2845" spans="2:2">
      <c r="B2845" s="17"/>
    </row>
    <row r="2846" spans="2:2">
      <c r="B2846" s="17"/>
    </row>
    <row r="2847" spans="2:2">
      <c r="B2847" s="17"/>
    </row>
    <row r="2848" spans="2:2">
      <c r="B2848" s="17"/>
    </row>
    <row r="2849" spans="2:2">
      <c r="B2849" s="17"/>
    </row>
    <row r="2850" spans="2:2">
      <c r="B2850" s="17"/>
    </row>
    <row r="2851" spans="2:2">
      <c r="B2851" s="17"/>
    </row>
    <row r="2852" spans="2:2">
      <c r="B2852" s="17"/>
    </row>
    <row r="2853" spans="2:2">
      <c r="B2853" s="17"/>
    </row>
    <row r="2854" spans="2:2">
      <c r="B2854" s="17"/>
    </row>
    <row r="2855" spans="2:2">
      <c r="B2855" s="17"/>
    </row>
    <row r="2856" spans="2:2">
      <c r="B2856" s="17"/>
    </row>
    <row r="2857" spans="2:2">
      <c r="B2857" s="17"/>
    </row>
    <row r="2858" spans="2:2">
      <c r="B2858" s="17"/>
    </row>
    <row r="2859" spans="2:2">
      <c r="B2859" s="17"/>
    </row>
    <row r="2860" spans="2:2">
      <c r="B2860" s="17"/>
    </row>
    <row r="2861" spans="2:2">
      <c r="B2861" s="17"/>
    </row>
    <row r="2862" spans="2:2">
      <c r="B2862" s="17"/>
    </row>
    <row r="2863" spans="2:2">
      <c r="B2863" s="17"/>
    </row>
    <row r="2864" spans="2:2">
      <c r="B2864" s="17"/>
    </row>
    <row r="2865" spans="2:2">
      <c r="B2865" s="17"/>
    </row>
    <row r="2866" spans="2:2">
      <c r="B2866" s="17"/>
    </row>
    <row r="2867" spans="2:2">
      <c r="B2867" s="17"/>
    </row>
    <row r="2868" spans="2:2">
      <c r="B2868" s="17"/>
    </row>
    <row r="2869" spans="2:2">
      <c r="B2869" s="17"/>
    </row>
    <row r="2870" spans="2:2">
      <c r="B2870" s="17"/>
    </row>
    <row r="2871" spans="2:2">
      <c r="B2871" s="17"/>
    </row>
    <row r="2872" spans="2:2">
      <c r="B2872" s="17"/>
    </row>
    <row r="2873" spans="2:2">
      <c r="B2873" s="17"/>
    </row>
    <row r="2874" spans="2:2">
      <c r="B2874" s="17"/>
    </row>
    <row r="2875" spans="2:2">
      <c r="B2875" s="17"/>
    </row>
    <row r="2876" spans="2:2">
      <c r="B2876" s="17"/>
    </row>
    <row r="2877" spans="2:2">
      <c r="B2877" s="17"/>
    </row>
    <row r="2878" spans="2:2">
      <c r="B2878" s="17"/>
    </row>
    <row r="2879" spans="2:2">
      <c r="B2879" s="17"/>
    </row>
    <row r="2880" spans="2:2">
      <c r="B2880" s="17"/>
    </row>
    <row r="2881" spans="2:2">
      <c r="B2881" s="17"/>
    </row>
    <row r="2882" spans="2:2">
      <c r="B2882" s="17"/>
    </row>
    <row r="2883" spans="2:2">
      <c r="B2883" s="17"/>
    </row>
    <row r="2884" spans="2:2">
      <c r="B2884" s="17"/>
    </row>
    <row r="2885" spans="2:2">
      <c r="B2885" s="17"/>
    </row>
    <row r="2886" spans="2:2">
      <c r="B2886" s="17"/>
    </row>
    <row r="2887" spans="2:2">
      <c r="B2887" s="17"/>
    </row>
    <row r="2888" spans="2:2">
      <c r="B2888" s="17"/>
    </row>
    <row r="2889" spans="2:2">
      <c r="B2889" s="17"/>
    </row>
    <row r="2890" spans="2:2">
      <c r="B2890" s="17"/>
    </row>
    <row r="2891" spans="2:2">
      <c r="B2891" s="17"/>
    </row>
    <row r="2892" spans="2:2">
      <c r="B2892" s="17"/>
    </row>
    <row r="2893" spans="2:2">
      <c r="B2893" s="17"/>
    </row>
    <row r="2894" spans="2:2">
      <c r="B2894" s="17"/>
    </row>
    <row r="2895" spans="2:2">
      <c r="B2895" s="17"/>
    </row>
    <row r="2896" spans="2:2">
      <c r="B2896" s="17"/>
    </row>
    <row r="2897" spans="2:2">
      <c r="B2897" s="17"/>
    </row>
    <row r="2898" spans="2:2">
      <c r="B2898" s="17"/>
    </row>
    <row r="2899" spans="2:2">
      <c r="B2899" s="17"/>
    </row>
    <row r="2900" spans="2:2">
      <c r="B2900" s="17"/>
    </row>
    <row r="2901" spans="2:2">
      <c r="B2901" s="17"/>
    </row>
    <row r="2902" spans="2:2">
      <c r="B2902" s="17"/>
    </row>
    <row r="2903" spans="2:2">
      <c r="B2903" s="17"/>
    </row>
    <row r="2904" spans="2:2">
      <c r="B2904" s="17"/>
    </row>
    <row r="2905" spans="2:2">
      <c r="B2905" s="17"/>
    </row>
    <row r="2906" spans="2:2">
      <c r="B2906" s="17"/>
    </row>
    <row r="2907" spans="2:2">
      <c r="B2907" s="17"/>
    </row>
    <row r="2908" spans="2:2">
      <c r="B2908" s="17"/>
    </row>
    <row r="2909" spans="2:2">
      <c r="B2909" s="17"/>
    </row>
    <row r="2910" spans="2:2">
      <c r="B2910" s="17"/>
    </row>
    <row r="2911" spans="2:2">
      <c r="B2911" s="17"/>
    </row>
    <row r="2912" spans="2:2">
      <c r="B2912" s="17"/>
    </row>
    <row r="2913" spans="2:2">
      <c r="B2913" s="17"/>
    </row>
    <row r="2914" spans="2:2">
      <c r="B2914" s="17"/>
    </row>
    <row r="2915" spans="2:2">
      <c r="B2915" s="17"/>
    </row>
    <row r="2916" spans="2:2">
      <c r="B2916" s="17"/>
    </row>
    <row r="2917" spans="2:2">
      <c r="B2917" s="17"/>
    </row>
    <row r="2918" spans="2:2">
      <c r="B2918" s="17"/>
    </row>
    <row r="2919" spans="2:2">
      <c r="B2919" s="17"/>
    </row>
    <row r="2920" spans="2:2">
      <c r="B2920" s="17"/>
    </row>
    <row r="2921" spans="2:2">
      <c r="B2921" s="17"/>
    </row>
    <row r="2922" spans="2:2">
      <c r="B2922" s="17"/>
    </row>
    <row r="2923" spans="2:2">
      <c r="B2923" s="17"/>
    </row>
    <row r="2924" spans="2:2">
      <c r="B2924" s="17"/>
    </row>
    <row r="2925" spans="2:2">
      <c r="B2925" s="17"/>
    </row>
    <row r="2926" spans="2:2">
      <c r="B2926" s="17"/>
    </row>
    <row r="2927" spans="2:2">
      <c r="B2927" s="17"/>
    </row>
    <row r="2928" spans="2:2">
      <c r="B2928" s="17"/>
    </row>
    <row r="2929" spans="2:2">
      <c r="B2929" s="17"/>
    </row>
    <row r="2930" spans="2:2">
      <c r="B2930" s="17"/>
    </row>
    <row r="2931" spans="2:2">
      <c r="B2931" s="17"/>
    </row>
    <row r="2932" spans="2:2">
      <c r="B2932" s="17"/>
    </row>
    <row r="2933" spans="2:2">
      <c r="B2933" s="17"/>
    </row>
    <row r="2934" spans="2:2">
      <c r="B2934" s="17"/>
    </row>
    <row r="2935" spans="2:2">
      <c r="B2935" s="17"/>
    </row>
    <row r="2936" spans="2:2">
      <c r="B2936" s="17"/>
    </row>
    <row r="2937" spans="2:2">
      <c r="B2937" s="17"/>
    </row>
    <row r="2938" spans="2:2">
      <c r="B2938" s="17"/>
    </row>
    <row r="2939" spans="2:2">
      <c r="B2939" s="17"/>
    </row>
    <row r="2940" spans="2:2">
      <c r="B2940" s="17"/>
    </row>
    <row r="2941" spans="2:2">
      <c r="B2941" s="17"/>
    </row>
    <row r="2942" spans="2:2">
      <c r="B2942" s="17"/>
    </row>
    <row r="2943" spans="2:2">
      <c r="B2943" s="17"/>
    </row>
    <row r="2944" spans="2:2">
      <c r="B2944" s="17"/>
    </row>
    <row r="2945" spans="2:2">
      <c r="B2945" s="17"/>
    </row>
    <row r="2946" spans="2:2">
      <c r="B2946" s="17"/>
    </row>
    <row r="2947" spans="2:2">
      <c r="B2947" s="17"/>
    </row>
    <row r="2948" spans="2:2">
      <c r="B2948" s="17"/>
    </row>
    <row r="2949" spans="2:2">
      <c r="B2949" s="17"/>
    </row>
    <row r="2950" spans="2:2">
      <c r="B2950" s="17"/>
    </row>
    <row r="2951" spans="2:2">
      <c r="B2951" s="17"/>
    </row>
    <row r="2952" spans="2:2">
      <c r="B2952" s="17"/>
    </row>
    <row r="2953" spans="2:2">
      <c r="B2953" s="17"/>
    </row>
    <row r="2954" spans="2:2">
      <c r="B2954" s="17"/>
    </row>
    <row r="2955" spans="2:2">
      <c r="B2955" s="17"/>
    </row>
    <row r="2956" spans="2:2">
      <c r="B2956" s="17"/>
    </row>
    <row r="2957" spans="2:2">
      <c r="B2957" s="17"/>
    </row>
    <row r="2958" spans="2:2">
      <c r="B2958" s="17"/>
    </row>
    <row r="2959" spans="2:2">
      <c r="B2959" s="17"/>
    </row>
    <row r="2960" spans="2:2">
      <c r="B2960" s="17"/>
    </row>
    <row r="2961" spans="2:2">
      <c r="B2961" s="17"/>
    </row>
    <row r="2962" spans="2:2">
      <c r="B2962" s="17"/>
    </row>
    <row r="2963" spans="2:2">
      <c r="B2963" s="17"/>
    </row>
    <row r="2964" spans="2:2">
      <c r="B2964" s="17"/>
    </row>
    <row r="2965" spans="2:2">
      <c r="B2965" s="17"/>
    </row>
    <row r="2966" spans="2:2">
      <c r="B2966" s="17"/>
    </row>
    <row r="2967" spans="2:2">
      <c r="B2967" s="17"/>
    </row>
    <row r="2968" spans="2:2">
      <c r="B2968" s="17"/>
    </row>
    <row r="2969" spans="2:2">
      <c r="B2969" s="17"/>
    </row>
    <row r="2970" spans="2:2">
      <c r="B2970" s="17"/>
    </row>
    <row r="2971" spans="2:2">
      <c r="B2971" s="17"/>
    </row>
    <row r="2972" spans="2:2">
      <c r="B2972" s="17"/>
    </row>
    <row r="2973" spans="2:2">
      <c r="B2973" s="17"/>
    </row>
    <row r="2974" spans="2:2">
      <c r="B2974" s="17"/>
    </row>
    <row r="2975" spans="2:2">
      <c r="B2975" s="17"/>
    </row>
    <row r="2976" spans="2:2">
      <c r="B2976" s="17"/>
    </row>
    <row r="2977" spans="2:2">
      <c r="B2977" s="17"/>
    </row>
    <row r="2978" spans="2:2">
      <c r="B2978" s="17"/>
    </row>
    <row r="2979" spans="2:2">
      <c r="B2979" s="17"/>
    </row>
    <row r="2980" spans="2:2">
      <c r="B2980" s="17"/>
    </row>
    <row r="2981" spans="2:2">
      <c r="B2981" s="17"/>
    </row>
    <row r="2982" spans="2:2">
      <c r="B2982" s="17"/>
    </row>
    <row r="2983" spans="2:2">
      <c r="B2983" s="17"/>
    </row>
    <row r="2984" spans="2:2">
      <c r="B2984" s="17"/>
    </row>
    <row r="2985" spans="2:2">
      <c r="B2985" s="17"/>
    </row>
    <row r="2986" spans="2:2">
      <c r="B2986" s="17"/>
    </row>
    <row r="2987" spans="2:2">
      <c r="B2987" s="17"/>
    </row>
    <row r="2988" spans="2:2">
      <c r="B2988" s="17"/>
    </row>
    <row r="2989" spans="2:2">
      <c r="B2989" s="17"/>
    </row>
    <row r="2990" spans="2:2">
      <c r="B2990" s="17"/>
    </row>
    <row r="2991" spans="2:2">
      <c r="B2991" s="17"/>
    </row>
    <row r="2992" spans="2:2">
      <c r="B2992" s="17"/>
    </row>
    <row r="2993" spans="2:2">
      <c r="B2993" s="17"/>
    </row>
    <row r="2994" spans="2:2">
      <c r="B2994" s="17"/>
    </row>
    <row r="2995" spans="2:2">
      <c r="B2995" s="17"/>
    </row>
    <row r="2996" spans="2:2">
      <c r="B2996" s="17"/>
    </row>
    <row r="2997" spans="2:2">
      <c r="B2997" s="17"/>
    </row>
    <row r="2998" spans="2:2">
      <c r="B2998" s="17"/>
    </row>
    <row r="2999" spans="2:2">
      <c r="B2999" s="17"/>
    </row>
    <row r="3000" spans="2:2">
      <c r="B3000" s="17"/>
    </row>
    <row r="3001" spans="2:2">
      <c r="B3001" s="17"/>
    </row>
    <row r="3002" spans="2:2">
      <c r="B3002" s="17"/>
    </row>
    <row r="3003" spans="2:2">
      <c r="B3003" s="17"/>
    </row>
    <row r="3004" spans="2:2">
      <c r="B3004" s="17"/>
    </row>
    <row r="3005" spans="2:2">
      <c r="B3005" s="17"/>
    </row>
    <row r="3006" spans="2:2">
      <c r="B3006" s="17"/>
    </row>
    <row r="3007" spans="2:2">
      <c r="B3007" s="17"/>
    </row>
    <row r="3008" spans="2:2">
      <c r="B3008" s="17"/>
    </row>
    <row r="3009" spans="2:2">
      <c r="B3009" s="17"/>
    </row>
    <row r="3010" spans="2:2">
      <c r="B3010" s="17"/>
    </row>
    <row r="3011" spans="2:2">
      <c r="B3011" s="17"/>
    </row>
    <row r="3012" spans="2:2">
      <c r="B3012" s="17"/>
    </row>
    <row r="3013" spans="2:2">
      <c r="B3013" s="17"/>
    </row>
    <row r="3014" spans="2:2">
      <c r="B3014" s="17"/>
    </row>
    <row r="3015" spans="2:2">
      <c r="B3015" s="17"/>
    </row>
    <row r="3016" spans="2:2">
      <c r="B3016" s="17"/>
    </row>
    <row r="3017" spans="2:2">
      <c r="B3017" s="17"/>
    </row>
    <row r="3018" spans="2:2">
      <c r="B3018" s="17"/>
    </row>
    <row r="3019" spans="2:2">
      <c r="B3019" s="17"/>
    </row>
    <row r="3020" spans="2:2">
      <c r="B3020" s="17"/>
    </row>
    <row r="3021" spans="2:2">
      <c r="B3021" s="17"/>
    </row>
    <row r="3022" spans="2:2">
      <c r="B3022" s="17"/>
    </row>
    <row r="3023" spans="2:2">
      <c r="B3023" s="17"/>
    </row>
    <row r="3024" spans="2:2">
      <c r="B3024" s="17"/>
    </row>
    <row r="3025" spans="2:2">
      <c r="B3025" s="17"/>
    </row>
    <row r="3026" spans="2:2">
      <c r="B3026" s="17"/>
    </row>
    <row r="3027" spans="2:2">
      <c r="B3027" s="17"/>
    </row>
    <row r="3028" spans="2:2">
      <c r="B3028" s="17"/>
    </row>
    <row r="3029" spans="2:2">
      <c r="B3029" s="17"/>
    </row>
    <row r="3030" spans="2:2">
      <c r="B3030" s="17"/>
    </row>
    <row r="3031" spans="2:2">
      <c r="B3031" s="17"/>
    </row>
    <row r="3032" spans="2:2">
      <c r="B3032" s="17"/>
    </row>
    <row r="3033" spans="2:2">
      <c r="B3033" s="17"/>
    </row>
    <row r="3034" spans="2:2">
      <c r="B3034" s="17"/>
    </row>
    <row r="3035" spans="2:2">
      <c r="B3035" s="17"/>
    </row>
    <row r="3036" spans="2:2">
      <c r="B3036" s="17"/>
    </row>
    <row r="3037" spans="2:2">
      <c r="B3037" s="17"/>
    </row>
    <row r="3038" spans="2:2">
      <c r="B3038" s="17"/>
    </row>
    <row r="3039" spans="2:2">
      <c r="B3039" s="17"/>
    </row>
    <row r="3040" spans="2:2">
      <c r="B3040" s="17"/>
    </row>
    <row r="3041" spans="2:2">
      <c r="B3041" s="17"/>
    </row>
    <row r="3042" spans="2:2">
      <c r="B3042" s="17"/>
    </row>
    <row r="3043" spans="2:2">
      <c r="B3043" s="17"/>
    </row>
    <row r="3044" spans="2:2">
      <c r="B3044" s="17"/>
    </row>
    <row r="3045" spans="2:2">
      <c r="B3045" s="17"/>
    </row>
    <row r="3046" spans="2:2">
      <c r="B3046" s="17"/>
    </row>
    <row r="3047" spans="2:2">
      <c r="B3047" s="17"/>
    </row>
    <row r="3048" spans="2:2">
      <c r="B3048" s="17"/>
    </row>
    <row r="3049" spans="2:2">
      <c r="B3049" s="17"/>
    </row>
    <row r="3050" spans="2:2">
      <c r="B3050" s="17"/>
    </row>
    <row r="3051" spans="2:2">
      <c r="B3051" s="17"/>
    </row>
    <row r="3052" spans="2:2">
      <c r="B3052" s="17"/>
    </row>
    <row r="3053" spans="2:2">
      <c r="B3053" s="17"/>
    </row>
    <row r="3054" spans="2:2">
      <c r="B3054" s="17"/>
    </row>
    <row r="3055" spans="2:2">
      <c r="B3055" s="17"/>
    </row>
    <row r="3056" spans="2:2">
      <c r="B3056" s="17"/>
    </row>
    <row r="3057" spans="2:2">
      <c r="B3057" s="17"/>
    </row>
    <row r="3058" spans="2:2">
      <c r="B3058" s="17"/>
    </row>
    <row r="3059" spans="2:2">
      <c r="B3059" s="17"/>
    </row>
    <row r="3060" spans="2:2">
      <c r="B3060" s="17"/>
    </row>
    <row r="3061" spans="2:2">
      <c r="B3061" s="17"/>
    </row>
    <row r="3062" spans="2:2">
      <c r="B3062" s="17"/>
    </row>
    <row r="3063" spans="2:2">
      <c r="B3063" s="17"/>
    </row>
    <row r="3064" spans="2:2">
      <c r="B3064" s="17"/>
    </row>
    <row r="3065" spans="2:2">
      <c r="B3065" s="17"/>
    </row>
    <row r="3066" spans="2:2">
      <c r="B3066" s="17"/>
    </row>
    <row r="3067" spans="2:2">
      <c r="B3067" s="17"/>
    </row>
    <row r="3068" spans="2:2">
      <c r="B3068" s="17"/>
    </row>
    <row r="3069" spans="2:2">
      <c r="B3069" s="17"/>
    </row>
    <row r="3070" spans="2:2">
      <c r="B3070" s="17"/>
    </row>
    <row r="3071" spans="2:2">
      <c r="B3071" s="17"/>
    </row>
    <row r="3072" spans="2:2">
      <c r="B3072" s="17"/>
    </row>
    <row r="3073" spans="2:2">
      <c r="B3073" s="17"/>
    </row>
    <row r="3074" spans="2:2">
      <c r="B3074" s="17"/>
    </row>
    <row r="3075" spans="2:2">
      <c r="B3075" s="17"/>
    </row>
    <row r="3076" spans="2:2">
      <c r="B3076" s="17"/>
    </row>
    <row r="3077" spans="2:2">
      <c r="B3077" s="17"/>
    </row>
    <row r="3078" spans="2:2">
      <c r="B3078" s="17"/>
    </row>
    <row r="3079" spans="2:2">
      <c r="B3079" s="17"/>
    </row>
    <row r="3080" spans="2:2">
      <c r="B3080" s="17"/>
    </row>
    <row r="3081" spans="2:2">
      <c r="B3081" s="17"/>
    </row>
    <row r="3082" spans="2:2">
      <c r="B3082" s="17"/>
    </row>
    <row r="3083" spans="2:2">
      <c r="B3083" s="17"/>
    </row>
    <row r="3084" spans="2:2">
      <c r="B3084" s="17"/>
    </row>
    <row r="3085" spans="2:2">
      <c r="B3085" s="17"/>
    </row>
    <row r="3086" spans="2:2">
      <c r="B3086" s="17"/>
    </row>
    <row r="3087" spans="2:2">
      <c r="B3087" s="17"/>
    </row>
    <row r="3088" spans="2:2">
      <c r="B3088" s="17"/>
    </row>
    <row r="3089" spans="2:2">
      <c r="B3089" s="17"/>
    </row>
    <row r="3090" spans="2:2">
      <c r="B3090" s="17"/>
    </row>
    <row r="3091" spans="2:2">
      <c r="B3091" s="17"/>
    </row>
    <row r="3092" spans="2:2">
      <c r="B3092" s="17"/>
    </row>
    <row r="3093" spans="2:2">
      <c r="B3093" s="17"/>
    </row>
    <row r="3094" spans="2:2">
      <c r="B3094" s="17"/>
    </row>
    <row r="3095" spans="2:2">
      <c r="B3095" s="17"/>
    </row>
    <row r="3096" spans="2:2">
      <c r="B3096" s="17"/>
    </row>
    <row r="3097" spans="2:2">
      <c r="B3097" s="17"/>
    </row>
    <row r="3098" spans="2:2">
      <c r="B3098" s="17"/>
    </row>
    <row r="3099" spans="2:2">
      <c r="B3099" s="17"/>
    </row>
    <row r="3100" spans="2:2">
      <c r="B3100" s="17"/>
    </row>
    <row r="3101" spans="2:2">
      <c r="B3101" s="17"/>
    </row>
    <row r="3102" spans="2:2">
      <c r="B3102" s="17"/>
    </row>
    <row r="3103" spans="2:2">
      <c r="B3103" s="17"/>
    </row>
    <row r="3104" spans="2:2">
      <c r="B3104" s="17"/>
    </row>
    <row r="3105" spans="2:2">
      <c r="B3105" s="17"/>
    </row>
    <row r="3106" spans="2:2">
      <c r="B3106" s="17"/>
    </row>
    <row r="3107" spans="2:2">
      <c r="B3107" s="17"/>
    </row>
    <row r="3108" spans="2:2">
      <c r="B3108" s="17"/>
    </row>
    <row r="3109" spans="2:2">
      <c r="B3109" s="17"/>
    </row>
    <row r="3110" spans="2:2">
      <c r="B3110" s="17"/>
    </row>
    <row r="3111" spans="2:2">
      <c r="B3111" s="17"/>
    </row>
    <row r="3112" spans="2:2">
      <c r="B3112" s="17"/>
    </row>
    <row r="3113" spans="2:2">
      <c r="B3113" s="17"/>
    </row>
    <row r="3114" spans="2:2">
      <c r="B3114" s="17"/>
    </row>
    <row r="3115" spans="2:2">
      <c r="B3115" s="17"/>
    </row>
    <row r="3116" spans="2:2">
      <c r="B3116" s="17"/>
    </row>
    <row r="3117" spans="2:2">
      <c r="B3117" s="17"/>
    </row>
    <row r="3118" spans="2:2">
      <c r="B3118" s="17"/>
    </row>
    <row r="3119" spans="2:2">
      <c r="B3119" s="17"/>
    </row>
    <row r="3120" spans="2:2">
      <c r="B3120" s="17"/>
    </row>
    <row r="3121" spans="2:2">
      <c r="B3121" s="17"/>
    </row>
    <row r="3122" spans="2:2">
      <c r="B3122" s="17"/>
    </row>
    <row r="3123" spans="2:2">
      <c r="B3123" s="17"/>
    </row>
    <row r="3124" spans="2:2">
      <c r="B3124" s="17"/>
    </row>
    <row r="3125" spans="2:2">
      <c r="B3125" s="17"/>
    </row>
    <row r="3126" spans="2:2">
      <c r="B3126" s="17"/>
    </row>
    <row r="3127" spans="2:2">
      <c r="B3127" s="17"/>
    </row>
    <row r="3128" spans="2:2">
      <c r="B3128" s="17"/>
    </row>
    <row r="3129" spans="2:2">
      <c r="B3129" s="17"/>
    </row>
    <row r="3130" spans="2:2">
      <c r="B3130" s="17"/>
    </row>
    <row r="3131" spans="2:2">
      <c r="B3131" s="17"/>
    </row>
    <row r="3132" spans="2:2">
      <c r="B3132" s="17"/>
    </row>
    <row r="3133" spans="2:2">
      <c r="B3133" s="17"/>
    </row>
    <row r="3134" spans="2:2">
      <c r="B3134" s="17"/>
    </row>
    <row r="3135" spans="2:2">
      <c r="B3135" s="17"/>
    </row>
    <row r="3136" spans="2:2">
      <c r="B3136" s="17"/>
    </row>
    <row r="3137" spans="2:2">
      <c r="B3137" s="17"/>
    </row>
    <row r="3138" spans="2:2">
      <c r="B3138" s="17"/>
    </row>
    <row r="3139" spans="2:2">
      <c r="B3139" s="17"/>
    </row>
    <row r="3140" spans="2:2">
      <c r="B3140" s="17"/>
    </row>
    <row r="3141" spans="2:2">
      <c r="B3141" s="17"/>
    </row>
    <row r="3142" spans="2:2">
      <c r="B3142" s="17"/>
    </row>
    <row r="3143" spans="2:2">
      <c r="B3143" s="17"/>
    </row>
    <row r="3144" spans="2:2">
      <c r="B3144" s="17"/>
    </row>
    <row r="3145" spans="2:2">
      <c r="B3145" s="17"/>
    </row>
    <row r="3146" spans="2:2">
      <c r="B3146" s="17"/>
    </row>
    <row r="3147" spans="2:2">
      <c r="B3147" s="17"/>
    </row>
    <row r="3148" spans="2:2">
      <c r="B3148" s="17"/>
    </row>
    <row r="3149" spans="2:2">
      <c r="B3149" s="17"/>
    </row>
    <row r="3150" spans="2:2">
      <c r="B3150" s="17"/>
    </row>
    <row r="3151" spans="2:2">
      <c r="B3151" s="17"/>
    </row>
    <row r="3152" spans="2:2">
      <c r="B3152" s="17"/>
    </row>
    <row r="3153" spans="2:2">
      <c r="B3153" s="17"/>
    </row>
    <row r="3154" spans="2:2">
      <c r="B3154" s="17"/>
    </row>
    <row r="3155" spans="2:2">
      <c r="B3155" s="17"/>
    </row>
    <row r="3156" spans="2:2">
      <c r="B3156" s="17"/>
    </row>
    <row r="3157" spans="2:2">
      <c r="B3157" s="17"/>
    </row>
    <row r="3158" spans="2:2">
      <c r="B3158" s="17"/>
    </row>
    <row r="3159" spans="2:2">
      <c r="B3159" s="17"/>
    </row>
    <row r="3160" spans="2:2">
      <c r="B3160" s="17"/>
    </row>
    <row r="3161" spans="2:2">
      <c r="B3161" s="17"/>
    </row>
    <row r="3162" spans="2:2">
      <c r="B3162" s="17"/>
    </row>
    <row r="3163" spans="2:2">
      <c r="B3163" s="17"/>
    </row>
    <row r="3164" spans="2:2">
      <c r="B3164" s="17"/>
    </row>
    <row r="3165" spans="2:2">
      <c r="B3165" s="17"/>
    </row>
    <row r="3166" spans="2:2">
      <c r="B3166" s="17"/>
    </row>
    <row r="3167" spans="2:2">
      <c r="B3167" s="17"/>
    </row>
    <row r="3168" spans="2:2">
      <c r="B3168" s="17"/>
    </row>
    <row r="3169" spans="2:2">
      <c r="B3169" s="17"/>
    </row>
    <row r="3170" spans="2:2">
      <c r="B3170" s="17"/>
    </row>
    <row r="3171" spans="2:2">
      <c r="B3171" s="17"/>
    </row>
    <row r="3172" spans="2:2">
      <c r="B3172" s="17"/>
    </row>
    <row r="3173" spans="2:2">
      <c r="B3173" s="17"/>
    </row>
    <row r="3174" spans="2:2">
      <c r="B3174" s="17"/>
    </row>
    <row r="3175" spans="2:2">
      <c r="B3175" s="17"/>
    </row>
    <row r="3176" spans="2:2">
      <c r="B3176" s="17"/>
    </row>
    <row r="3177" spans="2:2">
      <c r="B3177" s="17"/>
    </row>
    <row r="3178" spans="2:2">
      <c r="B3178" s="17"/>
    </row>
    <row r="3179" spans="2:2">
      <c r="B3179" s="17"/>
    </row>
    <row r="3180" spans="2:2">
      <c r="B3180" s="17"/>
    </row>
    <row r="3181" spans="2:2">
      <c r="B3181" s="17"/>
    </row>
    <row r="3182" spans="2:2">
      <c r="B3182" s="17"/>
    </row>
    <row r="3183" spans="2:2">
      <c r="B3183" s="17"/>
    </row>
    <row r="3184" spans="2:2">
      <c r="B3184" s="17"/>
    </row>
    <row r="3185" spans="2:2">
      <c r="B3185" s="17"/>
    </row>
    <row r="3186" spans="2:2">
      <c r="B3186" s="17"/>
    </row>
    <row r="3187" spans="2:2">
      <c r="B3187" s="17"/>
    </row>
    <row r="3188" spans="2:2">
      <c r="B3188" s="17"/>
    </row>
    <row r="3189" spans="2:2">
      <c r="B3189" s="17"/>
    </row>
    <row r="3190" spans="2:2">
      <c r="B3190" s="17"/>
    </row>
    <row r="3191" spans="2:2">
      <c r="B3191" s="17"/>
    </row>
    <row r="3192" spans="2:2">
      <c r="B3192" s="17"/>
    </row>
    <row r="3193" spans="2:2">
      <c r="B3193" s="17"/>
    </row>
    <row r="3194" spans="2:2">
      <c r="B3194" s="17"/>
    </row>
    <row r="3195" spans="2:2">
      <c r="B3195" s="17"/>
    </row>
    <row r="3196" spans="2:2">
      <c r="B3196" s="17"/>
    </row>
    <row r="3197" spans="2:2">
      <c r="B3197" s="17"/>
    </row>
    <row r="3198" spans="2:2">
      <c r="B3198" s="17"/>
    </row>
    <row r="3199" spans="2:2">
      <c r="B3199" s="17"/>
    </row>
    <row r="3200" spans="2:2">
      <c r="B3200" s="17"/>
    </row>
    <row r="3201" spans="2:2">
      <c r="B3201" s="17"/>
    </row>
    <row r="3202" spans="2:2">
      <c r="B3202" s="17"/>
    </row>
    <row r="3203" spans="2:2">
      <c r="B3203" s="17"/>
    </row>
    <row r="3204" spans="2:2">
      <c r="B3204" s="17"/>
    </row>
    <row r="3205" spans="2:2">
      <c r="B3205" s="17"/>
    </row>
    <row r="3206" spans="2:2">
      <c r="B3206" s="17"/>
    </row>
    <row r="3207" spans="2:2">
      <c r="B3207" s="17"/>
    </row>
    <row r="3208" spans="2:2">
      <c r="B3208" s="17"/>
    </row>
    <row r="3209" spans="2:2">
      <c r="B3209" s="17"/>
    </row>
    <row r="3210" spans="2:2">
      <c r="B3210" s="17"/>
    </row>
    <row r="3211" spans="2:2">
      <c r="B3211" s="17"/>
    </row>
    <row r="3212" spans="2:2">
      <c r="B3212" s="17"/>
    </row>
    <row r="3213" spans="2:2">
      <c r="B3213" s="17"/>
    </row>
    <row r="3214" spans="2:2">
      <c r="B3214" s="17"/>
    </row>
    <row r="3215" spans="2:2">
      <c r="B3215" s="17"/>
    </row>
    <row r="3216" spans="2:2">
      <c r="B3216" s="17"/>
    </row>
    <row r="3217" spans="2:2">
      <c r="B3217" s="17"/>
    </row>
    <row r="3218" spans="2:2">
      <c r="B3218" s="17"/>
    </row>
    <row r="3219" spans="2:2">
      <c r="B3219" s="17"/>
    </row>
    <row r="3220" spans="2:2">
      <c r="B3220" s="17"/>
    </row>
    <row r="3221" spans="2:2">
      <c r="B3221" s="17"/>
    </row>
    <row r="3222" spans="2:2">
      <c r="B3222" s="17"/>
    </row>
    <row r="3223" spans="2:2">
      <c r="B3223" s="17"/>
    </row>
    <row r="3224" spans="2:2">
      <c r="B3224" s="17"/>
    </row>
    <row r="3225" spans="2:2">
      <c r="B3225" s="17"/>
    </row>
    <row r="3226" spans="2:2">
      <c r="B3226" s="17"/>
    </row>
    <row r="3227" spans="2:2">
      <c r="B3227" s="17"/>
    </row>
    <row r="3228" spans="2:2">
      <c r="B3228" s="17"/>
    </row>
    <row r="3229" spans="2:2">
      <c r="B3229" s="17"/>
    </row>
    <row r="3230" spans="2:2">
      <c r="B3230" s="17"/>
    </row>
    <row r="3231" spans="2:2">
      <c r="B3231" s="17"/>
    </row>
    <row r="3232" spans="2:2">
      <c r="B3232" s="17"/>
    </row>
    <row r="3233" spans="2:2">
      <c r="B3233" s="17"/>
    </row>
    <row r="3234" spans="2:2">
      <c r="B3234" s="17"/>
    </row>
    <row r="3235" spans="2:2">
      <c r="B3235" s="17"/>
    </row>
    <row r="3236" spans="2:2">
      <c r="B3236" s="17"/>
    </row>
    <row r="3237" spans="2:2">
      <c r="B3237" s="17"/>
    </row>
    <row r="3238" spans="2:2">
      <c r="B3238" s="17"/>
    </row>
    <row r="3239" spans="2:2">
      <c r="B3239" s="17"/>
    </row>
    <row r="3240" spans="2:2">
      <c r="B3240" s="17"/>
    </row>
    <row r="3241" spans="2:2">
      <c r="B3241" s="17"/>
    </row>
    <row r="3242" spans="2:2">
      <c r="B3242" s="17"/>
    </row>
    <row r="3243" spans="2:2">
      <c r="B3243" s="17"/>
    </row>
    <row r="3244" spans="2:2">
      <c r="B3244" s="17"/>
    </row>
    <row r="3245" spans="2:2">
      <c r="B3245" s="17"/>
    </row>
    <row r="3246" spans="2:2">
      <c r="B3246" s="17"/>
    </row>
    <row r="3247" spans="2:2">
      <c r="B3247" s="17"/>
    </row>
    <row r="3248" spans="2:2">
      <c r="B3248" s="17"/>
    </row>
    <row r="3249" spans="2:2">
      <c r="B3249" s="17"/>
    </row>
    <row r="3250" spans="2:2">
      <c r="B3250" s="17"/>
    </row>
    <row r="3251" spans="2:2">
      <c r="B3251" s="17"/>
    </row>
    <row r="3252" spans="2:2">
      <c r="B3252" s="17"/>
    </row>
    <row r="3253" spans="2:2">
      <c r="B3253" s="17"/>
    </row>
    <row r="3254" spans="2:2">
      <c r="B3254" s="17"/>
    </row>
    <row r="3255" spans="2:2">
      <c r="B3255" s="17"/>
    </row>
    <row r="3256" spans="2:2">
      <c r="B3256" s="17"/>
    </row>
    <row r="3257" spans="2:2">
      <c r="B3257" s="17"/>
    </row>
    <row r="3258" spans="2:2">
      <c r="B3258" s="17"/>
    </row>
    <row r="3259" spans="2:2">
      <c r="B3259" s="17"/>
    </row>
    <row r="3260" spans="2:2">
      <c r="B3260" s="17"/>
    </row>
    <row r="3261" spans="2:2">
      <c r="B3261" s="17"/>
    </row>
    <row r="3262" spans="2:2">
      <c r="B3262" s="17"/>
    </row>
    <row r="3263" spans="2:2">
      <c r="B3263" s="17"/>
    </row>
    <row r="3264" spans="2:2">
      <c r="B3264" s="17"/>
    </row>
    <row r="3265" spans="2:2">
      <c r="B3265" s="17"/>
    </row>
    <row r="3266" spans="2:2">
      <c r="B3266" s="17"/>
    </row>
    <row r="3267" spans="2:2">
      <c r="B3267" s="17"/>
    </row>
    <row r="3268" spans="2:2">
      <c r="B3268" s="17"/>
    </row>
    <row r="3269" spans="2:2">
      <c r="B3269" s="17"/>
    </row>
    <row r="3270" spans="2:2">
      <c r="B3270" s="17"/>
    </row>
    <row r="3271" spans="2:2">
      <c r="B3271" s="17"/>
    </row>
    <row r="3272" spans="2:2">
      <c r="B3272" s="17"/>
    </row>
    <row r="3273" spans="2:2">
      <c r="B3273" s="17"/>
    </row>
    <row r="3274" spans="2:2">
      <c r="B3274" s="17"/>
    </row>
    <row r="3275" spans="2:2">
      <c r="B3275" s="17"/>
    </row>
    <row r="3276" spans="2:2">
      <c r="B3276" s="17"/>
    </row>
    <row r="3277" spans="2:2">
      <c r="B3277" s="17"/>
    </row>
    <row r="3278" spans="2:2">
      <c r="B3278" s="17"/>
    </row>
    <row r="3279" spans="2:2">
      <c r="B3279" s="17"/>
    </row>
    <row r="3280" spans="2:2">
      <c r="B3280" s="17"/>
    </row>
    <row r="3281" spans="2:2">
      <c r="B3281" s="17"/>
    </row>
    <row r="3282" spans="2:2">
      <c r="B3282" s="17"/>
    </row>
    <row r="3283" spans="2:2">
      <c r="B3283" s="17"/>
    </row>
    <row r="3284" spans="2:2">
      <c r="B3284" s="17"/>
    </row>
    <row r="3285" spans="2:2">
      <c r="B3285" s="17"/>
    </row>
    <row r="3286" spans="2:2">
      <c r="B3286" s="17"/>
    </row>
    <row r="3287" spans="2:2">
      <c r="B3287" s="17"/>
    </row>
    <row r="3288" spans="2:2">
      <c r="B3288" s="17"/>
    </row>
    <row r="3289" spans="2:2">
      <c r="B3289" s="17"/>
    </row>
    <row r="3290" spans="2:2">
      <c r="B3290" s="17"/>
    </row>
    <row r="3291" spans="2:2">
      <c r="B3291" s="17"/>
    </row>
    <row r="3292" spans="2:2">
      <c r="B3292" s="17"/>
    </row>
    <row r="3293" spans="2:2">
      <c r="B3293" s="17"/>
    </row>
    <row r="3294" spans="2:2">
      <c r="B3294" s="17"/>
    </row>
    <row r="3295" spans="2:2">
      <c r="B3295" s="17"/>
    </row>
    <row r="3296" spans="2:2">
      <c r="B3296" s="17"/>
    </row>
    <row r="3297" spans="2:2">
      <c r="B3297" s="17"/>
    </row>
    <row r="3298" spans="2:2">
      <c r="B3298" s="17"/>
    </row>
    <row r="3299" spans="2:2">
      <c r="B3299" s="17"/>
    </row>
    <row r="3300" spans="2:2">
      <c r="B3300" s="17"/>
    </row>
    <row r="3301" spans="2:2">
      <c r="B3301" s="17"/>
    </row>
    <row r="3302" spans="2:2">
      <c r="B3302" s="17"/>
    </row>
    <row r="3303" spans="2:2">
      <c r="B3303" s="17"/>
    </row>
    <row r="3304" spans="2:2">
      <c r="B3304" s="17"/>
    </row>
    <row r="3305" spans="2:2">
      <c r="B3305" s="17"/>
    </row>
    <row r="3306" spans="2:2">
      <c r="B3306" s="17"/>
    </row>
    <row r="3307" spans="2:2">
      <c r="B3307" s="17"/>
    </row>
    <row r="3308" spans="2:2">
      <c r="B3308" s="17"/>
    </row>
    <row r="3309" spans="2:2">
      <c r="B3309" s="17"/>
    </row>
    <row r="3310" spans="2:2">
      <c r="B3310" s="17"/>
    </row>
    <row r="3311" spans="2:2">
      <c r="B3311" s="17"/>
    </row>
    <row r="3312" spans="2:2">
      <c r="B3312" s="17"/>
    </row>
    <row r="3313" spans="2:2">
      <c r="B3313" s="17"/>
    </row>
    <row r="3314" spans="2:2">
      <c r="B3314" s="17"/>
    </row>
    <row r="3315" spans="2:2">
      <c r="B3315" s="17"/>
    </row>
    <row r="3316" spans="2:2">
      <c r="B3316" s="17"/>
    </row>
    <row r="3317" spans="2:2">
      <c r="B3317" s="17"/>
    </row>
    <row r="3318" spans="2:2">
      <c r="B3318" s="17"/>
    </row>
    <row r="3319" spans="2:2">
      <c r="B3319" s="17"/>
    </row>
    <row r="3320" spans="2:2">
      <c r="B3320" s="17"/>
    </row>
    <row r="3321" spans="2:2">
      <c r="B3321" s="17"/>
    </row>
    <row r="3322" spans="2:2">
      <c r="B3322" s="17"/>
    </row>
    <row r="3323" spans="2:2">
      <c r="B3323" s="17"/>
    </row>
    <row r="3324" spans="2:2">
      <c r="B3324" s="17"/>
    </row>
    <row r="3325" spans="2:2">
      <c r="B3325" s="17"/>
    </row>
    <row r="3326" spans="2:2">
      <c r="B3326" s="17"/>
    </row>
    <row r="3327" spans="2:2">
      <c r="B3327" s="17"/>
    </row>
    <row r="3328" spans="2:2">
      <c r="B3328" s="17"/>
    </row>
    <row r="3329" spans="2:2">
      <c r="B3329" s="17"/>
    </row>
    <row r="3330" spans="2:2">
      <c r="B3330" s="17"/>
    </row>
    <row r="3331" spans="2:2">
      <c r="B3331" s="17"/>
    </row>
    <row r="3332" spans="2:2">
      <c r="B3332" s="17"/>
    </row>
    <row r="3333" spans="2:2">
      <c r="B3333" s="17"/>
    </row>
    <row r="3334" spans="2:2">
      <c r="B3334" s="17"/>
    </row>
    <row r="3335" spans="2:2">
      <c r="B3335" s="17"/>
    </row>
    <row r="3336" spans="2:2">
      <c r="B3336" s="17"/>
    </row>
    <row r="3337" spans="2:2">
      <c r="B3337" s="17"/>
    </row>
    <row r="3338" spans="2:2">
      <c r="B3338" s="17"/>
    </row>
    <row r="3339" spans="2:2">
      <c r="B3339" s="17"/>
    </row>
    <row r="3340" spans="2:2">
      <c r="B3340" s="17"/>
    </row>
    <row r="3341" spans="2:2">
      <c r="B3341" s="17"/>
    </row>
    <row r="3342" spans="2:2">
      <c r="B3342" s="17"/>
    </row>
    <row r="3343" spans="2:2">
      <c r="B3343" s="17"/>
    </row>
    <row r="3344" spans="2:2">
      <c r="B3344" s="17"/>
    </row>
    <row r="3345" spans="2:2">
      <c r="B3345" s="17"/>
    </row>
    <row r="3346" spans="2:2">
      <c r="B3346" s="17"/>
    </row>
    <row r="3347" spans="2:2">
      <c r="B3347" s="17"/>
    </row>
    <row r="3348" spans="2:2">
      <c r="B3348" s="17"/>
    </row>
    <row r="3349" spans="2:2">
      <c r="B3349" s="17"/>
    </row>
    <row r="3350" spans="2:2">
      <c r="B3350" s="17"/>
    </row>
    <row r="3351" spans="2:2">
      <c r="B3351" s="17"/>
    </row>
    <row r="3352" spans="2:2">
      <c r="B3352" s="17"/>
    </row>
    <row r="3353" spans="2:2">
      <c r="B3353" s="17"/>
    </row>
    <row r="3354" spans="2:2">
      <c r="B3354" s="17"/>
    </row>
    <row r="3355" spans="2:2">
      <c r="B3355" s="17"/>
    </row>
    <row r="3356" spans="2:2">
      <c r="B3356" s="17"/>
    </row>
    <row r="3357" spans="2:2">
      <c r="B3357" s="17"/>
    </row>
    <row r="3358" spans="2:2">
      <c r="B3358" s="17"/>
    </row>
    <row r="3359" spans="2:2">
      <c r="B3359" s="17"/>
    </row>
    <row r="3360" spans="2:2">
      <c r="B3360" s="17"/>
    </row>
    <row r="3361" spans="2:2">
      <c r="B3361" s="17"/>
    </row>
    <row r="3362" spans="2:2">
      <c r="B3362" s="17"/>
    </row>
    <row r="3363" spans="2:2">
      <c r="B3363" s="17"/>
    </row>
    <row r="3364" spans="2:2">
      <c r="B3364" s="17"/>
    </row>
    <row r="3365" spans="2:2">
      <c r="B3365" s="17"/>
    </row>
    <row r="3366" spans="2:2">
      <c r="B3366" s="17"/>
    </row>
    <row r="3367" spans="2:2">
      <c r="B3367" s="17"/>
    </row>
    <row r="3368" spans="2:2">
      <c r="B3368" s="17"/>
    </row>
    <row r="3369" spans="2:2">
      <c r="B3369" s="17"/>
    </row>
    <row r="3370" spans="2:2">
      <c r="B3370" s="17"/>
    </row>
    <row r="3371" spans="2:2">
      <c r="B3371" s="17"/>
    </row>
    <row r="3372" spans="2:2">
      <c r="B3372" s="17"/>
    </row>
    <row r="3373" spans="2:2">
      <c r="B3373" s="17"/>
    </row>
    <row r="3374" spans="2:2">
      <c r="B3374" s="17"/>
    </row>
    <row r="3375" spans="2:2">
      <c r="B3375" s="17"/>
    </row>
    <row r="3376" spans="2:2">
      <c r="B3376" s="17"/>
    </row>
    <row r="3377" spans="2:2">
      <c r="B3377" s="17"/>
    </row>
    <row r="3378" spans="2:2">
      <c r="B3378" s="17"/>
    </row>
    <row r="3379" spans="2:2">
      <c r="B3379" s="17"/>
    </row>
    <row r="3380" spans="2:2">
      <c r="B3380" s="17"/>
    </row>
    <row r="3381" spans="2:2">
      <c r="B3381" s="17"/>
    </row>
    <row r="3382" spans="2:2">
      <c r="B3382" s="17"/>
    </row>
    <row r="3383" spans="2:2">
      <c r="B3383" s="17"/>
    </row>
    <row r="3384" spans="2:2">
      <c r="B3384" s="17"/>
    </row>
    <row r="3385" spans="2:2">
      <c r="B3385" s="17"/>
    </row>
    <row r="3386" spans="2:2">
      <c r="B3386" s="17"/>
    </row>
    <row r="3387" spans="2:2">
      <c r="B3387" s="17"/>
    </row>
    <row r="3388" spans="2:2">
      <c r="B3388" s="17"/>
    </row>
    <row r="3389" spans="2:2">
      <c r="B3389" s="17"/>
    </row>
    <row r="3390" spans="2:2">
      <c r="B3390" s="17"/>
    </row>
    <row r="3391" spans="2:2">
      <c r="B3391" s="17"/>
    </row>
    <row r="3392" spans="2:2">
      <c r="B3392" s="17"/>
    </row>
    <row r="3393" spans="2:2">
      <c r="B3393" s="17"/>
    </row>
    <row r="3394" spans="2:2">
      <c r="B3394" s="17"/>
    </row>
    <row r="3395" spans="2:2">
      <c r="B3395" s="17"/>
    </row>
    <row r="3396" spans="2:2">
      <c r="B3396" s="17"/>
    </row>
    <row r="3397" spans="2:2">
      <c r="B3397" s="17"/>
    </row>
    <row r="3398" spans="2:2">
      <c r="B3398" s="17"/>
    </row>
    <row r="3399" spans="2:2">
      <c r="B3399" s="17"/>
    </row>
    <row r="3400" spans="2:2">
      <c r="B3400" s="17"/>
    </row>
    <row r="3401" spans="2:2">
      <c r="B3401" s="17"/>
    </row>
    <row r="3402" spans="2:2">
      <c r="B3402" s="17"/>
    </row>
    <row r="3403" spans="2:2">
      <c r="B3403" s="17"/>
    </row>
    <row r="3404" spans="2:2">
      <c r="B3404" s="17"/>
    </row>
    <row r="3405" spans="2:2">
      <c r="B3405" s="17"/>
    </row>
    <row r="3406" spans="2:2">
      <c r="B3406" s="17"/>
    </row>
    <row r="3407" spans="2:2">
      <c r="B3407" s="17"/>
    </row>
    <row r="3408" spans="2:2">
      <c r="B3408" s="17"/>
    </row>
    <row r="3409" spans="2:2">
      <c r="B3409" s="17"/>
    </row>
    <row r="3410" spans="2:2">
      <c r="B3410" s="17"/>
    </row>
    <row r="3411" spans="2:2">
      <c r="B3411" s="17"/>
    </row>
    <row r="3412" spans="2:2">
      <c r="B3412" s="17"/>
    </row>
    <row r="3413" spans="2:2">
      <c r="B3413" s="17"/>
    </row>
    <row r="3414" spans="2:2">
      <c r="B3414" s="17"/>
    </row>
    <row r="3415" spans="2:2">
      <c r="B3415" s="17"/>
    </row>
    <row r="3416" spans="2:2">
      <c r="B3416" s="17"/>
    </row>
    <row r="3417" spans="2:2">
      <c r="B3417" s="17"/>
    </row>
    <row r="3418" spans="2:2">
      <c r="B3418" s="17"/>
    </row>
    <row r="3419" spans="2:2">
      <c r="B3419" s="17"/>
    </row>
    <row r="3420" spans="2:2">
      <c r="B3420" s="17"/>
    </row>
    <row r="3421" spans="2:2">
      <c r="B3421" s="17"/>
    </row>
    <row r="3422" spans="2:2">
      <c r="B3422" s="17"/>
    </row>
    <row r="3423" spans="2:2">
      <c r="B3423" s="17"/>
    </row>
    <row r="3424" spans="2:2">
      <c r="B3424" s="17"/>
    </row>
    <row r="3425" spans="2:2">
      <c r="B3425" s="17"/>
    </row>
    <row r="3426" spans="2:2">
      <c r="B3426" s="17"/>
    </row>
    <row r="3427" spans="2:2">
      <c r="B3427" s="17"/>
    </row>
    <row r="3428" spans="2:2">
      <c r="B3428" s="17"/>
    </row>
    <row r="3429" spans="2:2">
      <c r="B3429" s="17"/>
    </row>
    <row r="3430" spans="2:2">
      <c r="B3430" s="17"/>
    </row>
    <row r="3431" spans="2:2">
      <c r="B3431" s="17"/>
    </row>
    <row r="3432" spans="2:2">
      <c r="B3432" s="17"/>
    </row>
    <row r="3433" spans="2:2">
      <c r="B3433" s="17"/>
    </row>
    <row r="3434" spans="2:2">
      <c r="B3434" s="17"/>
    </row>
    <row r="3435" spans="2:2">
      <c r="B3435" s="17"/>
    </row>
    <row r="3436" spans="2:2">
      <c r="B3436" s="17"/>
    </row>
    <row r="3437" spans="2:2">
      <c r="B3437" s="17"/>
    </row>
    <row r="3438" spans="2:2">
      <c r="B3438" s="17"/>
    </row>
    <row r="3439" spans="2:2">
      <c r="B3439" s="17"/>
    </row>
    <row r="3440" spans="2:2">
      <c r="B3440" s="17"/>
    </row>
    <row r="3441" spans="2:2">
      <c r="B3441" s="17"/>
    </row>
    <row r="3442" spans="2:2">
      <c r="B3442" s="17"/>
    </row>
    <row r="3443" spans="2:2">
      <c r="B3443" s="17"/>
    </row>
    <row r="3444" spans="2:2">
      <c r="B3444" s="17"/>
    </row>
    <row r="3445" spans="2:2">
      <c r="B3445" s="17"/>
    </row>
    <row r="3446" spans="2:2">
      <c r="B3446" s="17"/>
    </row>
    <row r="3447" spans="2:2">
      <c r="B3447" s="17"/>
    </row>
    <row r="3448" spans="2:2">
      <c r="B3448" s="17"/>
    </row>
    <row r="3449" spans="2:2">
      <c r="B3449" s="17"/>
    </row>
    <row r="3450" spans="2:2">
      <c r="B3450" s="17"/>
    </row>
    <row r="3451" spans="2:2">
      <c r="B3451" s="17"/>
    </row>
    <row r="3452" spans="2:2">
      <c r="B3452" s="17"/>
    </row>
    <row r="3453" spans="2:2">
      <c r="B3453" s="17"/>
    </row>
    <row r="3454" spans="2:2">
      <c r="B3454" s="17"/>
    </row>
    <row r="3455" spans="2:2">
      <c r="B3455" s="17"/>
    </row>
    <row r="3456" spans="2:2">
      <c r="B3456" s="17"/>
    </row>
    <row r="3457" spans="2:2">
      <c r="B3457" s="17"/>
    </row>
    <row r="3458" spans="2:2">
      <c r="B3458" s="17"/>
    </row>
    <row r="3459" spans="2:2">
      <c r="B3459" s="17"/>
    </row>
    <row r="3460" spans="2:2">
      <c r="B3460" s="17"/>
    </row>
    <row r="3461" spans="2:2">
      <c r="B3461" s="17"/>
    </row>
    <row r="3462" spans="2:2">
      <c r="B3462" s="17"/>
    </row>
    <row r="3463" spans="2:2">
      <c r="B3463" s="17"/>
    </row>
    <row r="3464" spans="2:2">
      <c r="B3464" s="17"/>
    </row>
    <row r="3465" spans="2:2">
      <c r="B3465" s="17"/>
    </row>
    <row r="3466" spans="2:2">
      <c r="B3466" s="17"/>
    </row>
    <row r="3467" spans="2:2">
      <c r="B3467" s="17"/>
    </row>
    <row r="3468" spans="2:2">
      <c r="B3468" s="17"/>
    </row>
    <row r="3469" spans="2:2">
      <c r="B3469" s="17"/>
    </row>
    <row r="3470" spans="2:2">
      <c r="B3470" s="17"/>
    </row>
    <row r="3471" spans="2:2">
      <c r="B3471" s="17"/>
    </row>
    <row r="3472" spans="2:2">
      <c r="B3472" s="17"/>
    </row>
    <row r="3473" spans="2:2">
      <c r="B3473" s="17"/>
    </row>
    <row r="3474" spans="2:2">
      <c r="B3474" s="17"/>
    </row>
    <row r="3475" spans="2:2">
      <c r="B3475" s="17"/>
    </row>
    <row r="3476" spans="2:2">
      <c r="B3476" s="17"/>
    </row>
    <row r="3477" spans="2:2">
      <c r="B3477" s="17"/>
    </row>
    <row r="3478" spans="2:2">
      <c r="B3478" s="17"/>
    </row>
    <row r="3479" spans="2:2">
      <c r="B3479" s="17"/>
    </row>
    <row r="3480" spans="2:2">
      <c r="B3480" s="17"/>
    </row>
    <row r="3481" spans="2:2">
      <c r="B3481" s="17"/>
    </row>
    <row r="3482" spans="2:2">
      <c r="B3482" s="17"/>
    </row>
    <row r="3483" spans="2:2">
      <c r="B3483" s="17"/>
    </row>
    <row r="3484" spans="2:2">
      <c r="B3484" s="17"/>
    </row>
    <row r="3485" spans="2:2">
      <c r="B3485" s="17"/>
    </row>
    <row r="3486" spans="2:2">
      <c r="B3486" s="17"/>
    </row>
    <row r="3487" spans="2:2">
      <c r="B3487" s="17"/>
    </row>
    <row r="3488" spans="2:2">
      <c r="B3488" s="17"/>
    </row>
    <row r="3489" spans="2:2">
      <c r="B3489" s="17"/>
    </row>
    <row r="3490" spans="2:2">
      <c r="B3490" s="17"/>
    </row>
    <row r="3491" spans="2:2">
      <c r="B3491" s="17"/>
    </row>
    <row r="3492" spans="2:2">
      <c r="B3492" s="17"/>
    </row>
    <row r="3493" spans="2:2">
      <c r="B3493" s="17"/>
    </row>
    <row r="3494" spans="2:2">
      <c r="B3494" s="17"/>
    </row>
    <row r="3495" spans="2:2">
      <c r="B3495" s="17"/>
    </row>
    <row r="3496" spans="2:2">
      <c r="B3496" s="17"/>
    </row>
    <row r="3497" spans="2:2">
      <c r="B3497" s="17"/>
    </row>
    <row r="3498" spans="2:2">
      <c r="B3498" s="17"/>
    </row>
    <row r="3499" spans="2:2">
      <c r="B3499" s="17"/>
    </row>
    <row r="3500" spans="2:2">
      <c r="B3500" s="17"/>
    </row>
    <row r="3501" spans="2:2">
      <c r="B3501" s="17"/>
    </row>
    <row r="3502" spans="2:2">
      <c r="B3502" s="17"/>
    </row>
    <row r="3503" spans="2:2">
      <c r="B3503" s="17"/>
    </row>
    <row r="3504" spans="2:2">
      <c r="B3504" s="17"/>
    </row>
    <row r="3505" spans="2:2">
      <c r="B3505" s="17"/>
    </row>
    <row r="3506" spans="2:2">
      <c r="B3506" s="17"/>
    </row>
    <row r="3507" spans="2:2">
      <c r="B3507" s="17"/>
    </row>
    <row r="3508" spans="2:2">
      <c r="B3508" s="17"/>
    </row>
    <row r="3509" spans="2:2">
      <c r="B3509" s="17"/>
    </row>
    <row r="3510" spans="2:2">
      <c r="B3510" s="17"/>
    </row>
    <row r="3511" spans="2:2">
      <c r="B3511" s="17"/>
    </row>
    <row r="3512" spans="2:2">
      <c r="B3512" s="17"/>
    </row>
    <row r="3513" spans="2:2">
      <c r="B3513" s="17"/>
    </row>
    <row r="3514" spans="2:2">
      <c r="B3514" s="17"/>
    </row>
    <row r="3515" spans="2:2">
      <c r="B3515" s="17"/>
    </row>
    <row r="3516" spans="2:2">
      <c r="B3516" s="17"/>
    </row>
    <row r="3517" spans="2:2">
      <c r="B3517" s="17"/>
    </row>
    <row r="3518" spans="2:2">
      <c r="B3518" s="17"/>
    </row>
    <row r="3519" spans="2:2">
      <c r="B3519" s="17"/>
    </row>
    <row r="3520" spans="2:2">
      <c r="B3520" s="17"/>
    </row>
    <row r="3521" spans="2:2">
      <c r="B3521" s="17"/>
    </row>
    <row r="3522" spans="2:2">
      <c r="B3522" s="17"/>
    </row>
    <row r="3523" spans="2:2">
      <c r="B3523" s="17"/>
    </row>
    <row r="3524" spans="2:2">
      <c r="B3524" s="17"/>
    </row>
    <row r="3525" spans="2:2">
      <c r="B3525" s="17"/>
    </row>
    <row r="3526" spans="2:2">
      <c r="B3526" s="17"/>
    </row>
    <row r="3527" spans="2:2">
      <c r="B3527" s="17"/>
    </row>
    <row r="3528" spans="2:2">
      <c r="B3528" s="17"/>
    </row>
    <row r="3529" spans="2:2">
      <c r="B3529" s="17"/>
    </row>
    <row r="3530" spans="2:2">
      <c r="B3530" s="17"/>
    </row>
    <row r="3531" spans="2:2">
      <c r="B3531" s="17"/>
    </row>
    <row r="3532" spans="2:2">
      <c r="B3532" s="17"/>
    </row>
    <row r="3533" spans="2:2">
      <c r="B3533" s="17"/>
    </row>
    <row r="3534" spans="2:2">
      <c r="B3534" s="17"/>
    </row>
    <row r="3535" spans="2:2">
      <c r="B3535" s="17"/>
    </row>
    <row r="3536" spans="2:2">
      <c r="B3536" s="17"/>
    </row>
    <row r="3537" spans="2:2">
      <c r="B3537" s="17"/>
    </row>
    <row r="3538" spans="2:2">
      <c r="B3538" s="17"/>
    </row>
    <row r="3539" spans="2:2">
      <c r="B3539" s="17"/>
    </row>
    <row r="3540" spans="2:2">
      <c r="B3540" s="17"/>
    </row>
    <row r="3541" spans="2:2">
      <c r="B3541" s="17"/>
    </row>
    <row r="3542" spans="2:2">
      <c r="B3542" s="17"/>
    </row>
    <row r="3543" spans="2:2">
      <c r="B3543" s="17"/>
    </row>
    <row r="3544" spans="2:2">
      <c r="B3544" s="17"/>
    </row>
    <row r="3545" spans="2:2">
      <c r="B3545" s="17"/>
    </row>
    <row r="3546" spans="2:2">
      <c r="B3546" s="17"/>
    </row>
    <row r="3547" spans="2:2">
      <c r="B3547" s="17"/>
    </row>
    <row r="3548" spans="2:2">
      <c r="B3548" s="17"/>
    </row>
    <row r="3549" spans="2:2">
      <c r="B3549" s="17"/>
    </row>
    <row r="3550" spans="2:2">
      <c r="B3550" s="17"/>
    </row>
    <row r="3551" spans="2:2">
      <c r="B3551" s="17"/>
    </row>
    <row r="3552" spans="2:2">
      <c r="B3552" s="17"/>
    </row>
    <row r="3553" spans="2:2">
      <c r="B3553" s="17"/>
    </row>
    <row r="3554" spans="2:2">
      <c r="B3554" s="17"/>
    </row>
    <row r="3555" spans="2:2">
      <c r="B3555" s="17"/>
    </row>
    <row r="3556" spans="2:2">
      <c r="B3556" s="17"/>
    </row>
    <row r="3557" spans="2:2">
      <c r="B3557" s="17"/>
    </row>
    <row r="3558" spans="2:2">
      <c r="B3558" s="17"/>
    </row>
    <row r="3559" spans="2:2">
      <c r="B3559" s="17"/>
    </row>
    <row r="3560" spans="2:2">
      <c r="B3560" s="17"/>
    </row>
    <row r="3561" spans="2:2">
      <c r="B3561" s="17"/>
    </row>
    <row r="3562" spans="2:2">
      <c r="B3562" s="17"/>
    </row>
    <row r="3563" spans="2:2">
      <c r="B3563" s="17"/>
    </row>
    <row r="3564" spans="2:2">
      <c r="B3564" s="17"/>
    </row>
    <row r="3565" spans="2:2">
      <c r="B3565" s="17"/>
    </row>
    <row r="3566" spans="2:2">
      <c r="B3566" s="17"/>
    </row>
    <row r="3567" spans="2:2">
      <c r="B3567" s="17"/>
    </row>
    <row r="3568" spans="2:2">
      <c r="B3568" s="17"/>
    </row>
    <row r="3569" spans="2:2">
      <c r="B3569" s="17"/>
    </row>
    <row r="3570" spans="2:2">
      <c r="B3570" s="17"/>
    </row>
    <row r="3571" spans="2:2">
      <c r="B3571" s="17"/>
    </row>
    <row r="3572" spans="2:2">
      <c r="B3572" s="17"/>
    </row>
    <row r="3573" spans="2:2">
      <c r="B3573" s="17"/>
    </row>
    <row r="3574" spans="2:2">
      <c r="B3574" s="17"/>
    </row>
    <row r="3575" spans="2:2">
      <c r="B3575" s="17"/>
    </row>
    <row r="3576" spans="2:2">
      <c r="B3576" s="17"/>
    </row>
    <row r="3577" spans="2:2">
      <c r="B3577" s="17"/>
    </row>
    <row r="3578" spans="2:2">
      <c r="B3578" s="17"/>
    </row>
    <row r="3579" spans="2:2">
      <c r="B3579" s="17"/>
    </row>
    <row r="3580" spans="2:2">
      <c r="B3580" s="17"/>
    </row>
    <row r="3581" spans="2:2">
      <c r="B3581" s="17"/>
    </row>
    <row r="3582" spans="2:2">
      <c r="B3582" s="17"/>
    </row>
    <row r="3583" spans="2:2">
      <c r="B3583" s="17"/>
    </row>
    <row r="3584" spans="2:2">
      <c r="B3584" s="17"/>
    </row>
    <row r="3585" spans="2:2">
      <c r="B3585" s="17"/>
    </row>
    <row r="3586" spans="2:2">
      <c r="B3586" s="17"/>
    </row>
    <row r="3587" spans="2:2">
      <c r="B3587" s="17"/>
    </row>
    <row r="3588" spans="2:2">
      <c r="B3588" s="17"/>
    </row>
    <row r="3589" spans="2:2">
      <c r="B3589" s="17"/>
    </row>
    <row r="3590" spans="2:2">
      <c r="B3590" s="17"/>
    </row>
    <row r="3591" spans="2:2">
      <c r="B3591" s="17"/>
    </row>
    <row r="3592" spans="2:2">
      <c r="B3592" s="17"/>
    </row>
    <row r="3593" spans="2:2">
      <c r="B3593" s="17"/>
    </row>
    <row r="3594" spans="2:2">
      <c r="B3594" s="17"/>
    </row>
    <row r="3595" spans="2:2">
      <c r="B3595" s="17"/>
    </row>
    <row r="3596" spans="2:2">
      <c r="B3596" s="17"/>
    </row>
    <row r="3597" spans="2:2">
      <c r="B3597" s="17"/>
    </row>
    <row r="3598" spans="2:2">
      <c r="B3598" s="17"/>
    </row>
    <row r="3599" spans="2:2">
      <c r="B3599" s="17"/>
    </row>
    <row r="3600" spans="2:2">
      <c r="B3600" s="17"/>
    </row>
    <row r="3601" spans="2:2">
      <c r="B3601" s="17"/>
    </row>
    <row r="3602" spans="2:2">
      <c r="B3602" s="17"/>
    </row>
    <row r="3603" spans="2:2">
      <c r="B3603" s="17"/>
    </row>
    <row r="3604" spans="2:2">
      <c r="B3604" s="17"/>
    </row>
    <row r="3605" spans="2:2">
      <c r="B3605" s="17"/>
    </row>
    <row r="3606" spans="2:2">
      <c r="B3606" s="17"/>
    </row>
    <row r="3607" spans="2:2">
      <c r="B3607" s="17"/>
    </row>
    <row r="3608" spans="2:2">
      <c r="B3608" s="17"/>
    </row>
    <row r="3609" spans="2:2">
      <c r="B3609" s="17"/>
    </row>
    <row r="3610" spans="2:2">
      <c r="B3610" s="17"/>
    </row>
    <row r="3611" spans="2:2">
      <c r="B3611" s="17"/>
    </row>
    <row r="3612" spans="2:2">
      <c r="B3612" s="17"/>
    </row>
    <row r="3613" spans="2:2">
      <c r="B3613" s="17"/>
    </row>
    <row r="3614" spans="2:2">
      <c r="B3614" s="17"/>
    </row>
    <row r="3615" spans="2:2">
      <c r="B3615" s="17"/>
    </row>
    <row r="3616" spans="2:2">
      <c r="B3616" s="17"/>
    </row>
    <row r="3617" spans="2:2">
      <c r="B3617" s="17"/>
    </row>
    <row r="3618" spans="2:2">
      <c r="B3618" s="17"/>
    </row>
    <row r="3619" spans="2:2">
      <c r="B3619" s="17"/>
    </row>
    <row r="3620" spans="2:2">
      <c r="B3620" s="17"/>
    </row>
    <row r="3621" spans="2:2">
      <c r="B3621" s="17"/>
    </row>
    <row r="3622" spans="2:2">
      <c r="B3622" s="17"/>
    </row>
    <row r="3623" spans="2:2">
      <c r="B3623" s="17"/>
    </row>
    <row r="3624" spans="2:2">
      <c r="B3624" s="17"/>
    </row>
    <row r="3625" spans="2:2">
      <c r="B3625" s="17"/>
    </row>
    <row r="3626" spans="2:2">
      <c r="B3626" s="17"/>
    </row>
    <row r="3627" spans="2:2">
      <c r="B3627" s="17"/>
    </row>
    <row r="3628" spans="2:2">
      <c r="B3628" s="17"/>
    </row>
    <row r="3629" spans="2:2">
      <c r="B3629" s="17"/>
    </row>
    <row r="3630" spans="2:2">
      <c r="B3630" s="17"/>
    </row>
    <row r="3631" spans="2:2">
      <c r="B3631" s="17"/>
    </row>
    <row r="3632" spans="2:2">
      <c r="B3632" s="17"/>
    </row>
    <row r="3633" spans="2:2">
      <c r="B3633" s="17"/>
    </row>
    <row r="3634" spans="2:2">
      <c r="B3634" s="17"/>
    </row>
    <row r="3635" spans="2:2">
      <c r="B3635" s="17"/>
    </row>
    <row r="3636" spans="2:2">
      <c r="B3636" s="17"/>
    </row>
    <row r="3637" spans="2:2">
      <c r="B3637" s="17"/>
    </row>
    <row r="3638" spans="2:2">
      <c r="B3638" s="17"/>
    </row>
    <row r="3639" spans="2:2">
      <c r="B3639" s="17"/>
    </row>
    <row r="3640" spans="2:2">
      <c r="B3640" s="17"/>
    </row>
    <row r="3641" spans="2:2">
      <c r="B3641" s="17"/>
    </row>
    <row r="3642" spans="2:2">
      <c r="B3642" s="17"/>
    </row>
    <row r="3643" spans="2:2">
      <c r="B3643" s="17"/>
    </row>
    <row r="3644" spans="2:2">
      <c r="B3644" s="17"/>
    </row>
    <row r="3645" spans="2:2">
      <c r="B3645" s="17"/>
    </row>
    <row r="3646" spans="2:2">
      <c r="B3646" s="17"/>
    </row>
    <row r="3647" spans="2:2">
      <c r="B3647" s="17"/>
    </row>
    <row r="3648" spans="2:2">
      <c r="B3648" s="17"/>
    </row>
    <row r="3649" spans="2:2">
      <c r="B3649" s="17"/>
    </row>
    <row r="3650" spans="2:2">
      <c r="B3650" s="17"/>
    </row>
    <row r="3651" spans="2:2">
      <c r="B3651" s="17"/>
    </row>
    <row r="3652" spans="2:2">
      <c r="B3652" s="17"/>
    </row>
    <row r="3653" spans="2:2">
      <c r="B3653" s="17"/>
    </row>
    <row r="3654" spans="2:2">
      <c r="B3654" s="17"/>
    </row>
    <row r="3655" spans="2:2">
      <c r="B3655" s="17"/>
    </row>
    <row r="3656" spans="2:2">
      <c r="B3656" s="17"/>
    </row>
    <row r="3657" spans="2:2">
      <c r="B3657" s="17"/>
    </row>
    <row r="3658" spans="2:2">
      <c r="B3658" s="17"/>
    </row>
    <row r="3659" spans="2:2">
      <c r="B3659" s="17"/>
    </row>
    <row r="3660" spans="2:2">
      <c r="B3660" s="17"/>
    </row>
    <row r="3661" spans="2:2">
      <c r="B3661" s="17"/>
    </row>
    <row r="3662" spans="2:2">
      <c r="B3662" s="17"/>
    </row>
    <row r="3663" spans="2:2">
      <c r="B3663" s="17"/>
    </row>
    <row r="3664" spans="2:2">
      <c r="B3664" s="17"/>
    </row>
    <row r="3665" spans="2:2">
      <c r="B3665" s="17"/>
    </row>
    <row r="3666" spans="2:2">
      <c r="B3666" s="17"/>
    </row>
    <row r="3667" spans="2:2">
      <c r="B3667" s="17"/>
    </row>
    <row r="3668" spans="2:2">
      <c r="B3668" s="17"/>
    </row>
    <row r="3669" spans="2:2">
      <c r="B3669" s="17"/>
    </row>
    <row r="3670" spans="2:2">
      <c r="B3670" s="17"/>
    </row>
    <row r="3671" spans="2:2">
      <c r="B3671" s="17"/>
    </row>
    <row r="3672" spans="2:2">
      <c r="B3672" s="17"/>
    </row>
    <row r="3673" spans="2:2">
      <c r="B3673" s="17"/>
    </row>
    <row r="3674" spans="2:2">
      <c r="B3674" s="17"/>
    </row>
    <row r="3675" spans="2:2">
      <c r="B3675" s="17"/>
    </row>
    <row r="3676" spans="2:2">
      <c r="B3676" s="17"/>
    </row>
    <row r="3677" spans="2:2">
      <c r="B3677" s="17"/>
    </row>
    <row r="3678" spans="2:2">
      <c r="B3678" s="17"/>
    </row>
    <row r="3679" spans="2:2">
      <c r="B3679" s="17"/>
    </row>
    <row r="3680" spans="2:2">
      <c r="B3680" s="17"/>
    </row>
    <row r="3681" spans="2:2">
      <c r="B3681" s="17"/>
    </row>
    <row r="3682" spans="2:2">
      <c r="B3682" s="17"/>
    </row>
    <row r="3683" spans="2:2">
      <c r="B3683" s="17"/>
    </row>
    <row r="3684" spans="2:2">
      <c r="B3684" s="17"/>
    </row>
    <row r="3685" spans="2:2">
      <c r="B3685" s="17"/>
    </row>
    <row r="3686" spans="2:2">
      <c r="B3686" s="17"/>
    </row>
    <row r="3687" spans="2:2">
      <c r="B3687" s="17"/>
    </row>
    <row r="3688" spans="2:2">
      <c r="B3688" s="17"/>
    </row>
    <row r="3689" spans="2:2">
      <c r="B3689" s="17"/>
    </row>
    <row r="3690" spans="2:2">
      <c r="B3690" s="17"/>
    </row>
    <row r="3691" spans="2:2">
      <c r="B3691" s="17"/>
    </row>
    <row r="3692" spans="2:2">
      <c r="B3692" s="17"/>
    </row>
    <row r="3693" spans="2:2">
      <c r="B3693" s="17"/>
    </row>
    <row r="3694" spans="2:2">
      <c r="B3694" s="17"/>
    </row>
    <row r="3695" spans="2:2">
      <c r="B3695" s="17"/>
    </row>
    <row r="3696" spans="2:2">
      <c r="B3696" s="17"/>
    </row>
    <row r="3697" spans="2:2">
      <c r="B3697" s="17"/>
    </row>
    <row r="3698" spans="2:2">
      <c r="B3698" s="17"/>
    </row>
    <row r="3699" spans="2:2">
      <c r="B3699" s="17"/>
    </row>
    <row r="3700" spans="2:2">
      <c r="B3700" s="17"/>
    </row>
    <row r="3701" spans="2:2">
      <c r="B3701" s="17"/>
    </row>
    <row r="3702" spans="2:2">
      <c r="B3702" s="17"/>
    </row>
    <row r="3703" spans="2:2">
      <c r="B3703" s="17"/>
    </row>
    <row r="3704" spans="2:2">
      <c r="B3704" s="17"/>
    </row>
    <row r="3705" spans="2:2">
      <c r="B3705" s="17"/>
    </row>
    <row r="3706" spans="2:2">
      <c r="B3706" s="17"/>
    </row>
    <row r="3707" spans="2:2">
      <c r="B3707" s="17"/>
    </row>
    <row r="3708" spans="2:2">
      <c r="B3708" s="17"/>
    </row>
    <row r="3709" spans="2:2">
      <c r="B3709" s="17"/>
    </row>
    <row r="3710" spans="2:2">
      <c r="B3710" s="17"/>
    </row>
    <row r="3711" spans="2:2">
      <c r="B3711" s="17"/>
    </row>
    <row r="3712" spans="2:2">
      <c r="B3712" s="17"/>
    </row>
    <row r="3713" spans="2:2">
      <c r="B3713" s="17"/>
    </row>
    <row r="3714" spans="2:2">
      <c r="B3714" s="17"/>
    </row>
    <row r="3715" spans="2:2">
      <c r="B3715" s="17"/>
    </row>
    <row r="3716" spans="2:2">
      <c r="B3716" s="17"/>
    </row>
    <row r="3717" spans="2:2">
      <c r="B3717" s="17"/>
    </row>
    <row r="3718" spans="2:2">
      <c r="B3718" s="17"/>
    </row>
    <row r="3719" spans="2:2">
      <c r="B3719" s="17"/>
    </row>
    <row r="3720" spans="2:2">
      <c r="B3720" s="17"/>
    </row>
    <row r="3721" spans="2:2">
      <c r="B3721" s="17"/>
    </row>
    <row r="3722" spans="2:2">
      <c r="B3722" s="17"/>
    </row>
    <row r="3723" spans="2:2">
      <c r="B3723" s="17"/>
    </row>
    <row r="3724" spans="2:2">
      <c r="B3724" s="17"/>
    </row>
    <row r="3725" spans="2:2">
      <c r="B3725" s="17"/>
    </row>
    <row r="3726" spans="2:2">
      <c r="B3726" s="17"/>
    </row>
    <row r="3727" spans="2:2">
      <c r="B3727" s="17"/>
    </row>
    <row r="3728" spans="2:2">
      <c r="B3728" s="17"/>
    </row>
    <row r="3729" spans="2:2">
      <c r="B3729" s="17"/>
    </row>
    <row r="3730" spans="2:2">
      <c r="B3730" s="17"/>
    </row>
    <row r="3731" spans="2:2">
      <c r="B3731" s="17"/>
    </row>
    <row r="3732" spans="2:2">
      <c r="B3732" s="17"/>
    </row>
    <row r="3733" spans="2:2">
      <c r="B3733" s="17"/>
    </row>
    <row r="3734" spans="2:2">
      <c r="B3734" s="17"/>
    </row>
    <row r="3735" spans="2:2">
      <c r="B3735" s="17"/>
    </row>
    <row r="3736" spans="2:2">
      <c r="B3736" s="17"/>
    </row>
    <row r="3737" spans="2:2">
      <c r="B3737" s="17"/>
    </row>
    <row r="3738" spans="2:2">
      <c r="B3738" s="17"/>
    </row>
    <row r="3739" spans="2:2">
      <c r="B3739" s="17"/>
    </row>
    <row r="3740" spans="2:2">
      <c r="B3740" s="17"/>
    </row>
    <row r="3741" spans="2:2">
      <c r="B3741" s="17"/>
    </row>
    <row r="3742" spans="2:2">
      <c r="B3742" s="17"/>
    </row>
    <row r="3743" spans="2:2">
      <c r="B3743" s="17"/>
    </row>
    <row r="3744" spans="2:2">
      <c r="B3744" s="17"/>
    </row>
    <row r="3745" spans="2:2">
      <c r="B3745" s="17"/>
    </row>
    <row r="3746" spans="2:2">
      <c r="B3746" s="17"/>
    </row>
    <row r="3747" spans="2:2">
      <c r="B3747" s="17"/>
    </row>
    <row r="3748" spans="2:2">
      <c r="B3748" s="17"/>
    </row>
    <row r="3749" spans="2:2">
      <c r="B3749" s="17"/>
    </row>
    <row r="3750" spans="2:2">
      <c r="B3750" s="17"/>
    </row>
    <row r="3751" spans="2:2">
      <c r="B3751" s="17"/>
    </row>
    <row r="3752" spans="2:2">
      <c r="B3752" s="17"/>
    </row>
    <row r="3753" spans="2:2">
      <c r="B3753" s="17"/>
    </row>
    <row r="3754" spans="2:2">
      <c r="B3754" s="17"/>
    </row>
    <row r="3755" spans="2:2">
      <c r="B3755" s="17"/>
    </row>
    <row r="3756" spans="2:2">
      <c r="B3756" s="17"/>
    </row>
    <row r="3757" spans="2:2">
      <c r="B3757" s="17"/>
    </row>
    <row r="3758" spans="2:2">
      <c r="B3758" s="17"/>
    </row>
    <row r="3759" spans="2:2">
      <c r="B3759" s="17"/>
    </row>
    <row r="3760" spans="2:2">
      <c r="B3760" s="17"/>
    </row>
    <row r="3761" spans="2:2">
      <c r="B3761" s="17"/>
    </row>
    <row r="3762" spans="2:2">
      <c r="B3762" s="17"/>
    </row>
    <row r="3763" spans="2:2">
      <c r="B3763" s="17"/>
    </row>
    <row r="3764" spans="2:2">
      <c r="B3764" s="17"/>
    </row>
    <row r="3765" spans="2:2">
      <c r="B3765" s="17"/>
    </row>
    <row r="3766" spans="2:2">
      <c r="B3766" s="17"/>
    </row>
    <row r="3767" spans="2:2">
      <c r="B3767" s="17"/>
    </row>
    <row r="3768" spans="2:2">
      <c r="B3768" s="17"/>
    </row>
    <row r="3769" spans="2:2">
      <c r="B3769" s="17"/>
    </row>
    <row r="3770" spans="2:2">
      <c r="B3770" s="17"/>
    </row>
    <row r="3771" spans="2:2">
      <c r="B3771" s="17"/>
    </row>
    <row r="3772" spans="2:2">
      <c r="B3772" s="17"/>
    </row>
    <row r="3773" spans="2:2">
      <c r="B3773" s="17"/>
    </row>
    <row r="3774" spans="2:2">
      <c r="B3774" s="17"/>
    </row>
    <row r="3775" spans="2:2">
      <c r="B3775" s="17"/>
    </row>
    <row r="3776" spans="2:2">
      <c r="B3776" s="17"/>
    </row>
    <row r="3777" spans="2:2">
      <c r="B3777" s="17"/>
    </row>
    <row r="3778" spans="2:2">
      <c r="B3778" s="17"/>
    </row>
    <row r="3779" spans="2:2">
      <c r="B3779" s="17"/>
    </row>
    <row r="3780" spans="2:2">
      <c r="B3780" s="17"/>
    </row>
    <row r="3781" spans="2:2">
      <c r="B3781" s="17"/>
    </row>
    <row r="3782" spans="2:2">
      <c r="B3782" s="17"/>
    </row>
    <row r="3783" spans="2:2">
      <c r="B3783" s="17"/>
    </row>
    <row r="3784" spans="2:2">
      <c r="B3784" s="17"/>
    </row>
    <row r="3785" spans="2:2">
      <c r="B3785" s="17"/>
    </row>
    <row r="3786" spans="2:2">
      <c r="B3786" s="17"/>
    </row>
    <row r="3787" spans="2:2">
      <c r="B3787" s="17"/>
    </row>
    <row r="3788" spans="2:2">
      <c r="B3788" s="17"/>
    </row>
    <row r="3789" spans="2:2">
      <c r="B3789" s="17"/>
    </row>
    <row r="3790" spans="2:2">
      <c r="B3790" s="17"/>
    </row>
    <row r="3791" spans="2:2">
      <c r="B3791" s="17"/>
    </row>
    <row r="3792" spans="2:2">
      <c r="B3792" s="17"/>
    </row>
    <row r="3793" spans="2:2">
      <c r="B3793" s="17"/>
    </row>
    <row r="3794" spans="2:2">
      <c r="B3794" s="17"/>
    </row>
    <row r="3795" spans="2:2">
      <c r="B3795" s="17"/>
    </row>
    <row r="3796" spans="2:2">
      <c r="B3796" s="17"/>
    </row>
    <row r="3797" spans="2:2">
      <c r="B3797" s="17"/>
    </row>
    <row r="3798" spans="2:2">
      <c r="B3798" s="17"/>
    </row>
    <row r="3799" spans="2:2">
      <c r="B3799" s="17"/>
    </row>
    <row r="3800" spans="2:2">
      <c r="B3800" s="17"/>
    </row>
    <row r="3801" spans="2:2">
      <c r="B3801" s="17"/>
    </row>
    <row r="3802" spans="2:2">
      <c r="B3802" s="17"/>
    </row>
    <row r="3803" spans="2:2">
      <c r="B3803" s="17"/>
    </row>
    <row r="3804" spans="2:2">
      <c r="B3804" s="17"/>
    </row>
    <row r="3805" spans="2:2">
      <c r="B3805" s="17"/>
    </row>
    <row r="3806" spans="2:2">
      <c r="B3806" s="17"/>
    </row>
    <row r="3807" spans="2:2">
      <c r="B3807" s="17"/>
    </row>
    <row r="3808" spans="2:2">
      <c r="B3808" s="17"/>
    </row>
    <row r="3809" spans="2:2">
      <c r="B3809" s="17"/>
    </row>
    <row r="3810" spans="2:2">
      <c r="B3810" s="17"/>
    </row>
    <row r="3811" spans="2:2">
      <c r="B3811" s="17"/>
    </row>
    <row r="3812" spans="2:2">
      <c r="B3812" s="17"/>
    </row>
    <row r="3813" spans="2:2">
      <c r="B3813" s="17"/>
    </row>
    <row r="3814" spans="2:2">
      <c r="B3814" s="17"/>
    </row>
    <row r="3815" spans="2:2">
      <c r="B3815" s="17"/>
    </row>
    <row r="3816" spans="2:2">
      <c r="B3816" s="17"/>
    </row>
    <row r="3817" spans="2:2">
      <c r="B3817" s="17"/>
    </row>
    <row r="3818" spans="2:2">
      <c r="B3818" s="17"/>
    </row>
    <row r="3819" spans="2:2">
      <c r="B3819" s="17"/>
    </row>
    <row r="3820" spans="2:2">
      <c r="B3820" s="17"/>
    </row>
    <row r="3821" spans="2:2">
      <c r="B3821" s="17"/>
    </row>
    <row r="3822" spans="2:2">
      <c r="B3822" s="17"/>
    </row>
    <row r="3823" spans="2:2">
      <c r="B3823" s="17"/>
    </row>
    <row r="3824" spans="2:2">
      <c r="B3824" s="17"/>
    </row>
    <row r="3825" spans="2:2">
      <c r="B3825" s="17"/>
    </row>
    <row r="3826" spans="2:2">
      <c r="B3826" s="17"/>
    </row>
    <row r="3827" spans="2:2">
      <c r="B3827" s="17"/>
    </row>
    <row r="3828" spans="2:2">
      <c r="B3828" s="17"/>
    </row>
    <row r="3829" spans="2:2">
      <c r="B3829" s="17"/>
    </row>
    <row r="3830" spans="2:2">
      <c r="B3830" s="17"/>
    </row>
    <row r="3831" spans="2:2">
      <c r="B3831" s="17"/>
    </row>
    <row r="3832" spans="2:2">
      <c r="B3832" s="17"/>
    </row>
    <row r="3833" spans="2:2">
      <c r="B3833" s="17"/>
    </row>
    <row r="3834" spans="2:2">
      <c r="B3834" s="17"/>
    </row>
    <row r="3835" spans="2:2">
      <c r="B3835" s="17"/>
    </row>
    <row r="3836" spans="2:2">
      <c r="B3836" s="17"/>
    </row>
    <row r="3837" spans="2:2">
      <c r="B3837" s="17"/>
    </row>
    <row r="3838" spans="2:2">
      <c r="B3838" s="17"/>
    </row>
    <row r="3839" spans="2:2">
      <c r="B3839" s="17"/>
    </row>
    <row r="3840" spans="2:2">
      <c r="B3840" s="17"/>
    </row>
    <row r="3841" spans="2:2">
      <c r="B3841" s="17"/>
    </row>
    <row r="3842" spans="2:2">
      <c r="B3842" s="17"/>
    </row>
    <row r="3843" spans="2:2">
      <c r="B3843" s="17"/>
    </row>
    <row r="3844" spans="2:2">
      <c r="B3844" s="17"/>
    </row>
    <row r="3845" spans="2:2">
      <c r="B3845" s="17"/>
    </row>
    <row r="3846" spans="2:2">
      <c r="B3846" s="17"/>
    </row>
    <row r="3847" spans="2:2">
      <c r="B3847" s="17"/>
    </row>
    <row r="3848" spans="2:2">
      <c r="B3848" s="17"/>
    </row>
    <row r="3849" spans="2:2">
      <c r="B3849" s="17"/>
    </row>
    <row r="3850" spans="2:2">
      <c r="B3850" s="17"/>
    </row>
    <row r="3851" spans="2:2">
      <c r="B3851" s="17"/>
    </row>
    <row r="3852" spans="2:2">
      <c r="B3852" s="17"/>
    </row>
    <row r="3853" spans="2:2">
      <c r="B3853" s="17"/>
    </row>
    <row r="3854" spans="2:2">
      <c r="B3854" s="17"/>
    </row>
    <row r="3855" spans="2:2">
      <c r="B3855" s="17"/>
    </row>
    <row r="3856" spans="2:2">
      <c r="B3856" s="17"/>
    </row>
    <row r="3857" spans="2:2">
      <c r="B3857" s="17"/>
    </row>
    <row r="3858" spans="2:2">
      <c r="B3858" s="17"/>
    </row>
    <row r="3859" spans="2:2">
      <c r="B3859" s="17"/>
    </row>
    <row r="3860" spans="2:2">
      <c r="B3860" s="17"/>
    </row>
    <row r="3861" spans="2:2">
      <c r="B3861" s="17"/>
    </row>
    <row r="3862" spans="2:2">
      <c r="B3862" s="17"/>
    </row>
    <row r="3863" spans="2:2">
      <c r="B3863" s="17"/>
    </row>
    <row r="3864" spans="2:2">
      <c r="B3864" s="17"/>
    </row>
    <row r="3865" spans="2:2">
      <c r="B3865" s="17"/>
    </row>
    <row r="3866" spans="2:2">
      <c r="B3866" s="17"/>
    </row>
    <row r="3867" spans="2:2">
      <c r="B3867" s="17"/>
    </row>
    <row r="3868" spans="2:2">
      <c r="B3868" s="17"/>
    </row>
    <row r="3869" spans="2:2">
      <c r="B3869" s="17"/>
    </row>
    <row r="3870" spans="2:2">
      <c r="B3870" s="17"/>
    </row>
    <row r="3871" spans="2:2">
      <c r="B3871" s="17"/>
    </row>
    <row r="3872" spans="2:2">
      <c r="B3872" s="17"/>
    </row>
    <row r="3873" spans="2:2">
      <c r="B3873" s="17"/>
    </row>
    <row r="3874" spans="2:2">
      <c r="B3874" s="17"/>
    </row>
    <row r="3875" spans="2:2">
      <c r="B3875" s="17"/>
    </row>
    <row r="3876" spans="2:2">
      <c r="B3876" s="17"/>
    </row>
    <row r="3877" spans="2:2">
      <c r="B3877" s="17"/>
    </row>
    <row r="3878" spans="2:2">
      <c r="B3878" s="17"/>
    </row>
    <row r="3879" spans="2:2">
      <c r="B3879" s="17"/>
    </row>
    <row r="3880" spans="2:2">
      <c r="B3880" s="17"/>
    </row>
    <row r="3881" spans="2:2">
      <c r="B3881" s="17"/>
    </row>
    <row r="3882" spans="2:2">
      <c r="B3882" s="17"/>
    </row>
    <row r="3883" spans="2:2">
      <c r="B3883" s="17"/>
    </row>
    <row r="3884" spans="2:2">
      <c r="B3884" s="17"/>
    </row>
    <row r="3885" spans="2:2">
      <c r="B3885" s="17"/>
    </row>
    <row r="3886" spans="2:2">
      <c r="B3886" s="17"/>
    </row>
    <row r="3887" spans="2:2">
      <c r="B3887" s="17"/>
    </row>
    <row r="3888" spans="2:2">
      <c r="B3888" s="17"/>
    </row>
    <row r="3889" spans="2:2">
      <c r="B3889" s="17"/>
    </row>
    <row r="3890" spans="2:2">
      <c r="B3890" s="17"/>
    </row>
    <row r="3891" spans="2:2">
      <c r="B3891" s="17"/>
    </row>
    <row r="3892" spans="2:2">
      <c r="B3892" s="17"/>
    </row>
    <row r="3893" spans="2:2">
      <c r="B3893" s="17"/>
    </row>
    <row r="3894" spans="2:2">
      <c r="B3894" s="17"/>
    </row>
    <row r="3895" spans="2:2">
      <c r="B3895" s="17"/>
    </row>
    <row r="3896" spans="2:2">
      <c r="B3896" s="17"/>
    </row>
    <row r="3897" spans="2:2">
      <c r="B3897" s="17"/>
    </row>
    <row r="3898" spans="2:2">
      <c r="B3898" s="17"/>
    </row>
    <row r="3899" spans="2:2">
      <c r="B3899" s="17"/>
    </row>
    <row r="3900" spans="2:2">
      <c r="B3900" s="17"/>
    </row>
    <row r="3901" spans="2:2">
      <c r="B3901" s="17"/>
    </row>
    <row r="3902" spans="2:2">
      <c r="B3902" s="17"/>
    </row>
    <row r="3903" spans="2:2">
      <c r="B3903" s="17"/>
    </row>
    <row r="3904" spans="2:2">
      <c r="B3904" s="17"/>
    </row>
    <row r="3905" spans="2:2">
      <c r="B3905" s="17"/>
    </row>
    <row r="3906" spans="2:2">
      <c r="B3906" s="17"/>
    </row>
    <row r="3907" spans="2:2">
      <c r="B3907" s="17"/>
    </row>
    <row r="3908" spans="2:2">
      <c r="B3908" s="17"/>
    </row>
    <row r="3909" spans="2:2">
      <c r="B3909" s="17"/>
    </row>
    <row r="3910" spans="2:2">
      <c r="B3910" s="17"/>
    </row>
    <row r="3911" spans="2:2">
      <c r="B3911" s="17"/>
    </row>
    <row r="3912" spans="2:2">
      <c r="B3912" s="17"/>
    </row>
    <row r="3913" spans="2:2">
      <c r="B3913" s="17"/>
    </row>
    <row r="3914" spans="2:2">
      <c r="B3914" s="17"/>
    </row>
    <row r="3915" spans="2:2">
      <c r="B3915" s="17"/>
    </row>
    <row r="3916" spans="2:2">
      <c r="B3916" s="17"/>
    </row>
    <row r="3917" spans="2:2">
      <c r="B3917" s="17"/>
    </row>
    <row r="3918" spans="2:2">
      <c r="B3918" s="17"/>
    </row>
    <row r="3919" spans="2:2">
      <c r="B3919" s="17"/>
    </row>
    <row r="3920" spans="2:2">
      <c r="B3920" s="17"/>
    </row>
    <row r="3921" spans="2:2">
      <c r="B3921" s="17"/>
    </row>
    <row r="3922" spans="2:2">
      <c r="B3922" s="17"/>
    </row>
    <row r="3923" spans="2:2">
      <c r="B3923" s="17"/>
    </row>
    <row r="3924" spans="2:2">
      <c r="B3924" s="17"/>
    </row>
    <row r="3925" spans="2:2">
      <c r="B3925" s="17"/>
    </row>
    <row r="3926" spans="2:2">
      <c r="B3926" s="17"/>
    </row>
    <row r="3927" spans="2:2">
      <c r="B3927" s="17"/>
    </row>
    <row r="3928" spans="2:2">
      <c r="B3928" s="17"/>
    </row>
    <row r="3929" spans="2:2">
      <c r="B3929" s="17"/>
    </row>
    <row r="3930" spans="2:2">
      <c r="B3930" s="17"/>
    </row>
    <row r="3931" spans="2:2">
      <c r="B3931" s="17"/>
    </row>
    <row r="3932" spans="2:2">
      <c r="B3932" s="17"/>
    </row>
    <row r="3933" spans="2:2">
      <c r="B3933" s="17"/>
    </row>
    <row r="3934" spans="2:2">
      <c r="B3934" s="17"/>
    </row>
    <row r="3935" spans="2:2">
      <c r="B3935" s="17"/>
    </row>
    <row r="3936" spans="2:2">
      <c r="B3936" s="17"/>
    </row>
    <row r="3937" spans="2:2">
      <c r="B3937" s="17"/>
    </row>
    <row r="3938" spans="2:2">
      <c r="B3938" s="17"/>
    </row>
    <row r="3939" spans="2:2">
      <c r="B3939" s="17"/>
    </row>
    <row r="3940" spans="2:2">
      <c r="B3940" s="17"/>
    </row>
    <row r="3941" spans="2:2">
      <c r="B3941" s="17"/>
    </row>
    <row r="3942" spans="2:2">
      <c r="B3942" s="17"/>
    </row>
    <row r="3943" spans="2:2">
      <c r="B3943" s="17"/>
    </row>
    <row r="3944" spans="2:2">
      <c r="B3944" s="17"/>
    </row>
    <row r="3945" spans="2:2">
      <c r="B3945" s="17"/>
    </row>
    <row r="3946" spans="2:2">
      <c r="B3946" s="17"/>
    </row>
    <row r="3947" spans="2:2">
      <c r="B3947" s="17"/>
    </row>
    <row r="3948" spans="2:2">
      <c r="B3948" s="17"/>
    </row>
    <row r="3949" spans="2:2">
      <c r="B3949" s="17"/>
    </row>
    <row r="3950" spans="2:2">
      <c r="B3950" s="17"/>
    </row>
    <row r="3951" spans="2:2">
      <c r="B3951" s="17"/>
    </row>
    <row r="3952" spans="2:2">
      <c r="B3952" s="17"/>
    </row>
    <row r="3953" spans="2:2">
      <c r="B3953" s="17"/>
    </row>
    <row r="3954" spans="2:2">
      <c r="B3954" s="17"/>
    </row>
    <row r="3955" spans="2:2">
      <c r="B3955" s="17"/>
    </row>
    <row r="3956" spans="2:2">
      <c r="B3956" s="17"/>
    </row>
    <row r="3957" spans="2:2">
      <c r="B3957" s="17"/>
    </row>
    <row r="3958" spans="2:2">
      <c r="B3958" s="17"/>
    </row>
    <row r="3959" spans="2:2">
      <c r="B3959" s="17"/>
    </row>
    <row r="3960" spans="2:2">
      <c r="B3960" s="17"/>
    </row>
    <row r="3961" spans="2:2">
      <c r="B3961" s="17"/>
    </row>
    <row r="3962" spans="2:2">
      <c r="B3962" s="17"/>
    </row>
    <row r="3963" spans="2:2">
      <c r="B3963" s="17"/>
    </row>
    <row r="3964" spans="2:2">
      <c r="B3964" s="17"/>
    </row>
    <row r="3965" spans="2:2">
      <c r="B3965" s="17"/>
    </row>
    <row r="3966" spans="2:2">
      <c r="B3966" s="17"/>
    </row>
    <row r="3967" spans="2:2">
      <c r="B3967" s="17"/>
    </row>
    <row r="3968" spans="2:2">
      <c r="B3968" s="17"/>
    </row>
    <row r="3969" spans="2:2">
      <c r="B3969" s="17"/>
    </row>
    <row r="3970" spans="2:2">
      <c r="B3970" s="17"/>
    </row>
    <row r="3971" spans="2:2">
      <c r="B3971" s="17"/>
    </row>
    <row r="3972" spans="2:2">
      <c r="B3972" s="17"/>
    </row>
    <row r="3973" spans="2:2">
      <c r="B3973" s="17"/>
    </row>
    <row r="3974" spans="2:2">
      <c r="B3974" s="17"/>
    </row>
    <row r="3975" spans="2:2">
      <c r="B3975" s="17"/>
    </row>
    <row r="3976" spans="2:2">
      <c r="B3976" s="17"/>
    </row>
    <row r="3977" spans="2:2">
      <c r="B3977" s="17"/>
    </row>
    <row r="3978" spans="2:2">
      <c r="B3978" s="17"/>
    </row>
    <row r="3979" spans="2:2">
      <c r="B3979" s="17"/>
    </row>
    <row r="3980" spans="2:2">
      <c r="B3980" s="17"/>
    </row>
    <row r="3981" spans="2:2">
      <c r="B3981" s="17"/>
    </row>
    <row r="3982" spans="2:2">
      <c r="B3982" s="17"/>
    </row>
    <row r="3983" spans="2:2">
      <c r="B3983" s="17"/>
    </row>
    <row r="3984" spans="2:2">
      <c r="B3984" s="17"/>
    </row>
    <row r="3985" spans="2:2">
      <c r="B3985" s="17"/>
    </row>
    <row r="3986" spans="2:2">
      <c r="B3986" s="17"/>
    </row>
    <row r="3987" spans="2:2">
      <c r="B3987" s="17"/>
    </row>
    <row r="3988" spans="2:2">
      <c r="B3988" s="17"/>
    </row>
    <row r="3989" spans="2:2">
      <c r="B3989" s="17"/>
    </row>
    <row r="3990" spans="2:2">
      <c r="B3990" s="17"/>
    </row>
    <row r="3991" spans="2:2">
      <c r="B3991" s="17"/>
    </row>
    <row r="3992" spans="2:2">
      <c r="B3992" s="17"/>
    </row>
    <row r="3993" spans="2:2">
      <c r="B3993" s="17"/>
    </row>
    <row r="3994" spans="2:2">
      <c r="B3994" s="17"/>
    </row>
    <row r="3995" spans="2:2">
      <c r="B3995" s="17"/>
    </row>
    <row r="3996" spans="2:2">
      <c r="B3996" s="17"/>
    </row>
    <row r="3997" spans="2:2">
      <c r="B3997" s="17"/>
    </row>
    <row r="3998" spans="2:2">
      <c r="B3998" s="17"/>
    </row>
    <row r="3999" spans="2:2">
      <c r="B3999" s="17"/>
    </row>
    <row r="4000" spans="2:2">
      <c r="B4000" s="17"/>
    </row>
    <row r="4001" spans="2:2">
      <c r="B4001" s="17"/>
    </row>
    <row r="4002" spans="2:2">
      <c r="B4002" s="17"/>
    </row>
    <row r="4003" spans="2:2">
      <c r="B4003" s="17"/>
    </row>
    <row r="4004" spans="2:2">
      <c r="B4004" s="17"/>
    </row>
    <row r="4005" spans="2:2">
      <c r="B4005" s="17"/>
    </row>
    <row r="4006" spans="2:2">
      <c r="B4006" s="17"/>
    </row>
    <row r="4007" spans="2:2">
      <c r="B4007" s="17"/>
    </row>
    <row r="4008" spans="2:2">
      <c r="B4008" s="17"/>
    </row>
    <row r="4009" spans="2:2">
      <c r="B4009" s="17"/>
    </row>
    <row r="4010" spans="2:2">
      <c r="B4010" s="17"/>
    </row>
    <row r="4011" spans="2:2">
      <c r="B4011" s="17"/>
    </row>
    <row r="4012" spans="2:2">
      <c r="B4012" s="17"/>
    </row>
    <row r="4013" spans="2:2">
      <c r="B4013" s="17"/>
    </row>
    <row r="4014" spans="2:2">
      <c r="B4014" s="17"/>
    </row>
    <row r="4015" spans="2:2">
      <c r="B4015" s="17"/>
    </row>
    <row r="4016" spans="2:2">
      <c r="B4016" s="17"/>
    </row>
    <row r="4017" spans="2:2">
      <c r="B4017" s="17"/>
    </row>
    <row r="4018" spans="2:2">
      <c r="B4018" s="17"/>
    </row>
    <row r="4019" spans="2:2">
      <c r="B4019" s="17"/>
    </row>
    <row r="4020" spans="2:2">
      <c r="B4020" s="17"/>
    </row>
    <row r="4021" spans="2:2">
      <c r="B4021" s="17"/>
    </row>
    <row r="4022" spans="2:2">
      <c r="B4022" s="17"/>
    </row>
    <row r="4023" spans="2:2">
      <c r="B4023" s="17"/>
    </row>
    <row r="4024" spans="2:2">
      <c r="B4024" s="17"/>
    </row>
    <row r="4025" spans="2:2">
      <c r="B4025" s="17"/>
    </row>
    <row r="4026" spans="2:2">
      <c r="B4026" s="17"/>
    </row>
    <row r="4027" spans="2:2">
      <c r="B4027" s="17"/>
    </row>
    <row r="4028" spans="2:2">
      <c r="B4028" s="17"/>
    </row>
    <row r="4029" spans="2:2">
      <c r="B4029" s="17"/>
    </row>
    <row r="4030" spans="2:2">
      <c r="B4030" s="17"/>
    </row>
    <row r="4031" spans="2:2">
      <c r="B4031" s="17"/>
    </row>
    <row r="4032" spans="2:2">
      <c r="B4032" s="17"/>
    </row>
    <row r="4033" spans="2:2">
      <c r="B4033" s="17"/>
    </row>
    <row r="4034" spans="2:2">
      <c r="B4034" s="17"/>
    </row>
    <row r="4035" spans="2:2">
      <c r="B4035" s="17"/>
    </row>
    <row r="4036" spans="2:2">
      <c r="B4036" s="17"/>
    </row>
    <row r="4037" spans="2:2">
      <c r="B4037" s="17"/>
    </row>
    <row r="4038" spans="2:2">
      <c r="B4038" s="17"/>
    </row>
    <row r="4039" spans="2:2">
      <c r="B4039" s="17"/>
    </row>
    <row r="4040" spans="2:2">
      <c r="B4040" s="17"/>
    </row>
    <row r="4041" spans="2:2">
      <c r="B4041" s="17"/>
    </row>
    <row r="4042" spans="2:2">
      <c r="B4042" s="17"/>
    </row>
    <row r="4043" spans="2:2">
      <c r="B4043" s="17"/>
    </row>
    <row r="4044" spans="2:2">
      <c r="B4044" s="17"/>
    </row>
    <row r="4045" spans="2:2">
      <c r="B4045" s="17"/>
    </row>
    <row r="4046" spans="2:2">
      <c r="B4046" s="17"/>
    </row>
    <row r="4047" spans="2:2">
      <c r="B4047" s="17"/>
    </row>
    <row r="4048" spans="2:2">
      <c r="B4048" s="17"/>
    </row>
    <row r="4049" spans="2:2">
      <c r="B4049" s="17"/>
    </row>
    <row r="4050" spans="2:2">
      <c r="B4050" s="17"/>
    </row>
    <row r="4051" spans="2:2">
      <c r="B4051" s="17"/>
    </row>
    <row r="4052" spans="2:2">
      <c r="B4052" s="17"/>
    </row>
    <row r="4053" spans="2:2">
      <c r="B4053" s="17"/>
    </row>
    <row r="4054" spans="2:2">
      <c r="B4054" s="17"/>
    </row>
    <row r="4055" spans="2:2">
      <c r="B4055" s="17"/>
    </row>
    <row r="4056" spans="2:2">
      <c r="B4056" s="17"/>
    </row>
    <row r="4057" spans="2:2">
      <c r="B4057" s="17"/>
    </row>
    <row r="4058" spans="2:2">
      <c r="B4058" s="17"/>
    </row>
    <row r="4059" spans="2:2">
      <c r="B4059" s="17"/>
    </row>
    <row r="4060" spans="2:2">
      <c r="B4060" s="17"/>
    </row>
    <row r="4061" spans="2:2">
      <c r="B4061" s="17"/>
    </row>
    <row r="4062" spans="2:2">
      <c r="B4062" s="17"/>
    </row>
    <row r="4063" spans="2:2">
      <c r="B4063" s="17"/>
    </row>
    <row r="4064" spans="2:2">
      <c r="B4064" s="17"/>
    </row>
    <row r="4065" spans="2:2">
      <c r="B4065" s="17"/>
    </row>
    <row r="4066" spans="2:2">
      <c r="B4066" s="17"/>
    </row>
    <row r="4067" spans="2:2">
      <c r="B4067" s="17"/>
    </row>
    <row r="4068" spans="2:2">
      <c r="B4068" s="17"/>
    </row>
    <row r="4069" spans="2:2">
      <c r="B4069" s="17"/>
    </row>
    <row r="4070" spans="2:2">
      <c r="B4070" s="17"/>
    </row>
    <row r="4071" spans="2:2">
      <c r="B4071" s="17"/>
    </row>
    <row r="4072" spans="2:2">
      <c r="B4072" s="17"/>
    </row>
    <row r="4073" spans="2:2">
      <c r="B4073" s="17"/>
    </row>
    <row r="4074" spans="2:2">
      <c r="B4074" s="17"/>
    </row>
    <row r="4075" spans="2:2">
      <c r="B4075" s="17"/>
    </row>
    <row r="4076" spans="2:2">
      <c r="B4076" s="17"/>
    </row>
    <row r="4077" spans="2:2">
      <c r="B4077" s="17"/>
    </row>
    <row r="4078" spans="2:2">
      <c r="B4078" s="17"/>
    </row>
    <row r="4079" spans="2:2">
      <c r="B4079" s="17"/>
    </row>
    <row r="4080" spans="2:2">
      <c r="B4080" s="17"/>
    </row>
    <row r="4081" spans="2:2">
      <c r="B4081" s="17"/>
    </row>
    <row r="4082" spans="2:2">
      <c r="B4082" s="17"/>
    </row>
    <row r="4083" spans="2:2">
      <c r="B4083" s="17"/>
    </row>
    <row r="4084" spans="2:2">
      <c r="B4084" s="17"/>
    </row>
    <row r="4085" spans="2:2">
      <c r="B4085" s="17"/>
    </row>
    <row r="4086" spans="2:2">
      <c r="B4086" s="17"/>
    </row>
    <row r="4087" spans="2:2">
      <c r="B4087" s="17"/>
    </row>
    <row r="4088" spans="2:2">
      <c r="B4088" s="17"/>
    </row>
    <row r="4089" spans="2:2">
      <c r="B4089" s="17"/>
    </row>
    <row r="4090" spans="2:2">
      <c r="B4090" s="17"/>
    </row>
    <row r="4091" spans="2:2">
      <c r="B4091" s="17"/>
    </row>
    <row r="4092" spans="2:2">
      <c r="B4092" s="17"/>
    </row>
    <row r="4093" spans="2:2">
      <c r="B4093" s="17"/>
    </row>
    <row r="4094" spans="2:2">
      <c r="B4094" s="17"/>
    </row>
    <row r="4095" spans="2:2">
      <c r="B4095" s="17"/>
    </row>
    <row r="4096" spans="2:2">
      <c r="B4096" s="17"/>
    </row>
    <row r="4097" spans="2:2">
      <c r="B4097" s="17"/>
    </row>
    <row r="4098" spans="2:2">
      <c r="B4098" s="17"/>
    </row>
    <row r="4099" spans="2:2">
      <c r="B4099" s="17"/>
    </row>
    <row r="4100" spans="2:2">
      <c r="B4100" s="17"/>
    </row>
    <row r="4101" spans="2:2">
      <c r="B4101" s="17"/>
    </row>
    <row r="4102" spans="2:2">
      <c r="B4102" s="17"/>
    </row>
    <row r="4103" spans="2:2">
      <c r="B4103" s="17"/>
    </row>
    <row r="4104" spans="2:2">
      <c r="B4104" s="17"/>
    </row>
    <row r="4105" spans="2:2">
      <c r="B4105" s="17"/>
    </row>
    <row r="4106" spans="2:2">
      <c r="B4106" s="17"/>
    </row>
    <row r="4107" spans="2:2">
      <c r="B4107" s="17"/>
    </row>
    <row r="4108" spans="2:2">
      <c r="B4108" s="17"/>
    </row>
    <row r="4109" spans="2:2">
      <c r="B4109" s="17"/>
    </row>
    <row r="4110" spans="2:2">
      <c r="B4110" s="17"/>
    </row>
    <row r="4111" spans="2:2">
      <c r="B4111" s="17"/>
    </row>
    <row r="4112" spans="2:2">
      <c r="B4112" s="17"/>
    </row>
    <row r="4113" spans="2:2">
      <c r="B4113" s="17"/>
    </row>
    <row r="4114" spans="2:2">
      <c r="B4114" s="17"/>
    </row>
    <row r="4115" spans="2:2">
      <c r="B4115" s="17"/>
    </row>
    <row r="4116" spans="2:2">
      <c r="B4116" s="17"/>
    </row>
    <row r="4117" spans="2:2">
      <c r="B4117" s="17"/>
    </row>
    <row r="4118" spans="2:2">
      <c r="B4118" s="17"/>
    </row>
    <row r="4119" spans="2:2">
      <c r="B4119" s="17"/>
    </row>
    <row r="4120" spans="2:2">
      <c r="B4120" s="17"/>
    </row>
    <row r="4121" spans="2:2">
      <c r="B4121" s="17"/>
    </row>
    <row r="4122" spans="2:2">
      <c r="B4122" s="17"/>
    </row>
    <row r="4123" spans="2:2">
      <c r="B4123" s="17"/>
    </row>
    <row r="4124" spans="2:2">
      <c r="B4124" s="17"/>
    </row>
    <row r="4125" spans="2:2">
      <c r="B4125" s="17"/>
    </row>
    <row r="4126" spans="2:2">
      <c r="B4126" s="17"/>
    </row>
    <row r="4127" spans="2:2">
      <c r="B4127" s="17"/>
    </row>
    <row r="4128" spans="2:2">
      <c r="B4128" s="17"/>
    </row>
    <row r="4129" spans="2:2">
      <c r="B4129" s="17"/>
    </row>
    <row r="4130" spans="2:2">
      <c r="B4130" s="17"/>
    </row>
    <row r="4131" spans="2:2">
      <c r="B4131" s="17"/>
    </row>
    <row r="4132" spans="2:2">
      <c r="B4132" s="17"/>
    </row>
    <row r="4133" spans="2:2">
      <c r="B4133" s="17"/>
    </row>
    <row r="4134" spans="2:2">
      <c r="B4134" s="17"/>
    </row>
    <row r="4135" spans="2:2">
      <c r="B4135" s="17"/>
    </row>
    <row r="4136" spans="2:2">
      <c r="B4136" s="17"/>
    </row>
    <row r="4137" spans="2:2">
      <c r="B4137" s="17"/>
    </row>
    <row r="4138" spans="2:2">
      <c r="B4138" s="17"/>
    </row>
    <row r="4139" spans="2:2">
      <c r="B4139" s="17"/>
    </row>
    <row r="4140" spans="2:2">
      <c r="B4140" s="17"/>
    </row>
    <row r="4141" spans="2:2">
      <c r="B4141" s="17"/>
    </row>
    <row r="4142" spans="2:2">
      <c r="B4142" s="17"/>
    </row>
    <row r="4143" spans="2:2">
      <c r="B4143" s="17"/>
    </row>
    <row r="4144" spans="2:2">
      <c r="B4144" s="17"/>
    </row>
    <row r="4145" spans="2:2">
      <c r="B4145" s="17"/>
    </row>
    <row r="4146" spans="2:2">
      <c r="B4146" s="17"/>
    </row>
    <row r="4147" spans="2:2">
      <c r="B4147" s="17"/>
    </row>
    <row r="4148" spans="2:2">
      <c r="B4148" s="17"/>
    </row>
    <row r="4149" spans="2:2">
      <c r="B4149" s="17"/>
    </row>
    <row r="4150" spans="2:2">
      <c r="B4150" s="17"/>
    </row>
    <row r="4151" spans="2:2">
      <c r="B4151" s="17"/>
    </row>
    <row r="4152" spans="2:2">
      <c r="B4152" s="17"/>
    </row>
    <row r="4153" spans="2:2">
      <c r="B4153" s="17"/>
    </row>
    <row r="4154" spans="2:2">
      <c r="B4154" s="17"/>
    </row>
    <row r="4155" spans="2:2">
      <c r="B4155" s="17"/>
    </row>
    <row r="4156" spans="2:2">
      <c r="B4156" s="17"/>
    </row>
    <row r="4157" spans="2:2">
      <c r="B4157" s="17"/>
    </row>
    <row r="4158" spans="2:2">
      <c r="B4158" s="17"/>
    </row>
    <row r="4159" spans="2:2">
      <c r="B4159" s="17"/>
    </row>
    <row r="4160" spans="2:2">
      <c r="B4160" s="17"/>
    </row>
    <row r="4161" spans="2:2">
      <c r="B4161" s="17"/>
    </row>
    <row r="4162" spans="2:2">
      <c r="B4162" s="17"/>
    </row>
    <row r="4163" spans="2:2">
      <c r="B4163" s="17"/>
    </row>
    <row r="4164" spans="2:2">
      <c r="B4164" s="17"/>
    </row>
    <row r="4165" spans="2:2">
      <c r="B4165" s="17"/>
    </row>
    <row r="4166" spans="2:2">
      <c r="B4166" s="17"/>
    </row>
    <row r="4167" spans="2:2">
      <c r="B4167" s="17"/>
    </row>
    <row r="4168" spans="2:2">
      <c r="B4168" s="17"/>
    </row>
    <row r="4169" spans="2:2">
      <c r="B4169" s="17"/>
    </row>
    <row r="4170" spans="2:2">
      <c r="B4170" s="17"/>
    </row>
    <row r="4171" spans="2:2">
      <c r="B4171" s="17"/>
    </row>
    <row r="4172" spans="2:2">
      <c r="B4172" s="17"/>
    </row>
    <row r="4173" spans="2:2">
      <c r="B4173" s="17"/>
    </row>
    <row r="4174" spans="2:2">
      <c r="B4174" s="17"/>
    </row>
    <row r="4175" spans="2:2">
      <c r="B4175" s="17"/>
    </row>
    <row r="4176" spans="2:2">
      <c r="B4176" s="17"/>
    </row>
    <row r="4177" spans="2:2">
      <c r="B4177" s="17"/>
    </row>
    <row r="4178" spans="2:2">
      <c r="B4178" s="17"/>
    </row>
    <row r="4179" spans="2:2">
      <c r="B4179" s="17"/>
    </row>
    <row r="4180" spans="2:2">
      <c r="B4180" s="17"/>
    </row>
    <row r="4181" spans="2:2">
      <c r="B4181" s="17"/>
    </row>
    <row r="4182" spans="2:2">
      <c r="B4182" s="17"/>
    </row>
    <row r="4183" spans="2:2">
      <c r="B4183" s="17"/>
    </row>
    <row r="4184" spans="2:2">
      <c r="B4184" s="17"/>
    </row>
    <row r="4185" spans="2:2">
      <c r="B4185" s="17"/>
    </row>
    <row r="4186" spans="2:2">
      <c r="B4186" s="17"/>
    </row>
    <row r="4187" spans="2:2">
      <c r="B4187" s="17"/>
    </row>
    <row r="4188" spans="2:2">
      <c r="B4188" s="17"/>
    </row>
    <row r="4189" spans="2:2">
      <c r="B4189" s="17"/>
    </row>
    <row r="4190" spans="2:2">
      <c r="B4190" s="17"/>
    </row>
    <row r="4191" spans="2:2">
      <c r="B4191" s="17"/>
    </row>
    <row r="4192" spans="2:2">
      <c r="B4192" s="17"/>
    </row>
    <row r="4193" spans="2:2">
      <c r="B4193" s="17"/>
    </row>
    <row r="4194" spans="2:2">
      <c r="B4194" s="17"/>
    </row>
    <row r="4195" spans="2:2">
      <c r="B4195" s="17"/>
    </row>
    <row r="4196" spans="2:2">
      <c r="B4196" s="17"/>
    </row>
    <row r="4197" spans="2:2">
      <c r="B4197" s="17"/>
    </row>
    <row r="4198" spans="2:2">
      <c r="B4198" s="17"/>
    </row>
    <row r="4199" spans="2:2">
      <c r="B4199" s="17"/>
    </row>
    <row r="4200" spans="2:2">
      <c r="B4200" s="17"/>
    </row>
    <row r="4201" spans="2:2">
      <c r="B4201" s="17"/>
    </row>
    <row r="4202" spans="2:2">
      <c r="B4202" s="17"/>
    </row>
    <row r="4203" spans="2:2">
      <c r="B4203" s="17"/>
    </row>
    <row r="4204" spans="2:2">
      <c r="B4204" s="17"/>
    </row>
    <row r="4205" spans="2:2">
      <c r="B4205" s="17"/>
    </row>
    <row r="4206" spans="2:2">
      <c r="B4206" s="17"/>
    </row>
    <row r="4207" spans="2:2">
      <c r="B4207" s="17"/>
    </row>
    <row r="4208" spans="2:2">
      <c r="B4208" s="17"/>
    </row>
    <row r="4209" spans="2:2">
      <c r="B4209" s="17"/>
    </row>
    <row r="4210" spans="2:2">
      <c r="B4210" s="17"/>
    </row>
    <row r="4211" spans="2:2">
      <c r="B4211" s="17"/>
    </row>
    <row r="4212" spans="2:2">
      <c r="B4212" s="17"/>
    </row>
    <row r="4213" spans="2:2">
      <c r="B4213" s="17"/>
    </row>
    <row r="4214" spans="2:2">
      <c r="B4214" s="17"/>
    </row>
    <row r="4215" spans="2:2">
      <c r="B4215" s="17"/>
    </row>
    <row r="4216" spans="2:2">
      <c r="B4216" s="17"/>
    </row>
    <row r="4217" spans="2:2">
      <c r="B4217" s="17"/>
    </row>
    <row r="4218" spans="2:2">
      <c r="B4218" s="17"/>
    </row>
    <row r="4219" spans="2:2">
      <c r="B4219" s="17"/>
    </row>
    <row r="4220" spans="2:2">
      <c r="B4220" s="17"/>
    </row>
    <row r="4221" spans="2:2">
      <c r="B4221" s="17"/>
    </row>
    <row r="4222" spans="2:2">
      <c r="B4222" s="17"/>
    </row>
    <row r="4223" spans="2:2">
      <c r="B4223" s="17"/>
    </row>
    <row r="4224" spans="2:2">
      <c r="B4224" s="17"/>
    </row>
    <row r="4225" spans="2:2">
      <c r="B4225" s="17"/>
    </row>
    <row r="4226" spans="2:2">
      <c r="B4226" s="17"/>
    </row>
    <row r="4227" spans="2:2">
      <c r="B4227" s="17"/>
    </row>
    <row r="4228" spans="2:2">
      <c r="B4228" s="17"/>
    </row>
    <row r="4229" spans="2:2">
      <c r="B4229" s="17"/>
    </row>
    <row r="4230" spans="2:2">
      <c r="B4230" s="17"/>
    </row>
    <row r="4231" spans="2:2">
      <c r="B4231" s="17"/>
    </row>
    <row r="4232" spans="2:2">
      <c r="B4232" s="17"/>
    </row>
    <row r="4233" spans="2:2">
      <c r="B4233" s="17"/>
    </row>
    <row r="4234" spans="2:2">
      <c r="B4234" s="17"/>
    </row>
    <row r="4235" spans="2:2">
      <c r="B4235" s="17"/>
    </row>
    <row r="4236" spans="2:2">
      <c r="B4236" s="17"/>
    </row>
    <row r="4237" spans="2:2">
      <c r="B4237" s="17"/>
    </row>
    <row r="4238" spans="2:2">
      <c r="B4238" s="17"/>
    </row>
    <row r="4239" spans="2:2">
      <c r="B4239" s="17"/>
    </row>
    <row r="4240" spans="2:2">
      <c r="B4240" s="17"/>
    </row>
    <row r="4241" spans="2:2">
      <c r="B4241" s="17"/>
    </row>
    <row r="4242" spans="2:2">
      <c r="B4242" s="17"/>
    </row>
    <row r="4243" spans="2:2">
      <c r="B4243" s="17"/>
    </row>
    <row r="4244" spans="2:2">
      <c r="B4244" s="17"/>
    </row>
    <row r="4245" spans="2:2">
      <c r="B4245" s="17"/>
    </row>
    <row r="4246" spans="2:2">
      <c r="B4246" s="17"/>
    </row>
    <row r="4247" spans="2:2">
      <c r="B4247" s="17"/>
    </row>
    <row r="4248" spans="2:2">
      <c r="B4248" s="17"/>
    </row>
    <row r="4249" spans="2:2">
      <c r="B4249" s="17"/>
    </row>
    <row r="4250" spans="2:2">
      <c r="B4250" s="17"/>
    </row>
    <row r="4251" spans="2:2">
      <c r="B4251" s="17"/>
    </row>
    <row r="4252" spans="2:2">
      <c r="B4252" s="17"/>
    </row>
    <row r="4253" spans="2:2">
      <c r="B4253" s="17"/>
    </row>
    <row r="4254" spans="2:2">
      <c r="B4254" s="17"/>
    </row>
    <row r="4255" spans="2:2">
      <c r="B4255" s="17"/>
    </row>
    <row r="4256" spans="2:2">
      <c r="B4256" s="17"/>
    </row>
    <row r="4257" spans="2:2">
      <c r="B4257" s="17"/>
    </row>
    <row r="4258" spans="2:2">
      <c r="B4258" s="17"/>
    </row>
    <row r="4259" spans="2:2">
      <c r="B4259" s="17"/>
    </row>
    <row r="4260" spans="2:2">
      <c r="B4260" s="17"/>
    </row>
    <row r="4261" spans="2:2">
      <c r="B4261" s="17"/>
    </row>
    <row r="4262" spans="2:2">
      <c r="B4262" s="17"/>
    </row>
    <row r="4263" spans="2:2">
      <c r="B4263" s="17"/>
    </row>
    <row r="4264" spans="2:2">
      <c r="B4264" s="17"/>
    </row>
    <row r="4265" spans="2:2">
      <c r="B4265" s="17"/>
    </row>
    <row r="4266" spans="2:2">
      <c r="B4266" s="17"/>
    </row>
    <row r="4267" spans="2:2">
      <c r="B4267" s="17"/>
    </row>
    <row r="4268" spans="2:2">
      <c r="B4268" s="17"/>
    </row>
    <row r="4269" spans="2:2">
      <c r="B4269" s="17"/>
    </row>
    <row r="4270" spans="2:2">
      <c r="B4270" s="17"/>
    </row>
    <row r="4271" spans="2:2">
      <c r="B4271" s="17"/>
    </row>
    <row r="4272" spans="2:2">
      <c r="B4272" s="17"/>
    </row>
    <row r="4273" spans="2:2">
      <c r="B4273" s="17"/>
    </row>
    <row r="4274" spans="2:2">
      <c r="B4274" s="17"/>
    </row>
    <row r="4275" spans="2:2">
      <c r="B4275" s="17"/>
    </row>
    <row r="4276" spans="2:2">
      <c r="B4276" s="17"/>
    </row>
    <row r="4277" spans="2:2">
      <c r="B4277" s="17"/>
    </row>
    <row r="4278" spans="2:2">
      <c r="B4278" s="17"/>
    </row>
    <row r="4279" spans="2:2">
      <c r="B4279" s="17"/>
    </row>
    <row r="4280" spans="2:2">
      <c r="B4280" s="17"/>
    </row>
    <row r="4281" spans="2:2">
      <c r="B4281" s="17"/>
    </row>
    <row r="4282" spans="2:2">
      <c r="B4282" s="17"/>
    </row>
    <row r="4283" spans="2:2">
      <c r="B4283" s="17"/>
    </row>
    <row r="4284" spans="2:2">
      <c r="B4284" s="17"/>
    </row>
    <row r="4285" spans="2:2">
      <c r="B4285" s="17"/>
    </row>
    <row r="4286" spans="2:2">
      <c r="B4286" s="17"/>
    </row>
    <row r="4287" spans="2:2">
      <c r="B4287" s="17"/>
    </row>
    <row r="4288" spans="2:2">
      <c r="B4288" s="17"/>
    </row>
    <row r="4289" spans="2:2">
      <c r="B4289" s="17"/>
    </row>
    <row r="4290" spans="2:2">
      <c r="B4290" s="17"/>
    </row>
    <row r="4291" spans="2:2">
      <c r="B4291" s="17"/>
    </row>
    <row r="4292" spans="2:2">
      <c r="B4292" s="17"/>
    </row>
    <row r="4293" spans="2:2">
      <c r="B4293" s="17"/>
    </row>
    <row r="4294" spans="2:2">
      <c r="B4294" s="17"/>
    </row>
    <row r="4295" spans="2:2">
      <c r="B4295" s="17"/>
    </row>
    <row r="4296" spans="2:2">
      <c r="B4296" s="17"/>
    </row>
    <row r="4297" spans="2:2">
      <c r="B4297" s="17"/>
    </row>
    <row r="4298" spans="2:2">
      <c r="B4298" s="17"/>
    </row>
    <row r="4299" spans="2:2">
      <c r="B4299" s="17"/>
    </row>
    <row r="4300" spans="2:2">
      <c r="B4300" s="17"/>
    </row>
    <row r="4301" spans="2:2">
      <c r="B4301" s="17"/>
    </row>
    <row r="4302" spans="2:2">
      <c r="B4302" s="17"/>
    </row>
    <row r="4303" spans="2:2">
      <c r="B4303" s="17"/>
    </row>
    <row r="4304" spans="2:2">
      <c r="B4304" s="17"/>
    </row>
    <row r="4305" spans="2:2">
      <c r="B4305" s="17"/>
    </row>
    <row r="4306" spans="2:2">
      <c r="B4306" s="17"/>
    </row>
    <row r="4307" spans="2:2">
      <c r="B4307" s="17"/>
    </row>
    <row r="4308" spans="2:2">
      <c r="B4308" s="17"/>
    </row>
    <row r="4309" spans="2:2">
      <c r="B4309" s="17"/>
    </row>
    <row r="4310" spans="2:2">
      <c r="B4310" s="17"/>
    </row>
    <row r="4311" spans="2:2">
      <c r="B4311" s="17"/>
    </row>
    <row r="4312" spans="2:2">
      <c r="B4312" s="17"/>
    </row>
    <row r="4313" spans="2:2">
      <c r="B4313" s="17"/>
    </row>
    <row r="4314" spans="2:2">
      <c r="B4314" s="17"/>
    </row>
    <row r="4315" spans="2:2">
      <c r="B4315" s="17"/>
    </row>
    <row r="4316" spans="2:2">
      <c r="B4316" s="17"/>
    </row>
    <row r="4317" spans="2:2">
      <c r="B4317" s="17"/>
    </row>
    <row r="4318" spans="2:2">
      <c r="B4318" s="17"/>
    </row>
    <row r="4319" spans="2:2">
      <c r="B4319" s="17"/>
    </row>
    <row r="4320" spans="2:2">
      <c r="B4320" s="17"/>
    </row>
    <row r="4321" spans="2:2">
      <c r="B4321" s="17"/>
    </row>
    <row r="4322" spans="2:2">
      <c r="B4322" s="17"/>
    </row>
    <row r="4323" spans="2:2">
      <c r="B4323" s="17"/>
    </row>
    <row r="4324" spans="2:2">
      <c r="B4324" s="17"/>
    </row>
    <row r="4325" spans="2:2">
      <c r="B4325" s="17"/>
    </row>
    <row r="4326" spans="2:2">
      <c r="B4326" s="17"/>
    </row>
    <row r="4327" spans="2:2">
      <c r="B4327" s="17"/>
    </row>
    <row r="4328" spans="2:2">
      <c r="B4328" s="17"/>
    </row>
    <row r="4329" spans="2:2">
      <c r="B4329" s="17"/>
    </row>
    <row r="4330" spans="2:2">
      <c r="B4330" s="17"/>
    </row>
    <row r="4331" spans="2:2">
      <c r="B4331" s="17"/>
    </row>
    <row r="4332" spans="2:2">
      <c r="B4332" s="17"/>
    </row>
    <row r="4333" spans="2:2">
      <c r="B4333" s="17"/>
    </row>
    <row r="4334" spans="2:2">
      <c r="B4334" s="17"/>
    </row>
    <row r="4335" spans="2:2">
      <c r="B4335" s="17"/>
    </row>
    <row r="4336" spans="2:2">
      <c r="B4336" s="17"/>
    </row>
    <row r="4337" spans="2:2">
      <c r="B4337" s="17"/>
    </row>
    <row r="4338" spans="2:2">
      <c r="B4338" s="17"/>
    </row>
    <row r="4339" spans="2:2">
      <c r="B4339" s="17"/>
    </row>
    <row r="4340" spans="2:2">
      <c r="B4340" s="17"/>
    </row>
    <row r="4341" spans="2:2">
      <c r="B4341" s="17"/>
    </row>
    <row r="4342" spans="2:2">
      <c r="B4342" s="17"/>
    </row>
    <row r="4343" spans="2:2">
      <c r="B4343" s="17"/>
    </row>
    <row r="4344" spans="2:2">
      <c r="B4344" s="17"/>
    </row>
    <row r="4345" spans="2:2">
      <c r="B4345" s="17"/>
    </row>
    <row r="4346" spans="2:2">
      <c r="B4346" s="17"/>
    </row>
    <row r="4347" spans="2:2">
      <c r="B4347" s="17"/>
    </row>
    <row r="4348" spans="2:2">
      <c r="B4348" s="17"/>
    </row>
    <row r="4349" spans="2:2">
      <c r="B4349" s="17"/>
    </row>
    <row r="4350" spans="2:2">
      <c r="B4350" s="17"/>
    </row>
    <row r="4351" spans="2:2">
      <c r="B4351" s="17"/>
    </row>
    <row r="4352" spans="2:2">
      <c r="B4352" s="17"/>
    </row>
    <row r="4353" spans="2:2">
      <c r="B4353" s="17"/>
    </row>
    <row r="4354" spans="2:2">
      <c r="B4354" s="17"/>
    </row>
    <row r="4355" spans="2:2">
      <c r="B4355" s="17"/>
    </row>
    <row r="4356" spans="2:2">
      <c r="B4356" s="17"/>
    </row>
    <row r="4357" spans="2:2">
      <c r="B4357" s="17"/>
    </row>
    <row r="4358" spans="2:2">
      <c r="B4358" s="17"/>
    </row>
    <row r="4359" spans="2:2">
      <c r="B4359" s="17"/>
    </row>
    <row r="4360" spans="2:2">
      <c r="B4360" s="17"/>
    </row>
    <row r="4361" spans="2:2">
      <c r="B4361" s="17"/>
    </row>
    <row r="4362" spans="2:2">
      <c r="B4362" s="17"/>
    </row>
    <row r="4363" spans="2:2">
      <c r="B4363" s="17"/>
    </row>
    <row r="4364" spans="2:2">
      <c r="B4364" s="17"/>
    </row>
    <row r="4365" spans="2:2">
      <c r="B4365" s="17"/>
    </row>
    <row r="4366" spans="2:2">
      <c r="B4366" s="17"/>
    </row>
    <row r="4367" spans="2:2">
      <c r="B4367" s="17"/>
    </row>
    <row r="4368" spans="2:2">
      <c r="B4368" s="17"/>
    </row>
    <row r="4369" spans="2:2">
      <c r="B4369" s="17"/>
    </row>
    <row r="4370" spans="2:2">
      <c r="B4370" s="17"/>
    </row>
    <row r="4371" spans="2:2">
      <c r="B4371" s="17"/>
    </row>
    <row r="4372" spans="2:2">
      <c r="B4372" s="17"/>
    </row>
    <row r="4373" spans="2:2">
      <c r="B4373" s="17"/>
    </row>
    <row r="4374" spans="2:2">
      <c r="B4374" s="17"/>
    </row>
    <row r="4375" spans="2:2">
      <c r="B4375" s="17"/>
    </row>
    <row r="4376" spans="2:2">
      <c r="B4376" s="17"/>
    </row>
    <row r="4377" spans="2:2">
      <c r="B4377" s="17"/>
    </row>
    <row r="4378" spans="2:2">
      <c r="B4378" s="17"/>
    </row>
    <row r="4379" spans="2:2">
      <c r="B4379" s="17"/>
    </row>
    <row r="4380" spans="2:2">
      <c r="B4380" s="17"/>
    </row>
    <row r="4381" spans="2:2">
      <c r="B4381" s="17"/>
    </row>
    <row r="4382" spans="2:2">
      <c r="B4382" s="17"/>
    </row>
    <row r="4383" spans="2:2">
      <c r="B4383" s="17"/>
    </row>
    <row r="4384" spans="2:2">
      <c r="B4384" s="17"/>
    </row>
    <row r="4385" spans="2:2">
      <c r="B4385" s="17"/>
    </row>
    <row r="4386" spans="2:2">
      <c r="B4386" s="17"/>
    </row>
    <row r="4387" spans="2:2">
      <c r="B4387" s="17"/>
    </row>
    <row r="4388" spans="2:2">
      <c r="B4388" s="17"/>
    </row>
    <row r="4389" spans="2:2">
      <c r="B4389" s="17"/>
    </row>
    <row r="4390" spans="2:2">
      <c r="B4390" s="17"/>
    </row>
    <row r="4391" spans="2:2">
      <c r="B4391" s="17"/>
    </row>
    <row r="4392" spans="2:2">
      <c r="B4392" s="17"/>
    </row>
    <row r="4393" spans="2:2">
      <c r="B4393" s="17"/>
    </row>
    <row r="4394" spans="2:2">
      <c r="B4394" s="17"/>
    </row>
    <row r="4395" spans="2:2">
      <c r="B4395" s="17"/>
    </row>
    <row r="4396" spans="2:2">
      <c r="B4396" s="17"/>
    </row>
    <row r="4397" spans="2:2">
      <c r="B4397" s="17"/>
    </row>
    <row r="4398" spans="2:2">
      <c r="B4398" s="17"/>
    </row>
    <row r="4399" spans="2:2">
      <c r="B4399" s="17"/>
    </row>
    <row r="4400" spans="2:2">
      <c r="B4400" s="17"/>
    </row>
    <row r="4401" spans="2:2">
      <c r="B4401" s="17"/>
    </row>
    <row r="4402" spans="2:2">
      <c r="B4402" s="17"/>
    </row>
    <row r="4403" spans="2:2">
      <c r="B4403" s="17"/>
    </row>
    <row r="4404" spans="2:2">
      <c r="B4404" s="17"/>
    </row>
    <row r="4405" spans="2:2">
      <c r="B4405" s="17"/>
    </row>
    <row r="4406" spans="2:2">
      <c r="B4406" s="17"/>
    </row>
    <row r="4407" spans="2:2">
      <c r="B4407" s="17"/>
    </row>
    <row r="4408" spans="2:2">
      <c r="B4408" s="17"/>
    </row>
    <row r="4409" spans="2:2">
      <c r="B4409" s="17"/>
    </row>
    <row r="4410" spans="2:2">
      <c r="B4410" s="17"/>
    </row>
    <row r="4411" spans="2:2">
      <c r="B4411" s="17"/>
    </row>
    <row r="4412" spans="2:2">
      <c r="B4412" s="17"/>
    </row>
    <row r="4413" spans="2:2">
      <c r="B4413" s="17"/>
    </row>
    <row r="4414" spans="2:2">
      <c r="B4414" s="17"/>
    </row>
    <row r="4415" spans="2:2">
      <c r="B4415" s="17"/>
    </row>
    <row r="4416" spans="2:2">
      <c r="B4416" s="17"/>
    </row>
    <row r="4417" spans="2:2">
      <c r="B4417" s="17"/>
    </row>
    <row r="4418" spans="2:2">
      <c r="B4418" s="17"/>
    </row>
    <row r="4419" spans="2:2">
      <c r="B4419" s="17"/>
    </row>
    <row r="4420" spans="2:2">
      <c r="B4420" s="17"/>
    </row>
    <row r="4421" spans="2:2">
      <c r="B4421" s="17"/>
    </row>
    <row r="4422" spans="2:2">
      <c r="B4422" s="17"/>
    </row>
    <row r="4423" spans="2:2">
      <c r="B4423" s="17"/>
    </row>
    <row r="4424" spans="2:2">
      <c r="B4424" s="17"/>
    </row>
    <row r="4425" spans="2:2">
      <c r="B4425" s="17"/>
    </row>
    <row r="4426" spans="2:2">
      <c r="B4426" s="17"/>
    </row>
    <row r="4427" spans="2:2">
      <c r="B4427" s="17"/>
    </row>
    <row r="4428" spans="2:2">
      <c r="B4428" s="17"/>
    </row>
    <row r="4429" spans="2:2">
      <c r="B4429" s="17"/>
    </row>
    <row r="4430" spans="2:2">
      <c r="B4430" s="17"/>
    </row>
    <row r="4431" spans="2:2">
      <c r="B4431" s="17"/>
    </row>
    <row r="4432" spans="2:2">
      <c r="B4432" s="17"/>
    </row>
    <row r="4433" spans="2:2">
      <c r="B4433" s="17"/>
    </row>
    <row r="4434" spans="2:2">
      <c r="B4434" s="17"/>
    </row>
    <row r="4435" spans="2:2">
      <c r="B4435" s="17"/>
    </row>
    <row r="4436" spans="2:2">
      <c r="B4436" s="17"/>
    </row>
    <row r="4437" spans="2:2">
      <c r="B4437" s="17"/>
    </row>
    <row r="4438" spans="2:2">
      <c r="B4438" s="17"/>
    </row>
    <row r="4439" spans="2:2">
      <c r="B4439" s="17"/>
    </row>
    <row r="4440" spans="2:2">
      <c r="B4440" s="17"/>
    </row>
    <row r="4441" spans="2:2">
      <c r="B4441" s="17"/>
    </row>
    <row r="4442" spans="2:2">
      <c r="B4442" s="17"/>
    </row>
    <row r="4443" spans="2:2">
      <c r="B4443" s="17"/>
    </row>
    <row r="4444" spans="2:2">
      <c r="B4444" s="17"/>
    </row>
    <row r="4445" spans="2:2">
      <c r="B4445" s="17"/>
    </row>
    <row r="4446" spans="2:2">
      <c r="B4446" s="17"/>
    </row>
    <row r="4447" spans="2:2">
      <c r="B4447" s="17"/>
    </row>
    <row r="4448" spans="2:2">
      <c r="B4448" s="17"/>
    </row>
    <row r="4449" spans="2:2">
      <c r="B4449" s="17"/>
    </row>
    <row r="4450" spans="2:2">
      <c r="B4450" s="17"/>
    </row>
    <row r="4451" spans="2:2">
      <c r="B4451" s="17"/>
    </row>
    <row r="4452" spans="2:2">
      <c r="B4452" s="17"/>
    </row>
    <row r="4453" spans="2:2">
      <c r="B4453" s="17"/>
    </row>
    <row r="4454" spans="2:2">
      <c r="B4454" s="17"/>
    </row>
    <row r="4455" spans="2:2">
      <c r="B4455" s="17"/>
    </row>
    <row r="4456" spans="2:2">
      <c r="B4456" s="17"/>
    </row>
    <row r="4457" spans="2:2">
      <c r="B4457" s="17"/>
    </row>
    <row r="4458" spans="2:2">
      <c r="B4458" s="17"/>
    </row>
    <row r="4459" spans="2:2">
      <c r="B4459" s="17"/>
    </row>
    <row r="4460" spans="2:2">
      <c r="B4460" s="17"/>
    </row>
    <row r="4461" spans="2:2">
      <c r="B4461" s="17"/>
    </row>
    <row r="4462" spans="2:2">
      <c r="B4462" s="17"/>
    </row>
    <row r="4463" spans="2:2">
      <c r="B4463" s="17"/>
    </row>
    <row r="4464" spans="2:2">
      <c r="B4464" s="17"/>
    </row>
    <row r="4465" spans="2:2">
      <c r="B4465" s="17"/>
    </row>
    <row r="4466" spans="2:2">
      <c r="B4466" s="17"/>
    </row>
    <row r="4467" spans="2:2">
      <c r="B4467" s="17"/>
    </row>
    <row r="4468" spans="2:2">
      <c r="B4468" s="17"/>
    </row>
    <row r="4469" spans="2:2">
      <c r="B4469" s="17"/>
    </row>
    <row r="4470" spans="2:2">
      <c r="B4470" s="17"/>
    </row>
    <row r="4471" spans="2:2">
      <c r="B4471" s="17"/>
    </row>
    <row r="4472" spans="2:2">
      <c r="B4472" s="17"/>
    </row>
    <row r="4473" spans="2:2">
      <c r="B4473" s="17"/>
    </row>
    <row r="4474" spans="2:2">
      <c r="B4474" s="17"/>
    </row>
    <row r="4475" spans="2:2">
      <c r="B4475" s="17"/>
    </row>
    <row r="4476" spans="2:2">
      <c r="B4476" s="17"/>
    </row>
    <row r="4477" spans="2:2">
      <c r="B4477" s="17"/>
    </row>
    <row r="4478" spans="2:2">
      <c r="B4478" s="17"/>
    </row>
    <row r="4479" spans="2:2">
      <c r="B4479" s="17"/>
    </row>
    <row r="4480" spans="2:2">
      <c r="B4480" s="17"/>
    </row>
    <row r="4481" spans="2:2">
      <c r="B4481" s="17"/>
    </row>
    <row r="4482" spans="2:2">
      <c r="B4482" s="17"/>
    </row>
    <row r="4483" spans="2:2">
      <c r="B4483" s="17"/>
    </row>
    <row r="4484" spans="2:2">
      <c r="B4484" s="17"/>
    </row>
    <row r="4485" spans="2:2">
      <c r="B4485" s="17"/>
    </row>
    <row r="4486" spans="2:2">
      <c r="B4486" s="17"/>
    </row>
    <row r="4487" spans="2:2">
      <c r="B4487" s="17"/>
    </row>
    <row r="4488" spans="2:2">
      <c r="B4488" s="17"/>
    </row>
    <row r="4489" spans="2:2">
      <c r="B4489" s="17"/>
    </row>
    <row r="4490" spans="2:2">
      <c r="B4490" s="17"/>
    </row>
    <row r="4491" spans="2:2">
      <c r="B4491" s="17"/>
    </row>
    <row r="4492" spans="2:2">
      <c r="B4492" s="17"/>
    </row>
    <row r="4493" spans="2:2">
      <c r="B4493" s="17"/>
    </row>
    <row r="4494" spans="2:2">
      <c r="B4494" s="17"/>
    </row>
    <row r="4495" spans="2:2">
      <c r="B4495" s="17"/>
    </row>
    <row r="4496" spans="2:2">
      <c r="B4496" s="17"/>
    </row>
    <row r="4497" spans="2:2">
      <c r="B4497" s="17"/>
    </row>
    <row r="4498" spans="2:2">
      <c r="B4498" s="17"/>
    </row>
    <row r="4499" spans="2:2">
      <c r="B4499" s="17"/>
    </row>
    <row r="4500" spans="2:2">
      <c r="B4500" s="17"/>
    </row>
    <row r="4501" spans="2:2">
      <c r="B4501" s="17"/>
    </row>
    <row r="4502" spans="2:2">
      <c r="B4502" s="17"/>
    </row>
    <row r="4503" spans="2:2">
      <c r="B4503" s="17"/>
    </row>
    <row r="4504" spans="2:2">
      <c r="B4504" s="17"/>
    </row>
    <row r="4505" spans="2:2">
      <c r="B4505" s="17"/>
    </row>
    <row r="4506" spans="2:2">
      <c r="B4506" s="17"/>
    </row>
    <row r="4507" spans="2:2">
      <c r="B4507" s="17"/>
    </row>
    <row r="4508" spans="2:2">
      <c r="B4508" s="17"/>
    </row>
    <row r="4509" spans="2:2">
      <c r="B4509" s="17"/>
    </row>
    <row r="4510" spans="2:2">
      <c r="B4510" s="17"/>
    </row>
    <row r="4511" spans="2:2">
      <c r="B4511" s="17"/>
    </row>
    <row r="4512" spans="2:2">
      <c r="B4512" s="17"/>
    </row>
    <row r="4513" spans="2:2">
      <c r="B4513" s="17"/>
    </row>
    <row r="4514" spans="2:2">
      <c r="B4514" s="17"/>
    </row>
    <row r="4515" spans="2:2">
      <c r="B4515" s="17"/>
    </row>
    <row r="4516" spans="2:2">
      <c r="B4516" s="17"/>
    </row>
    <row r="4517" spans="2:2">
      <c r="B4517" s="17"/>
    </row>
    <row r="4518" spans="2:2">
      <c r="B4518" s="17"/>
    </row>
    <row r="4519" spans="2:2">
      <c r="B4519" s="17"/>
    </row>
    <row r="4520" spans="2:2">
      <c r="B4520" s="17"/>
    </row>
    <row r="4521" spans="2:2">
      <c r="B4521" s="17"/>
    </row>
    <row r="4522" spans="2:2">
      <c r="B4522" s="17"/>
    </row>
    <row r="4523" spans="2:2">
      <c r="B4523" s="17"/>
    </row>
    <row r="4524" spans="2:2">
      <c r="B4524" s="17"/>
    </row>
    <row r="4525" spans="2:2">
      <c r="B4525" s="17"/>
    </row>
    <row r="4526" spans="2:2">
      <c r="B4526" s="17"/>
    </row>
    <row r="4527" spans="2:2">
      <c r="B4527" s="17"/>
    </row>
    <row r="4528" spans="2:2">
      <c r="B4528" s="17"/>
    </row>
    <row r="4529" spans="2:2">
      <c r="B4529" s="17"/>
    </row>
    <row r="4530" spans="2:2">
      <c r="B4530" s="17"/>
    </row>
    <row r="4531" spans="2:2">
      <c r="B4531" s="17"/>
    </row>
    <row r="4532" spans="2:2">
      <c r="B4532" s="17"/>
    </row>
    <row r="4533" spans="2:2">
      <c r="B4533" s="17"/>
    </row>
    <row r="4534" spans="2:2">
      <c r="B4534" s="17"/>
    </row>
    <row r="4535" spans="2:2">
      <c r="B4535" s="17"/>
    </row>
    <row r="4536" spans="2:2">
      <c r="B4536" s="17"/>
    </row>
    <row r="4537" spans="2:2">
      <c r="B4537" s="17"/>
    </row>
    <row r="4538" spans="2:2">
      <c r="B4538" s="17"/>
    </row>
    <row r="4539" spans="2:2">
      <c r="B4539" s="17"/>
    </row>
    <row r="4540" spans="2:2">
      <c r="B4540" s="17"/>
    </row>
    <row r="4541" spans="2:2">
      <c r="B4541" s="17"/>
    </row>
    <row r="4542" spans="2:2">
      <c r="B4542" s="17"/>
    </row>
    <row r="4543" spans="2:2">
      <c r="B4543" s="17"/>
    </row>
    <row r="4544" spans="2:2">
      <c r="B4544" s="17"/>
    </row>
    <row r="4545" spans="2:2">
      <c r="B4545" s="17"/>
    </row>
    <row r="4546" spans="2:2">
      <c r="B4546" s="17"/>
    </row>
    <row r="4547" spans="2:2">
      <c r="B4547" s="17"/>
    </row>
    <row r="4548" spans="2:2">
      <c r="B4548" s="17"/>
    </row>
    <row r="4549" spans="2:2">
      <c r="B4549" s="17"/>
    </row>
    <row r="4550" spans="2:2">
      <c r="B4550" s="17"/>
    </row>
    <row r="4551" spans="2:2">
      <c r="B4551" s="17"/>
    </row>
    <row r="4552" spans="2:2">
      <c r="B4552" s="17"/>
    </row>
    <row r="4553" spans="2:2">
      <c r="B4553" s="17"/>
    </row>
    <row r="4554" spans="2:2">
      <c r="B4554" s="17"/>
    </row>
    <row r="4555" spans="2:2">
      <c r="B4555" s="17"/>
    </row>
    <row r="4556" spans="2:2">
      <c r="B4556" s="17"/>
    </row>
    <row r="4557" spans="2:2">
      <c r="B4557" s="17"/>
    </row>
    <row r="4558" spans="2:2">
      <c r="B4558" s="17"/>
    </row>
    <row r="4559" spans="2:2">
      <c r="B4559" s="17"/>
    </row>
    <row r="4560" spans="2:2">
      <c r="B4560" s="17"/>
    </row>
    <row r="4561" spans="2:2">
      <c r="B4561" s="17"/>
    </row>
    <row r="4562" spans="2:2">
      <c r="B4562" s="17"/>
    </row>
    <row r="4563" spans="2:2">
      <c r="B4563" s="17"/>
    </row>
    <row r="4564" spans="2:2">
      <c r="B4564" s="17"/>
    </row>
    <row r="4565" spans="2:2">
      <c r="B4565" s="17"/>
    </row>
    <row r="4566" spans="2:2">
      <c r="B4566" s="17"/>
    </row>
    <row r="4567" spans="2:2">
      <c r="B4567" s="17"/>
    </row>
    <row r="4568" spans="2:2">
      <c r="B4568" s="17"/>
    </row>
    <row r="4569" spans="2:2">
      <c r="B4569" s="17"/>
    </row>
    <row r="4570" spans="2:2">
      <c r="B4570" s="17"/>
    </row>
    <row r="4571" spans="2:2">
      <c r="B4571" s="17"/>
    </row>
    <row r="4572" spans="2:2">
      <c r="B4572" s="17"/>
    </row>
    <row r="4573" spans="2:2">
      <c r="B4573" s="17"/>
    </row>
    <row r="4574" spans="2:2">
      <c r="B4574" s="17"/>
    </row>
    <row r="4575" spans="2:2">
      <c r="B4575" s="17"/>
    </row>
    <row r="4576" spans="2:2">
      <c r="B4576" s="17"/>
    </row>
    <row r="4577" spans="2:2">
      <c r="B4577" s="17"/>
    </row>
    <row r="4578" spans="2:2">
      <c r="B4578" s="17"/>
    </row>
    <row r="4579" spans="2:2">
      <c r="B4579" s="17"/>
    </row>
    <row r="4580" spans="2:2">
      <c r="B4580" s="17"/>
    </row>
    <row r="4581" spans="2:2">
      <c r="B4581" s="17"/>
    </row>
    <row r="4582" spans="2:2">
      <c r="B4582" s="17"/>
    </row>
    <row r="4583" spans="2:2">
      <c r="B4583" s="17"/>
    </row>
    <row r="4584" spans="2:2">
      <c r="B4584" s="17"/>
    </row>
    <row r="4585" spans="2:2">
      <c r="B4585" s="17"/>
    </row>
    <row r="4586" spans="2:2">
      <c r="B4586" s="17"/>
    </row>
    <row r="4587" spans="2:2">
      <c r="B4587" s="17"/>
    </row>
    <row r="4588" spans="2:2">
      <c r="B4588" s="17"/>
    </row>
    <row r="4589" spans="2:2">
      <c r="B4589" s="17"/>
    </row>
    <row r="4590" spans="2:2">
      <c r="B4590" s="17"/>
    </row>
    <row r="4591" spans="2:2">
      <c r="B4591" s="17"/>
    </row>
    <row r="4592" spans="2:2">
      <c r="B4592" s="17"/>
    </row>
    <row r="4593" spans="2:2">
      <c r="B4593" s="17"/>
    </row>
    <row r="4594" spans="2:2">
      <c r="B4594" s="17"/>
    </row>
    <row r="4595" spans="2:2">
      <c r="B4595" s="17"/>
    </row>
    <row r="4596" spans="2:2">
      <c r="B4596" s="17"/>
    </row>
    <row r="4597" spans="2:2">
      <c r="B4597" s="17"/>
    </row>
    <row r="4598" spans="2:2">
      <c r="B4598" s="17"/>
    </row>
    <row r="4599" spans="2:2">
      <c r="B4599" s="17"/>
    </row>
    <row r="4600" spans="2:2">
      <c r="B4600" s="17"/>
    </row>
    <row r="4601" spans="2:2">
      <c r="B4601" s="17"/>
    </row>
    <row r="4602" spans="2:2">
      <c r="B4602" s="17"/>
    </row>
    <row r="4603" spans="2:2">
      <c r="B4603" s="17"/>
    </row>
    <row r="4604" spans="2:2">
      <c r="B4604" s="17"/>
    </row>
    <row r="4605" spans="2:2">
      <c r="B4605" s="17"/>
    </row>
    <row r="4606" spans="2:2">
      <c r="B4606" s="17"/>
    </row>
    <row r="4607" spans="2:2">
      <c r="B4607" s="17"/>
    </row>
    <row r="4608" spans="2:2">
      <c r="B4608" s="17"/>
    </row>
    <row r="4609" spans="2:2">
      <c r="B4609" s="17"/>
    </row>
    <row r="4610" spans="2:2">
      <c r="B4610" s="17"/>
    </row>
    <row r="4611" spans="2:2">
      <c r="B4611" s="17"/>
    </row>
    <row r="4612" spans="2:2">
      <c r="B4612" s="17"/>
    </row>
    <row r="4613" spans="2:2">
      <c r="B4613" s="17"/>
    </row>
    <row r="4614" spans="2:2">
      <c r="B4614" s="17"/>
    </row>
    <row r="4615" spans="2:2">
      <c r="B4615" s="17"/>
    </row>
    <row r="4616" spans="2:2">
      <c r="B4616" s="17"/>
    </row>
    <row r="4617" spans="2:2">
      <c r="B4617" s="17"/>
    </row>
    <row r="4618" spans="2:2">
      <c r="B4618" s="17"/>
    </row>
    <row r="4619" spans="2:2">
      <c r="B4619" s="17"/>
    </row>
    <row r="4620" spans="2:2">
      <c r="B4620" s="17"/>
    </row>
    <row r="4621" spans="2:2">
      <c r="B4621" s="17"/>
    </row>
    <row r="4622" spans="2:2">
      <c r="B4622" s="17"/>
    </row>
    <row r="4623" spans="2:2">
      <c r="B4623" s="17"/>
    </row>
    <row r="4624" spans="2:2">
      <c r="B4624" s="17"/>
    </row>
    <row r="4625" spans="2:2">
      <c r="B4625" s="17"/>
    </row>
    <row r="4626" spans="2:2">
      <c r="B4626" s="17"/>
    </row>
    <row r="4627" spans="2:2">
      <c r="B4627" s="17"/>
    </row>
    <row r="4628" spans="2:2">
      <c r="B4628" s="17"/>
    </row>
    <row r="4629" spans="2:2">
      <c r="B4629" s="17"/>
    </row>
    <row r="4630" spans="2:2">
      <c r="B4630" s="17"/>
    </row>
    <row r="4631" spans="2:2">
      <c r="B4631" s="17"/>
    </row>
    <row r="4632" spans="2:2">
      <c r="B4632" s="17"/>
    </row>
    <row r="4633" spans="2:2">
      <c r="B4633" s="17"/>
    </row>
    <row r="4634" spans="2:2">
      <c r="B4634" s="17"/>
    </row>
    <row r="4635" spans="2:2">
      <c r="B4635" s="17"/>
    </row>
    <row r="4636" spans="2:2">
      <c r="B4636" s="17"/>
    </row>
    <row r="4637" spans="2:2">
      <c r="B4637" s="17"/>
    </row>
    <row r="4638" spans="2:2">
      <c r="B4638" s="17"/>
    </row>
    <row r="4639" spans="2:2">
      <c r="B4639" s="17"/>
    </row>
    <row r="4640" spans="2:2">
      <c r="B4640" s="17"/>
    </row>
    <row r="4641" spans="2:2">
      <c r="B4641" s="17"/>
    </row>
    <row r="4642" spans="2:2">
      <c r="B4642" s="17"/>
    </row>
    <row r="4643" spans="2:2">
      <c r="B4643" s="17"/>
    </row>
    <row r="4644" spans="2:2">
      <c r="B4644" s="17"/>
    </row>
    <row r="4645" spans="2:2">
      <c r="B4645" s="17"/>
    </row>
    <row r="4646" spans="2:2">
      <c r="B4646" s="17"/>
    </row>
    <row r="4647" spans="2:2">
      <c r="B4647" s="17"/>
    </row>
    <row r="4648" spans="2:2">
      <c r="B4648" s="17"/>
    </row>
    <row r="4649" spans="2:2">
      <c r="B4649" s="17"/>
    </row>
    <row r="4650" spans="2:2">
      <c r="B4650" s="17"/>
    </row>
    <row r="4651" spans="2:2">
      <c r="B4651" s="17"/>
    </row>
    <row r="4652" spans="2:2">
      <c r="B4652" s="17"/>
    </row>
    <row r="4653" spans="2:2">
      <c r="B4653" s="17"/>
    </row>
    <row r="4654" spans="2:2">
      <c r="B4654" s="17"/>
    </row>
    <row r="4655" spans="2:2">
      <c r="B4655" s="17"/>
    </row>
    <row r="4656" spans="2:2">
      <c r="B4656" s="17"/>
    </row>
    <row r="4657" spans="2:2">
      <c r="B4657" s="17"/>
    </row>
    <row r="4658" spans="2:2">
      <c r="B4658" s="17"/>
    </row>
    <row r="4659" spans="2:2">
      <c r="B4659" s="17"/>
    </row>
    <row r="4660" spans="2:2">
      <c r="B4660" s="17"/>
    </row>
    <row r="4661" spans="2:2">
      <c r="B4661" s="17"/>
    </row>
    <row r="4662" spans="2:2">
      <c r="B4662" s="17"/>
    </row>
    <row r="4663" spans="2:2">
      <c r="B4663" s="17"/>
    </row>
    <row r="4664" spans="2:2">
      <c r="B4664" s="17"/>
    </row>
    <row r="4665" spans="2:2">
      <c r="B4665" s="17"/>
    </row>
    <row r="4666" spans="2:2">
      <c r="B4666" s="17"/>
    </row>
    <row r="4667" spans="2:2">
      <c r="B4667" s="17"/>
    </row>
    <row r="4668" spans="2:2">
      <c r="B4668" s="17"/>
    </row>
    <row r="4669" spans="2:2">
      <c r="B4669" s="17"/>
    </row>
    <row r="4670" spans="2:2">
      <c r="B4670" s="17"/>
    </row>
    <row r="4671" spans="2:2">
      <c r="B4671" s="17"/>
    </row>
    <row r="4672" spans="2:2">
      <c r="B4672" s="17"/>
    </row>
    <row r="4673" spans="2:2">
      <c r="B4673" s="17"/>
    </row>
    <row r="4674" spans="2:2">
      <c r="B4674" s="17"/>
    </row>
    <row r="4675" spans="2:2">
      <c r="B4675" s="17"/>
    </row>
    <row r="4676" spans="2:2">
      <c r="B4676" s="17"/>
    </row>
    <row r="4677" spans="2:2">
      <c r="B4677" s="17"/>
    </row>
    <row r="4678" spans="2:2">
      <c r="B4678" s="17"/>
    </row>
    <row r="4679" spans="2:2">
      <c r="B4679" s="17"/>
    </row>
    <row r="4680" spans="2:2">
      <c r="B4680" s="17"/>
    </row>
    <row r="4681" spans="2:2">
      <c r="B4681" s="17"/>
    </row>
    <row r="4682" spans="2:2">
      <c r="B4682" s="17"/>
    </row>
    <row r="4683" spans="2:2">
      <c r="B4683" s="17"/>
    </row>
    <row r="4684" spans="2:2">
      <c r="B4684" s="17"/>
    </row>
    <row r="4685" spans="2:2">
      <c r="B4685" s="17"/>
    </row>
    <row r="4686" spans="2:2">
      <c r="B4686" s="17"/>
    </row>
    <row r="4687" spans="2:2">
      <c r="B4687" s="17"/>
    </row>
    <row r="4688" spans="2:2">
      <c r="B4688" s="17"/>
    </row>
    <row r="4689" spans="2:2">
      <c r="B4689" s="17"/>
    </row>
    <row r="4690" spans="2:2">
      <c r="B4690" s="17"/>
    </row>
    <row r="4691" spans="2:2">
      <c r="B4691" s="17"/>
    </row>
    <row r="4692" spans="2:2">
      <c r="B4692" s="17"/>
    </row>
    <row r="4693" spans="2:2">
      <c r="B4693" s="17"/>
    </row>
    <row r="4694" spans="2:2">
      <c r="B4694" s="17"/>
    </row>
    <row r="4695" spans="2:2">
      <c r="B4695" s="17"/>
    </row>
    <row r="4696" spans="2:2">
      <c r="B4696" s="17"/>
    </row>
    <row r="4697" spans="2:2">
      <c r="B4697" s="17"/>
    </row>
    <row r="4698" spans="2:2">
      <c r="B4698" s="17"/>
    </row>
    <row r="4699" spans="2:2">
      <c r="B4699" s="17"/>
    </row>
    <row r="4700" spans="2:2">
      <c r="B4700" s="17"/>
    </row>
    <row r="4701" spans="2:2">
      <c r="B4701" s="17"/>
    </row>
    <row r="4702" spans="2:2">
      <c r="B4702" s="17"/>
    </row>
    <row r="4703" spans="2:2">
      <c r="B4703" s="17"/>
    </row>
    <row r="4704" spans="2:2">
      <c r="B4704" s="17"/>
    </row>
    <row r="4705" spans="2:2">
      <c r="B4705" s="17"/>
    </row>
    <row r="4706" spans="2:2">
      <c r="B4706" s="17"/>
    </row>
    <row r="4707" spans="2:2">
      <c r="B4707" s="17"/>
    </row>
    <row r="4708" spans="2:2">
      <c r="B4708" s="17"/>
    </row>
    <row r="4709" spans="2:2">
      <c r="B4709" s="17"/>
    </row>
    <row r="4710" spans="2:2">
      <c r="B4710" s="17"/>
    </row>
    <row r="4711" spans="2:2">
      <c r="B4711" s="17"/>
    </row>
    <row r="4712" spans="2:2">
      <c r="B4712" s="17"/>
    </row>
    <row r="4713" spans="2:2">
      <c r="B4713" s="17"/>
    </row>
    <row r="4714" spans="2:2">
      <c r="B4714" s="17"/>
    </row>
    <row r="4715" spans="2:2">
      <c r="B4715" s="17"/>
    </row>
    <row r="4716" spans="2:2">
      <c r="B4716" s="17"/>
    </row>
    <row r="4717" spans="2:2">
      <c r="B4717" s="17"/>
    </row>
    <row r="4718" spans="2:2">
      <c r="B4718" s="17"/>
    </row>
    <row r="4719" spans="2:2">
      <c r="B4719" s="17"/>
    </row>
    <row r="4720" spans="2:2">
      <c r="B4720" s="17"/>
    </row>
    <row r="4721" spans="2:2">
      <c r="B4721" s="17"/>
    </row>
    <row r="4722" spans="2:2">
      <c r="B4722" s="17"/>
    </row>
    <row r="4723" spans="2:2">
      <c r="B4723" s="17"/>
    </row>
    <row r="4724" spans="2:2">
      <c r="B4724" s="17"/>
    </row>
    <row r="4725" spans="2:2">
      <c r="B4725" s="17"/>
    </row>
    <row r="4726" spans="2:2">
      <c r="B4726" s="17"/>
    </row>
    <row r="4727" spans="2:2">
      <c r="B4727" s="17"/>
    </row>
    <row r="4728" spans="2:2">
      <c r="B4728" s="17"/>
    </row>
    <row r="4729" spans="2:2">
      <c r="B4729" s="17"/>
    </row>
    <row r="4730" spans="2:2">
      <c r="B4730" s="17"/>
    </row>
    <row r="4731" spans="2:2">
      <c r="B4731" s="17"/>
    </row>
    <row r="4732" spans="2:2">
      <c r="B4732" s="17"/>
    </row>
    <row r="4733" spans="2:2">
      <c r="B4733" s="17"/>
    </row>
    <row r="4734" spans="2:2">
      <c r="B4734" s="17"/>
    </row>
    <row r="4735" spans="2:2">
      <c r="B4735" s="17"/>
    </row>
    <row r="4736" spans="2:2">
      <c r="B4736" s="17"/>
    </row>
    <row r="4737" spans="2:2">
      <c r="B4737" s="17"/>
    </row>
    <row r="4738" spans="2:2">
      <c r="B4738" s="17"/>
    </row>
    <row r="4739" spans="2:2">
      <c r="B4739" s="17"/>
    </row>
    <row r="4740" spans="2:2">
      <c r="B4740" s="17"/>
    </row>
    <row r="4741" spans="2:2">
      <c r="B4741" s="17"/>
    </row>
    <row r="4742" spans="2:2">
      <c r="B4742" s="17"/>
    </row>
    <row r="4743" spans="2:2">
      <c r="B4743" s="17"/>
    </row>
    <row r="4744" spans="2:2">
      <c r="B4744" s="17"/>
    </row>
    <row r="4745" spans="2:2">
      <c r="B4745" s="17"/>
    </row>
    <row r="4746" spans="2:2">
      <c r="B4746" s="17"/>
    </row>
    <row r="4747" spans="2:2">
      <c r="B4747" s="17"/>
    </row>
    <row r="4748" spans="2:2">
      <c r="B4748" s="17"/>
    </row>
    <row r="4749" spans="2:2">
      <c r="B4749" s="17"/>
    </row>
    <row r="4750" spans="2:2">
      <c r="B4750" s="17"/>
    </row>
    <row r="4751" spans="2:2">
      <c r="B4751" s="17"/>
    </row>
    <row r="4752" spans="2:2">
      <c r="B4752" s="17"/>
    </row>
    <row r="4753" spans="2:2">
      <c r="B4753" s="17"/>
    </row>
    <row r="4754" spans="2:2">
      <c r="B4754" s="17"/>
    </row>
    <row r="4755" spans="2:2">
      <c r="B4755" s="17"/>
    </row>
    <row r="4756" spans="2:2">
      <c r="B4756" s="17"/>
    </row>
    <row r="4757" spans="2:2">
      <c r="B4757" s="17"/>
    </row>
    <row r="4758" spans="2:2">
      <c r="B4758" s="17"/>
    </row>
    <row r="4759" spans="2:2">
      <c r="B4759" s="17"/>
    </row>
    <row r="4760" spans="2:2">
      <c r="B4760" s="17"/>
    </row>
    <row r="4761" spans="2:2">
      <c r="B4761" s="17"/>
    </row>
    <row r="4762" spans="2:2">
      <c r="B4762" s="17"/>
    </row>
    <row r="4763" spans="2:2">
      <c r="B4763" s="17"/>
    </row>
    <row r="4764" spans="2:2">
      <c r="B4764" s="17"/>
    </row>
    <row r="4765" spans="2:2">
      <c r="B4765" s="17"/>
    </row>
    <row r="4766" spans="2:2">
      <c r="B4766" s="17"/>
    </row>
    <row r="4767" spans="2:2">
      <c r="B4767" s="17"/>
    </row>
    <row r="4768" spans="2:2">
      <c r="B4768" s="17"/>
    </row>
    <row r="4769" spans="2:2">
      <c r="B4769" s="17"/>
    </row>
    <row r="4770" spans="2:2">
      <c r="B4770" s="17"/>
    </row>
    <row r="4771" spans="2:2">
      <c r="B4771" s="17"/>
    </row>
    <row r="4772" spans="2:2">
      <c r="B4772" s="17"/>
    </row>
    <row r="4773" spans="2:2">
      <c r="B4773" s="17"/>
    </row>
    <row r="4774" spans="2:2">
      <c r="B4774" s="17"/>
    </row>
    <row r="4775" spans="2:2">
      <c r="B4775" s="17"/>
    </row>
    <row r="4776" spans="2:2">
      <c r="B4776" s="17"/>
    </row>
    <row r="4777" spans="2:2">
      <c r="B4777" s="17"/>
    </row>
    <row r="4778" spans="2:2">
      <c r="B4778" s="17"/>
    </row>
    <row r="4779" spans="2:2">
      <c r="B4779" s="17"/>
    </row>
    <row r="4780" spans="2:2">
      <c r="B4780" s="17"/>
    </row>
    <row r="4781" spans="2:2">
      <c r="B4781" s="17"/>
    </row>
    <row r="4782" spans="2:2">
      <c r="B4782" s="17"/>
    </row>
    <row r="4783" spans="2:2">
      <c r="B4783" s="17"/>
    </row>
    <row r="4784" spans="2:2">
      <c r="B4784" s="17"/>
    </row>
    <row r="4785" spans="2:2">
      <c r="B4785" s="17"/>
    </row>
    <row r="4786" spans="2:2">
      <c r="B4786" s="17"/>
    </row>
    <row r="4787" spans="2:2">
      <c r="B4787" s="17"/>
    </row>
    <row r="4788" spans="2:2">
      <c r="B4788" s="17"/>
    </row>
    <row r="4789" spans="2:2">
      <c r="B4789" s="17"/>
    </row>
    <row r="4790" spans="2:2">
      <c r="B4790" s="17"/>
    </row>
    <row r="4791" spans="2:2">
      <c r="B4791" s="17"/>
    </row>
    <row r="4792" spans="2:2">
      <c r="B4792" s="17"/>
    </row>
    <row r="4793" spans="2:2">
      <c r="B4793" s="17"/>
    </row>
    <row r="4794" spans="2:2">
      <c r="B4794" s="17"/>
    </row>
    <row r="4795" spans="2:2">
      <c r="B4795" s="17"/>
    </row>
    <row r="4796" spans="2:2">
      <c r="B4796" s="17"/>
    </row>
    <row r="4797" spans="2:2">
      <c r="B4797" s="17"/>
    </row>
    <row r="4798" spans="2:2">
      <c r="B4798" s="17"/>
    </row>
    <row r="4799" spans="2:2">
      <c r="B4799" s="17"/>
    </row>
    <row r="4800" spans="2:2">
      <c r="B4800" s="17"/>
    </row>
    <row r="4801" spans="2:2">
      <c r="B4801" s="17"/>
    </row>
    <row r="4802" spans="2:2">
      <c r="B4802" s="17"/>
    </row>
    <row r="4803" spans="2:2">
      <c r="B4803" s="17"/>
    </row>
    <row r="4804" spans="2:2">
      <c r="B4804" s="17"/>
    </row>
    <row r="4805" spans="2:2">
      <c r="B4805" s="17"/>
    </row>
    <row r="4806" spans="2:2">
      <c r="B4806" s="17"/>
    </row>
    <row r="4807" spans="2:2">
      <c r="B4807" s="17"/>
    </row>
    <row r="4808" spans="2:2">
      <c r="B4808" s="17"/>
    </row>
    <row r="4809" spans="2:2">
      <c r="B4809" s="17"/>
    </row>
    <row r="4810" spans="2:2">
      <c r="B4810" s="17"/>
    </row>
    <row r="4811" spans="2:2">
      <c r="B4811" s="17"/>
    </row>
    <row r="4812" spans="2:2">
      <c r="B4812" s="17"/>
    </row>
    <row r="4813" spans="2:2">
      <c r="B4813" s="17"/>
    </row>
    <row r="4814" spans="2:2">
      <c r="B4814" s="17"/>
    </row>
    <row r="4815" spans="2:2">
      <c r="B4815" s="17"/>
    </row>
    <row r="4816" spans="2:2">
      <c r="B4816" s="17"/>
    </row>
    <row r="4817" spans="2:2">
      <c r="B4817" s="17"/>
    </row>
    <row r="4818" spans="2:2">
      <c r="B4818" s="17"/>
    </row>
    <row r="4819" spans="2:2">
      <c r="B4819" s="17"/>
    </row>
    <row r="4820" spans="2:2">
      <c r="B4820" s="17"/>
    </row>
    <row r="4821" spans="2:2">
      <c r="B4821" s="17"/>
    </row>
    <row r="4822" spans="2:2">
      <c r="B4822" s="17"/>
    </row>
    <row r="4823" spans="2:2">
      <c r="B4823" s="17"/>
    </row>
    <row r="4824" spans="2:2">
      <c r="B4824" s="17"/>
    </row>
    <row r="4825" spans="2:2">
      <c r="B4825" s="17"/>
    </row>
    <row r="4826" spans="2:2">
      <c r="B4826" s="17"/>
    </row>
    <row r="4827" spans="2:2">
      <c r="B4827" s="17"/>
    </row>
    <row r="4828" spans="2:2">
      <c r="B4828" s="17"/>
    </row>
    <row r="4829" spans="2:2">
      <c r="B4829" s="17"/>
    </row>
    <row r="4830" spans="2:2">
      <c r="B4830" s="17"/>
    </row>
    <row r="4831" spans="2:2">
      <c r="B4831" s="17"/>
    </row>
    <row r="4832" spans="2:2">
      <c r="B4832" s="17"/>
    </row>
    <row r="4833" spans="2:2">
      <c r="B4833" s="17"/>
    </row>
    <row r="4834" spans="2:2">
      <c r="B4834" s="17"/>
    </row>
    <row r="4835" spans="2:2">
      <c r="B4835" s="17"/>
    </row>
    <row r="4836" spans="2:2">
      <c r="B4836" s="17"/>
    </row>
    <row r="4837" spans="2:2">
      <c r="B4837" s="17"/>
    </row>
    <row r="4838" spans="2:2">
      <c r="B4838" s="17"/>
    </row>
    <row r="4839" spans="2:2">
      <c r="B4839" s="17"/>
    </row>
    <row r="4840" spans="2:2">
      <c r="B4840" s="17"/>
    </row>
    <row r="4841" spans="2:2">
      <c r="B4841" s="17"/>
    </row>
    <row r="4842" spans="2:2">
      <c r="B4842" s="17"/>
    </row>
    <row r="4843" spans="2:2">
      <c r="B4843" s="17"/>
    </row>
    <row r="4844" spans="2:2">
      <c r="B4844" s="17"/>
    </row>
    <row r="4845" spans="2:2">
      <c r="B4845" s="17"/>
    </row>
    <row r="4846" spans="2:2">
      <c r="B4846" s="17"/>
    </row>
    <row r="4847" spans="2:2">
      <c r="B4847" s="17"/>
    </row>
    <row r="4848" spans="2:2">
      <c r="B4848" s="17"/>
    </row>
    <row r="4849" spans="2:2">
      <c r="B4849" s="17"/>
    </row>
    <row r="4850" spans="2:2">
      <c r="B4850" s="17"/>
    </row>
    <row r="4851" spans="2:2">
      <c r="B4851" s="17"/>
    </row>
    <row r="4852" spans="2:2">
      <c r="B4852" s="17"/>
    </row>
    <row r="4853" spans="2:2">
      <c r="B4853" s="17"/>
    </row>
    <row r="4854" spans="2:2">
      <c r="B4854" s="17"/>
    </row>
    <row r="4855" spans="2:2">
      <c r="B4855" s="17"/>
    </row>
    <row r="4856" spans="2:2">
      <c r="B4856" s="17"/>
    </row>
    <row r="4857" spans="2:2">
      <c r="B4857" s="17"/>
    </row>
    <row r="4858" spans="2:2">
      <c r="B4858" s="17"/>
    </row>
    <row r="4859" spans="2:2">
      <c r="B4859" s="17"/>
    </row>
    <row r="4860" spans="2:2">
      <c r="B4860" s="17"/>
    </row>
    <row r="4861" spans="2:2">
      <c r="B4861" s="17"/>
    </row>
    <row r="4862" spans="2:2">
      <c r="B4862" s="17"/>
    </row>
    <row r="4863" spans="2:2">
      <c r="B4863" s="17"/>
    </row>
    <row r="4864" spans="2:2">
      <c r="B4864" s="17"/>
    </row>
    <row r="4865" spans="2:2">
      <c r="B4865" s="17"/>
    </row>
    <row r="4866" spans="2:2">
      <c r="B4866" s="17"/>
    </row>
    <row r="4867" spans="2:2">
      <c r="B4867" s="17"/>
    </row>
    <row r="4868" spans="2:2">
      <c r="B4868" s="17"/>
    </row>
    <row r="4869" spans="2:2">
      <c r="B4869" s="17"/>
    </row>
    <row r="4870" spans="2:2">
      <c r="B4870" s="17"/>
    </row>
    <row r="4871" spans="2:2">
      <c r="B4871" s="17"/>
    </row>
    <row r="4872" spans="2:2">
      <c r="B4872" s="17"/>
    </row>
    <row r="4873" spans="2:2">
      <c r="B4873" s="17"/>
    </row>
    <row r="4874" spans="2:2">
      <c r="B4874" s="17"/>
    </row>
    <row r="4875" spans="2:2">
      <c r="B4875" s="17"/>
    </row>
    <row r="4876" spans="2:2">
      <c r="B4876" s="17"/>
    </row>
    <row r="4877" spans="2:2">
      <c r="B4877" s="17"/>
    </row>
    <row r="4878" spans="2:2">
      <c r="B4878" s="17"/>
    </row>
    <row r="4879" spans="2:2">
      <c r="B4879" s="17"/>
    </row>
    <row r="4880" spans="2:2">
      <c r="B4880" s="17"/>
    </row>
    <row r="4881" spans="2:2">
      <c r="B4881" s="17"/>
    </row>
    <row r="4882" spans="2:2">
      <c r="B4882" s="17"/>
    </row>
    <row r="4883" spans="2:2">
      <c r="B4883" s="17"/>
    </row>
    <row r="4884" spans="2:2">
      <c r="B4884" s="17"/>
    </row>
    <row r="4885" spans="2:2">
      <c r="B4885" s="17"/>
    </row>
    <row r="4886" spans="2:2">
      <c r="B4886" s="17"/>
    </row>
    <row r="4887" spans="2:2">
      <c r="B4887" s="17"/>
    </row>
    <row r="4888" spans="2:2">
      <c r="B4888" s="17"/>
    </row>
    <row r="4889" spans="2:2">
      <c r="B4889" s="17"/>
    </row>
    <row r="4890" spans="2:2">
      <c r="B4890" s="17"/>
    </row>
    <row r="4891" spans="2:2">
      <c r="B4891" s="17"/>
    </row>
    <row r="4892" spans="2:2">
      <c r="B4892" s="17"/>
    </row>
    <row r="4893" spans="2:2">
      <c r="B4893" s="17"/>
    </row>
    <row r="4894" spans="2:2">
      <c r="B4894" s="17"/>
    </row>
    <row r="4895" spans="2:2">
      <c r="B4895" s="17"/>
    </row>
    <row r="4896" spans="2:2">
      <c r="B4896" s="17"/>
    </row>
    <row r="4897" spans="2:2">
      <c r="B4897" s="17"/>
    </row>
    <row r="4898" spans="2:2">
      <c r="B4898" s="17"/>
    </row>
    <row r="4899" spans="2:2">
      <c r="B4899" s="17"/>
    </row>
    <row r="4900" spans="2:2">
      <c r="B4900" s="17"/>
    </row>
    <row r="4901" spans="2:2">
      <c r="B4901" s="17"/>
    </row>
    <row r="4902" spans="2:2">
      <c r="B4902" s="17"/>
    </row>
    <row r="4903" spans="2:2">
      <c r="B4903" s="17"/>
    </row>
    <row r="4904" spans="2:2">
      <c r="B4904" s="17"/>
    </row>
    <row r="4905" spans="2:2">
      <c r="B4905" s="17"/>
    </row>
    <row r="4906" spans="2:2">
      <c r="B4906" s="17"/>
    </row>
    <row r="4907" spans="2:2">
      <c r="B4907" s="17"/>
    </row>
    <row r="4908" spans="2:2">
      <c r="B4908" s="17"/>
    </row>
    <row r="4909" spans="2:2">
      <c r="B4909" s="17"/>
    </row>
    <row r="4910" spans="2:2">
      <c r="B4910" s="17"/>
    </row>
    <row r="4911" spans="2:2">
      <c r="B4911" s="17"/>
    </row>
    <row r="4912" spans="2:2">
      <c r="B4912" s="17"/>
    </row>
    <row r="4913" spans="2:2">
      <c r="B4913" s="17"/>
    </row>
    <row r="4914" spans="2:2">
      <c r="B4914" s="17"/>
    </row>
    <row r="4915" spans="2:2">
      <c r="B4915" s="17"/>
    </row>
    <row r="4916" spans="2:2">
      <c r="B4916" s="17"/>
    </row>
    <row r="4917" spans="2:2">
      <c r="B4917" s="17"/>
    </row>
    <row r="4918" spans="2:2">
      <c r="B4918" s="17"/>
    </row>
    <row r="4919" spans="2:2">
      <c r="B4919" s="17"/>
    </row>
    <row r="4920" spans="2:2">
      <c r="B4920" s="17"/>
    </row>
    <row r="4921" spans="2:2">
      <c r="B4921" s="17"/>
    </row>
    <row r="4922" spans="2:2">
      <c r="B4922" s="17"/>
    </row>
    <row r="4923" spans="2:2">
      <c r="B4923" s="17"/>
    </row>
    <row r="4924" spans="2:2">
      <c r="B4924" s="17"/>
    </row>
    <row r="4925" spans="2:2">
      <c r="B4925" s="17"/>
    </row>
    <row r="4926" spans="2:2">
      <c r="B4926" s="17"/>
    </row>
    <row r="4927" spans="2:2">
      <c r="B4927" s="17"/>
    </row>
    <row r="4928" spans="2:2">
      <c r="B4928" s="17"/>
    </row>
    <row r="4929" spans="2:2">
      <c r="B4929" s="17"/>
    </row>
    <row r="4930" spans="2:2">
      <c r="B4930" s="17"/>
    </row>
    <row r="4931" spans="2:2">
      <c r="B4931" s="17"/>
    </row>
    <row r="4932" spans="2:2">
      <c r="B4932" s="17"/>
    </row>
    <row r="4933" spans="2:2">
      <c r="B4933" s="17"/>
    </row>
    <row r="4934" spans="2:2">
      <c r="B4934" s="17"/>
    </row>
    <row r="4935" spans="2:2">
      <c r="B4935" s="17"/>
    </row>
    <row r="4936" spans="2:2">
      <c r="B4936" s="17"/>
    </row>
    <row r="4937" spans="2:2">
      <c r="B4937" s="17"/>
    </row>
    <row r="4938" spans="2:2">
      <c r="B4938" s="17"/>
    </row>
    <row r="4939" spans="2:2">
      <c r="B4939" s="17"/>
    </row>
    <row r="4940" spans="2:2">
      <c r="B4940" s="17"/>
    </row>
    <row r="4941" spans="2:2">
      <c r="B4941" s="17"/>
    </row>
    <row r="4942" spans="2:2">
      <c r="B4942" s="17"/>
    </row>
    <row r="4943" spans="2:2">
      <c r="B4943" s="17"/>
    </row>
    <row r="4944" spans="2:2">
      <c r="B4944" s="17"/>
    </row>
    <row r="4945" spans="2:2">
      <c r="B4945" s="17"/>
    </row>
    <row r="4946" spans="2:2">
      <c r="B4946" s="17"/>
    </row>
    <row r="4947" spans="2:2">
      <c r="B4947" s="17"/>
    </row>
    <row r="4948" spans="2:2">
      <c r="B4948" s="17"/>
    </row>
    <row r="4949" spans="2:2">
      <c r="B4949" s="17"/>
    </row>
    <row r="4950" spans="2:2">
      <c r="B4950" s="17"/>
    </row>
    <row r="4951" spans="2:2">
      <c r="B4951" s="17"/>
    </row>
    <row r="4952" spans="2:2">
      <c r="B4952" s="17"/>
    </row>
    <row r="4953" spans="2:2">
      <c r="B4953" s="17"/>
    </row>
    <row r="4954" spans="2:2">
      <c r="B4954" s="17"/>
    </row>
    <row r="4955" spans="2:2">
      <c r="B4955" s="17"/>
    </row>
    <row r="4956" spans="2:2">
      <c r="B4956" s="17"/>
    </row>
    <row r="4957" spans="2:2">
      <c r="B4957" s="17"/>
    </row>
    <row r="4958" spans="2:2">
      <c r="B4958" s="17"/>
    </row>
    <row r="4959" spans="2:2">
      <c r="B4959" s="17"/>
    </row>
    <row r="4960" spans="2:2">
      <c r="B4960" s="17"/>
    </row>
    <row r="4961" spans="2:2">
      <c r="B4961" s="17"/>
    </row>
    <row r="4962" spans="2:2">
      <c r="B4962" s="17"/>
    </row>
    <row r="4963" spans="2:2">
      <c r="B4963" s="17"/>
    </row>
    <row r="4964" spans="2:2">
      <c r="B4964" s="17"/>
    </row>
    <row r="4965" spans="2:2">
      <c r="B4965" s="17"/>
    </row>
    <row r="4966" spans="2:2">
      <c r="B4966" s="17"/>
    </row>
    <row r="4967" spans="2:2">
      <c r="B4967" s="17"/>
    </row>
    <row r="4968" spans="2:2">
      <c r="B4968" s="17"/>
    </row>
    <row r="4969" spans="2:2">
      <c r="B4969" s="17"/>
    </row>
    <row r="4970" spans="2:2">
      <c r="B4970" s="17"/>
    </row>
    <row r="4971" spans="2:2">
      <c r="B4971" s="17"/>
    </row>
    <row r="4972" spans="2:2">
      <c r="B4972" s="17"/>
    </row>
    <row r="4973" spans="2:2">
      <c r="B4973" s="17"/>
    </row>
    <row r="4974" spans="2:2">
      <c r="B4974" s="17"/>
    </row>
    <row r="4975" spans="2:2">
      <c r="B4975" s="17"/>
    </row>
    <row r="4976" spans="2:2">
      <c r="B4976" s="17"/>
    </row>
    <row r="4977" spans="2:2">
      <c r="B4977" s="17"/>
    </row>
    <row r="4978" spans="2:2">
      <c r="B4978" s="17"/>
    </row>
    <row r="4979" spans="2:2">
      <c r="B4979" s="17"/>
    </row>
    <row r="4980" spans="2:2">
      <c r="B4980" s="17"/>
    </row>
    <row r="4981" spans="2:2">
      <c r="B4981" s="17"/>
    </row>
    <row r="4982" spans="2:2">
      <c r="B4982" s="17"/>
    </row>
    <row r="4983" spans="2:2">
      <c r="B4983" s="17"/>
    </row>
    <row r="4984" spans="2:2">
      <c r="B4984" s="17"/>
    </row>
    <row r="4985" spans="2:2">
      <c r="B4985" s="17"/>
    </row>
    <row r="4986" spans="2:2">
      <c r="B4986" s="17"/>
    </row>
    <row r="4987" spans="2:2">
      <c r="B4987" s="17"/>
    </row>
    <row r="4988" spans="2:2">
      <c r="B4988" s="17"/>
    </row>
    <row r="4989" spans="2:2">
      <c r="B4989" s="17"/>
    </row>
    <row r="4990" spans="2:2">
      <c r="B4990" s="17"/>
    </row>
    <row r="4991" spans="2:2">
      <c r="B4991" s="17"/>
    </row>
    <row r="4992" spans="2:2">
      <c r="B4992" s="17"/>
    </row>
    <row r="4993" spans="2:2">
      <c r="B4993" s="17"/>
    </row>
    <row r="4994" spans="2:2">
      <c r="B4994" s="17"/>
    </row>
    <row r="4995" spans="2:2">
      <c r="B4995" s="17"/>
    </row>
    <row r="4996" spans="2:2">
      <c r="B4996" s="17"/>
    </row>
    <row r="4997" spans="2:2">
      <c r="B4997" s="17"/>
    </row>
    <row r="4998" spans="2:2">
      <c r="B4998" s="17"/>
    </row>
    <row r="4999" spans="2:2">
      <c r="B4999" s="17"/>
    </row>
    <row r="5000" spans="2:2">
      <c r="B5000" s="17"/>
    </row>
    <row r="5001" spans="2:2">
      <c r="B5001" s="17"/>
    </row>
    <row r="5002" spans="2:2">
      <c r="B5002" s="17"/>
    </row>
    <row r="5003" spans="2:2">
      <c r="B5003" s="17"/>
    </row>
    <row r="5004" spans="2:2">
      <c r="B5004" s="17"/>
    </row>
    <row r="5005" spans="2:2">
      <c r="B5005" s="17"/>
    </row>
    <row r="5006" spans="2:2">
      <c r="B5006" s="17"/>
    </row>
    <row r="5007" spans="2:2">
      <c r="B5007" s="17"/>
    </row>
    <row r="5008" spans="2:2">
      <c r="B5008" s="17"/>
    </row>
    <row r="5009" spans="2:2">
      <c r="B5009" s="17"/>
    </row>
    <row r="5010" spans="2:2">
      <c r="B5010" s="17"/>
    </row>
    <row r="5011" spans="2:2">
      <c r="B5011" s="17"/>
    </row>
    <row r="5012" spans="2:2">
      <c r="B5012" s="17"/>
    </row>
    <row r="5013" spans="2:2">
      <c r="B5013" s="17"/>
    </row>
    <row r="5014" spans="2:2">
      <c r="B5014" s="17"/>
    </row>
    <row r="5015" spans="2:2">
      <c r="B5015" s="17"/>
    </row>
    <row r="5016" spans="2:2">
      <c r="B5016" s="17"/>
    </row>
    <row r="5017" spans="2:2">
      <c r="B5017" s="17"/>
    </row>
    <row r="5018" spans="2:2">
      <c r="B5018" s="17"/>
    </row>
    <row r="5019" spans="2:2">
      <c r="B5019" s="17"/>
    </row>
    <row r="5020" spans="2:2">
      <c r="B5020" s="17"/>
    </row>
    <row r="5021" spans="2:2">
      <c r="B5021" s="17"/>
    </row>
    <row r="5022" spans="2:2">
      <c r="B5022" s="17"/>
    </row>
    <row r="5023" spans="2:2">
      <c r="B5023" s="17"/>
    </row>
    <row r="5024" spans="2:2">
      <c r="B5024" s="17"/>
    </row>
    <row r="5025" spans="2:2">
      <c r="B5025" s="17"/>
    </row>
    <row r="5026" spans="2:2">
      <c r="B5026" s="17"/>
    </row>
    <row r="5027" spans="2:2">
      <c r="B5027" s="17"/>
    </row>
    <row r="5028" spans="2:2">
      <c r="B5028" s="17"/>
    </row>
    <row r="5029" spans="2:2">
      <c r="B5029" s="17"/>
    </row>
    <row r="5030" spans="2:2">
      <c r="B5030" s="17"/>
    </row>
    <row r="5031" spans="2:2">
      <c r="B5031" s="17"/>
    </row>
    <row r="5032" spans="2:2">
      <c r="B5032" s="17"/>
    </row>
    <row r="5033" spans="2:2">
      <c r="B5033" s="17"/>
    </row>
    <row r="5034" spans="2:2">
      <c r="B5034" s="17"/>
    </row>
    <row r="5035" spans="2:2">
      <c r="B5035" s="17"/>
    </row>
    <row r="5036" spans="2:2">
      <c r="B5036" s="17"/>
    </row>
    <row r="5037" spans="2:2">
      <c r="B5037" s="17"/>
    </row>
    <row r="5038" spans="2:2">
      <c r="B5038" s="17"/>
    </row>
    <row r="5039" spans="2:2">
      <c r="B5039" s="17"/>
    </row>
    <row r="5040" spans="2:2">
      <c r="B5040" s="17"/>
    </row>
    <row r="5041" spans="2:2">
      <c r="B5041" s="17"/>
    </row>
    <row r="5042" spans="2:2">
      <c r="B5042" s="17"/>
    </row>
    <row r="5043" spans="2:2">
      <c r="B5043" s="17"/>
    </row>
    <row r="5044" spans="2:2">
      <c r="B5044" s="17"/>
    </row>
    <row r="5045" spans="2:2">
      <c r="B5045" s="17"/>
    </row>
    <row r="5046" spans="2:2">
      <c r="B5046" s="17"/>
    </row>
    <row r="5047" spans="2:2">
      <c r="B5047" s="17"/>
    </row>
    <row r="5048" spans="2:2">
      <c r="B5048" s="17"/>
    </row>
    <row r="5049" spans="2:2">
      <c r="B5049" s="17"/>
    </row>
    <row r="5050" spans="2:2">
      <c r="B5050" s="17"/>
    </row>
    <row r="5051" spans="2:2">
      <c r="B5051" s="17"/>
    </row>
    <row r="5052" spans="2:2">
      <c r="B5052" s="17"/>
    </row>
    <row r="5053" spans="2:2">
      <c r="B5053" s="17"/>
    </row>
    <row r="5054" spans="2:2">
      <c r="B5054" s="17"/>
    </row>
    <row r="5055" spans="2:2">
      <c r="B5055" s="17"/>
    </row>
    <row r="5056" spans="2:2">
      <c r="B5056" s="17"/>
    </row>
    <row r="5057" spans="2:2">
      <c r="B5057" s="17"/>
    </row>
    <row r="5058" spans="2:2">
      <c r="B5058" s="17"/>
    </row>
    <row r="5059" spans="2:2">
      <c r="B5059" s="17"/>
    </row>
    <row r="5060" spans="2:2">
      <c r="B5060" s="17"/>
    </row>
    <row r="5061" spans="2:2">
      <c r="B5061" s="17"/>
    </row>
    <row r="5062" spans="2:2">
      <c r="B5062" s="17"/>
    </row>
    <row r="5063" spans="2:2">
      <c r="B5063" s="17"/>
    </row>
    <row r="5064" spans="2:2">
      <c r="B5064" s="17"/>
    </row>
    <row r="5065" spans="2:2">
      <c r="B5065" s="17"/>
    </row>
    <row r="5066" spans="2:2">
      <c r="B5066" s="17"/>
    </row>
    <row r="5067" spans="2:2">
      <c r="B5067" s="17"/>
    </row>
    <row r="5068" spans="2:2">
      <c r="B5068" s="17"/>
    </row>
    <row r="5069" spans="2:2">
      <c r="B5069" s="17"/>
    </row>
    <row r="5070" spans="2:2">
      <c r="B5070" s="17"/>
    </row>
    <row r="5071" spans="2:2">
      <c r="B5071" s="17"/>
    </row>
    <row r="5072" spans="2:2">
      <c r="B5072" s="17"/>
    </row>
    <row r="5073" spans="2:2">
      <c r="B5073" s="17"/>
    </row>
    <row r="5074" spans="2:2">
      <c r="B5074" s="17"/>
    </row>
    <row r="5075" spans="2:2">
      <c r="B5075" s="17"/>
    </row>
    <row r="5076" spans="2:2">
      <c r="B5076" s="17"/>
    </row>
    <row r="5077" spans="2:2">
      <c r="B5077" s="17"/>
    </row>
    <row r="5078" spans="2:2">
      <c r="B5078" s="17"/>
    </row>
    <row r="5079" spans="2:2">
      <c r="B5079" s="17"/>
    </row>
    <row r="5080" spans="2:2">
      <c r="B5080" s="17"/>
    </row>
    <row r="5081" spans="2:2">
      <c r="B5081" s="17"/>
    </row>
    <row r="5082" spans="2:2">
      <c r="B5082" s="17"/>
    </row>
    <row r="5083" spans="2:2">
      <c r="B5083" s="17"/>
    </row>
    <row r="5084" spans="2:2">
      <c r="B5084" s="17"/>
    </row>
    <row r="5085" spans="2:2">
      <c r="B5085" s="17"/>
    </row>
    <row r="5086" spans="2:2">
      <c r="B5086" s="17"/>
    </row>
    <row r="5087" spans="2:2">
      <c r="B5087" s="17"/>
    </row>
    <row r="5088" spans="2:2">
      <c r="B5088" s="17"/>
    </row>
    <row r="5089" spans="2:2">
      <c r="B5089" s="17"/>
    </row>
    <row r="5090" spans="2:2">
      <c r="B5090" s="17"/>
    </row>
    <row r="5091" spans="2:2">
      <c r="B5091" s="17"/>
    </row>
    <row r="5092" spans="2:2">
      <c r="B5092" s="17"/>
    </row>
    <row r="5093" spans="2:2">
      <c r="B5093" s="17"/>
    </row>
    <row r="5094" spans="2:2">
      <c r="B5094" s="17"/>
    </row>
    <row r="5095" spans="2:2">
      <c r="B5095" s="17"/>
    </row>
    <row r="5096" spans="2:2">
      <c r="B5096" s="17"/>
    </row>
    <row r="5097" spans="2:2">
      <c r="B5097" s="17"/>
    </row>
    <row r="5098" spans="2:2">
      <c r="B5098" s="17"/>
    </row>
    <row r="5099" spans="2:2">
      <c r="B5099" s="17"/>
    </row>
    <row r="5100" spans="2:2">
      <c r="B5100" s="17"/>
    </row>
    <row r="5101" spans="2:2">
      <c r="B5101" s="17"/>
    </row>
    <row r="5102" spans="2:2">
      <c r="B5102" s="17"/>
    </row>
    <row r="5103" spans="2:2">
      <c r="B5103" s="17"/>
    </row>
    <row r="5104" spans="2:2">
      <c r="B5104" s="17"/>
    </row>
    <row r="5105" spans="2:2">
      <c r="B5105" s="17"/>
    </row>
    <row r="5106" spans="2:2">
      <c r="B5106" s="17"/>
    </row>
    <row r="5107" spans="2:2">
      <c r="B5107" s="17"/>
    </row>
    <row r="5108" spans="2:2">
      <c r="B5108" s="17"/>
    </row>
    <row r="5109" spans="2:2">
      <c r="B5109" s="17"/>
    </row>
    <row r="5110" spans="2:2">
      <c r="B5110" s="17"/>
    </row>
    <row r="5111" spans="2:2">
      <c r="B5111" s="17"/>
    </row>
    <row r="5112" spans="2:2">
      <c r="B5112" s="17"/>
    </row>
    <row r="5113" spans="2:2">
      <c r="B5113" s="17"/>
    </row>
    <row r="5114" spans="2:2">
      <c r="B5114" s="17"/>
    </row>
    <row r="5115" spans="2:2">
      <c r="B5115" s="17"/>
    </row>
    <row r="5116" spans="2:2">
      <c r="B5116" s="17"/>
    </row>
    <row r="5117" spans="2:2">
      <c r="B5117" s="17"/>
    </row>
    <row r="5118" spans="2:2">
      <c r="B5118" s="17"/>
    </row>
    <row r="5119" spans="2:2">
      <c r="B5119" s="17"/>
    </row>
    <row r="5120" spans="2:2">
      <c r="B5120" s="17"/>
    </row>
    <row r="5121" spans="2:2">
      <c r="B5121" s="17"/>
    </row>
    <row r="5122" spans="2:2">
      <c r="B5122" s="17"/>
    </row>
    <row r="5123" spans="2:2">
      <c r="B5123" s="17"/>
    </row>
    <row r="5124" spans="2:2">
      <c r="B5124" s="17"/>
    </row>
    <row r="5125" spans="2:2">
      <c r="B5125" s="17"/>
    </row>
    <row r="5126" spans="2:2">
      <c r="B5126" s="17"/>
    </row>
    <row r="5127" spans="2:2">
      <c r="B5127" s="17"/>
    </row>
    <row r="5128" spans="2:2">
      <c r="B5128" s="17"/>
    </row>
    <row r="5129" spans="2:2">
      <c r="B5129" s="17"/>
    </row>
    <row r="5130" spans="2:2">
      <c r="B5130" s="17"/>
    </row>
    <row r="5131" spans="2:2">
      <c r="B5131" s="17"/>
    </row>
    <row r="5132" spans="2:2">
      <c r="B5132" s="17"/>
    </row>
    <row r="5133" spans="2:2">
      <c r="B5133" s="17"/>
    </row>
    <row r="5134" spans="2:2">
      <c r="B5134" s="17"/>
    </row>
    <row r="5135" spans="2:2">
      <c r="B5135" s="17"/>
    </row>
    <row r="5136" spans="2:2">
      <c r="B5136" s="17"/>
    </row>
    <row r="5137" spans="2:2">
      <c r="B5137" s="17"/>
    </row>
    <row r="5138" spans="2:2">
      <c r="B5138" s="17"/>
    </row>
    <row r="5139" spans="2:2">
      <c r="B5139" s="17"/>
    </row>
    <row r="5140" spans="2:2">
      <c r="B5140" s="17"/>
    </row>
    <row r="5141" spans="2:2">
      <c r="B5141" s="17"/>
    </row>
    <row r="5142" spans="2:2">
      <c r="B5142" s="17"/>
    </row>
    <row r="5143" spans="2:2">
      <c r="B5143" s="17"/>
    </row>
    <row r="5144" spans="2:2">
      <c r="B5144" s="17"/>
    </row>
    <row r="5145" spans="2:2">
      <c r="B5145" s="17"/>
    </row>
    <row r="5146" spans="2:2">
      <c r="B5146" s="17"/>
    </row>
    <row r="5147" spans="2:2">
      <c r="B5147" s="17"/>
    </row>
    <row r="5148" spans="2:2">
      <c r="B5148" s="17"/>
    </row>
    <row r="5149" spans="2:2">
      <c r="B5149" s="17"/>
    </row>
    <row r="5150" spans="2:2">
      <c r="B5150" s="17"/>
    </row>
    <row r="5151" spans="2:2">
      <c r="B5151" s="17"/>
    </row>
    <row r="5152" spans="2:2">
      <c r="B5152" s="17"/>
    </row>
    <row r="5153" spans="2:2">
      <c r="B5153" s="17"/>
    </row>
    <row r="5154" spans="2:2">
      <c r="B5154" s="17"/>
    </row>
    <row r="5155" spans="2:2">
      <c r="B5155" s="17"/>
    </row>
    <row r="5156" spans="2:2">
      <c r="B5156" s="17"/>
    </row>
    <row r="5157" spans="2:2">
      <c r="B5157" s="17"/>
    </row>
    <row r="5158" spans="2:2">
      <c r="B5158" s="17"/>
    </row>
    <row r="5159" spans="2:2">
      <c r="B5159" s="17"/>
    </row>
    <row r="5160" spans="2:2">
      <c r="B5160" s="17"/>
    </row>
    <row r="5161" spans="2:2">
      <c r="B5161" s="17"/>
    </row>
    <row r="5162" spans="2:2">
      <c r="B5162" s="17"/>
    </row>
    <row r="5163" spans="2:2">
      <c r="B5163" s="17"/>
    </row>
    <row r="5164" spans="2:2">
      <c r="B5164" s="17"/>
    </row>
    <row r="5165" spans="2:2">
      <c r="B5165" s="17"/>
    </row>
    <row r="5166" spans="2:2">
      <c r="B5166" s="17"/>
    </row>
    <row r="5167" spans="2:2">
      <c r="B5167" s="17"/>
    </row>
    <row r="5168" spans="2:2">
      <c r="B5168" s="17"/>
    </row>
    <row r="5169" spans="2:2">
      <c r="B5169" s="17"/>
    </row>
    <row r="5170" spans="2:2">
      <c r="B5170" s="17"/>
    </row>
    <row r="5171" spans="2:2">
      <c r="B5171" s="17"/>
    </row>
    <row r="5172" spans="2:2">
      <c r="B5172" s="17"/>
    </row>
    <row r="5173" spans="2:2">
      <c r="B5173" s="17"/>
    </row>
    <row r="5174" spans="2:2">
      <c r="B5174" s="17"/>
    </row>
    <row r="5175" spans="2:2">
      <c r="B5175" s="17"/>
    </row>
    <row r="5176" spans="2:2">
      <c r="B5176" s="17"/>
    </row>
    <row r="5177" spans="2:2">
      <c r="B5177" s="17"/>
    </row>
    <row r="5178" spans="2:2">
      <c r="B5178" s="17"/>
    </row>
    <row r="5179" spans="2:2">
      <c r="B5179" s="17"/>
    </row>
    <row r="5180" spans="2:2">
      <c r="B5180" s="17"/>
    </row>
    <row r="5181" spans="2:2">
      <c r="B5181" s="17"/>
    </row>
    <row r="5182" spans="2:2">
      <c r="B5182" s="17"/>
    </row>
    <row r="5183" spans="2:2">
      <c r="B5183" s="17"/>
    </row>
    <row r="5184" spans="2:2">
      <c r="B5184" s="17"/>
    </row>
    <row r="5185" spans="2:2">
      <c r="B5185" s="17"/>
    </row>
    <row r="5186" spans="2:2">
      <c r="B5186" s="17"/>
    </row>
    <row r="5187" spans="2:2">
      <c r="B5187" s="17"/>
    </row>
    <row r="5188" spans="2:2">
      <c r="B5188" s="17"/>
    </row>
    <row r="5189" spans="2:2">
      <c r="B5189" s="17"/>
    </row>
    <row r="5190" spans="2:2">
      <c r="B5190" s="17"/>
    </row>
    <row r="5191" spans="2:2">
      <c r="B5191" s="17"/>
    </row>
    <row r="5192" spans="2:2">
      <c r="B5192" s="17"/>
    </row>
    <row r="5193" spans="2:2">
      <c r="B5193" s="17"/>
    </row>
    <row r="5194" spans="2:2">
      <c r="B5194" s="17"/>
    </row>
    <row r="5195" spans="2:2">
      <c r="B5195" s="17"/>
    </row>
    <row r="5196" spans="2:2">
      <c r="B5196" s="17"/>
    </row>
    <row r="5197" spans="2:2">
      <c r="B5197" s="17"/>
    </row>
    <row r="5198" spans="2:2">
      <c r="B5198" s="17"/>
    </row>
    <row r="5199" spans="2:2">
      <c r="B5199" s="17"/>
    </row>
    <row r="5200" spans="2:2">
      <c r="B5200" s="17"/>
    </row>
    <row r="5201" spans="2:2">
      <c r="B5201" s="17"/>
    </row>
    <row r="5202" spans="2:2">
      <c r="B5202" s="17"/>
    </row>
    <row r="5203" spans="2:2">
      <c r="B5203" s="17"/>
    </row>
    <row r="5204" spans="2:2">
      <c r="B5204" s="17"/>
    </row>
    <row r="5205" spans="2:2">
      <c r="B5205" s="17"/>
    </row>
    <row r="5206" spans="2:2">
      <c r="B5206" s="17"/>
    </row>
    <row r="5207" spans="2:2">
      <c r="B5207" s="17"/>
    </row>
    <row r="5208" spans="2:2">
      <c r="B5208" s="17"/>
    </row>
    <row r="5209" spans="2:2">
      <c r="B5209" s="17"/>
    </row>
    <row r="5210" spans="2:2">
      <c r="B5210" s="17"/>
    </row>
    <row r="5211" spans="2:2">
      <c r="B5211" s="17"/>
    </row>
    <row r="5212" spans="2:2">
      <c r="B5212" s="17"/>
    </row>
    <row r="5213" spans="2:2">
      <c r="B5213" s="17"/>
    </row>
    <row r="5214" spans="2:2">
      <c r="B5214" s="17"/>
    </row>
    <row r="5215" spans="2:2">
      <c r="B5215" s="17"/>
    </row>
    <row r="5216" spans="2:2">
      <c r="B5216" s="17"/>
    </row>
    <row r="5217" spans="2:2">
      <c r="B5217" s="17"/>
    </row>
    <row r="5218" spans="2:2">
      <c r="B5218" s="17"/>
    </row>
    <row r="5219" spans="2:2">
      <c r="B5219" s="17"/>
    </row>
    <row r="5220" spans="2:2">
      <c r="B5220" s="17"/>
    </row>
    <row r="5221" spans="2:2">
      <c r="B5221" s="17"/>
    </row>
    <row r="5222" spans="2:2">
      <c r="B5222" s="17"/>
    </row>
    <row r="5223" spans="2:2">
      <c r="B5223" s="17"/>
    </row>
    <row r="5224" spans="2:2">
      <c r="B5224" s="17"/>
    </row>
    <row r="5225" spans="2:2">
      <c r="B5225" s="17"/>
    </row>
    <row r="5226" spans="2:2">
      <c r="B5226" s="17"/>
    </row>
    <row r="5227" spans="2:2">
      <c r="B5227" s="17"/>
    </row>
    <row r="5228" spans="2:2">
      <c r="B5228" s="17"/>
    </row>
    <row r="5229" spans="2:2">
      <c r="B5229" s="17"/>
    </row>
    <row r="5230" spans="2:2">
      <c r="B5230" s="17"/>
    </row>
    <row r="5231" spans="2:2">
      <c r="B5231" s="17"/>
    </row>
    <row r="5232" spans="2:2">
      <c r="B5232" s="17"/>
    </row>
    <row r="5233" spans="2:2">
      <c r="B5233" s="17"/>
    </row>
    <row r="5234" spans="2:2">
      <c r="B5234" s="17"/>
    </row>
    <row r="5235" spans="2:2">
      <c r="B5235" s="17"/>
    </row>
    <row r="5236" spans="2:2">
      <c r="B5236" s="17"/>
    </row>
    <row r="5237" spans="2:2">
      <c r="B5237" s="17"/>
    </row>
    <row r="5238" spans="2:2">
      <c r="B5238" s="17"/>
    </row>
    <row r="5239" spans="2:2">
      <c r="B5239" s="17"/>
    </row>
    <row r="5240" spans="2:2">
      <c r="B5240" s="17"/>
    </row>
    <row r="5241" spans="2:2">
      <c r="B5241" s="17"/>
    </row>
    <row r="5242" spans="2:2">
      <c r="B5242" s="17"/>
    </row>
    <row r="5243" spans="2:2">
      <c r="B5243" s="17"/>
    </row>
    <row r="5244" spans="2:2">
      <c r="B5244" s="17"/>
    </row>
    <row r="5245" spans="2:2">
      <c r="B5245" s="17"/>
    </row>
    <row r="5246" spans="2:2">
      <c r="B5246" s="17"/>
    </row>
    <row r="5247" spans="2:2">
      <c r="B5247" s="17"/>
    </row>
    <row r="5248" spans="2:2">
      <c r="B5248" s="17"/>
    </row>
    <row r="5249" spans="2:2">
      <c r="B5249" s="17"/>
    </row>
    <row r="5250" spans="2:2">
      <c r="B5250" s="17"/>
    </row>
    <row r="5251" spans="2:2">
      <c r="B5251" s="17"/>
    </row>
    <row r="5252" spans="2:2">
      <c r="B5252" s="17"/>
    </row>
    <row r="5253" spans="2:2">
      <c r="B5253" s="17"/>
    </row>
    <row r="5254" spans="2:2">
      <c r="B5254" s="17"/>
    </row>
    <row r="5255" spans="2:2">
      <c r="B5255" s="17"/>
    </row>
    <row r="5256" spans="2:2">
      <c r="B5256" s="17"/>
    </row>
    <row r="5257" spans="2:2">
      <c r="B5257" s="17"/>
    </row>
    <row r="5258" spans="2:2">
      <c r="B5258" s="17"/>
    </row>
    <row r="5259" spans="2:2">
      <c r="B5259" s="17"/>
    </row>
    <row r="5260" spans="2:2">
      <c r="B5260" s="17"/>
    </row>
    <row r="5261" spans="2:2">
      <c r="B5261" s="17"/>
    </row>
    <row r="5262" spans="2:2">
      <c r="B5262" s="17"/>
    </row>
    <row r="5263" spans="2:2">
      <c r="B5263" s="17"/>
    </row>
    <row r="5264" spans="2:2">
      <c r="B5264" s="17"/>
    </row>
    <row r="5265" spans="2:2">
      <c r="B5265" s="17"/>
    </row>
    <row r="5266" spans="2:2">
      <c r="B5266" s="17"/>
    </row>
    <row r="5267" spans="2:2">
      <c r="B5267" s="17"/>
    </row>
    <row r="5268" spans="2:2">
      <c r="B5268" s="17"/>
    </row>
    <row r="5269" spans="2:2">
      <c r="B5269" s="17"/>
    </row>
    <row r="5270" spans="2:2">
      <c r="B5270" s="17"/>
    </row>
    <row r="5271" spans="2:2">
      <c r="B5271" s="17"/>
    </row>
    <row r="5272" spans="2:2">
      <c r="B5272" s="17"/>
    </row>
    <row r="5273" spans="2:2">
      <c r="B5273" s="17"/>
    </row>
    <row r="5274" spans="2:2">
      <c r="B5274" s="17"/>
    </row>
    <row r="5275" spans="2:2">
      <c r="B5275" s="17"/>
    </row>
    <row r="5276" spans="2:2">
      <c r="B5276" s="17"/>
    </row>
    <row r="5277" spans="2:2">
      <c r="B5277" s="17"/>
    </row>
    <row r="5278" spans="2:2">
      <c r="B5278" s="17"/>
    </row>
    <row r="5279" spans="2:2">
      <c r="B5279" s="17"/>
    </row>
    <row r="5280" spans="2:2">
      <c r="B5280" s="17"/>
    </row>
    <row r="5281" spans="2:2">
      <c r="B5281" s="17"/>
    </row>
    <row r="5282" spans="2:2">
      <c r="B5282" s="17"/>
    </row>
    <row r="5283" spans="2:2">
      <c r="B5283" s="17"/>
    </row>
    <row r="5284" spans="2:2">
      <c r="B5284" s="17"/>
    </row>
    <row r="5285" spans="2:2">
      <c r="B5285" s="17"/>
    </row>
    <row r="5286" spans="2:2">
      <c r="B5286" s="17"/>
    </row>
    <row r="5287" spans="2:2">
      <c r="B5287" s="17"/>
    </row>
    <row r="5288" spans="2:2">
      <c r="B5288" s="17"/>
    </row>
    <row r="5289" spans="2:2">
      <c r="B5289" s="17"/>
    </row>
    <row r="5290" spans="2:2">
      <c r="B5290" s="17"/>
    </row>
    <row r="5291" spans="2:2">
      <c r="B5291" s="17"/>
    </row>
    <row r="5292" spans="2:2">
      <c r="B5292" s="17"/>
    </row>
    <row r="5293" spans="2:2">
      <c r="B5293" s="17"/>
    </row>
    <row r="5294" spans="2:2">
      <c r="B5294" s="17"/>
    </row>
    <row r="5295" spans="2:2">
      <c r="B5295" s="17"/>
    </row>
    <row r="5296" spans="2:2">
      <c r="B5296" s="17"/>
    </row>
    <row r="5297" spans="2:2">
      <c r="B5297" s="17"/>
    </row>
    <row r="5298" spans="2:2">
      <c r="B5298" s="17"/>
    </row>
    <row r="5299" spans="2:2">
      <c r="B5299" s="17"/>
    </row>
    <row r="5300" spans="2:2">
      <c r="B5300" s="17"/>
    </row>
    <row r="5301" spans="2:2">
      <c r="B5301" s="17"/>
    </row>
    <row r="5302" spans="2:2">
      <c r="B5302" s="17"/>
    </row>
    <row r="5303" spans="2:2">
      <c r="B5303" s="17"/>
    </row>
    <row r="5304" spans="2:2">
      <c r="B5304" s="17"/>
    </row>
    <row r="5305" spans="2:2">
      <c r="B5305" s="17"/>
    </row>
    <row r="5306" spans="2:2">
      <c r="B5306" s="17"/>
    </row>
    <row r="5307" spans="2:2">
      <c r="B5307" s="17"/>
    </row>
    <row r="5308" spans="2:2">
      <c r="B5308" s="17"/>
    </row>
    <row r="5309" spans="2:2">
      <c r="B5309" s="17"/>
    </row>
    <row r="5310" spans="2:2">
      <c r="B5310" s="17"/>
    </row>
    <row r="5311" spans="2:2">
      <c r="B5311" s="17"/>
    </row>
    <row r="5312" spans="2:2">
      <c r="B5312" s="17"/>
    </row>
    <row r="5313" spans="2:2">
      <c r="B5313" s="17"/>
    </row>
    <row r="5314" spans="2:2">
      <c r="B5314" s="17"/>
    </row>
    <row r="5315" spans="2:2">
      <c r="B5315" s="17"/>
    </row>
    <row r="5316" spans="2:2">
      <c r="B5316" s="17"/>
    </row>
    <row r="5317" spans="2:2">
      <c r="B5317" s="17"/>
    </row>
    <row r="5318" spans="2:2">
      <c r="B5318" s="17"/>
    </row>
    <row r="5319" spans="2:2">
      <c r="B5319" s="17"/>
    </row>
    <row r="5320" spans="2:2">
      <c r="B5320" s="17"/>
    </row>
    <row r="5321" spans="2:2">
      <c r="B5321" s="17"/>
    </row>
    <row r="5322" spans="2:2">
      <c r="B5322" s="17"/>
    </row>
    <row r="5323" spans="2:2">
      <c r="B5323" s="17"/>
    </row>
    <row r="5324" spans="2:2">
      <c r="B5324" s="17"/>
    </row>
    <row r="5325" spans="2:2">
      <c r="B5325" s="17"/>
    </row>
    <row r="5326" spans="2:2">
      <c r="B5326" s="17"/>
    </row>
    <row r="5327" spans="2:2">
      <c r="B5327" s="17"/>
    </row>
    <row r="5328" spans="2:2">
      <c r="B5328" s="17"/>
    </row>
    <row r="5329" spans="2:2">
      <c r="B5329" s="17"/>
    </row>
    <row r="5330" spans="2:2">
      <c r="B5330" s="17"/>
    </row>
    <row r="5331" spans="2:2">
      <c r="B5331" s="17"/>
    </row>
    <row r="5332" spans="2:2">
      <c r="B5332" s="17"/>
    </row>
    <row r="5333" spans="2:2">
      <c r="B5333" s="17"/>
    </row>
    <row r="5334" spans="2:2">
      <c r="B5334" s="17"/>
    </row>
    <row r="5335" spans="2:2">
      <c r="B5335" s="17"/>
    </row>
    <row r="5336" spans="2:2">
      <c r="B5336" s="17"/>
    </row>
    <row r="5337" spans="2:2">
      <c r="B5337" s="17"/>
    </row>
    <row r="5338" spans="2:2">
      <c r="B5338" s="17"/>
    </row>
    <row r="5339" spans="2:2">
      <c r="B5339" s="17"/>
    </row>
    <row r="5340" spans="2:2">
      <c r="B5340" s="17"/>
    </row>
    <row r="5341" spans="2:2">
      <c r="B5341" s="17"/>
    </row>
    <row r="5342" spans="2:2">
      <c r="B5342" s="17"/>
    </row>
    <row r="5343" spans="2:2">
      <c r="B5343" s="17"/>
    </row>
    <row r="5344" spans="2:2">
      <c r="B5344" s="17"/>
    </row>
    <row r="5345" spans="2:2">
      <c r="B5345" s="17"/>
    </row>
    <row r="5346" spans="2:2">
      <c r="B5346" s="17"/>
    </row>
    <row r="5347" spans="2:2">
      <c r="B5347" s="17"/>
    </row>
    <row r="5348" spans="2:2">
      <c r="B5348" s="17"/>
    </row>
    <row r="5349" spans="2:2">
      <c r="B5349" s="17"/>
    </row>
    <row r="5350" spans="2:2">
      <c r="B5350" s="17"/>
    </row>
    <row r="5351" spans="2:2">
      <c r="B5351" s="17"/>
    </row>
    <row r="5352" spans="2:2">
      <c r="B5352" s="17"/>
    </row>
    <row r="5353" spans="2:2">
      <c r="B5353" s="17"/>
    </row>
    <row r="5354" spans="2:2">
      <c r="B5354" s="17"/>
    </row>
    <row r="5355" spans="2:2">
      <c r="B5355" s="17"/>
    </row>
    <row r="5356" spans="2:2">
      <c r="B5356" s="17"/>
    </row>
    <row r="5357" spans="2:2">
      <c r="B5357" s="17"/>
    </row>
    <row r="5358" spans="2:2">
      <c r="B5358" s="17"/>
    </row>
    <row r="5359" spans="2:2">
      <c r="B5359" s="17"/>
    </row>
    <row r="5360" spans="2:2">
      <c r="B5360" s="17"/>
    </row>
    <row r="5361" spans="2:2">
      <c r="B5361" s="17"/>
    </row>
    <row r="5362" spans="2:2">
      <c r="B5362" s="17"/>
    </row>
    <row r="5363" spans="2:2">
      <c r="B5363" s="17"/>
    </row>
    <row r="5364" spans="2:2">
      <c r="B5364" s="17"/>
    </row>
    <row r="5365" spans="2:2">
      <c r="B5365" s="17"/>
    </row>
    <row r="5366" spans="2:2">
      <c r="B5366" s="17"/>
    </row>
    <row r="5367" spans="2:2">
      <c r="B5367" s="17"/>
    </row>
    <row r="5368" spans="2:2">
      <c r="B5368" s="17"/>
    </row>
    <row r="5369" spans="2:2">
      <c r="B5369" s="17"/>
    </row>
    <row r="5370" spans="2:2">
      <c r="B5370" s="17"/>
    </row>
    <row r="5371" spans="2:2">
      <c r="B5371" s="17"/>
    </row>
    <row r="5372" spans="2:2">
      <c r="B5372" s="17"/>
    </row>
    <row r="5373" spans="2:2">
      <c r="B5373" s="17"/>
    </row>
    <row r="5374" spans="2:2">
      <c r="B5374" s="17"/>
    </row>
    <row r="5375" spans="2:2">
      <c r="B5375" s="17"/>
    </row>
    <row r="5376" spans="2:2">
      <c r="B5376" s="17"/>
    </row>
    <row r="5377" spans="2:2">
      <c r="B5377" s="17"/>
    </row>
    <row r="5378" spans="2:2">
      <c r="B5378" s="17"/>
    </row>
    <row r="5379" spans="2:2">
      <c r="B5379" s="17"/>
    </row>
    <row r="5380" spans="2:2">
      <c r="B5380" s="17"/>
    </row>
    <row r="5381" spans="2:2">
      <c r="B5381" s="17"/>
    </row>
    <row r="5382" spans="2:2">
      <c r="B5382" s="17"/>
    </row>
    <row r="5383" spans="2:2">
      <c r="B5383" s="17"/>
    </row>
    <row r="5384" spans="2:2">
      <c r="B5384" s="17"/>
    </row>
    <row r="5385" spans="2:2">
      <c r="B5385" s="17"/>
    </row>
    <row r="5386" spans="2:2">
      <c r="B5386" s="17"/>
    </row>
    <row r="5387" spans="2:2">
      <c r="B5387" s="17"/>
    </row>
    <row r="5388" spans="2:2">
      <c r="B5388" s="17"/>
    </row>
    <row r="5389" spans="2:2">
      <c r="B5389" s="17"/>
    </row>
    <row r="5390" spans="2:2">
      <c r="B5390" s="17"/>
    </row>
    <row r="5391" spans="2:2">
      <c r="B5391" s="17"/>
    </row>
    <row r="5392" spans="2:2">
      <c r="B5392" s="17"/>
    </row>
    <row r="5393" spans="2:2">
      <c r="B5393" s="17"/>
    </row>
    <row r="5394" spans="2:2">
      <c r="B5394" s="17"/>
    </row>
    <row r="5395" spans="2:2">
      <c r="B5395" s="17"/>
    </row>
    <row r="5396" spans="2:2">
      <c r="B5396" s="17"/>
    </row>
    <row r="5397" spans="2:2">
      <c r="B5397" s="17"/>
    </row>
    <row r="5398" spans="2:2">
      <c r="B5398" s="17"/>
    </row>
    <row r="5399" spans="2:2">
      <c r="B5399" s="17"/>
    </row>
    <row r="5400" spans="2:2">
      <c r="B5400" s="17"/>
    </row>
    <row r="5401" spans="2:2">
      <c r="B5401" s="17"/>
    </row>
    <row r="5402" spans="2:2">
      <c r="B5402" s="17"/>
    </row>
    <row r="5403" spans="2:2">
      <c r="B5403" s="17"/>
    </row>
    <row r="5404" spans="2:2">
      <c r="B5404" s="17"/>
    </row>
    <row r="5405" spans="2:2">
      <c r="B5405" s="17"/>
    </row>
    <row r="5406" spans="2:2">
      <c r="B5406" s="17"/>
    </row>
    <row r="5407" spans="2:2">
      <c r="B5407" s="17"/>
    </row>
    <row r="5408" spans="2:2">
      <c r="B5408" s="17"/>
    </row>
    <row r="5409" spans="2:2">
      <c r="B5409" s="17"/>
    </row>
    <row r="5410" spans="2:2">
      <c r="B5410" s="17"/>
    </row>
    <row r="5411" spans="2:2">
      <c r="B5411" s="17"/>
    </row>
    <row r="5412" spans="2:2">
      <c r="B5412" s="17"/>
    </row>
    <row r="5413" spans="2:2">
      <c r="B5413" s="17"/>
    </row>
    <row r="5414" spans="2:2">
      <c r="B5414" s="17"/>
    </row>
    <row r="5415" spans="2:2">
      <c r="B5415" s="17"/>
    </row>
    <row r="5416" spans="2:2">
      <c r="B5416" s="17"/>
    </row>
    <row r="5417" spans="2:2">
      <c r="B5417" s="17"/>
    </row>
    <row r="5418" spans="2:2">
      <c r="B5418" s="17"/>
    </row>
    <row r="5419" spans="2:2">
      <c r="B5419" s="17"/>
    </row>
    <row r="5420" spans="2:2">
      <c r="B5420" s="17"/>
    </row>
    <row r="5421" spans="2:2">
      <c r="B5421" s="17"/>
    </row>
    <row r="5422" spans="2:2">
      <c r="B5422" s="17"/>
    </row>
    <row r="5423" spans="2:2">
      <c r="B5423" s="17"/>
    </row>
    <row r="5424" spans="2:2">
      <c r="B5424" s="17"/>
    </row>
    <row r="5425" spans="2:2">
      <c r="B5425" s="17"/>
    </row>
    <row r="5426" spans="2:2">
      <c r="B5426" s="17"/>
    </row>
    <row r="5427" spans="2:2">
      <c r="B5427" s="17"/>
    </row>
    <row r="5428" spans="2:2">
      <c r="B5428" s="17"/>
    </row>
    <row r="5429" spans="2:2">
      <c r="B5429" s="17"/>
    </row>
    <row r="5430" spans="2:2">
      <c r="B5430" s="17"/>
    </row>
    <row r="5431" spans="2:2">
      <c r="B5431" s="17"/>
    </row>
    <row r="5432" spans="2:2">
      <c r="B5432" s="17"/>
    </row>
    <row r="5433" spans="2:2">
      <c r="B5433" s="17"/>
    </row>
    <row r="5434" spans="2:2">
      <c r="B5434" s="17"/>
    </row>
    <row r="5435" spans="2:2">
      <c r="B5435" s="17"/>
    </row>
    <row r="5436" spans="2:2">
      <c r="B5436" s="17"/>
    </row>
    <row r="5437" spans="2:2">
      <c r="B5437" s="17"/>
    </row>
    <row r="5438" spans="2:2">
      <c r="B5438" s="17"/>
    </row>
    <row r="5439" spans="2:2">
      <c r="B5439" s="17"/>
    </row>
    <row r="5440" spans="2:2">
      <c r="B5440" s="17"/>
    </row>
    <row r="5441" spans="2:2">
      <c r="B5441" s="17"/>
    </row>
    <row r="5442" spans="2:2">
      <c r="B5442" s="17"/>
    </row>
    <row r="5443" spans="2:2">
      <c r="B5443" s="17"/>
    </row>
    <row r="5444" spans="2:2">
      <c r="B5444" s="17"/>
    </row>
    <row r="5445" spans="2:2">
      <c r="B5445" s="17"/>
    </row>
    <row r="5446" spans="2:2">
      <c r="B5446" s="17"/>
    </row>
    <row r="5447" spans="2:2">
      <c r="B5447" s="17"/>
    </row>
    <row r="5448" spans="2:2">
      <c r="B5448" s="17"/>
    </row>
    <row r="5449" spans="2:2">
      <c r="B5449" s="17"/>
    </row>
    <row r="5450" spans="2:2">
      <c r="B5450" s="17"/>
    </row>
    <row r="5451" spans="2:2">
      <c r="B5451" s="17"/>
    </row>
    <row r="5452" spans="2:2">
      <c r="B5452" s="17"/>
    </row>
    <row r="5453" spans="2:2">
      <c r="B5453" s="17"/>
    </row>
    <row r="5454" spans="2:2">
      <c r="B5454" s="17"/>
    </row>
    <row r="5455" spans="2:2">
      <c r="B5455" s="17"/>
    </row>
    <row r="5456" spans="2:2">
      <c r="B5456" s="17"/>
    </row>
    <row r="5457" spans="2:2">
      <c r="B5457" s="17"/>
    </row>
    <row r="5458" spans="2:2">
      <c r="B5458" s="17"/>
    </row>
    <row r="5459" spans="2:2">
      <c r="B5459" s="17"/>
    </row>
    <row r="5460" spans="2:2">
      <c r="B5460" s="17"/>
    </row>
    <row r="5461" spans="2:2">
      <c r="B5461" s="17"/>
    </row>
    <row r="5462" spans="2:2">
      <c r="B5462" s="17"/>
    </row>
    <row r="5463" spans="2:2">
      <c r="B5463" s="17"/>
    </row>
    <row r="5464" spans="2:2">
      <c r="B5464" s="17"/>
    </row>
    <row r="5465" spans="2:2">
      <c r="B5465" s="17"/>
    </row>
    <row r="5466" spans="2:2">
      <c r="B5466" s="17"/>
    </row>
    <row r="5467" spans="2:2">
      <c r="B5467" s="17"/>
    </row>
    <row r="5468" spans="2:2">
      <c r="B5468" s="17"/>
    </row>
    <row r="5469" spans="2:2">
      <c r="B5469" s="17"/>
    </row>
    <row r="5470" spans="2:2">
      <c r="B5470" s="17"/>
    </row>
    <row r="5471" spans="2:2">
      <c r="B5471" s="17"/>
    </row>
    <row r="5472" spans="2:2">
      <c r="B5472" s="17"/>
    </row>
    <row r="5473" spans="2:2">
      <c r="B5473" s="17"/>
    </row>
    <row r="5474" spans="2:2">
      <c r="B5474" s="17"/>
    </row>
    <row r="5475" spans="2:2">
      <c r="B5475" s="17"/>
    </row>
    <row r="5476" spans="2:2">
      <c r="B5476" s="17"/>
    </row>
    <row r="5477" spans="2:2">
      <c r="B5477" s="17"/>
    </row>
    <row r="5478" spans="2:2">
      <c r="B5478" s="17"/>
    </row>
    <row r="5479" spans="2:2">
      <c r="B5479" s="17"/>
    </row>
    <row r="5480" spans="2:2">
      <c r="B5480" s="17"/>
    </row>
    <row r="5481" spans="2:2">
      <c r="B5481" s="17"/>
    </row>
    <row r="5482" spans="2:2">
      <c r="B5482" s="17"/>
    </row>
    <row r="5483" spans="2:2">
      <c r="B5483" s="17"/>
    </row>
    <row r="5484" spans="2:2">
      <c r="B5484" s="17"/>
    </row>
    <row r="5485" spans="2:2">
      <c r="B5485" s="17"/>
    </row>
    <row r="5486" spans="2:2">
      <c r="B5486" s="17"/>
    </row>
    <row r="5487" spans="2:2">
      <c r="B5487" s="17"/>
    </row>
    <row r="5488" spans="2:2">
      <c r="B5488" s="17"/>
    </row>
    <row r="5489" spans="2:2">
      <c r="B5489" s="17"/>
    </row>
    <row r="5490" spans="2:2">
      <c r="B5490" s="17"/>
    </row>
    <row r="5491" spans="2:2">
      <c r="B5491" s="17"/>
    </row>
    <row r="5492" spans="2:2">
      <c r="B5492" s="17"/>
    </row>
    <row r="5493" spans="2:2">
      <c r="B5493" s="17"/>
    </row>
    <row r="5494" spans="2:2">
      <c r="B5494" s="17"/>
    </row>
    <row r="5495" spans="2:2">
      <c r="B5495" s="17"/>
    </row>
    <row r="5496" spans="2:2">
      <c r="B5496" s="17"/>
    </row>
    <row r="5497" spans="2:2">
      <c r="B5497" s="17"/>
    </row>
    <row r="5498" spans="2:2">
      <c r="B5498" s="17"/>
    </row>
    <row r="5499" spans="2:2">
      <c r="B5499" s="17"/>
    </row>
    <row r="5500" spans="2:2">
      <c r="B5500" s="17"/>
    </row>
    <row r="5501" spans="2:2">
      <c r="B5501" s="17"/>
    </row>
    <row r="5502" spans="2:2">
      <c r="B5502" s="17"/>
    </row>
    <row r="5503" spans="2:2">
      <c r="B5503" s="17"/>
    </row>
    <row r="5504" spans="2:2">
      <c r="B5504" s="17"/>
    </row>
    <row r="5505" spans="2:2">
      <c r="B5505" s="17"/>
    </row>
    <row r="5506" spans="2:2">
      <c r="B5506" s="17"/>
    </row>
    <row r="5507" spans="2:2">
      <c r="B5507" s="17"/>
    </row>
    <row r="5508" spans="2:2">
      <c r="B5508" s="17"/>
    </row>
    <row r="5509" spans="2:2">
      <c r="B5509" s="17"/>
    </row>
    <row r="5510" spans="2:2">
      <c r="B5510" s="17"/>
    </row>
    <row r="5511" spans="2:2">
      <c r="B5511" s="17"/>
    </row>
    <row r="5512" spans="2:2">
      <c r="B5512" s="17"/>
    </row>
    <row r="5513" spans="2:2">
      <c r="B5513" s="17"/>
    </row>
    <row r="5514" spans="2:2">
      <c r="B5514" s="17"/>
    </row>
    <row r="5515" spans="2:2">
      <c r="B5515" s="17"/>
    </row>
    <row r="5516" spans="2:2">
      <c r="B5516" s="17"/>
    </row>
    <row r="5517" spans="2:2">
      <c r="B5517" s="17"/>
    </row>
    <row r="5518" spans="2:2">
      <c r="B5518" s="17"/>
    </row>
    <row r="5519" spans="2:2">
      <c r="B5519" s="17"/>
    </row>
    <row r="5520" spans="2:2">
      <c r="B5520" s="17"/>
    </row>
    <row r="5521" spans="2:2">
      <c r="B5521" s="17"/>
    </row>
    <row r="5522" spans="2:2">
      <c r="B5522" s="17"/>
    </row>
    <row r="5523" spans="2:2">
      <c r="B5523" s="17"/>
    </row>
    <row r="5524" spans="2:2">
      <c r="B5524" s="17"/>
    </row>
    <row r="5525" spans="2:2">
      <c r="B5525" s="17"/>
    </row>
    <row r="5526" spans="2:2">
      <c r="B5526" s="17"/>
    </row>
    <row r="5527" spans="2:2">
      <c r="B5527" s="17"/>
    </row>
    <row r="5528" spans="2:2">
      <c r="B5528" s="17"/>
    </row>
    <row r="5529" spans="2:2">
      <c r="B5529" s="17"/>
    </row>
    <row r="5530" spans="2:2">
      <c r="B5530" s="17"/>
    </row>
    <row r="5531" spans="2:2">
      <c r="B5531" s="17"/>
    </row>
    <row r="5532" spans="2:2">
      <c r="B5532" s="17"/>
    </row>
    <row r="5533" spans="2:2">
      <c r="B5533" s="17"/>
    </row>
    <row r="5534" spans="2:2">
      <c r="B5534" s="17"/>
    </row>
    <row r="5535" spans="2:2">
      <c r="B5535" s="17"/>
    </row>
    <row r="5536" spans="2:2">
      <c r="B5536" s="17"/>
    </row>
    <row r="5537" spans="2:2">
      <c r="B5537" s="17"/>
    </row>
    <row r="5538" spans="2:2">
      <c r="B5538" s="17"/>
    </row>
    <row r="5539" spans="2:2">
      <c r="B5539" s="17"/>
    </row>
    <row r="5540" spans="2:2">
      <c r="B5540" s="17"/>
    </row>
    <row r="5541" spans="2:2">
      <c r="B5541" s="17"/>
    </row>
    <row r="5542" spans="2:2">
      <c r="B5542" s="17"/>
    </row>
    <row r="5543" spans="2:2">
      <c r="B5543" s="17"/>
    </row>
    <row r="5544" spans="2:2">
      <c r="B5544" s="17"/>
    </row>
    <row r="5545" spans="2:2">
      <c r="B5545" s="17"/>
    </row>
    <row r="5546" spans="2:2">
      <c r="B5546" s="17"/>
    </row>
    <row r="5547" spans="2:2">
      <c r="B5547" s="17"/>
    </row>
    <row r="5548" spans="2:2">
      <c r="B5548" s="17"/>
    </row>
    <row r="5549" spans="2:2">
      <c r="B5549" s="17"/>
    </row>
    <row r="5550" spans="2:2">
      <c r="B5550" s="17"/>
    </row>
    <row r="5551" spans="2:2">
      <c r="B5551" s="17"/>
    </row>
    <row r="5552" spans="2:2">
      <c r="B5552" s="17"/>
    </row>
    <row r="5553" spans="2:2">
      <c r="B5553" s="17"/>
    </row>
    <row r="5554" spans="2:2">
      <c r="B5554" s="17"/>
    </row>
    <row r="5555" spans="2:2">
      <c r="B5555" s="17"/>
    </row>
    <row r="5556" spans="2:2">
      <c r="B5556" s="17"/>
    </row>
    <row r="5557" spans="2:2">
      <c r="B5557" s="17"/>
    </row>
    <row r="5558" spans="2:2">
      <c r="B5558" s="17"/>
    </row>
    <row r="5559" spans="2:2">
      <c r="B5559" s="17"/>
    </row>
    <row r="5560" spans="2:2">
      <c r="B5560" s="17"/>
    </row>
    <row r="5561" spans="2:2">
      <c r="B5561" s="17"/>
    </row>
    <row r="5562" spans="2:2">
      <c r="B5562" s="17"/>
    </row>
    <row r="5563" spans="2:2">
      <c r="B5563" s="17"/>
    </row>
    <row r="5564" spans="2:2">
      <c r="B5564" s="17"/>
    </row>
    <row r="5565" spans="2:2">
      <c r="B5565" s="17"/>
    </row>
    <row r="5566" spans="2:2">
      <c r="B5566" s="17"/>
    </row>
    <row r="5567" spans="2:2">
      <c r="B5567" s="17"/>
    </row>
    <row r="5568" spans="2:2">
      <c r="B5568" s="17"/>
    </row>
    <row r="5569" spans="2:2">
      <c r="B5569" s="17"/>
    </row>
    <row r="5570" spans="2:2">
      <c r="B5570" s="17"/>
    </row>
    <row r="5571" spans="2:2">
      <c r="B5571" s="17"/>
    </row>
    <row r="5572" spans="2:2">
      <c r="B5572" s="17"/>
    </row>
    <row r="5573" spans="2:2">
      <c r="B5573" s="17"/>
    </row>
    <row r="5574" spans="2:2">
      <c r="B5574" s="17"/>
    </row>
    <row r="5575" spans="2:2">
      <c r="B5575" s="17"/>
    </row>
    <row r="5576" spans="2:2">
      <c r="B5576" s="17"/>
    </row>
    <row r="5577" spans="2:2">
      <c r="B5577" s="17"/>
    </row>
    <row r="5578" spans="2:2">
      <c r="B5578" s="17"/>
    </row>
    <row r="5579" spans="2:2">
      <c r="B5579" s="17"/>
    </row>
    <row r="5580" spans="2:2">
      <c r="B5580" s="17"/>
    </row>
    <row r="5581" spans="2:2">
      <c r="B5581" s="17"/>
    </row>
    <row r="5582" spans="2:2">
      <c r="B5582" s="17"/>
    </row>
    <row r="5583" spans="2:2">
      <c r="B5583" s="17"/>
    </row>
    <row r="5584" spans="2:2">
      <c r="B5584" s="17"/>
    </row>
    <row r="5585" spans="2:2">
      <c r="B5585" s="17"/>
    </row>
    <row r="5586" spans="2:2">
      <c r="B5586" s="17"/>
    </row>
    <row r="5587" spans="2:2">
      <c r="B5587" s="17"/>
    </row>
    <row r="5588" spans="2:2">
      <c r="B5588" s="17"/>
    </row>
    <row r="5589" spans="2:2">
      <c r="B5589" s="17"/>
    </row>
    <row r="5590" spans="2:2">
      <c r="B5590" s="17"/>
    </row>
    <row r="5591" spans="2:2">
      <c r="B5591" s="17"/>
    </row>
    <row r="5592" spans="2:2">
      <c r="B5592" s="17"/>
    </row>
    <row r="5593" spans="2:2">
      <c r="B5593" s="17"/>
    </row>
    <row r="5594" spans="2:2">
      <c r="B5594" s="17"/>
    </row>
    <row r="5595" spans="2:2">
      <c r="B5595" s="17"/>
    </row>
    <row r="5596" spans="2:2">
      <c r="B5596" s="17"/>
    </row>
    <row r="5597" spans="2:2">
      <c r="B5597" s="17"/>
    </row>
    <row r="5598" spans="2:2">
      <c r="B5598" s="17"/>
    </row>
    <row r="5599" spans="2:2">
      <c r="B5599" s="17"/>
    </row>
    <row r="5600" spans="2:2">
      <c r="B5600" s="17"/>
    </row>
    <row r="5601" spans="2:2">
      <c r="B5601" s="17"/>
    </row>
    <row r="5602" spans="2:2">
      <c r="B5602" s="17"/>
    </row>
    <row r="5603" spans="2:2">
      <c r="B5603" s="17"/>
    </row>
    <row r="5604" spans="2:2">
      <c r="B5604" s="17"/>
    </row>
    <row r="5605" spans="2:2">
      <c r="B5605" s="17"/>
    </row>
    <row r="5606" spans="2:2">
      <c r="B5606" s="17"/>
    </row>
    <row r="5607" spans="2:2">
      <c r="B5607" s="17"/>
    </row>
    <row r="5608" spans="2:2">
      <c r="B5608" s="17"/>
    </row>
    <row r="5609" spans="2:2">
      <c r="B5609" s="17"/>
    </row>
    <row r="5610" spans="2:2">
      <c r="B5610" s="17"/>
    </row>
    <row r="5611" spans="2:2">
      <c r="B5611" s="17"/>
    </row>
    <row r="5612" spans="2:2">
      <c r="B5612" s="17"/>
    </row>
    <row r="5613" spans="2:2">
      <c r="B5613" s="17"/>
    </row>
    <row r="5614" spans="2:2">
      <c r="B5614" s="17"/>
    </row>
    <row r="5615" spans="2:2">
      <c r="B5615" s="17"/>
    </row>
    <row r="5616" spans="2:2">
      <c r="B5616" s="17"/>
    </row>
    <row r="5617" spans="2:2">
      <c r="B5617" s="17"/>
    </row>
    <row r="5618" spans="2:2">
      <c r="B5618" s="17"/>
    </row>
    <row r="5619" spans="2:2">
      <c r="B5619" s="17"/>
    </row>
    <row r="5620" spans="2:2">
      <c r="B5620" s="17"/>
    </row>
    <row r="5621" spans="2:2">
      <c r="B5621" s="17"/>
    </row>
    <row r="5622" spans="2:2">
      <c r="B5622" s="17"/>
    </row>
    <row r="5623" spans="2:2">
      <c r="B5623" s="17"/>
    </row>
    <row r="5624" spans="2:2">
      <c r="B5624" s="17"/>
    </row>
    <row r="5625" spans="2:2">
      <c r="B5625" s="17"/>
    </row>
    <row r="5626" spans="2:2">
      <c r="B5626" s="17"/>
    </row>
    <row r="5627" spans="2:2">
      <c r="B5627" s="17"/>
    </row>
    <row r="5628" spans="2:2">
      <c r="B5628" s="17"/>
    </row>
    <row r="5629" spans="2:2">
      <c r="B5629" s="17"/>
    </row>
    <row r="5630" spans="2:2">
      <c r="B5630" s="17"/>
    </row>
    <row r="5631" spans="2:2">
      <c r="B5631" s="17"/>
    </row>
    <row r="5632" spans="2:2">
      <c r="B5632" s="17"/>
    </row>
    <row r="5633" spans="2:2">
      <c r="B5633" s="17"/>
    </row>
    <row r="5634" spans="2:2">
      <c r="B5634" s="17"/>
    </row>
    <row r="5635" spans="2:2">
      <c r="B5635" s="17"/>
    </row>
    <row r="5636" spans="2:2">
      <c r="B5636" s="17"/>
    </row>
    <row r="5637" spans="2:2">
      <c r="B5637" s="17"/>
    </row>
    <row r="5638" spans="2:2">
      <c r="B5638" s="17"/>
    </row>
    <row r="5639" spans="2:2">
      <c r="B5639" s="17"/>
    </row>
    <row r="5640" spans="2:2">
      <c r="B5640" s="17"/>
    </row>
    <row r="5641" spans="2:2">
      <c r="B5641" s="17"/>
    </row>
    <row r="5642" spans="2:2">
      <c r="B5642" s="17"/>
    </row>
    <row r="5643" spans="2:2">
      <c r="B5643" s="17"/>
    </row>
    <row r="5644" spans="2:2">
      <c r="B5644" s="17"/>
    </row>
    <row r="5645" spans="2:2">
      <c r="B5645" s="17"/>
    </row>
    <row r="5646" spans="2:2">
      <c r="B5646" s="17"/>
    </row>
    <row r="5647" spans="2:2">
      <c r="B5647" s="17"/>
    </row>
    <row r="5648" spans="2:2">
      <c r="B5648" s="17"/>
    </row>
    <row r="5649" spans="2:2">
      <c r="B5649" s="17"/>
    </row>
    <row r="5650" spans="2:2">
      <c r="B5650" s="17"/>
    </row>
    <row r="5651" spans="2:2">
      <c r="B5651" s="17"/>
    </row>
    <row r="5652" spans="2:2">
      <c r="B5652" s="17"/>
    </row>
    <row r="5653" spans="2:2">
      <c r="B5653" s="17"/>
    </row>
    <row r="5654" spans="2:2">
      <c r="B5654" s="17"/>
    </row>
    <row r="5655" spans="2:2">
      <c r="B5655" s="17"/>
    </row>
    <row r="5656" spans="2:2">
      <c r="B5656" s="17"/>
    </row>
    <row r="5657" spans="2:2">
      <c r="B5657" s="17"/>
    </row>
    <row r="5658" spans="2:2">
      <c r="B5658" s="17"/>
    </row>
    <row r="5659" spans="2:2">
      <c r="B5659" s="17"/>
    </row>
    <row r="5660" spans="2:2">
      <c r="B5660" s="17"/>
    </row>
    <row r="5661" spans="2:2">
      <c r="B5661" s="17"/>
    </row>
    <row r="5662" spans="2:2">
      <c r="B5662" s="17"/>
    </row>
    <row r="5663" spans="2:2">
      <c r="B5663" s="17"/>
    </row>
    <row r="5664" spans="2:2">
      <c r="B5664" s="17"/>
    </row>
    <row r="5665" spans="2:2">
      <c r="B5665" s="17"/>
    </row>
    <row r="5666" spans="2:2">
      <c r="B5666" s="17"/>
    </row>
    <row r="5667" spans="2:2">
      <c r="B5667" s="17"/>
    </row>
    <row r="5668" spans="2:2">
      <c r="B5668" s="17"/>
    </row>
    <row r="5669" spans="2:2">
      <c r="B5669" s="17"/>
    </row>
    <row r="5670" spans="2:2">
      <c r="B5670" s="17"/>
    </row>
    <row r="5671" spans="2:2">
      <c r="B5671" s="17"/>
    </row>
    <row r="5672" spans="2:2">
      <c r="B5672" s="17"/>
    </row>
    <row r="5673" spans="2:2">
      <c r="B5673" s="17"/>
    </row>
    <row r="5674" spans="2:2">
      <c r="B5674" s="17"/>
    </row>
    <row r="5675" spans="2:2">
      <c r="B5675" s="17"/>
    </row>
    <row r="5676" spans="2:2">
      <c r="B5676" s="17"/>
    </row>
    <row r="5677" spans="2:2">
      <c r="B5677" s="17"/>
    </row>
    <row r="5678" spans="2:2">
      <c r="B5678" s="17"/>
    </row>
    <row r="5679" spans="2:2">
      <c r="B5679" s="17"/>
    </row>
    <row r="5680" spans="2:2">
      <c r="B5680" s="17"/>
    </row>
    <row r="5681" spans="2:2">
      <c r="B5681" s="17"/>
    </row>
    <row r="5682" spans="2:2">
      <c r="B5682" s="17"/>
    </row>
    <row r="5683" spans="2:2">
      <c r="B5683" s="17"/>
    </row>
    <row r="5684" spans="2:2">
      <c r="B5684" s="17"/>
    </row>
    <row r="5685" spans="2:2">
      <c r="B5685" s="17"/>
    </row>
    <row r="5686" spans="2:2">
      <c r="B5686" s="17"/>
    </row>
    <row r="5687" spans="2:2">
      <c r="B5687" s="17"/>
    </row>
    <row r="5688" spans="2:2">
      <c r="B5688" s="17"/>
    </row>
    <row r="5689" spans="2:2">
      <c r="B5689" s="17"/>
    </row>
    <row r="5690" spans="2:2">
      <c r="B5690" s="17"/>
    </row>
    <row r="5691" spans="2:2">
      <c r="B5691" s="17"/>
    </row>
    <row r="5692" spans="2:2">
      <c r="B5692" s="17"/>
    </row>
    <row r="5693" spans="2:2">
      <c r="B5693" s="17"/>
    </row>
    <row r="5694" spans="2:2">
      <c r="B5694" s="17"/>
    </row>
    <row r="5695" spans="2:2">
      <c r="B5695" s="17"/>
    </row>
    <row r="5696" spans="2:2">
      <c r="B5696" s="17"/>
    </row>
    <row r="5697" spans="2:2">
      <c r="B5697" s="17"/>
    </row>
    <row r="5698" spans="2:2">
      <c r="B5698" s="17"/>
    </row>
    <row r="5699" spans="2:2">
      <c r="B5699" s="17"/>
    </row>
    <row r="5700" spans="2:2">
      <c r="B5700" s="17"/>
    </row>
    <row r="5701" spans="2:2">
      <c r="B5701" s="17"/>
    </row>
    <row r="5702" spans="2:2">
      <c r="B5702" s="17"/>
    </row>
    <row r="5703" spans="2:2">
      <c r="B5703" s="17"/>
    </row>
    <row r="5704" spans="2:2">
      <c r="B5704" s="17"/>
    </row>
    <row r="5705" spans="2:2">
      <c r="B5705" s="17"/>
    </row>
    <row r="5706" spans="2:2">
      <c r="B5706" s="17"/>
    </row>
    <row r="5707" spans="2:2">
      <c r="B5707" s="17"/>
    </row>
    <row r="5708" spans="2:2">
      <c r="B5708" s="17"/>
    </row>
    <row r="5709" spans="2:2">
      <c r="B5709" s="17"/>
    </row>
    <row r="5710" spans="2:2">
      <c r="B5710" s="17"/>
    </row>
    <row r="5711" spans="2:2">
      <c r="B5711" s="17"/>
    </row>
    <row r="5712" spans="2:2">
      <c r="B5712" s="17"/>
    </row>
    <row r="5713" spans="2:2">
      <c r="B5713" s="17"/>
    </row>
    <row r="5714" spans="2:2">
      <c r="B5714" s="17"/>
    </row>
    <row r="5715" spans="2:2">
      <c r="B5715" s="17"/>
    </row>
    <row r="5716" spans="2:2">
      <c r="B5716" s="17"/>
    </row>
    <row r="5717" spans="2:2">
      <c r="B5717" s="17"/>
    </row>
    <row r="5718" spans="2:2">
      <c r="B5718" s="17"/>
    </row>
    <row r="5719" spans="2:2">
      <c r="B5719" s="17"/>
    </row>
    <row r="5720" spans="2:2">
      <c r="B5720" s="17"/>
    </row>
    <row r="5721" spans="2:2">
      <c r="B5721" s="17"/>
    </row>
    <row r="5722" spans="2:2">
      <c r="B5722" s="17"/>
    </row>
    <row r="5723" spans="2:2">
      <c r="B5723" s="17"/>
    </row>
    <row r="5724" spans="2:2">
      <c r="B5724" s="17"/>
    </row>
    <row r="5725" spans="2:2">
      <c r="B5725" s="17"/>
    </row>
    <row r="5726" spans="2:2">
      <c r="B5726" s="17"/>
    </row>
    <row r="5727" spans="2:2">
      <c r="B5727" s="17"/>
    </row>
    <row r="5728" spans="2:2">
      <c r="B5728" s="17"/>
    </row>
    <row r="5729" spans="2:2">
      <c r="B5729" s="17"/>
    </row>
    <row r="5730" spans="2:2">
      <c r="B5730" s="17"/>
    </row>
    <row r="5731" spans="2:2">
      <c r="B5731" s="17"/>
    </row>
    <row r="5732" spans="2:2">
      <c r="B5732" s="17"/>
    </row>
    <row r="5733" spans="2:2">
      <c r="B5733" s="17"/>
    </row>
    <row r="5734" spans="2:2">
      <c r="B5734" s="17"/>
    </row>
    <row r="5735" spans="2:2">
      <c r="B5735" s="17"/>
    </row>
    <row r="5736" spans="2:2">
      <c r="B5736" s="17"/>
    </row>
    <row r="5737" spans="2:2">
      <c r="B5737" s="17"/>
    </row>
    <row r="5738" spans="2:2">
      <c r="B5738" s="17"/>
    </row>
    <row r="5739" spans="2:2">
      <c r="B5739" s="17"/>
    </row>
    <row r="5740" spans="2:2">
      <c r="B5740" s="17"/>
    </row>
    <row r="5741" spans="2:2">
      <c r="B5741" s="17"/>
    </row>
    <row r="5742" spans="2:2">
      <c r="B5742" s="17"/>
    </row>
    <row r="5743" spans="2:2">
      <c r="B5743" s="17"/>
    </row>
    <row r="5744" spans="2:2">
      <c r="B5744" s="17"/>
    </row>
    <row r="5745" spans="2:2">
      <c r="B5745" s="17"/>
    </row>
    <row r="5746" spans="2:2">
      <c r="B5746" s="17"/>
    </row>
    <row r="5747" spans="2:2">
      <c r="B5747" s="17"/>
    </row>
    <row r="5748" spans="2:2">
      <c r="B5748" s="17"/>
    </row>
    <row r="5749" spans="2:2">
      <c r="B5749" s="17"/>
    </row>
    <row r="5750" spans="2:2">
      <c r="B5750" s="17"/>
    </row>
    <row r="5751" spans="2:2">
      <c r="B5751" s="17"/>
    </row>
    <row r="5752" spans="2:2">
      <c r="B5752" s="17"/>
    </row>
    <row r="5753" spans="2:2">
      <c r="B5753" s="17"/>
    </row>
    <row r="5754" spans="2:2">
      <c r="B5754" s="17"/>
    </row>
    <row r="5755" spans="2:2">
      <c r="B5755" s="17"/>
    </row>
    <row r="5756" spans="2:2">
      <c r="B5756" s="17"/>
    </row>
    <row r="5757" spans="2:2">
      <c r="B5757" s="17"/>
    </row>
    <row r="5758" spans="2:2">
      <c r="B5758" s="17"/>
    </row>
    <row r="5759" spans="2:2">
      <c r="B5759" s="17"/>
    </row>
    <row r="5760" spans="2:2">
      <c r="B5760" s="17"/>
    </row>
    <row r="5761" spans="2:2">
      <c r="B5761" s="17"/>
    </row>
    <row r="5762" spans="2:2">
      <c r="B5762" s="17"/>
    </row>
    <row r="5763" spans="2:2">
      <c r="B5763" s="17"/>
    </row>
    <row r="5764" spans="2:2">
      <c r="B5764" s="17"/>
    </row>
    <row r="5765" spans="2:2">
      <c r="B5765" s="17"/>
    </row>
    <row r="5766" spans="2:2">
      <c r="B5766" s="17"/>
    </row>
    <row r="5767" spans="2:2">
      <c r="B5767" s="17"/>
    </row>
    <row r="5768" spans="2:2">
      <c r="B5768" s="17"/>
    </row>
    <row r="5769" spans="2:2">
      <c r="B5769" s="17"/>
    </row>
    <row r="5770" spans="2:2">
      <c r="B5770" s="17"/>
    </row>
    <row r="5771" spans="2:2">
      <c r="B5771" s="17"/>
    </row>
    <row r="5772" spans="2:2">
      <c r="B5772" s="17"/>
    </row>
    <row r="5773" spans="2:2">
      <c r="B5773" s="17"/>
    </row>
    <row r="5774" spans="2:2">
      <c r="B5774" s="17"/>
    </row>
    <row r="5775" spans="2:2">
      <c r="B5775" s="17"/>
    </row>
    <row r="5776" spans="2:2">
      <c r="B5776" s="17"/>
    </row>
    <row r="5777" spans="2:2">
      <c r="B5777" s="17"/>
    </row>
    <row r="5778" spans="2:2">
      <c r="B5778" s="17"/>
    </row>
    <row r="5779" spans="2:2">
      <c r="B5779" s="17"/>
    </row>
    <row r="5780" spans="2:2">
      <c r="B5780" s="17"/>
    </row>
    <row r="5781" spans="2:2">
      <c r="B5781" s="17"/>
    </row>
    <row r="5782" spans="2:2">
      <c r="B5782" s="17"/>
    </row>
    <row r="5783" spans="2:2">
      <c r="B5783" s="17"/>
    </row>
    <row r="5784" spans="2:2">
      <c r="B5784" s="17"/>
    </row>
    <row r="5785" spans="2:2">
      <c r="B5785" s="17"/>
    </row>
    <row r="5786" spans="2:2">
      <c r="B5786" s="17"/>
    </row>
    <row r="5787" spans="2:2">
      <c r="B5787" s="17"/>
    </row>
    <row r="5788" spans="2:2">
      <c r="B5788" s="17"/>
    </row>
    <row r="5789" spans="2:2">
      <c r="B5789" s="17"/>
    </row>
    <row r="5790" spans="2:2">
      <c r="B5790" s="17"/>
    </row>
    <row r="5791" spans="2:2">
      <c r="B5791" s="17"/>
    </row>
    <row r="5792" spans="2:2">
      <c r="B5792" s="17"/>
    </row>
    <row r="5793" spans="2:2">
      <c r="B5793" s="17"/>
    </row>
    <row r="5794" spans="2:2">
      <c r="B5794" s="17"/>
    </row>
    <row r="5795" spans="2:2">
      <c r="B5795" s="17"/>
    </row>
    <row r="5796" spans="2:2">
      <c r="B5796" s="17"/>
    </row>
    <row r="5797" spans="2:2">
      <c r="B5797" s="17"/>
    </row>
    <row r="5798" spans="2:2">
      <c r="B5798" s="17"/>
    </row>
    <row r="5799" spans="2:2">
      <c r="B5799" s="17"/>
    </row>
    <row r="5800" spans="2:2">
      <c r="B5800" s="17"/>
    </row>
    <row r="5801" spans="2:2">
      <c r="B5801" s="17"/>
    </row>
    <row r="5802" spans="2:2">
      <c r="B5802" s="17"/>
    </row>
    <row r="5803" spans="2:2">
      <c r="B5803" s="17"/>
    </row>
    <row r="5804" spans="2:2">
      <c r="B5804" s="17"/>
    </row>
    <row r="5805" spans="2:2">
      <c r="B5805" s="17"/>
    </row>
    <row r="5806" spans="2:2">
      <c r="B5806" s="17"/>
    </row>
    <row r="5807" spans="2:2">
      <c r="B5807" s="17"/>
    </row>
    <row r="5808" spans="2:2">
      <c r="B5808" s="17"/>
    </row>
    <row r="5809" spans="2:2">
      <c r="B5809" s="17"/>
    </row>
    <row r="5810" spans="2:2">
      <c r="B5810" s="17"/>
    </row>
    <row r="5811" spans="2:2">
      <c r="B5811" s="17"/>
    </row>
    <row r="5812" spans="2:2">
      <c r="B5812" s="17"/>
    </row>
    <row r="5813" spans="2:2">
      <c r="B5813" s="17"/>
    </row>
    <row r="5814" spans="2:2">
      <c r="B5814" s="17"/>
    </row>
    <row r="5815" spans="2:2">
      <c r="B5815" s="17"/>
    </row>
    <row r="5816" spans="2:2">
      <c r="B5816" s="17"/>
    </row>
    <row r="5817" spans="2:2">
      <c r="B5817" s="17"/>
    </row>
    <row r="5818" spans="2:2">
      <c r="B5818" s="17"/>
    </row>
    <row r="5819" spans="2:2">
      <c r="B5819" s="17"/>
    </row>
    <row r="5820" spans="2:2">
      <c r="B5820" s="17"/>
    </row>
    <row r="5821" spans="2:2">
      <c r="B5821" s="17"/>
    </row>
    <row r="5822" spans="2:2">
      <c r="B5822" s="17"/>
    </row>
    <row r="5823" spans="2:2">
      <c r="B5823" s="17"/>
    </row>
    <row r="5824" spans="2:2">
      <c r="B5824" s="17"/>
    </row>
    <row r="5825" spans="2:2">
      <c r="B5825" s="17"/>
    </row>
    <row r="5826" spans="2:2">
      <c r="B5826" s="17"/>
    </row>
    <row r="5827" spans="2:2">
      <c r="B5827" s="17"/>
    </row>
    <row r="5828" spans="2:2">
      <c r="B5828" s="17"/>
    </row>
    <row r="5829" spans="2:2">
      <c r="B5829" s="17"/>
    </row>
    <row r="5830" spans="2:2">
      <c r="B5830" s="17"/>
    </row>
    <row r="5831" spans="2:2">
      <c r="B5831" s="17"/>
    </row>
    <row r="5832" spans="2:2">
      <c r="B5832" s="17"/>
    </row>
    <row r="5833" spans="2:2">
      <c r="B5833" s="17"/>
    </row>
    <row r="5834" spans="2:2">
      <c r="B5834" s="17"/>
    </row>
    <row r="5835" spans="2:2">
      <c r="B5835" s="17"/>
    </row>
    <row r="5836" spans="2:2">
      <c r="B5836" s="17"/>
    </row>
    <row r="5837" spans="2:2">
      <c r="B5837" s="17"/>
    </row>
    <row r="5838" spans="2:2">
      <c r="B5838" s="17"/>
    </row>
    <row r="5839" spans="2:2">
      <c r="B5839" s="17"/>
    </row>
    <row r="5840" spans="2:2">
      <c r="B5840" s="17"/>
    </row>
    <row r="5841" spans="2:2">
      <c r="B5841" s="17"/>
    </row>
    <row r="5842" spans="2:2">
      <c r="B5842" s="17"/>
    </row>
    <row r="5843" spans="2:2">
      <c r="B5843" s="17"/>
    </row>
    <row r="5844" spans="2:2">
      <c r="B5844" s="17"/>
    </row>
    <row r="5845" spans="2:2">
      <c r="B5845" s="17"/>
    </row>
    <row r="5846" spans="2:2">
      <c r="B5846" s="17"/>
    </row>
    <row r="5847" spans="2:2">
      <c r="B5847" s="17"/>
    </row>
    <row r="5848" spans="2:2">
      <c r="B5848" s="17"/>
    </row>
    <row r="5849" spans="2:2">
      <c r="B5849" s="17"/>
    </row>
    <row r="5850" spans="2:2">
      <c r="B5850" s="17"/>
    </row>
    <row r="5851" spans="2:2">
      <c r="B5851" s="17"/>
    </row>
    <row r="5852" spans="2:2">
      <c r="B5852" s="17"/>
    </row>
    <row r="5853" spans="2:2">
      <c r="B5853" s="17"/>
    </row>
    <row r="5854" spans="2:2">
      <c r="B5854" s="17"/>
    </row>
    <row r="5855" spans="2:2">
      <c r="B5855" s="17"/>
    </row>
    <row r="5856" spans="2:2">
      <c r="B5856" s="17"/>
    </row>
    <row r="5857" spans="2:2">
      <c r="B5857" s="17"/>
    </row>
    <row r="5858" spans="2:2">
      <c r="B5858" s="17"/>
    </row>
    <row r="5859" spans="2:2">
      <c r="B5859" s="17"/>
    </row>
    <row r="5860" spans="2:2">
      <c r="B5860" s="17"/>
    </row>
    <row r="5861" spans="2:2">
      <c r="B5861" s="17"/>
    </row>
    <row r="5862" spans="2:2">
      <c r="B5862" s="17"/>
    </row>
    <row r="5863" spans="2:2">
      <c r="B5863" s="17"/>
    </row>
    <row r="5864" spans="2:2">
      <c r="B5864" s="17"/>
    </row>
    <row r="5865" spans="2:2">
      <c r="B5865" s="17"/>
    </row>
    <row r="5866" spans="2:2">
      <c r="B5866" s="17"/>
    </row>
    <row r="5867" spans="2:2">
      <c r="B5867" s="17"/>
    </row>
    <row r="5868" spans="2:2">
      <c r="B5868" s="17"/>
    </row>
    <row r="5869" spans="2:2">
      <c r="B5869" s="17"/>
    </row>
    <row r="5870" spans="2:2">
      <c r="B5870" s="17"/>
    </row>
    <row r="5871" spans="2:2">
      <c r="B5871" s="17"/>
    </row>
    <row r="5872" spans="2:2">
      <c r="B5872" s="17"/>
    </row>
    <row r="5873" spans="2:2">
      <c r="B5873" s="17"/>
    </row>
    <row r="5874" spans="2:2">
      <c r="B5874" s="17"/>
    </row>
    <row r="5875" spans="2:2">
      <c r="B5875" s="17"/>
    </row>
    <row r="5876" spans="2:2">
      <c r="B5876" s="17"/>
    </row>
    <row r="5877" spans="2:2">
      <c r="B5877" s="17"/>
    </row>
    <row r="5878" spans="2:2">
      <c r="B5878" s="17"/>
    </row>
    <row r="5879" spans="2:2">
      <c r="B5879" s="17"/>
    </row>
    <row r="5880" spans="2:2">
      <c r="B5880" s="17"/>
    </row>
    <row r="5881" spans="2:2">
      <c r="B5881" s="17"/>
    </row>
    <row r="5882" spans="2:2">
      <c r="B5882" s="17"/>
    </row>
    <row r="5883" spans="2:2">
      <c r="B5883" s="17"/>
    </row>
    <row r="5884" spans="2:2">
      <c r="B5884" s="17"/>
    </row>
    <row r="5885" spans="2:2">
      <c r="B5885" s="17"/>
    </row>
    <row r="5886" spans="2:2">
      <c r="B5886" s="17"/>
    </row>
    <row r="5887" spans="2:2">
      <c r="B5887" s="17"/>
    </row>
    <row r="5888" spans="2:2">
      <c r="B5888" s="17"/>
    </row>
    <row r="5889" spans="2:2">
      <c r="B5889" s="17"/>
    </row>
    <row r="5890" spans="2:2">
      <c r="B5890" s="17"/>
    </row>
    <row r="5891" spans="2:2">
      <c r="B5891" s="17"/>
    </row>
    <row r="5892" spans="2:2">
      <c r="B5892" s="17"/>
    </row>
    <row r="5893" spans="2:2">
      <c r="B5893" s="17"/>
    </row>
    <row r="5894" spans="2:2">
      <c r="B5894" s="17"/>
    </row>
    <row r="5895" spans="2:2">
      <c r="B5895" s="17"/>
    </row>
    <row r="5896" spans="2:2">
      <c r="B5896" s="17"/>
    </row>
    <row r="5897" spans="2:2">
      <c r="B5897" s="17"/>
    </row>
    <row r="5898" spans="2:2">
      <c r="B5898" s="17"/>
    </row>
    <row r="5899" spans="2:2">
      <c r="B5899" s="17"/>
    </row>
    <row r="5900" spans="2:2">
      <c r="B5900" s="17"/>
    </row>
    <row r="5901" spans="2:2">
      <c r="B5901" s="17"/>
    </row>
    <row r="5902" spans="2:2">
      <c r="B5902" s="17"/>
    </row>
    <row r="5903" spans="2:2">
      <c r="B5903" s="17"/>
    </row>
    <row r="5904" spans="2:2">
      <c r="B5904" s="17"/>
    </row>
    <row r="5905" spans="2:2">
      <c r="B5905" s="17"/>
    </row>
    <row r="5906" spans="2:2">
      <c r="B5906" s="17"/>
    </row>
    <row r="5907" spans="2:2">
      <c r="B5907" s="17"/>
    </row>
    <row r="5908" spans="2:2">
      <c r="B5908" s="17"/>
    </row>
    <row r="5909" spans="2:2">
      <c r="B5909" s="17"/>
    </row>
    <row r="5910" spans="2:2">
      <c r="B5910" s="17"/>
    </row>
    <row r="5911" spans="2:2">
      <c r="B5911" s="17"/>
    </row>
    <row r="5912" spans="2:2">
      <c r="B5912" s="17"/>
    </row>
    <row r="5913" spans="2:2">
      <c r="B5913" s="17"/>
    </row>
    <row r="5914" spans="2:2">
      <c r="B5914" s="17"/>
    </row>
    <row r="5915" spans="2:2">
      <c r="B5915" s="17"/>
    </row>
    <row r="5916" spans="2:2">
      <c r="B5916" s="17"/>
    </row>
    <row r="5917" spans="2:2">
      <c r="B5917" s="17"/>
    </row>
    <row r="5918" spans="2:2">
      <c r="B5918" s="17"/>
    </row>
    <row r="5919" spans="2:2">
      <c r="B5919" s="17"/>
    </row>
    <row r="5920" spans="2:2">
      <c r="B5920" s="17"/>
    </row>
    <row r="5921" spans="2:2">
      <c r="B5921" s="17"/>
    </row>
    <row r="5922" spans="2:2">
      <c r="B5922" s="17"/>
    </row>
    <row r="5923" spans="2:2">
      <c r="B5923" s="17"/>
    </row>
    <row r="5924" spans="2:2">
      <c r="B5924" s="17"/>
    </row>
    <row r="5925" spans="2:2">
      <c r="B5925" s="17"/>
    </row>
    <row r="5926" spans="2:2">
      <c r="B5926" s="17"/>
    </row>
    <row r="5927" spans="2:2">
      <c r="B5927" s="17"/>
    </row>
    <row r="5928" spans="2:2">
      <c r="B5928" s="17"/>
    </row>
    <row r="5929" spans="2:2">
      <c r="B5929" s="17"/>
    </row>
    <row r="5930" spans="2:2">
      <c r="B5930" s="17"/>
    </row>
    <row r="5931" spans="2:2">
      <c r="B5931" s="17"/>
    </row>
    <row r="5932" spans="2:2">
      <c r="B5932" s="17"/>
    </row>
    <row r="5933" spans="2:2">
      <c r="B5933" s="17"/>
    </row>
    <row r="5934" spans="2:2">
      <c r="B5934" s="17"/>
    </row>
    <row r="5935" spans="2:2">
      <c r="B5935" s="17"/>
    </row>
    <row r="5936" spans="2:2">
      <c r="B5936" s="17"/>
    </row>
    <row r="5937" spans="2:2">
      <c r="B5937" s="17"/>
    </row>
    <row r="5938" spans="2:2">
      <c r="B5938" s="17"/>
    </row>
    <row r="5939" spans="2:2">
      <c r="B5939" s="17"/>
    </row>
    <row r="5940" spans="2:2">
      <c r="B5940" s="17"/>
    </row>
    <row r="5941" spans="2:2">
      <c r="B5941" s="17"/>
    </row>
    <row r="5942" spans="2:2">
      <c r="B5942" s="17"/>
    </row>
    <row r="5943" spans="2:2">
      <c r="B5943" s="17"/>
    </row>
    <row r="5944" spans="2:2">
      <c r="B5944" s="17"/>
    </row>
    <row r="5945" spans="2:2">
      <c r="B5945" s="17"/>
    </row>
    <row r="5946" spans="2:2">
      <c r="B5946" s="17"/>
    </row>
    <row r="5947" spans="2:2">
      <c r="B5947" s="17"/>
    </row>
    <row r="5948" spans="2:2">
      <c r="B5948" s="17"/>
    </row>
    <row r="5949" spans="2:2">
      <c r="B5949" s="17"/>
    </row>
    <row r="5950" spans="2:2">
      <c r="B5950" s="17"/>
    </row>
    <row r="5951" spans="2:2">
      <c r="B5951" s="17"/>
    </row>
    <row r="5952" spans="2:2">
      <c r="B5952" s="17"/>
    </row>
    <row r="5953" spans="2:2">
      <c r="B5953" s="17"/>
    </row>
    <row r="5954" spans="2:2">
      <c r="B5954" s="17"/>
    </row>
    <row r="5955" spans="2:2">
      <c r="B5955" s="17"/>
    </row>
    <row r="5956" spans="2:2">
      <c r="B5956" s="17"/>
    </row>
    <row r="5957" spans="2:2">
      <c r="B5957" s="17"/>
    </row>
    <row r="5958" spans="2:2">
      <c r="B5958" s="17"/>
    </row>
    <row r="5959" spans="2:2">
      <c r="B5959" s="17"/>
    </row>
    <row r="5960" spans="2:2">
      <c r="B5960" s="17"/>
    </row>
    <row r="5961" spans="2:2">
      <c r="B5961" s="17"/>
    </row>
    <row r="5962" spans="2:2">
      <c r="B5962" s="17"/>
    </row>
    <row r="5963" spans="2:2">
      <c r="B5963" s="17"/>
    </row>
    <row r="5964" spans="2:2">
      <c r="B5964" s="17"/>
    </row>
    <row r="5965" spans="2:2">
      <c r="B5965" s="17"/>
    </row>
    <row r="5966" spans="2:2">
      <c r="B5966" s="17"/>
    </row>
    <row r="5967" spans="2:2">
      <c r="B5967" s="17"/>
    </row>
    <row r="5968" spans="2:2">
      <c r="B5968" s="17"/>
    </row>
    <row r="5969" spans="2:2">
      <c r="B5969" s="17"/>
    </row>
    <row r="5970" spans="2:2">
      <c r="B5970" s="17"/>
    </row>
    <row r="5971" spans="2:2">
      <c r="B5971" s="17"/>
    </row>
    <row r="5972" spans="2:2">
      <c r="B5972" s="17"/>
    </row>
    <row r="5973" spans="2:2">
      <c r="B5973" s="17"/>
    </row>
    <row r="5974" spans="2:2">
      <c r="B5974" s="17"/>
    </row>
    <row r="5975" spans="2:2">
      <c r="B5975" s="17"/>
    </row>
    <row r="5976" spans="2:2">
      <c r="B5976" s="17"/>
    </row>
    <row r="5977" spans="2:2">
      <c r="B5977" s="17"/>
    </row>
    <row r="5978" spans="2:2">
      <c r="B5978" s="17"/>
    </row>
    <row r="5979" spans="2:2">
      <c r="B5979" s="17"/>
    </row>
    <row r="5980" spans="2:2">
      <c r="B5980" s="17"/>
    </row>
    <row r="5981" spans="2:2">
      <c r="B5981" s="17"/>
    </row>
    <row r="5982" spans="2:2">
      <c r="B5982" s="17"/>
    </row>
    <row r="5983" spans="2:2">
      <c r="B5983" s="17"/>
    </row>
    <row r="5984" spans="2:2">
      <c r="B5984" s="17"/>
    </row>
    <row r="5985" spans="2:2">
      <c r="B5985" s="17"/>
    </row>
    <row r="5986" spans="2:2">
      <c r="B5986" s="17"/>
    </row>
    <row r="5987" spans="2:2">
      <c r="B5987" s="17"/>
    </row>
    <row r="5988" spans="2:2">
      <c r="B5988" s="17"/>
    </row>
    <row r="5989" spans="2:2">
      <c r="B5989" s="17"/>
    </row>
    <row r="5990" spans="2:2">
      <c r="B5990" s="17"/>
    </row>
    <row r="5991" spans="2:2">
      <c r="B5991" s="17"/>
    </row>
    <row r="5992" spans="2:2">
      <c r="B5992" s="17"/>
    </row>
    <row r="5993" spans="2:2">
      <c r="B5993" s="17"/>
    </row>
    <row r="5994" spans="2:2">
      <c r="B5994" s="17"/>
    </row>
    <row r="5995" spans="2:2">
      <c r="B5995" s="17"/>
    </row>
    <row r="5996" spans="2:2">
      <c r="B5996" s="17"/>
    </row>
    <row r="5997" spans="2:2">
      <c r="B5997" s="17"/>
    </row>
    <row r="5998" spans="2:2">
      <c r="B5998" s="17"/>
    </row>
    <row r="5999" spans="2:2">
      <c r="B5999" s="17"/>
    </row>
    <row r="6000" spans="2:2">
      <c r="B6000" s="17"/>
    </row>
    <row r="6001" spans="2:2">
      <c r="B6001" s="17"/>
    </row>
    <row r="6002" spans="2:2">
      <c r="B6002" s="17"/>
    </row>
    <row r="6003" spans="2:2">
      <c r="B6003" s="17"/>
    </row>
    <row r="6004" spans="2:2">
      <c r="B6004" s="17"/>
    </row>
    <row r="6005" spans="2:2">
      <c r="B6005" s="17"/>
    </row>
    <row r="6006" spans="2:2">
      <c r="B6006" s="17"/>
    </row>
    <row r="6007" spans="2:2">
      <c r="B6007" s="17"/>
    </row>
    <row r="6008" spans="2:2">
      <c r="B6008" s="17"/>
    </row>
    <row r="6009" spans="2:2">
      <c r="B6009" s="17"/>
    </row>
    <row r="6010" spans="2:2">
      <c r="B6010" s="17"/>
    </row>
    <row r="6011" spans="2:2">
      <c r="B6011" s="17"/>
    </row>
    <row r="6012" spans="2:2">
      <c r="B6012" s="17"/>
    </row>
    <row r="6013" spans="2:2">
      <c r="B6013" s="17"/>
    </row>
    <row r="6014" spans="2:2">
      <c r="B6014" s="17"/>
    </row>
    <row r="6015" spans="2:2">
      <c r="B6015" s="17"/>
    </row>
    <row r="6016" spans="2:2">
      <c r="B6016" s="17"/>
    </row>
    <row r="6017" spans="2:2">
      <c r="B6017" s="17"/>
    </row>
    <row r="6018" spans="2:2">
      <c r="B6018" s="17"/>
    </row>
    <row r="6019" spans="2:2">
      <c r="B6019" s="17"/>
    </row>
    <row r="6020" spans="2:2">
      <c r="B6020" s="17"/>
    </row>
    <row r="6021" spans="2:2">
      <c r="B6021" s="17"/>
    </row>
    <row r="6022" spans="2:2">
      <c r="B6022" s="17"/>
    </row>
    <row r="6023" spans="2:2">
      <c r="B6023" s="17"/>
    </row>
    <row r="6024" spans="2:2">
      <c r="B6024" s="17"/>
    </row>
    <row r="6025" spans="2:2">
      <c r="B6025" s="17"/>
    </row>
    <row r="6026" spans="2:2">
      <c r="B6026" s="17"/>
    </row>
    <row r="6027" spans="2:2">
      <c r="B6027" s="17"/>
    </row>
    <row r="6028" spans="2:2">
      <c r="B6028" s="17"/>
    </row>
    <row r="6029" spans="2:2">
      <c r="B6029" s="17"/>
    </row>
    <row r="6030" spans="2:2">
      <c r="B6030" s="17"/>
    </row>
    <row r="6031" spans="2:2">
      <c r="B6031" s="17"/>
    </row>
    <row r="6032" spans="2:2">
      <c r="B6032" s="17"/>
    </row>
    <row r="6033" spans="2:2">
      <c r="B6033" s="17"/>
    </row>
    <row r="6034" spans="2:2">
      <c r="B6034" s="17"/>
    </row>
    <row r="6035" spans="2:2">
      <c r="B6035" s="17"/>
    </row>
    <row r="6036" spans="2:2">
      <c r="B6036" s="17"/>
    </row>
    <row r="6037" spans="2:2">
      <c r="B6037" s="17"/>
    </row>
    <row r="6038" spans="2:2">
      <c r="B6038" s="17"/>
    </row>
    <row r="6039" spans="2:2">
      <c r="B6039" s="17"/>
    </row>
    <row r="6040" spans="2:2">
      <c r="B6040" s="17"/>
    </row>
    <row r="6041" spans="2:2">
      <c r="B6041" s="17"/>
    </row>
    <row r="6042" spans="2:2">
      <c r="B6042" s="17"/>
    </row>
    <row r="6043" spans="2:2">
      <c r="B6043" s="17"/>
    </row>
    <row r="6044" spans="2:2">
      <c r="B6044" s="17"/>
    </row>
    <row r="6045" spans="2:2">
      <c r="B6045" s="17"/>
    </row>
    <row r="6046" spans="2:2">
      <c r="B6046" s="17"/>
    </row>
    <row r="6047" spans="2:2">
      <c r="B6047" s="17"/>
    </row>
    <row r="6048" spans="2:2">
      <c r="B6048" s="17"/>
    </row>
    <row r="6049" spans="2:2">
      <c r="B6049" s="17"/>
    </row>
    <row r="6050" spans="2:2">
      <c r="B6050" s="17"/>
    </row>
    <row r="6051" spans="2:2">
      <c r="B6051" s="17"/>
    </row>
    <row r="6052" spans="2:2">
      <c r="B6052" s="17"/>
    </row>
    <row r="6053" spans="2:2">
      <c r="B6053" s="17"/>
    </row>
    <row r="6054" spans="2:2">
      <c r="B6054" s="17"/>
    </row>
    <row r="6055" spans="2:2">
      <c r="B6055" s="17"/>
    </row>
    <row r="6056" spans="2:2">
      <c r="B6056" s="17"/>
    </row>
    <row r="6057" spans="2:2">
      <c r="B6057" s="17"/>
    </row>
    <row r="6058" spans="2:2">
      <c r="B6058" s="17"/>
    </row>
    <row r="6059" spans="2:2">
      <c r="B6059" s="17"/>
    </row>
    <row r="6060" spans="2:2">
      <c r="B6060" s="17"/>
    </row>
    <row r="6061" spans="2:2">
      <c r="B6061" s="17"/>
    </row>
    <row r="6062" spans="2:2">
      <c r="B6062" s="17"/>
    </row>
    <row r="6063" spans="2:2">
      <c r="B6063" s="17"/>
    </row>
    <row r="6064" spans="2:2">
      <c r="B6064" s="17"/>
    </row>
    <row r="6065" spans="2:2">
      <c r="B6065" s="17"/>
    </row>
    <row r="6066" spans="2:2">
      <c r="B6066" s="17"/>
    </row>
    <row r="6067" spans="2:2">
      <c r="B6067" s="17"/>
    </row>
    <row r="6068" spans="2:2">
      <c r="B6068" s="17"/>
    </row>
    <row r="6069" spans="2:2">
      <c r="B6069" s="17"/>
    </row>
    <row r="6070" spans="2:2">
      <c r="B6070" s="17"/>
    </row>
    <row r="6071" spans="2:2">
      <c r="B6071" s="17"/>
    </row>
    <row r="6072" spans="2:2">
      <c r="B6072" s="17"/>
    </row>
    <row r="6073" spans="2:2">
      <c r="B6073" s="17"/>
    </row>
    <row r="6074" spans="2:2">
      <c r="B6074" s="17"/>
    </row>
    <row r="6075" spans="2:2">
      <c r="B6075" s="17"/>
    </row>
    <row r="6076" spans="2:2">
      <c r="B6076" s="17"/>
    </row>
    <row r="6077" spans="2:2">
      <c r="B6077" s="17"/>
    </row>
    <row r="6078" spans="2:2">
      <c r="B6078" s="17"/>
    </row>
    <row r="6079" spans="2:2">
      <c r="B6079" s="17"/>
    </row>
    <row r="6080" spans="2:2">
      <c r="B6080" s="17"/>
    </row>
    <row r="6081" spans="2:2">
      <c r="B6081" s="17"/>
    </row>
    <row r="6082" spans="2:2">
      <c r="B6082" s="17"/>
    </row>
    <row r="6083" spans="2:2">
      <c r="B6083" s="17"/>
    </row>
    <row r="6084" spans="2:2">
      <c r="B6084" s="17"/>
    </row>
    <row r="6085" spans="2:2">
      <c r="B6085" s="17"/>
    </row>
    <row r="6086" spans="2:2">
      <c r="B6086" s="17"/>
    </row>
    <row r="6087" spans="2:2">
      <c r="B6087" s="17"/>
    </row>
    <row r="6088" spans="2:2">
      <c r="B6088" s="17"/>
    </row>
    <row r="6089" spans="2:2">
      <c r="B6089" s="17"/>
    </row>
    <row r="6090" spans="2:2">
      <c r="B6090" s="17"/>
    </row>
    <row r="6091" spans="2:2">
      <c r="B6091" s="17"/>
    </row>
    <row r="6092" spans="2:2">
      <c r="B6092" s="17"/>
    </row>
    <row r="6093" spans="2:2">
      <c r="B6093" s="17"/>
    </row>
    <row r="6094" spans="2:2">
      <c r="B6094" s="17"/>
    </row>
    <row r="6095" spans="2:2">
      <c r="B6095" s="17"/>
    </row>
    <row r="6096" spans="2:2">
      <c r="B6096" s="17"/>
    </row>
    <row r="6097" spans="2:2">
      <c r="B6097" s="17"/>
    </row>
    <row r="6098" spans="2:2">
      <c r="B6098" s="17"/>
    </row>
    <row r="6099" spans="2:2">
      <c r="B6099" s="17"/>
    </row>
    <row r="6100" spans="2:2">
      <c r="B6100" s="17"/>
    </row>
    <row r="6101" spans="2:2">
      <c r="B6101" s="17"/>
    </row>
    <row r="6102" spans="2:2">
      <c r="B6102" s="17"/>
    </row>
    <row r="6103" spans="2:2">
      <c r="B6103" s="17"/>
    </row>
    <row r="6104" spans="2:2">
      <c r="B6104" s="17"/>
    </row>
    <row r="6105" spans="2:2">
      <c r="B6105" s="17"/>
    </row>
    <row r="6106" spans="2:2">
      <c r="B6106" s="17"/>
    </row>
    <row r="6107" spans="2:2">
      <c r="B6107" s="17"/>
    </row>
    <row r="6108" spans="2:2">
      <c r="B6108" s="17"/>
    </row>
    <row r="6109" spans="2:2">
      <c r="B6109" s="17"/>
    </row>
    <row r="6110" spans="2:2">
      <c r="B6110" s="17"/>
    </row>
    <row r="6111" spans="2:2">
      <c r="B6111" s="17"/>
    </row>
    <row r="6112" spans="2:2">
      <c r="B6112" s="17"/>
    </row>
    <row r="6113" spans="2:2">
      <c r="B6113" s="17"/>
    </row>
    <row r="6114" spans="2:2">
      <c r="B6114" s="17"/>
    </row>
    <row r="6115" spans="2:2">
      <c r="B6115" s="17"/>
    </row>
    <row r="6116" spans="2:2">
      <c r="B6116" s="17"/>
    </row>
    <row r="6117" spans="2:2">
      <c r="B6117" s="17"/>
    </row>
    <row r="6118" spans="2:2">
      <c r="B6118" s="17"/>
    </row>
    <row r="6119" spans="2:2">
      <c r="B6119" s="17"/>
    </row>
    <row r="6120" spans="2:2">
      <c r="B6120" s="17"/>
    </row>
    <row r="6121" spans="2:2">
      <c r="B6121" s="17"/>
    </row>
    <row r="6122" spans="2:2">
      <c r="B6122" s="17"/>
    </row>
    <row r="6123" spans="2:2">
      <c r="B6123" s="17"/>
    </row>
    <row r="6124" spans="2:2">
      <c r="B6124" s="17"/>
    </row>
    <row r="6125" spans="2:2">
      <c r="B6125" s="17"/>
    </row>
    <row r="6126" spans="2:2">
      <c r="B6126" s="17"/>
    </row>
    <row r="6127" spans="2:2">
      <c r="B6127" s="17"/>
    </row>
    <row r="6128" spans="2:2">
      <c r="B6128" s="17"/>
    </row>
    <row r="6129" spans="2:2">
      <c r="B6129" s="17"/>
    </row>
    <row r="6130" spans="2:2">
      <c r="B6130" s="17"/>
    </row>
    <row r="6131" spans="2:2">
      <c r="B6131" s="17"/>
    </row>
    <row r="6132" spans="2:2">
      <c r="B6132" s="17"/>
    </row>
    <row r="6133" spans="2:2">
      <c r="B6133" s="17"/>
    </row>
    <row r="6134" spans="2:2">
      <c r="B6134" s="17"/>
    </row>
    <row r="6135" spans="2:2">
      <c r="B6135" s="17"/>
    </row>
    <row r="6136" spans="2:2">
      <c r="B6136" s="17"/>
    </row>
    <row r="6137" spans="2:2">
      <c r="B6137" s="17"/>
    </row>
    <row r="6138" spans="2:2">
      <c r="B6138" s="17"/>
    </row>
    <row r="6139" spans="2:2">
      <c r="B6139" s="17"/>
    </row>
    <row r="6140" spans="2:2">
      <c r="B6140" s="17"/>
    </row>
    <row r="6141" spans="2:2">
      <c r="B6141" s="17"/>
    </row>
    <row r="6142" spans="2:2">
      <c r="B6142" s="17"/>
    </row>
    <row r="6143" spans="2:2">
      <c r="B6143" s="17"/>
    </row>
    <row r="6144" spans="2:2">
      <c r="B6144" s="17"/>
    </row>
    <row r="6145" spans="2:2">
      <c r="B6145" s="17"/>
    </row>
    <row r="6146" spans="2:2">
      <c r="B6146" s="17"/>
    </row>
    <row r="6147" spans="2:2">
      <c r="B6147" s="17"/>
    </row>
    <row r="6148" spans="2:2">
      <c r="B6148" s="17"/>
    </row>
    <row r="6149" spans="2:2">
      <c r="B6149" s="17"/>
    </row>
    <row r="6150" spans="2:2">
      <c r="B6150" s="17"/>
    </row>
    <row r="6151" spans="2:2">
      <c r="B6151" s="17"/>
    </row>
    <row r="6152" spans="2:2">
      <c r="B6152" s="17"/>
    </row>
    <row r="6153" spans="2:2">
      <c r="B6153" s="17"/>
    </row>
    <row r="6154" spans="2:2">
      <c r="B6154" s="17"/>
    </row>
    <row r="6155" spans="2:2">
      <c r="B6155" s="17"/>
    </row>
    <row r="6156" spans="2:2">
      <c r="B6156" s="17"/>
    </row>
    <row r="6157" spans="2:2">
      <c r="B6157" s="17"/>
    </row>
    <row r="6158" spans="2:2">
      <c r="B6158" s="17"/>
    </row>
    <row r="6159" spans="2:2">
      <c r="B6159" s="17"/>
    </row>
    <row r="6160" spans="2:2">
      <c r="B6160" s="17"/>
    </row>
    <row r="6161" spans="2:2">
      <c r="B6161" s="17"/>
    </row>
    <row r="6162" spans="2:2">
      <c r="B6162" s="17"/>
    </row>
    <row r="6163" spans="2:2">
      <c r="B6163" s="17"/>
    </row>
    <row r="6164" spans="2:2">
      <c r="B6164" s="17"/>
    </row>
    <row r="6165" spans="2:2">
      <c r="B6165" s="17"/>
    </row>
    <row r="6166" spans="2:2">
      <c r="B6166" s="17"/>
    </row>
    <row r="6167" spans="2:2">
      <c r="B6167" s="17"/>
    </row>
    <row r="6168" spans="2:2">
      <c r="B6168" s="17"/>
    </row>
    <row r="6169" spans="2:2">
      <c r="B6169" s="17"/>
    </row>
    <row r="6170" spans="2:2">
      <c r="B6170" s="17"/>
    </row>
    <row r="6171" spans="2:2">
      <c r="B6171" s="17"/>
    </row>
    <row r="6172" spans="2:2">
      <c r="B6172" s="17"/>
    </row>
    <row r="6173" spans="2:2">
      <c r="B6173" s="17"/>
    </row>
    <row r="6174" spans="2:2">
      <c r="B6174" s="17"/>
    </row>
    <row r="6175" spans="2:2">
      <c r="B6175" s="17"/>
    </row>
    <row r="6176" spans="2:2">
      <c r="B6176" s="17"/>
    </row>
    <row r="6177" spans="2:2">
      <c r="B6177" s="17"/>
    </row>
    <row r="6178" spans="2:2">
      <c r="B6178" s="17"/>
    </row>
    <row r="6179" spans="2:2">
      <c r="B6179" s="17"/>
    </row>
    <row r="6180" spans="2:2">
      <c r="B6180" s="17"/>
    </row>
    <row r="6181" spans="2:2">
      <c r="B6181" s="17"/>
    </row>
    <row r="6182" spans="2:2">
      <c r="B6182" s="17"/>
    </row>
    <row r="6183" spans="2:2">
      <c r="B6183" s="17"/>
    </row>
    <row r="6184" spans="2:2">
      <c r="B6184" s="17"/>
    </row>
    <row r="6185" spans="2:2">
      <c r="B6185" s="17"/>
    </row>
    <row r="6186" spans="2:2">
      <c r="B6186" s="17"/>
    </row>
    <row r="6187" spans="2:2">
      <c r="B6187" s="17"/>
    </row>
    <row r="6188" spans="2:2">
      <c r="B6188" s="17"/>
    </row>
    <row r="6189" spans="2:2">
      <c r="B6189" s="17"/>
    </row>
    <row r="6190" spans="2:2">
      <c r="B6190" s="17"/>
    </row>
    <row r="6191" spans="2:2">
      <c r="B6191" s="17"/>
    </row>
    <row r="6192" spans="2:2">
      <c r="B6192" s="17"/>
    </row>
    <row r="6193" spans="2:2">
      <c r="B6193" s="17"/>
    </row>
    <row r="6194" spans="2:2">
      <c r="B6194" s="17"/>
    </row>
    <row r="6195" spans="2:2">
      <c r="B6195" s="17"/>
    </row>
    <row r="6196" spans="2:2">
      <c r="B6196" s="17"/>
    </row>
    <row r="6197" spans="2:2">
      <c r="B6197" s="17"/>
    </row>
    <row r="6198" spans="2:2">
      <c r="B6198" s="17"/>
    </row>
    <row r="6199" spans="2:2">
      <c r="B6199" s="17"/>
    </row>
    <row r="6200" spans="2:2">
      <c r="B6200" s="17"/>
    </row>
    <row r="6201" spans="2:2">
      <c r="B6201" s="17"/>
    </row>
    <row r="6202" spans="2:2">
      <c r="B6202" s="17"/>
    </row>
    <row r="6203" spans="2:2">
      <c r="B6203" s="17"/>
    </row>
    <row r="6204" spans="2:2">
      <c r="B6204" s="17"/>
    </row>
    <row r="6205" spans="2:2">
      <c r="B6205" s="17"/>
    </row>
    <row r="6206" spans="2:2">
      <c r="B6206" s="17"/>
    </row>
    <row r="6207" spans="2:2">
      <c r="B6207" s="17"/>
    </row>
    <row r="6208" spans="2:2">
      <c r="B6208" s="17"/>
    </row>
    <row r="6209" spans="2:2">
      <c r="B6209" s="17"/>
    </row>
    <row r="6210" spans="2:2">
      <c r="B6210" s="17"/>
    </row>
    <row r="6211" spans="2:2">
      <c r="B6211" s="17"/>
    </row>
    <row r="6212" spans="2:2">
      <c r="B6212" s="17"/>
    </row>
    <row r="6213" spans="2:2">
      <c r="B6213" s="17"/>
    </row>
    <row r="6214" spans="2:2">
      <c r="B6214" s="17"/>
    </row>
    <row r="6215" spans="2:2">
      <c r="B6215" s="17"/>
    </row>
    <row r="6216" spans="2:2">
      <c r="B6216" s="17"/>
    </row>
    <row r="6217" spans="2:2">
      <c r="B6217" s="17"/>
    </row>
    <row r="6218" spans="2:2">
      <c r="B6218" s="17"/>
    </row>
    <row r="6219" spans="2:2">
      <c r="B6219" s="17"/>
    </row>
    <row r="6220" spans="2:2">
      <c r="B6220" s="17"/>
    </row>
    <row r="6221" spans="2:2">
      <c r="B6221" s="17"/>
    </row>
    <row r="6222" spans="2:2">
      <c r="B6222" s="17"/>
    </row>
    <row r="6223" spans="2:2">
      <c r="B6223" s="17"/>
    </row>
    <row r="6224" spans="2:2">
      <c r="B6224" s="17"/>
    </row>
    <row r="6225" spans="2:2">
      <c r="B6225" s="17"/>
    </row>
    <row r="6226" spans="2:2">
      <c r="B6226" s="17"/>
    </row>
    <row r="6227" spans="2:2">
      <c r="B6227" s="17"/>
    </row>
    <row r="6228" spans="2:2">
      <c r="B6228" s="17"/>
    </row>
    <row r="6229" spans="2:2">
      <c r="B6229" s="17"/>
    </row>
    <row r="6230" spans="2:2">
      <c r="B6230" s="17"/>
    </row>
    <row r="6231" spans="2:2">
      <c r="B6231" s="17"/>
    </row>
    <row r="6232" spans="2:2">
      <c r="B6232" s="17"/>
    </row>
    <row r="6233" spans="2:2">
      <c r="B6233" s="17"/>
    </row>
    <row r="6234" spans="2:2">
      <c r="B6234" s="17"/>
    </row>
    <row r="6235" spans="2:2">
      <c r="B6235" s="17"/>
    </row>
    <row r="6236" spans="2:2">
      <c r="B6236" s="17"/>
    </row>
    <row r="6237" spans="2:2">
      <c r="B6237" s="17"/>
    </row>
    <row r="6238" spans="2:2">
      <c r="B6238" s="17"/>
    </row>
    <row r="6239" spans="2:2">
      <c r="B6239" s="17"/>
    </row>
    <row r="6240" spans="2:2">
      <c r="B6240" s="17"/>
    </row>
    <row r="6241" spans="2:2">
      <c r="B6241" s="17"/>
    </row>
    <row r="6242" spans="2:2">
      <c r="B6242" s="17"/>
    </row>
    <row r="6243" spans="2:2">
      <c r="B6243" s="17"/>
    </row>
    <row r="6244" spans="2:2">
      <c r="B6244" s="17"/>
    </row>
    <row r="6245" spans="2:2">
      <c r="B6245" s="17"/>
    </row>
    <row r="6246" spans="2:2">
      <c r="B6246" s="17"/>
    </row>
    <row r="6247" spans="2:2">
      <c r="B6247" s="17"/>
    </row>
    <row r="6248" spans="2:2">
      <c r="B6248" s="17"/>
    </row>
    <row r="6249" spans="2:2">
      <c r="B6249" s="17"/>
    </row>
    <row r="6250" spans="2:2">
      <c r="B6250" s="17"/>
    </row>
    <row r="6251" spans="2:2">
      <c r="B6251" s="17"/>
    </row>
    <row r="6252" spans="2:2">
      <c r="B6252" s="17"/>
    </row>
    <row r="6253" spans="2:2">
      <c r="B6253" s="17"/>
    </row>
    <row r="6254" spans="2:2">
      <c r="B6254" s="17"/>
    </row>
    <row r="6255" spans="2:2">
      <c r="B6255" s="17"/>
    </row>
    <row r="6256" spans="2:2">
      <c r="B6256" s="17"/>
    </row>
    <row r="6257" spans="2:2">
      <c r="B6257" s="17"/>
    </row>
    <row r="6258" spans="2:2">
      <c r="B6258" s="17"/>
    </row>
    <row r="6259" spans="2:2">
      <c r="B6259" s="17"/>
    </row>
    <row r="6260" spans="2:2">
      <c r="B6260" s="17"/>
    </row>
    <row r="6261" spans="2:2">
      <c r="B6261" s="17"/>
    </row>
    <row r="6262" spans="2:2">
      <c r="B6262" s="17"/>
    </row>
    <row r="6263" spans="2:2">
      <c r="B6263" s="17"/>
    </row>
    <row r="6264" spans="2:2">
      <c r="B6264" s="17"/>
    </row>
    <row r="6265" spans="2:2">
      <c r="B6265" s="17"/>
    </row>
    <row r="6266" spans="2:2">
      <c r="B6266" s="17"/>
    </row>
    <row r="6267" spans="2:2">
      <c r="B6267" s="17"/>
    </row>
    <row r="6268" spans="2:2">
      <c r="B6268" s="17"/>
    </row>
    <row r="6269" spans="2:2">
      <c r="B6269" s="17"/>
    </row>
    <row r="6270" spans="2:2">
      <c r="B6270" s="17"/>
    </row>
    <row r="6271" spans="2:2">
      <c r="B6271" s="17"/>
    </row>
    <row r="6272" spans="2:2">
      <c r="B6272" s="17"/>
    </row>
    <row r="6273" spans="2:2">
      <c r="B6273" s="17"/>
    </row>
    <row r="6274" spans="2:2">
      <c r="B6274" s="17"/>
    </row>
    <row r="6275" spans="2:2">
      <c r="B6275" s="17"/>
    </row>
    <row r="6276" spans="2:2">
      <c r="B6276" s="17"/>
    </row>
    <row r="6277" spans="2:2">
      <c r="B6277" s="17"/>
    </row>
    <row r="6278" spans="2:2">
      <c r="B6278" s="17"/>
    </row>
    <row r="6279" spans="2:2">
      <c r="B6279" s="17"/>
    </row>
    <row r="6280" spans="2:2">
      <c r="B6280" s="17"/>
    </row>
    <row r="6281" spans="2:2">
      <c r="B6281" s="17"/>
    </row>
    <row r="6282" spans="2:2">
      <c r="B6282" s="17"/>
    </row>
    <row r="6283" spans="2:2">
      <c r="B6283" s="17"/>
    </row>
    <row r="6284" spans="2:2">
      <c r="B6284" s="17"/>
    </row>
    <row r="6285" spans="2:2">
      <c r="B6285" s="17"/>
    </row>
    <row r="6286" spans="2:2">
      <c r="B6286" s="17"/>
    </row>
    <row r="6287" spans="2:2">
      <c r="B6287" s="17"/>
    </row>
    <row r="6288" spans="2:2">
      <c r="B6288" s="17"/>
    </row>
    <row r="6289" spans="2:2">
      <c r="B6289" s="17"/>
    </row>
    <row r="6290" spans="2:2">
      <c r="B6290" s="17"/>
    </row>
    <row r="6291" spans="2:2">
      <c r="B6291" s="17"/>
    </row>
    <row r="6292" spans="2:2">
      <c r="B6292" s="17"/>
    </row>
    <row r="6293" spans="2:2">
      <c r="B6293" s="17"/>
    </row>
    <row r="6294" spans="2:2">
      <c r="B6294" s="17"/>
    </row>
    <row r="6295" spans="2:2">
      <c r="B6295" s="17"/>
    </row>
    <row r="6296" spans="2:2">
      <c r="B6296" s="17"/>
    </row>
    <row r="6297" spans="2:2">
      <c r="B6297" s="17"/>
    </row>
    <row r="6298" spans="2:2">
      <c r="B6298" s="17"/>
    </row>
    <row r="6299" spans="2:2">
      <c r="B6299" s="17"/>
    </row>
    <row r="6300" spans="2:2">
      <c r="B6300" s="17"/>
    </row>
    <row r="6301" spans="2:2">
      <c r="B6301" s="17"/>
    </row>
    <row r="6302" spans="2:2">
      <c r="B6302" s="17"/>
    </row>
    <row r="6303" spans="2:2">
      <c r="B6303" s="17"/>
    </row>
    <row r="6304" spans="2:2">
      <c r="B6304" s="17"/>
    </row>
    <row r="6305" spans="2:2">
      <c r="B6305" s="17"/>
    </row>
    <row r="6306" spans="2:2">
      <c r="B6306" s="17"/>
    </row>
    <row r="6307" spans="2:2">
      <c r="B6307" s="17"/>
    </row>
    <row r="6308" spans="2:2">
      <c r="B6308" s="17"/>
    </row>
    <row r="6309" spans="2:2">
      <c r="B6309" s="17"/>
    </row>
    <row r="6310" spans="2:2">
      <c r="B6310" s="17"/>
    </row>
    <row r="6311" spans="2:2">
      <c r="B6311" s="17"/>
    </row>
    <row r="6312" spans="2:2">
      <c r="B6312" s="17"/>
    </row>
    <row r="6313" spans="2:2">
      <c r="B6313" s="17"/>
    </row>
    <row r="6314" spans="2:2">
      <c r="B6314" s="17"/>
    </row>
    <row r="6315" spans="2:2">
      <c r="B6315" s="17"/>
    </row>
    <row r="6316" spans="2:2">
      <c r="B6316" s="17"/>
    </row>
    <row r="6317" spans="2:2">
      <c r="B6317" s="17"/>
    </row>
    <row r="6318" spans="2:2">
      <c r="B6318" s="17"/>
    </row>
    <row r="6319" spans="2:2">
      <c r="B6319" s="17"/>
    </row>
    <row r="6320" spans="2:2">
      <c r="B6320" s="17"/>
    </row>
    <row r="6321" spans="2:2">
      <c r="B6321" s="17"/>
    </row>
    <row r="6322" spans="2:2">
      <c r="B6322" s="17"/>
    </row>
    <row r="6323" spans="2:2">
      <c r="B6323" s="17"/>
    </row>
    <row r="6324" spans="2:2">
      <c r="B6324" s="17"/>
    </row>
    <row r="6325" spans="2:2">
      <c r="B6325" s="17"/>
    </row>
    <row r="6326" spans="2:2">
      <c r="B6326" s="17"/>
    </row>
    <row r="6327" spans="2:2">
      <c r="B6327" s="17"/>
    </row>
    <row r="6328" spans="2:2">
      <c r="B6328" s="17"/>
    </row>
    <row r="6329" spans="2:2">
      <c r="B6329" s="17"/>
    </row>
    <row r="6330" spans="2:2">
      <c r="B6330" s="17"/>
    </row>
    <row r="6331" spans="2:2">
      <c r="B6331" s="17"/>
    </row>
    <row r="6332" spans="2:2">
      <c r="B6332" s="17"/>
    </row>
    <row r="6333" spans="2:2">
      <c r="B6333" s="17"/>
    </row>
    <row r="6334" spans="2:2">
      <c r="B6334" s="17"/>
    </row>
    <row r="6335" spans="2:2">
      <c r="B6335" s="17"/>
    </row>
    <row r="6336" spans="2:2">
      <c r="B6336" s="17"/>
    </row>
    <row r="6337" spans="2:2">
      <c r="B6337" s="17"/>
    </row>
    <row r="6338" spans="2:2">
      <c r="B6338" s="17"/>
    </row>
    <row r="6339" spans="2:2">
      <c r="B6339" s="17"/>
    </row>
    <row r="6340" spans="2:2">
      <c r="B6340" s="17"/>
    </row>
    <row r="6341" spans="2:2">
      <c r="B6341" s="17"/>
    </row>
    <row r="6342" spans="2:2">
      <c r="B6342" s="17"/>
    </row>
    <row r="6343" spans="2:2">
      <c r="B6343" s="17"/>
    </row>
    <row r="6344" spans="2:2">
      <c r="B6344" s="17"/>
    </row>
    <row r="6345" spans="2:2">
      <c r="B6345" s="17"/>
    </row>
    <row r="6346" spans="2:2">
      <c r="B6346" s="17"/>
    </row>
    <row r="6347" spans="2:2">
      <c r="B6347" s="17"/>
    </row>
    <row r="6348" spans="2:2">
      <c r="B6348" s="17"/>
    </row>
    <row r="6349" spans="2:2">
      <c r="B6349" s="17"/>
    </row>
    <row r="6350" spans="2:2">
      <c r="B6350" s="17"/>
    </row>
    <row r="6351" spans="2:2">
      <c r="B6351" s="17"/>
    </row>
    <row r="6352" spans="2:2">
      <c r="B6352" s="17"/>
    </row>
    <row r="6353" spans="2:2">
      <c r="B6353" s="17"/>
    </row>
    <row r="6354" spans="2:2">
      <c r="B6354" s="17"/>
    </row>
    <row r="6355" spans="2:2">
      <c r="B6355" s="17"/>
    </row>
    <row r="6356" spans="2:2">
      <c r="B6356" s="17"/>
    </row>
    <row r="6357" spans="2:2">
      <c r="B6357" s="17"/>
    </row>
    <row r="6358" spans="2:2">
      <c r="B6358" s="17"/>
    </row>
    <row r="6359" spans="2:2">
      <c r="B6359" s="17"/>
    </row>
    <row r="6360" spans="2:2">
      <c r="B6360" s="17"/>
    </row>
    <row r="6361" spans="2:2">
      <c r="B6361" s="17"/>
    </row>
    <row r="6362" spans="2:2">
      <c r="B6362" s="17"/>
    </row>
    <row r="6363" spans="2:2">
      <c r="B6363" s="17"/>
    </row>
    <row r="6364" spans="2:2">
      <c r="B6364" s="17"/>
    </row>
    <row r="6365" spans="2:2">
      <c r="B6365" s="17"/>
    </row>
    <row r="6366" spans="2:2">
      <c r="B6366" s="17"/>
    </row>
    <row r="6367" spans="2:2">
      <c r="B6367" s="17"/>
    </row>
    <row r="6368" spans="2:2">
      <c r="B6368" s="17"/>
    </row>
    <row r="6369" spans="2:2">
      <c r="B6369" s="17"/>
    </row>
    <row r="6370" spans="2:2">
      <c r="B6370" s="17"/>
    </row>
    <row r="6371" spans="2:2">
      <c r="B6371" s="17"/>
    </row>
    <row r="6372" spans="2:2">
      <c r="B6372" s="17"/>
    </row>
    <row r="6373" spans="2:2">
      <c r="B6373" s="17"/>
    </row>
    <row r="6374" spans="2:2">
      <c r="B6374" s="17"/>
    </row>
    <row r="6375" spans="2:2">
      <c r="B6375" s="17"/>
    </row>
    <row r="6376" spans="2:2">
      <c r="B6376" s="17"/>
    </row>
    <row r="6377" spans="2:2">
      <c r="B6377" s="17"/>
    </row>
    <row r="6378" spans="2:2">
      <c r="B6378" s="17"/>
    </row>
    <row r="6379" spans="2:2">
      <c r="B6379" s="17"/>
    </row>
    <row r="6380" spans="2:2">
      <c r="B6380" s="17"/>
    </row>
    <row r="6381" spans="2:2">
      <c r="B6381" s="17"/>
    </row>
    <row r="6382" spans="2:2">
      <c r="B6382" s="17"/>
    </row>
    <row r="6383" spans="2:2">
      <c r="B6383" s="17"/>
    </row>
    <row r="6384" spans="2:2">
      <c r="B6384" s="17"/>
    </row>
    <row r="6385" spans="2:2">
      <c r="B6385" s="17"/>
    </row>
    <row r="6386" spans="2:2">
      <c r="B6386" s="17"/>
    </row>
    <row r="6387" spans="2:2">
      <c r="B6387" s="17"/>
    </row>
    <row r="6388" spans="2:2">
      <c r="B6388" s="17"/>
    </row>
    <row r="6389" spans="2:2">
      <c r="B6389" s="17"/>
    </row>
    <row r="6390" spans="2:2">
      <c r="B6390" s="17"/>
    </row>
    <row r="6391" spans="2:2">
      <c r="B6391" s="17"/>
    </row>
    <row r="6392" spans="2:2">
      <c r="B6392" s="17"/>
    </row>
    <row r="6393" spans="2:2">
      <c r="B6393" s="17"/>
    </row>
    <row r="6394" spans="2:2">
      <c r="B6394" s="17"/>
    </row>
    <row r="6395" spans="2:2">
      <c r="B6395" s="17"/>
    </row>
    <row r="6396" spans="2:2">
      <c r="B6396" s="17"/>
    </row>
    <row r="6397" spans="2:2">
      <c r="B6397" s="17"/>
    </row>
    <row r="6398" spans="2:2">
      <c r="B6398" s="17"/>
    </row>
    <row r="6399" spans="2:2">
      <c r="B6399" s="17"/>
    </row>
    <row r="6400" spans="2:2">
      <c r="B6400" s="17"/>
    </row>
    <row r="6401" spans="2:2">
      <c r="B6401" s="17"/>
    </row>
    <row r="6402" spans="2:2">
      <c r="B6402" s="17"/>
    </row>
    <row r="6403" spans="2:2">
      <c r="B6403" s="17"/>
    </row>
    <row r="6404" spans="2:2">
      <c r="B6404" s="17"/>
    </row>
    <row r="6405" spans="2:2">
      <c r="B6405" s="17"/>
    </row>
    <row r="6406" spans="2:2">
      <c r="B6406" s="17"/>
    </row>
    <row r="6407" spans="2:2">
      <c r="B6407" s="17"/>
    </row>
    <row r="6408" spans="2:2">
      <c r="B6408" s="17"/>
    </row>
    <row r="6409" spans="2:2">
      <c r="B6409" s="17"/>
    </row>
    <row r="6410" spans="2:2">
      <c r="B6410" s="17"/>
    </row>
    <row r="6411" spans="2:2">
      <c r="B6411" s="17"/>
    </row>
    <row r="6412" spans="2:2">
      <c r="B6412" s="17"/>
    </row>
    <row r="6413" spans="2:2">
      <c r="B6413" s="17"/>
    </row>
    <row r="6414" spans="2:2">
      <c r="B6414" s="17"/>
    </row>
    <row r="6415" spans="2:2">
      <c r="B6415" s="17"/>
    </row>
    <row r="6416" spans="2:2">
      <c r="B6416" s="17"/>
    </row>
    <row r="6417" spans="2:2">
      <c r="B6417" s="17"/>
    </row>
    <row r="6418" spans="2:2">
      <c r="B6418" s="17"/>
    </row>
    <row r="6419" spans="2:2">
      <c r="B6419" s="17"/>
    </row>
    <row r="6420" spans="2:2">
      <c r="B6420" s="17"/>
    </row>
    <row r="6421" spans="2:2">
      <c r="B6421" s="17"/>
    </row>
    <row r="6422" spans="2:2">
      <c r="B6422" s="17"/>
    </row>
    <row r="6423" spans="2:2">
      <c r="B6423" s="17"/>
    </row>
    <row r="6424" spans="2:2">
      <c r="B6424" s="17"/>
    </row>
    <row r="6425" spans="2:2">
      <c r="B6425" s="17"/>
    </row>
    <row r="6426" spans="2:2">
      <c r="B6426" s="17"/>
    </row>
    <row r="6427" spans="2:2">
      <c r="B6427" s="17"/>
    </row>
    <row r="6428" spans="2:2">
      <c r="B6428" s="17"/>
    </row>
    <row r="6429" spans="2:2">
      <c r="B6429" s="17"/>
    </row>
    <row r="6430" spans="2:2">
      <c r="B6430" s="17"/>
    </row>
    <row r="6431" spans="2:2">
      <c r="B6431" s="17"/>
    </row>
    <row r="6432" spans="2:2">
      <c r="B6432" s="17"/>
    </row>
    <row r="6433" spans="2:2">
      <c r="B6433" s="17"/>
    </row>
    <row r="6434" spans="2:2">
      <c r="B6434" s="17"/>
    </row>
    <row r="6435" spans="2:2">
      <c r="B6435" s="17"/>
    </row>
    <row r="6436" spans="2:2">
      <c r="B6436" s="17"/>
    </row>
    <row r="6437" spans="2:2">
      <c r="B6437" s="17"/>
    </row>
    <row r="6438" spans="2:2">
      <c r="B6438" s="17"/>
    </row>
    <row r="6439" spans="2:2">
      <c r="B6439" s="17"/>
    </row>
    <row r="6440" spans="2:2">
      <c r="B6440" s="17"/>
    </row>
    <row r="6441" spans="2:2">
      <c r="B6441" s="17"/>
    </row>
    <row r="6442" spans="2:2">
      <c r="B6442" s="17"/>
    </row>
    <row r="6443" spans="2:2">
      <c r="B6443" s="17"/>
    </row>
    <row r="6444" spans="2:2">
      <c r="B6444" s="17"/>
    </row>
    <row r="6445" spans="2:2">
      <c r="B6445" s="17"/>
    </row>
    <row r="6446" spans="2:2">
      <c r="B6446" s="17"/>
    </row>
    <row r="6447" spans="2:2">
      <c r="B6447" s="17"/>
    </row>
    <row r="6448" spans="2:2">
      <c r="B6448" s="17"/>
    </row>
    <row r="6449" spans="2:2">
      <c r="B6449" s="17"/>
    </row>
    <row r="6450" spans="2:2">
      <c r="B6450" s="17"/>
    </row>
    <row r="6451" spans="2:2">
      <c r="B6451" s="17"/>
    </row>
    <row r="6452" spans="2:2">
      <c r="B6452" s="17"/>
    </row>
    <row r="6453" spans="2:2">
      <c r="B6453" s="17"/>
    </row>
    <row r="6454" spans="2:2">
      <c r="B6454" s="17"/>
    </row>
    <row r="6455" spans="2:2">
      <c r="B6455" s="17"/>
    </row>
    <row r="6456" spans="2:2">
      <c r="B6456" s="17"/>
    </row>
    <row r="6457" spans="2:2">
      <c r="B6457" s="17"/>
    </row>
    <row r="6458" spans="2:2">
      <c r="B6458" s="17"/>
    </row>
    <row r="6459" spans="2:2">
      <c r="B6459" s="17"/>
    </row>
    <row r="6460" spans="2:2">
      <c r="B6460" s="17"/>
    </row>
    <row r="6461" spans="2:2">
      <c r="B6461" s="17"/>
    </row>
    <row r="6462" spans="2:2">
      <c r="B6462" s="17"/>
    </row>
    <row r="6463" spans="2:2">
      <c r="B6463" s="17"/>
    </row>
    <row r="6464" spans="2:2">
      <c r="B6464" s="17"/>
    </row>
    <row r="6465" spans="2:2">
      <c r="B6465" s="17"/>
    </row>
    <row r="6466" spans="2:2">
      <c r="B6466" s="17"/>
    </row>
    <row r="6467" spans="2:2">
      <c r="B6467" s="17"/>
    </row>
    <row r="6468" spans="2:2">
      <c r="B6468" s="17"/>
    </row>
    <row r="6469" spans="2:2">
      <c r="B6469" s="17"/>
    </row>
    <row r="6470" spans="2:2">
      <c r="B6470" s="17"/>
    </row>
    <row r="6471" spans="2:2">
      <c r="B6471" s="17"/>
    </row>
    <row r="6472" spans="2:2">
      <c r="B6472" s="17"/>
    </row>
    <row r="6473" spans="2:2">
      <c r="B6473" s="17"/>
    </row>
    <row r="6474" spans="2:2">
      <c r="B6474" s="17"/>
    </row>
    <row r="6475" spans="2:2">
      <c r="B6475" s="17"/>
    </row>
    <row r="6476" spans="2:2">
      <c r="B6476" s="17"/>
    </row>
    <row r="6477" spans="2:2">
      <c r="B6477" s="17"/>
    </row>
    <row r="6478" spans="2:2">
      <c r="B6478" s="17"/>
    </row>
    <row r="6479" spans="2:2">
      <c r="B6479" s="17"/>
    </row>
    <row r="6480" spans="2:2">
      <c r="B6480" s="17"/>
    </row>
    <row r="6481" spans="2:2">
      <c r="B6481" s="17"/>
    </row>
    <row r="6482" spans="2:2">
      <c r="B6482" s="17"/>
    </row>
    <row r="6483" spans="2:2">
      <c r="B6483" s="17"/>
    </row>
    <row r="6484" spans="2:2">
      <c r="B6484" s="17"/>
    </row>
    <row r="6485" spans="2:2">
      <c r="B6485" s="17"/>
    </row>
    <row r="6486" spans="2:2">
      <c r="B6486" s="17"/>
    </row>
    <row r="6487" spans="2:2">
      <c r="B6487" s="17"/>
    </row>
    <row r="6488" spans="2:2">
      <c r="B6488" s="17"/>
    </row>
    <row r="6489" spans="2:2">
      <c r="B6489" s="17"/>
    </row>
    <row r="6490" spans="2:2">
      <c r="B6490" s="17"/>
    </row>
    <row r="6491" spans="2:2">
      <c r="B6491" s="17"/>
    </row>
    <row r="6492" spans="2:2">
      <c r="B6492" s="17"/>
    </row>
    <row r="6493" spans="2:2">
      <c r="B6493" s="17"/>
    </row>
    <row r="6494" spans="2:2">
      <c r="B6494" s="17"/>
    </row>
    <row r="6495" spans="2:2">
      <c r="B6495" s="17"/>
    </row>
    <row r="6496" spans="2:2">
      <c r="B6496" s="17"/>
    </row>
    <row r="6497" spans="2:2">
      <c r="B6497" s="17"/>
    </row>
    <row r="6498" spans="2:2">
      <c r="B6498" s="17"/>
    </row>
    <row r="6499" spans="2:2">
      <c r="B6499" s="17"/>
    </row>
    <row r="6500" spans="2:2">
      <c r="B6500" s="17"/>
    </row>
    <row r="6501" spans="2:2">
      <c r="B6501" s="17"/>
    </row>
    <row r="6502" spans="2:2">
      <c r="B6502" s="17"/>
    </row>
    <row r="6503" spans="2:2">
      <c r="B6503" s="17"/>
    </row>
    <row r="6504" spans="2:2">
      <c r="B6504" s="17"/>
    </row>
    <row r="6505" spans="2:2">
      <c r="B6505" s="17"/>
    </row>
    <row r="6506" spans="2:2">
      <c r="B6506" s="17"/>
    </row>
    <row r="6507" spans="2:2">
      <c r="B6507" s="17"/>
    </row>
    <row r="6508" spans="2:2">
      <c r="B6508" s="17"/>
    </row>
    <row r="6509" spans="2:2">
      <c r="B6509" s="17"/>
    </row>
    <row r="6510" spans="2:2">
      <c r="B6510" s="17"/>
    </row>
    <row r="6511" spans="2:2">
      <c r="B6511" s="17"/>
    </row>
    <row r="6512" spans="2:2">
      <c r="B6512" s="17"/>
    </row>
    <row r="6513" spans="2:2">
      <c r="B6513" s="17"/>
    </row>
    <row r="6514" spans="2:2">
      <c r="B6514" s="17"/>
    </row>
    <row r="6515" spans="2:2">
      <c r="B6515" s="17"/>
    </row>
    <row r="6516" spans="2:2">
      <c r="B6516" s="17"/>
    </row>
    <row r="6517" spans="2:2">
      <c r="B6517" s="17"/>
    </row>
    <row r="6518" spans="2:2">
      <c r="B6518" s="17"/>
    </row>
    <row r="6519" spans="2:2">
      <c r="B6519" s="17"/>
    </row>
    <row r="6520" spans="2:2">
      <c r="B6520" s="17"/>
    </row>
    <row r="6521" spans="2:2">
      <c r="B6521" s="17"/>
    </row>
    <row r="6522" spans="2:2">
      <c r="B6522" s="17"/>
    </row>
    <row r="6523" spans="2:2">
      <c r="B6523" s="17"/>
    </row>
    <row r="6524" spans="2:2">
      <c r="B6524" s="17"/>
    </row>
    <row r="6525" spans="2:2">
      <c r="B6525" s="17"/>
    </row>
    <row r="6526" spans="2:2">
      <c r="B6526" s="17"/>
    </row>
    <row r="6527" spans="2:2">
      <c r="B6527" s="17"/>
    </row>
    <row r="6528" spans="2:2">
      <c r="B6528" s="17"/>
    </row>
    <row r="6529" spans="2:2">
      <c r="B6529" s="17"/>
    </row>
    <row r="6530" spans="2:2">
      <c r="B6530" s="17"/>
    </row>
    <row r="6531" spans="2:2">
      <c r="B6531" s="17"/>
    </row>
    <row r="6532" spans="2:2">
      <c r="B6532" s="17"/>
    </row>
    <row r="6533" spans="2:2">
      <c r="B6533" s="17"/>
    </row>
    <row r="6534" spans="2:2">
      <c r="B6534" s="17"/>
    </row>
    <row r="6535" spans="2:2">
      <c r="B6535" s="17"/>
    </row>
    <row r="6536" spans="2:2">
      <c r="B6536" s="17"/>
    </row>
    <row r="6537" spans="2:2">
      <c r="B6537" s="17"/>
    </row>
    <row r="6538" spans="2:2">
      <c r="B6538" s="17"/>
    </row>
    <row r="6539" spans="2:2">
      <c r="B6539" s="17"/>
    </row>
    <row r="6540" spans="2:2">
      <c r="B6540" s="17"/>
    </row>
    <row r="6541" spans="2:2">
      <c r="B6541" s="17"/>
    </row>
    <row r="6542" spans="2:2">
      <c r="B6542" s="17"/>
    </row>
    <row r="6543" spans="2:2">
      <c r="B6543" s="17"/>
    </row>
    <row r="6544" spans="2:2">
      <c r="B6544" s="17"/>
    </row>
    <row r="6545" spans="2:2">
      <c r="B6545" s="17"/>
    </row>
    <row r="6546" spans="2:2">
      <c r="B6546" s="17"/>
    </row>
    <row r="6547" spans="2:2">
      <c r="B6547" s="17"/>
    </row>
    <row r="6548" spans="2:2">
      <c r="B6548" s="17"/>
    </row>
    <row r="6549" spans="2:2">
      <c r="B6549" s="17"/>
    </row>
    <row r="6550" spans="2:2">
      <c r="B6550" s="17"/>
    </row>
    <row r="6551" spans="2:2">
      <c r="B6551" s="17"/>
    </row>
    <row r="6552" spans="2:2">
      <c r="B6552" s="17"/>
    </row>
    <row r="6553" spans="2:2">
      <c r="B6553" s="17"/>
    </row>
    <row r="6554" spans="2:2">
      <c r="B6554" s="17"/>
    </row>
    <row r="6555" spans="2:2">
      <c r="B6555" s="17"/>
    </row>
    <row r="6556" spans="2:2">
      <c r="B6556" s="17"/>
    </row>
    <row r="6557" spans="2:2">
      <c r="B6557" s="17"/>
    </row>
    <row r="6558" spans="2:2">
      <c r="B6558" s="17"/>
    </row>
    <row r="6559" spans="2:2">
      <c r="B6559" s="17"/>
    </row>
    <row r="6560" spans="2:2">
      <c r="B6560" s="17"/>
    </row>
    <row r="6561" spans="2:2">
      <c r="B6561" s="17"/>
    </row>
    <row r="6562" spans="2:2">
      <c r="B6562" s="17"/>
    </row>
    <row r="6563" spans="2:2">
      <c r="B6563" s="17"/>
    </row>
    <row r="6564" spans="2:2">
      <c r="B6564" s="17"/>
    </row>
    <row r="6565" spans="2:2">
      <c r="B6565" s="17"/>
    </row>
    <row r="6566" spans="2:2">
      <c r="B6566" s="17"/>
    </row>
    <row r="6567" spans="2:2">
      <c r="B6567" s="17"/>
    </row>
    <row r="6568" spans="2:2">
      <c r="B6568" s="17"/>
    </row>
    <row r="6569" spans="2:2">
      <c r="B6569" s="17"/>
    </row>
    <row r="6570" spans="2:2">
      <c r="B6570" s="17"/>
    </row>
    <row r="6571" spans="2:2">
      <c r="B6571" s="17"/>
    </row>
    <row r="6572" spans="2:2">
      <c r="B6572" s="17"/>
    </row>
    <row r="6573" spans="2:2">
      <c r="B6573" s="17"/>
    </row>
    <row r="6574" spans="2:2">
      <c r="B6574" s="17"/>
    </row>
    <row r="6575" spans="2:2">
      <c r="B6575" s="17"/>
    </row>
    <row r="6576" spans="2:2">
      <c r="B6576" s="17"/>
    </row>
    <row r="6577" spans="2:2">
      <c r="B6577" s="17"/>
    </row>
    <row r="6578" spans="2:2">
      <c r="B6578" s="17"/>
    </row>
    <row r="6579" spans="2:2">
      <c r="B6579" s="17"/>
    </row>
    <row r="6580" spans="2:2">
      <c r="B6580" s="17"/>
    </row>
    <row r="6581" spans="2:2">
      <c r="B6581" s="17"/>
    </row>
    <row r="6582" spans="2:2">
      <c r="B6582" s="17"/>
    </row>
    <row r="6583" spans="2:2">
      <c r="B6583" s="17"/>
    </row>
    <row r="6584" spans="2:2">
      <c r="B6584" s="17"/>
    </row>
    <row r="6585" spans="2:2">
      <c r="B6585" s="17"/>
    </row>
    <row r="6586" spans="2:2">
      <c r="B6586" s="17"/>
    </row>
    <row r="6587" spans="2:2">
      <c r="B6587" s="17"/>
    </row>
    <row r="6588" spans="2:2">
      <c r="B6588" s="17"/>
    </row>
    <row r="6589" spans="2:2">
      <c r="B6589" s="17"/>
    </row>
    <row r="6590" spans="2:2">
      <c r="B6590" s="17"/>
    </row>
    <row r="6591" spans="2:2">
      <c r="B6591" s="17"/>
    </row>
    <row r="6592" spans="2:2">
      <c r="B6592" s="17"/>
    </row>
    <row r="6593" spans="2:2">
      <c r="B6593" s="17"/>
    </row>
    <row r="6594" spans="2:2">
      <c r="B6594" s="17"/>
    </row>
    <row r="6595" spans="2:2">
      <c r="B6595" s="17"/>
    </row>
    <row r="6596" spans="2:2">
      <c r="B6596" s="17"/>
    </row>
    <row r="6597" spans="2:2">
      <c r="B6597" s="17"/>
    </row>
    <row r="6598" spans="2:2">
      <c r="B6598" s="17"/>
    </row>
    <row r="6599" spans="2:2">
      <c r="B6599" s="17"/>
    </row>
    <row r="6600" spans="2:2">
      <c r="B6600" s="17"/>
    </row>
    <row r="6601" spans="2:2">
      <c r="B6601" s="17"/>
    </row>
    <row r="6602" spans="2:2">
      <c r="B6602" s="17"/>
    </row>
    <row r="6603" spans="2:2">
      <c r="B6603" s="17"/>
    </row>
    <row r="6604" spans="2:2">
      <c r="B6604" s="17"/>
    </row>
    <row r="6605" spans="2:2">
      <c r="B6605" s="17"/>
    </row>
    <row r="6606" spans="2:2">
      <c r="B6606" s="17"/>
    </row>
    <row r="6607" spans="2:2">
      <c r="B6607" s="17"/>
    </row>
    <row r="6608" spans="2:2">
      <c r="B6608" s="17"/>
    </row>
    <row r="6609" spans="2:2">
      <c r="B6609" s="17"/>
    </row>
    <row r="6610" spans="2:2">
      <c r="B6610" s="17"/>
    </row>
    <row r="6611" spans="2:2">
      <c r="B6611" s="17"/>
    </row>
    <row r="6612" spans="2:2">
      <c r="B6612" s="17"/>
    </row>
    <row r="6613" spans="2:2">
      <c r="B6613" s="17"/>
    </row>
    <row r="6614" spans="2:2">
      <c r="B6614" s="17"/>
    </row>
    <row r="6615" spans="2:2">
      <c r="B6615" s="17"/>
    </row>
    <row r="6616" spans="2:2">
      <c r="B6616" s="17"/>
    </row>
    <row r="6617" spans="2:2">
      <c r="B6617" s="17"/>
    </row>
    <row r="6618" spans="2:2">
      <c r="B6618" s="17"/>
    </row>
    <row r="6619" spans="2:2">
      <c r="B6619" s="17"/>
    </row>
    <row r="6620" spans="2:2">
      <c r="B6620" s="17"/>
    </row>
    <row r="6621" spans="2:2">
      <c r="B6621" s="17"/>
    </row>
    <row r="6622" spans="2:2">
      <c r="B6622" s="17"/>
    </row>
    <row r="6623" spans="2:2">
      <c r="B6623" s="17"/>
    </row>
    <row r="6624" spans="2:2">
      <c r="B6624" s="17"/>
    </row>
    <row r="6625" spans="2:2">
      <c r="B6625" s="17"/>
    </row>
    <row r="6626" spans="2:2">
      <c r="B6626" s="17"/>
    </row>
    <row r="6627" spans="2:2">
      <c r="B6627" s="17"/>
    </row>
    <row r="6628" spans="2:2">
      <c r="B6628" s="17"/>
    </row>
    <row r="6629" spans="2:2">
      <c r="B6629" s="17"/>
    </row>
    <row r="6630" spans="2:2">
      <c r="B6630" s="17"/>
    </row>
    <row r="6631" spans="2:2">
      <c r="B6631" s="17"/>
    </row>
    <row r="6632" spans="2:2">
      <c r="B6632" s="17"/>
    </row>
    <row r="6633" spans="2:2">
      <c r="B6633" s="17"/>
    </row>
    <row r="6634" spans="2:2">
      <c r="B6634" s="17"/>
    </row>
    <row r="6635" spans="2:2">
      <c r="B6635" s="17"/>
    </row>
    <row r="6636" spans="2:2">
      <c r="B6636" s="17"/>
    </row>
    <row r="6637" spans="2:2">
      <c r="B6637" s="17"/>
    </row>
    <row r="6638" spans="2:2">
      <c r="B6638" s="17"/>
    </row>
    <row r="6639" spans="2:2">
      <c r="B6639" s="17"/>
    </row>
    <row r="6640" spans="2:2">
      <c r="B6640" s="17"/>
    </row>
    <row r="6641" spans="2:2">
      <c r="B6641" s="17"/>
    </row>
    <row r="6642" spans="2:2">
      <c r="B6642" s="17"/>
    </row>
    <row r="6643" spans="2:2">
      <c r="B6643" s="17"/>
    </row>
    <row r="6644" spans="2:2">
      <c r="B6644" s="17"/>
    </row>
    <row r="6645" spans="2:2">
      <c r="B6645" s="17"/>
    </row>
    <row r="6646" spans="2:2">
      <c r="B6646" s="17"/>
    </row>
    <row r="6647" spans="2:2">
      <c r="B6647" s="17"/>
    </row>
    <row r="6648" spans="2:2">
      <c r="B6648" s="17"/>
    </row>
    <row r="6649" spans="2:2">
      <c r="B6649" s="17"/>
    </row>
    <row r="6650" spans="2:2">
      <c r="B6650" s="17"/>
    </row>
    <row r="6651" spans="2:2">
      <c r="B6651" s="17"/>
    </row>
    <row r="6652" spans="2:2">
      <c r="B6652" s="17"/>
    </row>
    <row r="6653" spans="2:2">
      <c r="B6653" s="17"/>
    </row>
    <row r="6654" spans="2:2">
      <c r="B6654" s="17"/>
    </row>
    <row r="6655" spans="2:2">
      <c r="B6655" s="17"/>
    </row>
    <row r="6656" spans="2:2">
      <c r="B6656" s="17"/>
    </row>
    <row r="6657" spans="2:2">
      <c r="B6657" s="17"/>
    </row>
    <row r="6658" spans="2:2">
      <c r="B6658" s="17"/>
    </row>
    <row r="6659" spans="2:2">
      <c r="B6659" s="17"/>
    </row>
    <row r="6660" spans="2:2">
      <c r="B6660" s="17"/>
    </row>
    <row r="6661" spans="2:2">
      <c r="B6661" s="17"/>
    </row>
    <row r="6662" spans="2:2">
      <c r="B6662" s="17"/>
    </row>
    <row r="6663" spans="2:2">
      <c r="B6663" s="17"/>
    </row>
    <row r="6664" spans="2:2">
      <c r="B6664" s="17"/>
    </row>
    <row r="6665" spans="2:2">
      <c r="B6665" s="17"/>
    </row>
    <row r="6666" spans="2:2">
      <c r="B6666" s="17"/>
    </row>
    <row r="6667" spans="2:2">
      <c r="B6667" s="17"/>
    </row>
    <row r="6668" spans="2:2">
      <c r="B6668" s="17"/>
    </row>
    <row r="6669" spans="2:2">
      <c r="B6669" s="17"/>
    </row>
    <row r="6670" spans="2:2">
      <c r="B6670" s="17"/>
    </row>
    <row r="6671" spans="2:2">
      <c r="B6671" s="17"/>
    </row>
    <row r="6672" spans="2:2">
      <c r="B6672" s="17"/>
    </row>
    <row r="6673" spans="2:2">
      <c r="B6673" s="17"/>
    </row>
    <row r="6674" spans="2:2">
      <c r="B6674" s="17"/>
    </row>
    <row r="6675" spans="2:2">
      <c r="B6675" s="17"/>
    </row>
    <row r="6676" spans="2:2">
      <c r="B6676" s="17"/>
    </row>
    <row r="6677" spans="2:2">
      <c r="B6677" s="17"/>
    </row>
    <row r="6678" spans="2:2">
      <c r="B6678" s="17"/>
    </row>
    <row r="6679" spans="2:2">
      <c r="B6679" s="17"/>
    </row>
    <row r="6680" spans="2:2">
      <c r="B6680" s="17"/>
    </row>
    <row r="6681" spans="2:2">
      <c r="B6681" s="17"/>
    </row>
    <row r="6682" spans="2:2">
      <c r="B6682" s="17"/>
    </row>
    <row r="6683" spans="2:2">
      <c r="B6683" s="17"/>
    </row>
    <row r="6684" spans="2:2">
      <c r="B6684" s="17"/>
    </row>
    <row r="6685" spans="2:2">
      <c r="B6685" s="17"/>
    </row>
    <row r="6686" spans="2:2">
      <c r="B6686" s="17"/>
    </row>
    <row r="6687" spans="2:2">
      <c r="B6687" s="17"/>
    </row>
    <row r="6688" spans="2:2">
      <c r="B6688" s="17"/>
    </row>
    <row r="6689" spans="2:2">
      <c r="B6689" s="17"/>
    </row>
    <row r="6690" spans="2:2">
      <c r="B6690" s="17"/>
    </row>
    <row r="6691" spans="2:2">
      <c r="B6691" s="17"/>
    </row>
    <row r="6692" spans="2:2">
      <c r="B6692" s="17"/>
    </row>
    <row r="6693" spans="2:2">
      <c r="B6693" s="17"/>
    </row>
    <row r="6694" spans="2:2">
      <c r="B6694" s="17"/>
    </row>
    <row r="6695" spans="2:2">
      <c r="B6695" s="17"/>
    </row>
    <row r="6696" spans="2:2">
      <c r="B6696" s="17"/>
    </row>
    <row r="6697" spans="2:2">
      <c r="B6697" s="17"/>
    </row>
    <row r="6698" spans="2:2">
      <c r="B6698" s="17"/>
    </row>
    <row r="6699" spans="2:2">
      <c r="B6699" s="17"/>
    </row>
    <row r="6700" spans="2:2">
      <c r="B6700" s="17"/>
    </row>
    <row r="6701" spans="2:2">
      <c r="B6701" s="17"/>
    </row>
    <row r="6702" spans="2:2">
      <c r="B6702" s="17"/>
    </row>
    <row r="6703" spans="2:2">
      <c r="B6703" s="17"/>
    </row>
    <row r="6704" spans="2:2">
      <c r="B6704" s="17"/>
    </row>
    <row r="6705" spans="2:2">
      <c r="B6705" s="17"/>
    </row>
    <row r="6706" spans="2:2">
      <c r="B6706" s="17"/>
    </row>
    <row r="6707" spans="2:2">
      <c r="B6707" s="17"/>
    </row>
    <row r="6708" spans="2:2">
      <c r="B6708" s="17"/>
    </row>
    <row r="6709" spans="2:2">
      <c r="B6709" s="17"/>
    </row>
    <row r="6710" spans="2:2">
      <c r="B6710" s="17"/>
    </row>
    <row r="6711" spans="2:2">
      <c r="B6711" s="17"/>
    </row>
    <row r="6712" spans="2:2">
      <c r="B6712" s="17"/>
    </row>
    <row r="6713" spans="2:2">
      <c r="B6713" s="17"/>
    </row>
    <row r="6714" spans="2:2">
      <c r="B6714" s="17"/>
    </row>
    <row r="6715" spans="2:2">
      <c r="B6715" s="17"/>
    </row>
    <row r="6716" spans="2:2">
      <c r="B6716" s="17"/>
    </row>
    <row r="6717" spans="2:2">
      <c r="B6717" s="17"/>
    </row>
    <row r="6718" spans="2:2">
      <c r="B6718" s="17"/>
    </row>
    <row r="6719" spans="2:2">
      <c r="B6719" s="17"/>
    </row>
    <row r="6720" spans="2:2">
      <c r="B6720" s="17"/>
    </row>
    <row r="6721" spans="2:2">
      <c r="B6721" s="17"/>
    </row>
    <row r="6722" spans="2:2">
      <c r="B6722" s="17"/>
    </row>
    <row r="6723" spans="2:2">
      <c r="B6723" s="17"/>
    </row>
    <row r="6724" spans="2:2">
      <c r="B6724" s="17"/>
    </row>
    <row r="6725" spans="2:2">
      <c r="B6725" s="17"/>
    </row>
    <row r="6726" spans="2:2">
      <c r="B6726" s="17"/>
    </row>
    <row r="6727" spans="2:2">
      <c r="B6727" s="17"/>
    </row>
    <row r="6728" spans="2:2">
      <c r="B6728" s="17"/>
    </row>
    <row r="6729" spans="2:2">
      <c r="B6729" s="17"/>
    </row>
    <row r="6730" spans="2:2">
      <c r="B6730" s="17"/>
    </row>
    <row r="6731" spans="2:2">
      <c r="B6731" s="17"/>
    </row>
    <row r="6732" spans="2:2">
      <c r="B6732" s="17"/>
    </row>
    <row r="6733" spans="2:2">
      <c r="B6733" s="17"/>
    </row>
    <row r="6734" spans="2:2">
      <c r="B6734" s="17"/>
    </row>
    <row r="6735" spans="2:2">
      <c r="B6735" s="17"/>
    </row>
    <row r="6736" spans="2:2">
      <c r="B6736" s="17"/>
    </row>
    <row r="6737" spans="2:2">
      <c r="B6737" s="17"/>
    </row>
    <row r="6738" spans="2:2">
      <c r="B6738" s="17"/>
    </row>
    <row r="6739" spans="2:2">
      <c r="B6739" s="17"/>
    </row>
    <row r="6740" spans="2:2">
      <c r="B6740" s="17"/>
    </row>
    <row r="6741" spans="2:2">
      <c r="B6741" s="17"/>
    </row>
    <row r="6742" spans="2:2">
      <c r="B6742" s="17"/>
    </row>
    <row r="6743" spans="2:2">
      <c r="B6743" s="17"/>
    </row>
    <row r="6744" spans="2:2">
      <c r="B6744" s="17"/>
    </row>
    <row r="6745" spans="2:2">
      <c r="B6745" s="17"/>
    </row>
    <row r="6746" spans="2:2">
      <c r="B6746" s="17"/>
    </row>
    <row r="6747" spans="2:2">
      <c r="B6747" s="17"/>
    </row>
    <row r="6748" spans="2:2">
      <c r="B6748" s="17"/>
    </row>
    <row r="6749" spans="2:2">
      <c r="B6749" s="17"/>
    </row>
    <row r="6750" spans="2:2">
      <c r="B6750" s="17"/>
    </row>
    <row r="6751" spans="2:2">
      <c r="B6751" s="17"/>
    </row>
    <row r="6752" spans="2:2">
      <c r="B6752" s="17"/>
    </row>
    <row r="6753" spans="2:2">
      <c r="B6753" s="17"/>
    </row>
    <row r="6754" spans="2:2">
      <c r="B6754" s="17"/>
    </row>
    <row r="6755" spans="2:2">
      <c r="B6755" s="17"/>
    </row>
    <row r="6756" spans="2:2">
      <c r="B6756" s="17"/>
    </row>
    <row r="6757" spans="2:2">
      <c r="B6757" s="17"/>
    </row>
    <row r="6758" spans="2:2">
      <c r="B6758" s="17"/>
    </row>
    <row r="6759" spans="2:2">
      <c r="B6759" s="17"/>
    </row>
    <row r="6760" spans="2:2">
      <c r="B6760" s="17"/>
    </row>
    <row r="6761" spans="2:2">
      <c r="B6761" s="17"/>
    </row>
    <row r="6762" spans="2:2">
      <c r="B6762" s="17"/>
    </row>
    <row r="6763" spans="2:2">
      <c r="B6763" s="17"/>
    </row>
    <row r="6764" spans="2:2">
      <c r="B6764" s="17"/>
    </row>
    <row r="6765" spans="2:2">
      <c r="B6765" s="17"/>
    </row>
    <row r="6766" spans="2:2">
      <c r="B6766" s="17"/>
    </row>
    <row r="6767" spans="2:2">
      <c r="B6767" s="17"/>
    </row>
    <row r="6768" spans="2:2">
      <c r="B6768" s="17"/>
    </row>
    <row r="6769" spans="2:2">
      <c r="B6769" s="17"/>
    </row>
    <row r="6770" spans="2:2">
      <c r="B6770" s="17"/>
    </row>
    <row r="6771" spans="2:2">
      <c r="B6771" s="17"/>
    </row>
    <row r="6772" spans="2:2">
      <c r="B6772" s="17"/>
    </row>
    <row r="6773" spans="2:2">
      <c r="B6773" s="17"/>
    </row>
    <row r="6774" spans="2:2">
      <c r="B6774" s="17"/>
    </row>
    <row r="6775" spans="2:2">
      <c r="B6775" s="17"/>
    </row>
    <row r="6776" spans="2:2">
      <c r="B6776" s="17"/>
    </row>
    <row r="6777" spans="2:2">
      <c r="B6777" s="17"/>
    </row>
    <row r="6778" spans="2:2">
      <c r="B6778" s="17"/>
    </row>
    <row r="6779" spans="2:2">
      <c r="B6779" s="17"/>
    </row>
    <row r="6780" spans="2:2">
      <c r="B6780" s="17"/>
    </row>
    <row r="6781" spans="2:2">
      <c r="B6781" s="17"/>
    </row>
    <row r="6782" spans="2:2">
      <c r="B6782" s="17"/>
    </row>
    <row r="6783" spans="2:2">
      <c r="B6783" s="17"/>
    </row>
    <row r="6784" spans="2:2">
      <c r="B6784" s="17"/>
    </row>
    <row r="6785" spans="2:2">
      <c r="B6785" s="17"/>
    </row>
    <row r="6786" spans="2:2">
      <c r="B6786" s="17"/>
    </row>
    <row r="6787" spans="2:2">
      <c r="B6787" s="17"/>
    </row>
    <row r="6788" spans="2:2">
      <c r="B6788" s="17"/>
    </row>
    <row r="6789" spans="2:2">
      <c r="B6789" s="17"/>
    </row>
    <row r="6790" spans="2:2">
      <c r="B6790" s="17"/>
    </row>
    <row r="6791" spans="2:2">
      <c r="B6791" s="17"/>
    </row>
    <row r="6792" spans="2:2">
      <c r="B6792" s="17"/>
    </row>
    <row r="6793" spans="2:2">
      <c r="B6793" s="17"/>
    </row>
    <row r="6794" spans="2:2">
      <c r="B6794" s="17"/>
    </row>
    <row r="6795" spans="2:2">
      <c r="B6795" s="17"/>
    </row>
    <row r="6796" spans="2:2">
      <c r="B6796" s="17"/>
    </row>
    <row r="6797" spans="2:2">
      <c r="B6797" s="17"/>
    </row>
    <row r="6798" spans="2:2">
      <c r="B6798" s="17"/>
    </row>
    <row r="6799" spans="2:2">
      <c r="B6799" s="17"/>
    </row>
    <row r="6800" spans="2:2">
      <c r="B6800" s="17"/>
    </row>
    <row r="6801" spans="2:2">
      <c r="B6801" s="17"/>
    </row>
    <row r="6802" spans="2:2">
      <c r="B6802" s="17"/>
    </row>
    <row r="6803" spans="2:2">
      <c r="B6803" s="17"/>
    </row>
    <row r="6804" spans="2:2">
      <c r="B6804" s="17"/>
    </row>
    <row r="6805" spans="2:2">
      <c r="B6805" s="17"/>
    </row>
    <row r="6806" spans="2:2">
      <c r="B6806" s="17"/>
    </row>
    <row r="6807" spans="2:2">
      <c r="B6807" s="17"/>
    </row>
    <row r="6808" spans="2:2">
      <c r="B6808" s="17"/>
    </row>
    <row r="6809" spans="2:2">
      <c r="B6809" s="17"/>
    </row>
    <row r="6810" spans="2:2">
      <c r="B6810" s="17"/>
    </row>
    <row r="6811" spans="2:2">
      <c r="B6811" s="17"/>
    </row>
    <row r="6812" spans="2:2">
      <c r="B6812" s="17"/>
    </row>
    <row r="6813" spans="2:2">
      <c r="B6813" s="17"/>
    </row>
    <row r="6814" spans="2:2">
      <c r="B6814" s="17"/>
    </row>
    <row r="6815" spans="2:2">
      <c r="B6815" s="17"/>
    </row>
    <row r="6816" spans="2:2">
      <c r="B6816" s="17"/>
    </row>
    <row r="6817" spans="2:2">
      <c r="B6817" s="17"/>
    </row>
    <row r="6818" spans="2:2">
      <c r="B6818" s="17"/>
    </row>
    <row r="6819" spans="2:2">
      <c r="B6819" s="17"/>
    </row>
    <row r="6820" spans="2:2">
      <c r="B6820" s="17"/>
    </row>
    <row r="6821" spans="2:2">
      <c r="B6821" s="17"/>
    </row>
    <row r="6822" spans="2:2">
      <c r="B6822" s="17"/>
    </row>
    <row r="6823" spans="2:2">
      <c r="B6823" s="17"/>
    </row>
    <row r="6824" spans="2:2">
      <c r="B6824" s="17"/>
    </row>
    <row r="6825" spans="2:2">
      <c r="B6825" s="17"/>
    </row>
    <row r="6826" spans="2:2">
      <c r="B6826" s="17"/>
    </row>
    <row r="6827" spans="2:2">
      <c r="B6827" s="17"/>
    </row>
    <row r="6828" spans="2:2">
      <c r="B6828" s="17"/>
    </row>
    <row r="6829" spans="2:2">
      <c r="B6829" s="17"/>
    </row>
    <row r="6830" spans="2:2">
      <c r="B6830" s="17"/>
    </row>
    <row r="6831" spans="2:2">
      <c r="B6831" s="17"/>
    </row>
    <row r="6832" spans="2:2">
      <c r="B6832" s="17"/>
    </row>
    <row r="6833" spans="2:2">
      <c r="B6833" s="17"/>
    </row>
    <row r="6834" spans="2:2">
      <c r="B6834" s="17"/>
    </row>
    <row r="6835" spans="2:2">
      <c r="B6835" s="17"/>
    </row>
    <row r="6836" spans="2:2">
      <c r="B6836" s="17"/>
    </row>
    <row r="6837" spans="2:2">
      <c r="B6837" s="17"/>
    </row>
    <row r="6838" spans="2:2">
      <c r="B6838" s="17"/>
    </row>
    <row r="6839" spans="2:2">
      <c r="B6839" s="17"/>
    </row>
    <row r="6840" spans="2:2">
      <c r="B6840" s="17"/>
    </row>
    <row r="6841" spans="2:2">
      <c r="B6841" s="17"/>
    </row>
    <row r="6842" spans="2:2">
      <c r="B6842" s="17"/>
    </row>
    <row r="6843" spans="2:2">
      <c r="B6843" s="17"/>
    </row>
    <row r="6844" spans="2:2">
      <c r="B6844" s="17"/>
    </row>
    <row r="6845" spans="2:2">
      <c r="B6845" s="17"/>
    </row>
    <row r="6846" spans="2:2">
      <c r="B6846" s="17"/>
    </row>
    <row r="6847" spans="2:2">
      <c r="B6847" s="17"/>
    </row>
    <row r="6848" spans="2:2">
      <c r="B6848" s="17"/>
    </row>
    <row r="6849" spans="2:2">
      <c r="B6849" s="17"/>
    </row>
    <row r="6850" spans="2:2">
      <c r="B6850" s="17"/>
    </row>
    <row r="6851" spans="2:2">
      <c r="B6851" s="17"/>
    </row>
    <row r="6852" spans="2:2">
      <c r="B6852" s="17"/>
    </row>
    <row r="6853" spans="2:2">
      <c r="B6853" s="17"/>
    </row>
    <row r="6854" spans="2:2">
      <c r="B6854" s="17"/>
    </row>
    <row r="6855" spans="2:2">
      <c r="B6855" s="17"/>
    </row>
    <row r="6856" spans="2:2">
      <c r="B6856" s="17"/>
    </row>
    <row r="6857" spans="2:2">
      <c r="B6857" s="17"/>
    </row>
    <row r="6858" spans="2:2">
      <c r="B6858" s="17"/>
    </row>
    <row r="6859" spans="2:2">
      <c r="B6859" s="17"/>
    </row>
    <row r="6860" spans="2:2">
      <c r="B6860" s="17"/>
    </row>
    <row r="6861" spans="2:2">
      <c r="B6861" s="17"/>
    </row>
    <row r="6862" spans="2:2">
      <c r="B6862" s="17"/>
    </row>
    <row r="6863" spans="2:2">
      <c r="B6863" s="17"/>
    </row>
    <row r="6864" spans="2:2">
      <c r="B6864" s="17"/>
    </row>
    <row r="6865" spans="2:2">
      <c r="B6865" s="17"/>
    </row>
    <row r="6866" spans="2:2">
      <c r="B6866" s="17"/>
    </row>
    <row r="6867" spans="2:2">
      <c r="B6867" s="17"/>
    </row>
    <row r="6868" spans="2:2">
      <c r="B6868" s="17"/>
    </row>
    <row r="6869" spans="2:2">
      <c r="B6869" s="17"/>
    </row>
    <row r="6870" spans="2:2">
      <c r="B6870" s="17"/>
    </row>
    <row r="6871" spans="2:2">
      <c r="B6871" s="17"/>
    </row>
    <row r="6872" spans="2:2">
      <c r="B6872" s="17"/>
    </row>
    <row r="6873" spans="2:2">
      <c r="B6873" s="17"/>
    </row>
    <row r="6874" spans="2:2">
      <c r="B6874" s="17"/>
    </row>
    <row r="6875" spans="2:2">
      <c r="B6875" s="17"/>
    </row>
    <row r="6876" spans="2:2">
      <c r="B6876" s="17"/>
    </row>
    <row r="6877" spans="2:2">
      <c r="B6877" s="17"/>
    </row>
    <row r="6878" spans="2:2">
      <c r="B6878" s="17"/>
    </row>
    <row r="6879" spans="2:2">
      <c r="B6879" s="17"/>
    </row>
    <row r="6880" spans="2:2">
      <c r="B6880" s="17"/>
    </row>
    <row r="6881" spans="2:2">
      <c r="B6881" s="17"/>
    </row>
    <row r="6882" spans="2:2">
      <c r="B6882" s="17"/>
    </row>
    <row r="6883" spans="2:2">
      <c r="B6883" s="17"/>
    </row>
    <row r="6884" spans="2:2">
      <c r="B6884" s="17"/>
    </row>
    <row r="6885" spans="2:2">
      <c r="B6885" s="17"/>
    </row>
    <row r="6886" spans="2:2">
      <c r="B6886" s="17"/>
    </row>
    <row r="6887" spans="2:2">
      <c r="B6887" s="17"/>
    </row>
    <row r="6888" spans="2:2">
      <c r="B6888" s="17"/>
    </row>
    <row r="6889" spans="2:2">
      <c r="B6889" s="17"/>
    </row>
    <row r="6890" spans="2:2">
      <c r="B6890" s="17"/>
    </row>
    <row r="6891" spans="2:2">
      <c r="B6891" s="17"/>
    </row>
    <row r="6892" spans="2:2">
      <c r="B6892" s="17"/>
    </row>
    <row r="6893" spans="2:2">
      <c r="B6893" s="17"/>
    </row>
    <row r="6894" spans="2:2">
      <c r="B6894" s="17"/>
    </row>
    <row r="6895" spans="2:2">
      <c r="B6895" s="17"/>
    </row>
    <row r="6896" spans="2:2">
      <c r="B6896" s="17"/>
    </row>
    <row r="6897" spans="2:2">
      <c r="B6897" s="17"/>
    </row>
    <row r="6898" spans="2:2">
      <c r="B6898" s="17"/>
    </row>
    <row r="6899" spans="2:2">
      <c r="B6899" s="17"/>
    </row>
    <row r="6900" spans="2:2">
      <c r="B6900" s="17"/>
    </row>
    <row r="6901" spans="2:2">
      <c r="B6901" s="17"/>
    </row>
    <row r="6902" spans="2:2">
      <c r="B6902" s="17"/>
    </row>
    <row r="6903" spans="2:2">
      <c r="B6903" s="17"/>
    </row>
    <row r="6904" spans="2:2">
      <c r="B6904" s="17"/>
    </row>
    <row r="6905" spans="2:2">
      <c r="B6905" s="17"/>
    </row>
    <row r="6906" spans="2:2">
      <c r="B6906" s="17"/>
    </row>
    <row r="6907" spans="2:2">
      <c r="B6907" s="17"/>
    </row>
    <row r="6908" spans="2:2">
      <c r="B6908" s="17"/>
    </row>
    <row r="6909" spans="2:2">
      <c r="B6909" s="17"/>
    </row>
    <row r="6910" spans="2:2">
      <c r="B6910" s="17"/>
    </row>
    <row r="6911" spans="2:2">
      <c r="B6911" s="17"/>
    </row>
    <row r="6912" spans="2:2">
      <c r="B6912" s="17"/>
    </row>
    <row r="6913" spans="2:2">
      <c r="B6913" s="17"/>
    </row>
    <row r="6914" spans="2:2">
      <c r="B6914" s="17"/>
    </row>
    <row r="6915" spans="2:2">
      <c r="B6915" s="17"/>
    </row>
    <row r="6916" spans="2:2">
      <c r="B6916" s="17"/>
    </row>
    <row r="6917" spans="2:2">
      <c r="B6917" s="17"/>
    </row>
    <row r="6918" spans="2:2">
      <c r="B6918" s="17"/>
    </row>
    <row r="6919" spans="2:2">
      <c r="B6919" s="17"/>
    </row>
    <row r="6920" spans="2:2">
      <c r="B6920" s="17"/>
    </row>
    <row r="6921" spans="2:2">
      <c r="B6921" s="17"/>
    </row>
    <row r="6922" spans="2:2">
      <c r="B6922" s="17"/>
    </row>
    <row r="6923" spans="2:2">
      <c r="B6923" s="17"/>
    </row>
    <row r="6924" spans="2:2">
      <c r="B6924" s="17"/>
    </row>
    <row r="6925" spans="2:2">
      <c r="B6925" s="17"/>
    </row>
    <row r="6926" spans="2:2">
      <c r="B6926" s="17"/>
    </row>
    <row r="6927" spans="2:2">
      <c r="B6927" s="17"/>
    </row>
    <row r="6928" spans="2:2">
      <c r="B6928" s="17"/>
    </row>
    <row r="6929" spans="2:2">
      <c r="B6929" s="17"/>
    </row>
    <row r="6930" spans="2:2">
      <c r="B6930" s="17"/>
    </row>
    <row r="6931" spans="2:2">
      <c r="B6931" s="17"/>
    </row>
    <row r="6932" spans="2:2">
      <c r="B6932" s="17"/>
    </row>
    <row r="6933" spans="2:2">
      <c r="B6933" s="17"/>
    </row>
    <row r="6934" spans="2:2">
      <c r="B6934" s="17"/>
    </row>
    <row r="6935" spans="2:2">
      <c r="B6935" s="17"/>
    </row>
    <row r="6936" spans="2:2">
      <c r="B6936" s="17"/>
    </row>
    <row r="6937" spans="2:2">
      <c r="B6937" s="17"/>
    </row>
    <row r="6938" spans="2:2">
      <c r="B6938" s="17"/>
    </row>
    <row r="6939" spans="2:2">
      <c r="B6939" s="17"/>
    </row>
    <row r="6940" spans="2:2">
      <c r="B6940" s="17"/>
    </row>
    <row r="6941" spans="2:2">
      <c r="B6941" s="17"/>
    </row>
    <row r="6942" spans="2:2">
      <c r="B6942" s="17"/>
    </row>
    <row r="6943" spans="2:2">
      <c r="B6943" s="17"/>
    </row>
    <row r="6944" spans="2:2">
      <c r="B6944" s="17"/>
    </row>
    <row r="6945" spans="2:2">
      <c r="B6945" s="17"/>
    </row>
    <row r="6946" spans="2:2">
      <c r="B6946" s="17"/>
    </row>
    <row r="6947" spans="2:2">
      <c r="B6947" s="17"/>
    </row>
    <row r="6948" spans="2:2">
      <c r="B6948" s="17"/>
    </row>
    <row r="6949" spans="2:2">
      <c r="B6949" s="17"/>
    </row>
    <row r="6950" spans="2:2">
      <c r="B6950" s="17"/>
    </row>
    <row r="6951" spans="2:2">
      <c r="B6951" s="17"/>
    </row>
    <row r="6952" spans="2:2">
      <c r="B6952" s="17"/>
    </row>
    <row r="6953" spans="2:2">
      <c r="B6953" s="17"/>
    </row>
    <row r="6954" spans="2:2">
      <c r="B6954" s="17"/>
    </row>
    <row r="6955" spans="2:2">
      <c r="B6955" s="17"/>
    </row>
    <row r="6956" spans="2:2">
      <c r="B6956" s="17"/>
    </row>
    <row r="6957" spans="2:2">
      <c r="B6957" s="17"/>
    </row>
    <row r="6958" spans="2:2">
      <c r="B6958" s="17"/>
    </row>
    <row r="6959" spans="2:2">
      <c r="B6959" s="17"/>
    </row>
    <row r="6960" spans="2:2">
      <c r="B6960" s="17"/>
    </row>
    <row r="6961" spans="2:2">
      <c r="B6961" s="17"/>
    </row>
    <row r="6962" spans="2:2">
      <c r="B6962" s="17"/>
    </row>
    <row r="6963" spans="2:2">
      <c r="B6963" s="17"/>
    </row>
    <row r="6964" spans="2:2">
      <c r="B6964" s="17"/>
    </row>
    <row r="6965" spans="2:2">
      <c r="B6965" s="17"/>
    </row>
    <row r="6966" spans="2:2">
      <c r="B6966" s="17"/>
    </row>
    <row r="6967" spans="2:2">
      <c r="B6967" s="17"/>
    </row>
    <row r="6968" spans="2:2">
      <c r="B6968" s="17"/>
    </row>
    <row r="6969" spans="2:2">
      <c r="B6969" s="17"/>
    </row>
    <row r="6970" spans="2:2">
      <c r="B6970" s="17"/>
    </row>
    <row r="6971" spans="2:2">
      <c r="B6971" s="17"/>
    </row>
    <row r="6972" spans="2:2">
      <c r="B6972" s="17"/>
    </row>
    <row r="6973" spans="2:2">
      <c r="B6973" s="17"/>
    </row>
    <row r="6974" spans="2:2">
      <c r="B6974" s="17"/>
    </row>
    <row r="6975" spans="2:2">
      <c r="B6975" s="17"/>
    </row>
    <row r="6976" spans="2:2">
      <c r="B6976" s="17"/>
    </row>
    <row r="6977" spans="2:2">
      <c r="B6977" s="17"/>
    </row>
    <row r="6978" spans="2:2">
      <c r="B6978" s="17"/>
    </row>
    <row r="6979" spans="2:2">
      <c r="B6979" s="17"/>
    </row>
    <row r="6980" spans="2:2">
      <c r="B6980" s="17"/>
    </row>
    <row r="6981" spans="2:2">
      <c r="B6981" s="17"/>
    </row>
    <row r="6982" spans="2:2">
      <c r="B6982" s="17"/>
    </row>
    <row r="6983" spans="2:2">
      <c r="B6983" s="17"/>
    </row>
    <row r="6984" spans="2:2">
      <c r="B6984" s="17"/>
    </row>
    <row r="6985" spans="2:2">
      <c r="B6985" s="17"/>
    </row>
    <row r="6986" spans="2:2">
      <c r="B6986" s="17"/>
    </row>
    <row r="6987" spans="2:2">
      <c r="B6987" s="17"/>
    </row>
    <row r="6988" spans="2:2">
      <c r="B6988" s="17"/>
    </row>
    <row r="6989" spans="2:2">
      <c r="B6989" s="17"/>
    </row>
    <row r="6990" spans="2:2">
      <c r="B6990" s="17"/>
    </row>
    <row r="6991" spans="2:2">
      <c r="B6991" s="17"/>
    </row>
    <row r="6992" spans="2:2">
      <c r="B6992" s="17"/>
    </row>
    <row r="6993" spans="2:2">
      <c r="B6993" s="17"/>
    </row>
    <row r="6994" spans="2:2">
      <c r="B6994" s="17"/>
    </row>
    <row r="6995" spans="2:2">
      <c r="B6995" s="17"/>
    </row>
    <row r="6996" spans="2:2">
      <c r="B6996" s="17"/>
    </row>
    <row r="6997" spans="2:2">
      <c r="B6997" s="17"/>
    </row>
    <row r="6998" spans="2:2">
      <c r="B6998" s="17"/>
    </row>
    <row r="6999" spans="2:2">
      <c r="B6999" s="17"/>
    </row>
    <row r="7000" spans="2:2">
      <c r="B7000" s="17"/>
    </row>
    <row r="7001" spans="2:2">
      <c r="B7001" s="17"/>
    </row>
    <row r="7002" spans="2:2">
      <c r="B7002" s="17"/>
    </row>
    <row r="7003" spans="2:2">
      <c r="B7003" s="17"/>
    </row>
    <row r="7004" spans="2:2">
      <c r="B7004" s="17"/>
    </row>
    <row r="7005" spans="2:2">
      <c r="B7005" s="17"/>
    </row>
    <row r="7006" spans="2:2">
      <c r="B7006" s="17"/>
    </row>
    <row r="7007" spans="2:2">
      <c r="B7007" s="17"/>
    </row>
    <row r="7008" spans="2:2">
      <c r="B7008" s="17"/>
    </row>
    <row r="7009" spans="2:2">
      <c r="B7009" s="17"/>
    </row>
    <row r="7010" spans="2:2">
      <c r="B7010" s="17"/>
    </row>
    <row r="7011" spans="2:2">
      <c r="B7011" s="17"/>
    </row>
    <row r="7012" spans="2:2">
      <c r="B7012" s="17"/>
    </row>
    <row r="7013" spans="2:2">
      <c r="B7013" s="17"/>
    </row>
    <row r="7014" spans="2:2">
      <c r="B7014" s="17"/>
    </row>
    <row r="7015" spans="2:2">
      <c r="B7015" s="17"/>
    </row>
    <row r="7016" spans="2:2">
      <c r="B7016" s="17"/>
    </row>
    <row r="7017" spans="2:2">
      <c r="B7017" s="17"/>
    </row>
    <row r="7018" spans="2:2">
      <c r="B7018" s="17"/>
    </row>
    <row r="7019" spans="2:2">
      <c r="B7019" s="17"/>
    </row>
    <row r="7020" spans="2:2">
      <c r="B7020" s="17"/>
    </row>
    <row r="7021" spans="2:2">
      <c r="B7021" s="17"/>
    </row>
    <row r="7022" spans="2:2">
      <c r="B7022" s="17"/>
    </row>
    <row r="7023" spans="2:2">
      <c r="B7023" s="17"/>
    </row>
    <row r="7024" spans="2:2">
      <c r="B7024" s="17"/>
    </row>
    <row r="7025" spans="2:2">
      <c r="B7025" s="17"/>
    </row>
    <row r="7026" spans="2:2">
      <c r="B7026" s="17"/>
    </row>
    <row r="7027" spans="2:2">
      <c r="B7027" s="17"/>
    </row>
    <row r="7028" spans="2:2">
      <c r="B7028" s="17"/>
    </row>
    <row r="7029" spans="2:2">
      <c r="B7029" s="17"/>
    </row>
    <row r="7030" spans="2:2">
      <c r="B7030" s="17"/>
    </row>
    <row r="7031" spans="2:2">
      <c r="B7031" s="17"/>
    </row>
    <row r="7032" spans="2:2">
      <c r="B7032" s="17"/>
    </row>
    <row r="7033" spans="2:2">
      <c r="B7033" s="17"/>
    </row>
    <row r="7034" spans="2:2">
      <c r="B7034" s="17"/>
    </row>
    <row r="7035" spans="2:2">
      <c r="B7035" s="17"/>
    </row>
    <row r="7036" spans="2:2">
      <c r="B7036" s="17"/>
    </row>
    <row r="7037" spans="2:2">
      <c r="B7037" s="17"/>
    </row>
    <row r="7038" spans="2:2">
      <c r="B7038" s="17"/>
    </row>
    <row r="7039" spans="2:2">
      <c r="B7039" s="17"/>
    </row>
    <row r="7040" spans="2:2">
      <c r="B7040" s="17"/>
    </row>
    <row r="7041" spans="2:2">
      <c r="B7041" s="17"/>
    </row>
    <row r="7042" spans="2:2">
      <c r="B7042" s="17"/>
    </row>
    <row r="7043" spans="2:2">
      <c r="B7043" s="17"/>
    </row>
    <row r="7044" spans="2:2">
      <c r="B7044" s="17"/>
    </row>
    <row r="7045" spans="2:2">
      <c r="B7045" s="17"/>
    </row>
    <row r="7046" spans="2:2">
      <c r="B7046" s="17"/>
    </row>
    <row r="7047" spans="2:2">
      <c r="B7047" s="17"/>
    </row>
    <row r="7048" spans="2:2">
      <c r="B7048" s="17"/>
    </row>
    <row r="7049" spans="2:2">
      <c r="B7049" s="17"/>
    </row>
    <row r="7050" spans="2:2">
      <c r="B7050" s="17"/>
    </row>
    <row r="7051" spans="2:2">
      <c r="B7051" s="17"/>
    </row>
    <row r="7052" spans="2:2">
      <c r="B7052" s="17"/>
    </row>
    <row r="7053" spans="2:2">
      <c r="B7053" s="17"/>
    </row>
    <row r="7054" spans="2:2">
      <c r="B7054" s="17"/>
    </row>
    <row r="7055" spans="2:2">
      <c r="B7055" s="17"/>
    </row>
    <row r="7056" spans="2:2">
      <c r="B7056" s="17"/>
    </row>
    <row r="7057" spans="2:2">
      <c r="B7057" s="17"/>
    </row>
    <row r="7058" spans="2:2">
      <c r="B7058" s="17"/>
    </row>
    <row r="7059" spans="2:2">
      <c r="B7059" s="17"/>
    </row>
    <row r="7060" spans="2:2">
      <c r="B7060" s="17"/>
    </row>
    <row r="7061" spans="2:2">
      <c r="B7061" s="17"/>
    </row>
    <row r="7062" spans="2:2">
      <c r="B7062" s="17"/>
    </row>
    <row r="7063" spans="2:2">
      <c r="B7063" s="17"/>
    </row>
    <row r="7064" spans="2:2">
      <c r="B7064" s="17"/>
    </row>
    <row r="7065" spans="2:2">
      <c r="B7065" s="17"/>
    </row>
    <row r="7066" spans="2:2">
      <c r="B7066" s="17"/>
    </row>
    <row r="7067" spans="2:2">
      <c r="B7067" s="17"/>
    </row>
    <row r="7068" spans="2:2">
      <c r="B7068" s="17"/>
    </row>
    <row r="7069" spans="2:2">
      <c r="B7069" s="17"/>
    </row>
    <row r="7070" spans="2:2">
      <c r="B7070" s="17"/>
    </row>
    <row r="7071" spans="2:2">
      <c r="B7071" s="17"/>
    </row>
    <row r="7072" spans="2:2">
      <c r="B7072" s="17"/>
    </row>
    <row r="7073" spans="2:2">
      <c r="B7073" s="17"/>
    </row>
    <row r="7074" spans="2:2">
      <c r="B7074" s="17"/>
    </row>
    <row r="7075" spans="2:2">
      <c r="B7075" s="17"/>
    </row>
    <row r="7076" spans="2:2">
      <c r="B7076" s="17"/>
    </row>
    <row r="7077" spans="2:2">
      <c r="B7077" s="17"/>
    </row>
    <row r="7078" spans="2:2">
      <c r="B7078" s="17"/>
    </row>
    <row r="7079" spans="2:2">
      <c r="B7079" s="17"/>
    </row>
    <row r="7080" spans="2:2">
      <c r="B7080" s="17"/>
    </row>
    <row r="7081" spans="2:2">
      <c r="B7081" s="17"/>
    </row>
    <row r="7082" spans="2:2">
      <c r="B7082" s="17"/>
    </row>
    <row r="7083" spans="2:2">
      <c r="B7083" s="17"/>
    </row>
    <row r="7084" spans="2:2">
      <c r="B7084" s="17"/>
    </row>
    <row r="7085" spans="2:2">
      <c r="B7085" s="17"/>
    </row>
    <row r="7086" spans="2:2">
      <c r="B7086" s="17"/>
    </row>
    <row r="7087" spans="2:2">
      <c r="B7087" s="17"/>
    </row>
    <row r="7088" spans="2:2">
      <c r="B7088" s="17"/>
    </row>
    <row r="7089" spans="2:2">
      <c r="B7089" s="17"/>
    </row>
    <row r="7090" spans="2:2">
      <c r="B7090" s="17"/>
    </row>
    <row r="7091" spans="2:2">
      <c r="B7091" s="17"/>
    </row>
    <row r="7092" spans="2:2">
      <c r="B7092" s="17"/>
    </row>
    <row r="7093" spans="2:2">
      <c r="B7093" s="17"/>
    </row>
    <row r="7094" spans="2:2">
      <c r="B7094" s="17"/>
    </row>
    <row r="7095" spans="2:2">
      <c r="B7095" s="17"/>
    </row>
    <row r="7096" spans="2:2">
      <c r="B7096" s="17"/>
    </row>
    <row r="7097" spans="2:2">
      <c r="B7097" s="17"/>
    </row>
    <row r="7098" spans="2:2">
      <c r="B7098" s="17"/>
    </row>
    <row r="7099" spans="2:2">
      <c r="B7099" s="17"/>
    </row>
    <row r="7100" spans="2:2">
      <c r="B7100" s="17"/>
    </row>
    <row r="7101" spans="2:2">
      <c r="B7101" s="17"/>
    </row>
    <row r="7102" spans="2:2">
      <c r="B7102" s="17"/>
    </row>
    <row r="7103" spans="2:2">
      <c r="B7103" s="17"/>
    </row>
    <row r="7104" spans="2:2">
      <c r="B7104" s="17"/>
    </row>
    <row r="7105" spans="2:2">
      <c r="B7105" s="17"/>
    </row>
    <row r="7106" spans="2:2">
      <c r="B7106" s="17"/>
    </row>
    <row r="7107" spans="2:2">
      <c r="B7107" s="17"/>
    </row>
    <row r="7108" spans="2:2">
      <c r="B7108" s="17"/>
    </row>
    <row r="7109" spans="2:2">
      <c r="B7109" s="17"/>
    </row>
    <row r="7110" spans="2:2">
      <c r="B7110" s="17"/>
    </row>
    <row r="7111" spans="2:2">
      <c r="B7111" s="17"/>
    </row>
    <row r="7112" spans="2:2">
      <c r="B7112" s="17"/>
    </row>
    <row r="7113" spans="2:2">
      <c r="B7113" s="17"/>
    </row>
    <row r="7114" spans="2:2">
      <c r="B7114" s="17"/>
    </row>
    <row r="7115" spans="2:2">
      <c r="B7115" s="17"/>
    </row>
    <row r="7116" spans="2:2">
      <c r="B7116" s="17"/>
    </row>
    <row r="7117" spans="2:2">
      <c r="B7117" s="17"/>
    </row>
    <row r="7118" spans="2:2">
      <c r="B7118" s="17"/>
    </row>
    <row r="7119" spans="2:2">
      <c r="B7119" s="17"/>
    </row>
    <row r="7120" spans="2:2">
      <c r="B7120" s="17"/>
    </row>
    <row r="7121" spans="2:2">
      <c r="B7121" s="17"/>
    </row>
    <row r="7122" spans="2:2">
      <c r="B7122" s="17"/>
    </row>
    <row r="7123" spans="2:2">
      <c r="B7123" s="17"/>
    </row>
    <row r="7124" spans="2:2">
      <c r="B7124" s="17"/>
    </row>
    <row r="7125" spans="2:2">
      <c r="B7125" s="17"/>
    </row>
    <row r="7126" spans="2:2">
      <c r="B7126" s="17"/>
    </row>
    <row r="7127" spans="2:2">
      <c r="B7127" s="17"/>
    </row>
    <row r="7128" spans="2:2">
      <c r="B7128" s="17"/>
    </row>
    <row r="7129" spans="2:2">
      <c r="B7129" s="17"/>
    </row>
    <row r="7130" spans="2:2">
      <c r="B7130" s="17"/>
    </row>
    <row r="7131" spans="2:2">
      <c r="B7131" s="17"/>
    </row>
    <row r="7132" spans="2:2">
      <c r="B7132" s="17"/>
    </row>
    <row r="7133" spans="2:2">
      <c r="B7133" s="17"/>
    </row>
    <row r="7134" spans="2:2">
      <c r="B7134" s="17"/>
    </row>
    <row r="7135" spans="2:2">
      <c r="B7135" s="17"/>
    </row>
    <row r="7136" spans="2:2">
      <c r="B7136" s="17"/>
    </row>
    <row r="7137" spans="2:2">
      <c r="B7137" s="17"/>
    </row>
    <row r="7138" spans="2:2">
      <c r="B7138" s="17"/>
    </row>
    <row r="7139" spans="2:2">
      <c r="B7139" s="17"/>
    </row>
    <row r="7140" spans="2:2">
      <c r="B7140" s="17"/>
    </row>
    <row r="7141" spans="2:2">
      <c r="B7141" s="17"/>
    </row>
    <row r="7142" spans="2:2">
      <c r="B7142" s="17"/>
    </row>
    <row r="7143" spans="2:2">
      <c r="B7143" s="17"/>
    </row>
    <row r="7144" spans="2:2">
      <c r="B7144" s="17"/>
    </row>
    <row r="7145" spans="2:2">
      <c r="B7145" s="17"/>
    </row>
    <row r="7146" spans="2:2">
      <c r="B7146" s="17"/>
    </row>
    <row r="7147" spans="2:2">
      <c r="B7147" s="17"/>
    </row>
    <row r="7148" spans="2:2">
      <c r="B7148" s="17"/>
    </row>
    <row r="7149" spans="2:2">
      <c r="B7149" s="17"/>
    </row>
    <row r="7150" spans="2:2">
      <c r="B7150" s="17"/>
    </row>
    <row r="7151" spans="2:2">
      <c r="B7151" s="17"/>
    </row>
    <row r="7152" spans="2:2">
      <c r="B7152" s="17"/>
    </row>
    <row r="7153" spans="2:2">
      <c r="B7153" s="17"/>
    </row>
    <row r="7154" spans="2:2">
      <c r="B7154" s="17"/>
    </row>
    <row r="7155" spans="2:2">
      <c r="B7155" s="17"/>
    </row>
    <row r="7156" spans="2:2">
      <c r="B7156" s="17"/>
    </row>
    <row r="7157" spans="2:2">
      <c r="B7157" s="17"/>
    </row>
    <row r="7158" spans="2:2">
      <c r="B7158" s="17"/>
    </row>
    <row r="7159" spans="2:2">
      <c r="B7159" s="17"/>
    </row>
    <row r="7160" spans="2:2">
      <c r="B7160" s="17"/>
    </row>
    <row r="7161" spans="2:2">
      <c r="B7161" s="17"/>
    </row>
    <row r="7162" spans="2:2">
      <c r="B7162" s="17"/>
    </row>
    <row r="7163" spans="2:2">
      <c r="B7163" s="17"/>
    </row>
    <row r="7164" spans="2:2">
      <c r="B7164" s="17"/>
    </row>
    <row r="7165" spans="2:2">
      <c r="B7165" s="17"/>
    </row>
    <row r="7166" spans="2:2">
      <c r="B7166" s="17"/>
    </row>
    <row r="7167" spans="2:2">
      <c r="B7167" s="17"/>
    </row>
    <row r="7168" spans="2:2">
      <c r="B7168" s="17"/>
    </row>
    <row r="7169" spans="2:2">
      <c r="B7169" s="17"/>
    </row>
    <row r="7170" spans="2:2">
      <c r="B7170" s="17"/>
    </row>
    <row r="7171" spans="2:2">
      <c r="B7171" s="17"/>
    </row>
    <row r="7172" spans="2:2">
      <c r="B7172" s="17"/>
    </row>
    <row r="7173" spans="2:2">
      <c r="B7173" s="17"/>
    </row>
    <row r="7174" spans="2:2">
      <c r="B7174" s="17"/>
    </row>
    <row r="7175" spans="2:2">
      <c r="B7175" s="17"/>
    </row>
    <row r="7176" spans="2:2">
      <c r="B7176" s="17"/>
    </row>
    <row r="7177" spans="2:2">
      <c r="B7177" s="17"/>
    </row>
    <row r="7178" spans="2:2">
      <c r="B7178" s="17"/>
    </row>
    <row r="7179" spans="2:2">
      <c r="B7179" s="17"/>
    </row>
    <row r="7180" spans="2:2">
      <c r="B7180" s="17"/>
    </row>
    <row r="7181" spans="2:2">
      <c r="B7181" s="17"/>
    </row>
    <row r="7182" spans="2:2">
      <c r="B7182" s="17"/>
    </row>
    <row r="7183" spans="2:2">
      <c r="B7183" s="17"/>
    </row>
    <row r="7184" spans="2:2">
      <c r="B7184" s="17"/>
    </row>
    <row r="7185" spans="2:2">
      <c r="B7185" s="17"/>
    </row>
    <row r="7186" spans="2:2">
      <c r="B7186" s="17"/>
    </row>
    <row r="7187" spans="2:2">
      <c r="B7187" s="17"/>
    </row>
    <row r="7188" spans="2:2">
      <c r="B7188" s="17"/>
    </row>
    <row r="7189" spans="2:2">
      <c r="B7189" s="17"/>
    </row>
    <row r="7190" spans="2:2">
      <c r="B7190" s="17"/>
    </row>
    <row r="7191" spans="2:2">
      <c r="B7191" s="17"/>
    </row>
    <row r="7192" spans="2:2">
      <c r="B7192" s="17"/>
    </row>
    <row r="7193" spans="2:2">
      <c r="B7193" s="17"/>
    </row>
    <row r="7194" spans="2:2">
      <c r="B7194" s="17"/>
    </row>
    <row r="7195" spans="2:2">
      <c r="B7195" s="17"/>
    </row>
    <row r="7196" spans="2:2">
      <c r="B7196" s="17"/>
    </row>
    <row r="7197" spans="2:2">
      <c r="B7197" s="17"/>
    </row>
    <row r="7198" spans="2:2">
      <c r="B7198" s="17"/>
    </row>
    <row r="7199" spans="2:2">
      <c r="B7199" s="17"/>
    </row>
    <row r="7200" spans="2:2">
      <c r="B7200" s="17"/>
    </row>
    <row r="7201" spans="2:2">
      <c r="B7201" s="17"/>
    </row>
    <row r="7202" spans="2:2">
      <c r="B7202" s="17"/>
    </row>
    <row r="7203" spans="2:2">
      <c r="B7203" s="17"/>
    </row>
    <row r="7204" spans="2:2">
      <c r="B7204" s="17"/>
    </row>
    <row r="7205" spans="2:2">
      <c r="B7205" s="17"/>
    </row>
    <row r="7206" spans="2:2">
      <c r="B7206" s="17"/>
    </row>
    <row r="7207" spans="2:2">
      <c r="B7207" s="17"/>
    </row>
    <row r="7208" spans="2:2">
      <c r="B7208" s="17"/>
    </row>
    <row r="7209" spans="2:2">
      <c r="B7209" s="17"/>
    </row>
    <row r="7210" spans="2:2">
      <c r="B7210" s="17"/>
    </row>
    <row r="7211" spans="2:2">
      <c r="B7211" s="17"/>
    </row>
    <row r="7212" spans="2:2">
      <c r="B7212" s="17"/>
    </row>
    <row r="7213" spans="2:2">
      <c r="B7213" s="17"/>
    </row>
    <row r="7214" spans="2:2">
      <c r="B7214" s="17"/>
    </row>
    <row r="7215" spans="2:2">
      <c r="B7215" s="17"/>
    </row>
    <row r="7216" spans="2:2">
      <c r="B7216" s="17"/>
    </row>
    <row r="7217" spans="2:2">
      <c r="B7217" s="17"/>
    </row>
    <row r="7218" spans="2:2">
      <c r="B7218" s="17"/>
    </row>
    <row r="7219" spans="2:2">
      <c r="B7219" s="17"/>
    </row>
    <row r="7220" spans="2:2">
      <c r="B7220" s="17"/>
    </row>
    <row r="7221" spans="2:2">
      <c r="B7221" s="17"/>
    </row>
    <row r="7222" spans="2:2">
      <c r="B7222" s="17"/>
    </row>
    <row r="7223" spans="2:2">
      <c r="B7223" s="17"/>
    </row>
    <row r="7224" spans="2:2">
      <c r="B7224" s="17"/>
    </row>
    <row r="7225" spans="2:2">
      <c r="B7225" s="17"/>
    </row>
    <row r="7226" spans="2:2">
      <c r="B7226" s="17"/>
    </row>
    <row r="7227" spans="2:2">
      <c r="B7227" s="17"/>
    </row>
    <row r="7228" spans="2:2">
      <c r="B7228" s="17"/>
    </row>
    <row r="7229" spans="2:2">
      <c r="B7229" s="17"/>
    </row>
    <row r="7230" spans="2:2">
      <c r="B7230" s="17"/>
    </row>
    <row r="7231" spans="2:2">
      <c r="B7231" s="17"/>
    </row>
    <row r="7232" spans="2:2">
      <c r="B7232" s="17"/>
    </row>
    <row r="7233" spans="2:2">
      <c r="B7233" s="17"/>
    </row>
    <row r="7234" spans="2:2">
      <c r="B7234" s="17"/>
    </row>
    <row r="7235" spans="2:2">
      <c r="B7235" s="17"/>
    </row>
    <row r="7236" spans="2:2">
      <c r="B7236" s="17"/>
    </row>
    <row r="7237" spans="2:2">
      <c r="B7237" s="17"/>
    </row>
    <row r="7238" spans="2:2">
      <c r="B7238" s="17"/>
    </row>
    <row r="7239" spans="2:2">
      <c r="B7239" s="17"/>
    </row>
    <row r="7240" spans="2:2">
      <c r="B7240" s="17"/>
    </row>
    <row r="7241" spans="2:2">
      <c r="B7241" s="17"/>
    </row>
    <row r="7242" spans="2:2">
      <c r="B7242" s="17"/>
    </row>
    <row r="7243" spans="2:2">
      <c r="B7243" s="17"/>
    </row>
    <row r="7244" spans="2:2">
      <c r="B7244" s="17"/>
    </row>
    <row r="7245" spans="2:2">
      <c r="B7245" s="17"/>
    </row>
    <row r="7246" spans="2:2">
      <c r="B7246" s="17"/>
    </row>
    <row r="7247" spans="2:2">
      <c r="B7247" s="17"/>
    </row>
    <row r="7248" spans="2:2">
      <c r="B7248" s="17"/>
    </row>
    <row r="7249" spans="2:2">
      <c r="B7249" s="17"/>
    </row>
    <row r="7250" spans="2:2">
      <c r="B7250" s="17"/>
    </row>
    <row r="7251" spans="2:2">
      <c r="B7251" s="17"/>
    </row>
    <row r="7252" spans="2:2">
      <c r="B7252" s="17"/>
    </row>
    <row r="7253" spans="2:2">
      <c r="B7253" s="17"/>
    </row>
    <row r="7254" spans="2:2">
      <c r="B7254" s="17"/>
    </row>
    <row r="7255" spans="2:2">
      <c r="B7255" s="17"/>
    </row>
    <row r="7256" spans="2:2">
      <c r="B7256" s="17"/>
    </row>
    <row r="7257" spans="2:2">
      <c r="B7257" s="17"/>
    </row>
    <row r="7258" spans="2:2">
      <c r="B7258" s="17"/>
    </row>
    <row r="7259" spans="2:2">
      <c r="B7259" s="17"/>
    </row>
    <row r="7260" spans="2:2">
      <c r="B7260" s="17"/>
    </row>
    <row r="7261" spans="2:2">
      <c r="B7261" s="17"/>
    </row>
    <row r="7262" spans="2:2">
      <c r="B7262" s="17"/>
    </row>
    <row r="7263" spans="2:2">
      <c r="B7263" s="17"/>
    </row>
    <row r="7264" spans="2:2">
      <c r="B7264" s="17"/>
    </row>
    <row r="7265" spans="2:2">
      <c r="B7265" s="17"/>
    </row>
    <row r="7266" spans="2:2">
      <c r="B7266" s="17"/>
    </row>
    <row r="7267" spans="2:2">
      <c r="B7267" s="17"/>
    </row>
    <row r="7268" spans="2:2">
      <c r="B7268" s="17"/>
    </row>
    <row r="7269" spans="2:2">
      <c r="B7269" s="17"/>
    </row>
    <row r="7270" spans="2:2">
      <c r="B7270" s="17"/>
    </row>
    <row r="7271" spans="2:2">
      <c r="B7271" s="17"/>
    </row>
    <row r="7272" spans="2:2">
      <c r="B7272" s="17"/>
    </row>
    <row r="7273" spans="2:2">
      <c r="B7273" s="17"/>
    </row>
    <row r="7274" spans="2:2">
      <c r="B7274" s="17"/>
    </row>
    <row r="7275" spans="2:2">
      <c r="B7275" s="17"/>
    </row>
    <row r="7276" spans="2:2">
      <c r="B7276" s="17"/>
    </row>
    <row r="7277" spans="2:2">
      <c r="B7277" s="17"/>
    </row>
    <row r="7278" spans="2:2">
      <c r="B7278" s="17"/>
    </row>
    <row r="7279" spans="2:2">
      <c r="B7279" s="17"/>
    </row>
    <row r="7280" spans="2:2">
      <c r="B7280" s="17"/>
    </row>
    <row r="7281" spans="2:2">
      <c r="B7281" s="17"/>
    </row>
    <row r="7282" spans="2:2">
      <c r="B7282" s="17"/>
    </row>
    <row r="7283" spans="2:2">
      <c r="B7283" s="17"/>
    </row>
    <row r="7284" spans="2:2">
      <c r="B7284" s="17"/>
    </row>
    <row r="7285" spans="2:2">
      <c r="B7285" s="17"/>
    </row>
    <row r="7286" spans="2:2">
      <c r="B7286" s="17"/>
    </row>
    <row r="7287" spans="2:2">
      <c r="B7287" s="17"/>
    </row>
    <row r="7288" spans="2:2">
      <c r="B7288" s="17"/>
    </row>
    <row r="7289" spans="2:2">
      <c r="B7289" s="17"/>
    </row>
    <row r="7290" spans="2:2">
      <c r="B7290" s="17"/>
    </row>
    <row r="7291" spans="2:2">
      <c r="B7291" s="17"/>
    </row>
    <row r="7292" spans="2:2">
      <c r="B7292" s="17"/>
    </row>
    <row r="7293" spans="2:2">
      <c r="B7293" s="17"/>
    </row>
    <row r="7294" spans="2:2">
      <c r="B7294" s="17"/>
    </row>
    <row r="7295" spans="2:2">
      <c r="B7295" s="17"/>
    </row>
    <row r="7296" spans="2:2">
      <c r="B7296" s="17"/>
    </row>
    <row r="7297" spans="2:2">
      <c r="B7297" s="17"/>
    </row>
    <row r="7298" spans="2:2">
      <c r="B7298" s="17"/>
    </row>
    <row r="7299" spans="2:2">
      <c r="B7299" s="17"/>
    </row>
    <row r="7300" spans="2:2">
      <c r="B7300" s="17"/>
    </row>
    <row r="7301" spans="2:2">
      <c r="B7301" s="17"/>
    </row>
    <row r="7302" spans="2:2">
      <c r="B7302" s="17"/>
    </row>
    <row r="7303" spans="2:2">
      <c r="B7303" s="17"/>
    </row>
    <row r="7304" spans="2:2">
      <c r="B7304" s="17"/>
    </row>
    <row r="7305" spans="2:2">
      <c r="B7305" s="17"/>
    </row>
    <row r="7306" spans="2:2">
      <c r="B7306" s="17"/>
    </row>
    <row r="7307" spans="2:2">
      <c r="B7307" s="17"/>
    </row>
    <row r="7308" spans="2:2">
      <c r="B7308" s="17"/>
    </row>
    <row r="7309" spans="2:2">
      <c r="B7309" s="17"/>
    </row>
    <row r="7310" spans="2:2">
      <c r="B7310" s="17"/>
    </row>
    <row r="7311" spans="2:2">
      <c r="B7311" s="17"/>
    </row>
    <row r="7312" spans="2:2">
      <c r="B7312" s="17"/>
    </row>
    <row r="7313" spans="2:2">
      <c r="B7313" s="17"/>
    </row>
    <row r="7314" spans="2:2">
      <c r="B7314" s="17"/>
    </row>
    <row r="7315" spans="2:2">
      <c r="B7315" s="17"/>
    </row>
    <row r="7316" spans="2:2">
      <c r="B7316" s="17"/>
    </row>
    <row r="7317" spans="2:2">
      <c r="B7317" s="17"/>
    </row>
    <row r="7318" spans="2:2">
      <c r="B7318" s="17"/>
    </row>
    <row r="7319" spans="2:2">
      <c r="B7319" s="17"/>
    </row>
    <row r="7320" spans="2:2">
      <c r="B7320" s="17"/>
    </row>
    <row r="7321" spans="2:2">
      <c r="B7321" s="17"/>
    </row>
    <row r="7322" spans="2:2">
      <c r="B7322" s="17"/>
    </row>
    <row r="7323" spans="2:2">
      <c r="B7323" s="17"/>
    </row>
    <row r="7324" spans="2:2">
      <c r="B7324" s="17"/>
    </row>
    <row r="7325" spans="2:2">
      <c r="B7325" s="17"/>
    </row>
    <row r="7326" spans="2:2">
      <c r="B7326" s="17"/>
    </row>
    <row r="7327" spans="2:2">
      <c r="B7327" s="17"/>
    </row>
    <row r="7328" spans="2:2">
      <c r="B7328" s="17"/>
    </row>
    <row r="7329" spans="2:2">
      <c r="B7329" s="17"/>
    </row>
    <row r="7330" spans="2:2">
      <c r="B7330" s="17"/>
    </row>
    <row r="7331" spans="2:2">
      <c r="B7331" s="17"/>
    </row>
    <row r="7332" spans="2:2">
      <c r="B7332" s="17"/>
    </row>
    <row r="7333" spans="2:2">
      <c r="B7333" s="17"/>
    </row>
    <row r="7334" spans="2:2">
      <c r="B7334" s="17"/>
    </row>
    <row r="7335" spans="2:2">
      <c r="B7335" s="17"/>
    </row>
    <row r="7336" spans="2:2">
      <c r="B7336" s="17"/>
    </row>
    <row r="7337" spans="2:2">
      <c r="B7337" s="17"/>
    </row>
    <row r="7338" spans="2:2">
      <c r="B7338" s="17"/>
    </row>
    <row r="7339" spans="2:2">
      <c r="B7339" s="17"/>
    </row>
    <row r="7340" spans="2:2">
      <c r="B7340" s="17"/>
    </row>
    <row r="7341" spans="2:2">
      <c r="B7341" s="17"/>
    </row>
    <row r="7342" spans="2:2">
      <c r="B7342" s="17"/>
    </row>
    <row r="7343" spans="2:2">
      <c r="B7343" s="17"/>
    </row>
    <row r="7344" spans="2:2">
      <c r="B7344" s="17"/>
    </row>
    <row r="7345" spans="2:2">
      <c r="B7345" s="17"/>
    </row>
    <row r="7346" spans="2:2">
      <c r="B7346" s="17"/>
    </row>
    <row r="7347" spans="2:2">
      <c r="B7347" s="17"/>
    </row>
    <row r="7348" spans="2:2">
      <c r="B7348" s="17"/>
    </row>
    <row r="7349" spans="2:2">
      <c r="B7349" s="17"/>
    </row>
    <row r="7350" spans="2:2">
      <c r="B7350" s="17"/>
    </row>
    <row r="7351" spans="2:2">
      <c r="B7351" s="17"/>
    </row>
    <row r="7352" spans="2:2">
      <c r="B7352" s="17"/>
    </row>
    <row r="7353" spans="2:2">
      <c r="B7353" s="17"/>
    </row>
    <row r="7354" spans="2:2">
      <c r="B7354" s="17"/>
    </row>
    <row r="7355" spans="2:2">
      <c r="B7355" s="17"/>
    </row>
    <row r="7356" spans="2:2">
      <c r="B7356" s="17"/>
    </row>
    <row r="7357" spans="2:2">
      <c r="B7357" s="17"/>
    </row>
    <row r="7358" spans="2:2">
      <c r="B7358" s="17"/>
    </row>
    <row r="7359" spans="2:2">
      <c r="B7359" s="17"/>
    </row>
    <row r="7360" spans="2:2">
      <c r="B7360" s="17"/>
    </row>
    <row r="7361" spans="2:2">
      <c r="B7361" s="17"/>
    </row>
    <row r="7362" spans="2:2">
      <c r="B7362" s="17"/>
    </row>
    <row r="7363" spans="2:2">
      <c r="B7363" s="17"/>
    </row>
    <row r="7364" spans="2:2">
      <c r="B7364" s="17"/>
    </row>
    <row r="7365" spans="2:2">
      <c r="B7365" s="17"/>
    </row>
    <row r="7366" spans="2:2">
      <c r="B7366" s="17"/>
    </row>
    <row r="7367" spans="2:2">
      <c r="B7367" s="17"/>
    </row>
    <row r="7368" spans="2:2">
      <c r="B7368" s="17"/>
    </row>
    <row r="7369" spans="2:2">
      <c r="B7369" s="17"/>
    </row>
    <row r="7370" spans="2:2">
      <c r="B7370" s="17"/>
    </row>
    <row r="7371" spans="2:2">
      <c r="B7371" s="17"/>
    </row>
    <row r="7372" spans="2:2">
      <c r="B7372" s="17"/>
    </row>
    <row r="7373" spans="2:2">
      <c r="B7373" s="17"/>
    </row>
    <row r="7374" spans="2:2">
      <c r="B7374" s="17"/>
    </row>
    <row r="7375" spans="2:2">
      <c r="B7375" s="17"/>
    </row>
    <row r="7376" spans="2:2">
      <c r="B7376" s="17"/>
    </row>
    <row r="7377" spans="2:2">
      <c r="B7377" s="17"/>
    </row>
    <row r="7378" spans="2:2">
      <c r="B7378" s="17"/>
    </row>
    <row r="7379" spans="2:2">
      <c r="B7379" s="17"/>
    </row>
    <row r="7380" spans="2:2">
      <c r="B7380" s="17"/>
    </row>
    <row r="7381" spans="2:2">
      <c r="B7381" s="17"/>
    </row>
    <row r="7382" spans="2:2">
      <c r="B7382" s="17"/>
    </row>
    <row r="7383" spans="2:2">
      <c r="B7383" s="17"/>
    </row>
    <row r="7384" spans="2:2">
      <c r="B7384" s="17"/>
    </row>
    <row r="7385" spans="2:2">
      <c r="B7385" s="17"/>
    </row>
    <row r="7386" spans="2:2">
      <c r="B7386" s="17"/>
    </row>
    <row r="7387" spans="2:2">
      <c r="B7387" s="17"/>
    </row>
    <row r="7388" spans="2:2">
      <c r="B7388" s="17"/>
    </row>
    <row r="7389" spans="2:2">
      <c r="B7389" s="17"/>
    </row>
    <row r="7390" spans="2:2">
      <c r="B7390" s="17"/>
    </row>
    <row r="7391" spans="2:2">
      <c r="B7391" s="17"/>
    </row>
    <row r="7392" spans="2:2">
      <c r="B7392" s="17"/>
    </row>
    <row r="7393" spans="2:2">
      <c r="B7393" s="17"/>
    </row>
    <row r="7394" spans="2:2">
      <c r="B7394" s="17"/>
    </row>
    <row r="7395" spans="2:2">
      <c r="B7395" s="17"/>
    </row>
    <row r="7396" spans="2:2">
      <c r="B7396" s="17"/>
    </row>
    <row r="7397" spans="2:2">
      <c r="B7397" s="17"/>
    </row>
    <row r="7398" spans="2:2">
      <c r="B7398" s="17"/>
    </row>
    <row r="7399" spans="2:2">
      <c r="B7399" s="17"/>
    </row>
    <row r="7400" spans="2:2">
      <c r="B7400" s="17"/>
    </row>
    <row r="7401" spans="2:2">
      <c r="B7401" s="17"/>
    </row>
    <row r="7402" spans="2:2">
      <c r="B7402" s="17"/>
    </row>
    <row r="7403" spans="2:2">
      <c r="B7403" s="17"/>
    </row>
    <row r="7404" spans="2:2">
      <c r="B7404" s="17"/>
    </row>
    <row r="7405" spans="2:2">
      <c r="B7405" s="17"/>
    </row>
    <row r="7406" spans="2:2">
      <c r="B7406" s="17"/>
    </row>
    <row r="7407" spans="2:2">
      <c r="B7407" s="17"/>
    </row>
    <row r="7408" spans="2:2">
      <c r="B7408" s="17"/>
    </row>
    <row r="7409" spans="2:2">
      <c r="B7409" s="17"/>
    </row>
    <row r="7410" spans="2:2">
      <c r="B7410" s="17"/>
    </row>
    <row r="7411" spans="2:2">
      <c r="B7411" s="17"/>
    </row>
    <row r="7412" spans="2:2">
      <c r="B7412" s="17"/>
    </row>
    <row r="7413" spans="2:2">
      <c r="B7413" s="17"/>
    </row>
    <row r="7414" spans="2:2">
      <c r="B7414" s="17"/>
    </row>
    <row r="7415" spans="2:2">
      <c r="B7415" s="17"/>
    </row>
    <row r="7416" spans="2:2">
      <c r="B7416" s="17"/>
    </row>
    <row r="7417" spans="2:2">
      <c r="B7417" s="17"/>
    </row>
    <row r="7418" spans="2:2">
      <c r="B7418" s="17"/>
    </row>
    <row r="7419" spans="2:2">
      <c r="B7419" s="17"/>
    </row>
    <row r="7420" spans="2:2">
      <c r="B7420" s="17"/>
    </row>
    <row r="7421" spans="2:2">
      <c r="B7421" s="17"/>
    </row>
    <row r="7422" spans="2:2">
      <c r="B7422" s="17"/>
    </row>
    <row r="7423" spans="2:2">
      <c r="B7423" s="17"/>
    </row>
    <row r="7424" spans="2:2">
      <c r="B7424" s="17"/>
    </row>
    <row r="7425" spans="2:2">
      <c r="B7425" s="17"/>
    </row>
    <row r="7426" spans="2:2">
      <c r="B7426" s="17"/>
    </row>
    <row r="7427" spans="2:2">
      <c r="B7427" s="17"/>
    </row>
    <row r="7428" spans="2:2">
      <c r="B7428" s="17"/>
    </row>
    <row r="7429" spans="2:2">
      <c r="B7429" s="17"/>
    </row>
    <row r="7430" spans="2:2">
      <c r="B7430" s="17"/>
    </row>
    <row r="7431" spans="2:2">
      <c r="B7431" s="17"/>
    </row>
    <row r="7432" spans="2:2">
      <c r="B7432" s="17"/>
    </row>
    <row r="7433" spans="2:2">
      <c r="B7433" s="17"/>
    </row>
    <row r="7434" spans="2:2">
      <c r="B7434" s="17"/>
    </row>
    <row r="7435" spans="2:2">
      <c r="B7435" s="17"/>
    </row>
    <row r="7436" spans="2:2">
      <c r="B7436" s="17"/>
    </row>
    <row r="7437" spans="2:2">
      <c r="B7437" s="17"/>
    </row>
    <row r="7438" spans="2:2">
      <c r="B7438" s="17"/>
    </row>
    <row r="7439" spans="2:2">
      <c r="B7439" s="17"/>
    </row>
    <row r="7440" spans="2:2">
      <c r="B7440" s="17"/>
    </row>
    <row r="7441" spans="2:2">
      <c r="B7441" s="17"/>
    </row>
    <row r="7442" spans="2:2">
      <c r="B7442" s="17"/>
    </row>
    <row r="7443" spans="2:2">
      <c r="B7443" s="17"/>
    </row>
    <row r="7444" spans="2:2">
      <c r="B7444" s="17"/>
    </row>
    <row r="7445" spans="2:2">
      <c r="B7445" s="17"/>
    </row>
    <row r="7446" spans="2:2">
      <c r="B7446" s="17"/>
    </row>
    <row r="7447" spans="2:2">
      <c r="B7447" s="17"/>
    </row>
    <row r="7448" spans="2:2">
      <c r="B7448" s="17"/>
    </row>
    <row r="7449" spans="2:2">
      <c r="B7449" s="17"/>
    </row>
    <row r="7450" spans="2:2">
      <c r="B7450" s="17"/>
    </row>
    <row r="7451" spans="2:2">
      <c r="B7451" s="17"/>
    </row>
    <row r="7452" spans="2:2">
      <c r="B7452" s="17"/>
    </row>
    <row r="7453" spans="2:2">
      <c r="B7453" s="17"/>
    </row>
    <row r="7454" spans="2:2">
      <c r="B7454" s="17"/>
    </row>
    <row r="7455" spans="2:2">
      <c r="B7455" s="17"/>
    </row>
    <row r="7456" spans="2:2">
      <c r="B7456" s="17"/>
    </row>
    <row r="7457" spans="2:2">
      <c r="B7457" s="17"/>
    </row>
    <row r="7458" spans="2:2">
      <c r="B7458" s="17"/>
    </row>
    <row r="7459" spans="2:2">
      <c r="B7459" s="17"/>
    </row>
    <row r="7460" spans="2:2">
      <c r="B7460" s="17"/>
    </row>
    <row r="7461" spans="2:2">
      <c r="B7461" s="17"/>
    </row>
    <row r="7462" spans="2:2">
      <c r="B7462" s="17"/>
    </row>
    <row r="7463" spans="2:2">
      <c r="B7463" s="17"/>
    </row>
    <row r="7464" spans="2:2">
      <c r="B7464" s="17"/>
    </row>
    <row r="7465" spans="2:2">
      <c r="B7465" s="17"/>
    </row>
    <row r="7466" spans="2:2">
      <c r="B7466" s="17"/>
    </row>
    <row r="7467" spans="2:2">
      <c r="B7467" s="17"/>
    </row>
    <row r="7468" spans="2:2">
      <c r="B7468" s="17"/>
    </row>
    <row r="7469" spans="2:2">
      <c r="B7469" s="17"/>
    </row>
    <row r="7470" spans="2:2">
      <c r="B7470" s="17"/>
    </row>
    <row r="7471" spans="2:2">
      <c r="B7471" s="17"/>
    </row>
    <row r="7472" spans="2:2">
      <c r="B7472" s="17"/>
    </row>
    <row r="7473" spans="2:2">
      <c r="B7473" s="17"/>
    </row>
    <row r="7474" spans="2:2">
      <c r="B7474" s="17"/>
    </row>
    <row r="7475" spans="2:2">
      <c r="B7475" s="17"/>
    </row>
    <row r="7476" spans="2:2">
      <c r="B7476" s="17"/>
    </row>
    <row r="7477" spans="2:2">
      <c r="B7477" s="17"/>
    </row>
    <row r="7478" spans="2:2">
      <c r="B7478" s="17"/>
    </row>
    <row r="7479" spans="2:2">
      <c r="B7479" s="17"/>
    </row>
    <row r="7480" spans="2:2">
      <c r="B7480" s="17"/>
    </row>
    <row r="7481" spans="2:2">
      <c r="B7481" s="17"/>
    </row>
    <row r="7482" spans="2:2">
      <c r="B7482" s="17"/>
    </row>
    <row r="7483" spans="2:2">
      <c r="B7483" s="17"/>
    </row>
    <row r="7484" spans="2:2">
      <c r="B7484" s="17"/>
    </row>
    <row r="7485" spans="2:2">
      <c r="B7485" s="17"/>
    </row>
    <row r="7486" spans="2:2">
      <c r="B7486" s="17"/>
    </row>
    <row r="7487" spans="2:2">
      <c r="B7487" s="17"/>
    </row>
    <row r="7488" spans="2:2">
      <c r="B7488" s="17"/>
    </row>
    <row r="7489" spans="2:2">
      <c r="B7489" s="17"/>
    </row>
    <row r="7490" spans="2:2">
      <c r="B7490" s="17"/>
    </row>
    <row r="7491" spans="2:2">
      <c r="B7491" s="17"/>
    </row>
    <row r="7492" spans="2:2">
      <c r="B7492" s="17"/>
    </row>
    <row r="7493" spans="2:2">
      <c r="B7493" s="17"/>
    </row>
    <row r="7494" spans="2:2">
      <c r="B7494" s="17"/>
    </row>
    <row r="7495" spans="2:2">
      <c r="B7495" s="17"/>
    </row>
    <row r="7496" spans="2:2">
      <c r="B7496" s="17"/>
    </row>
    <row r="7497" spans="2:2">
      <c r="B7497" s="17"/>
    </row>
    <row r="7498" spans="2:2">
      <c r="B7498" s="17"/>
    </row>
    <row r="7499" spans="2:2">
      <c r="B7499" s="17"/>
    </row>
    <row r="7500" spans="2:2">
      <c r="B7500" s="17"/>
    </row>
    <row r="7501" spans="2:2">
      <c r="B7501" s="17"/>
    </row>
    <row r="7502" spans="2:2">
      <c r="B7502" s="17"/>
    </row>
    <row r="7503" spans="2:2">
      <c r="B7503" s="17"/>
    </row>
    <row r="7504" spans="2:2">
      <c r="B7504" s="17"/>
    </row>
    <row r="7505" spans="2:2">
      <c r="B7505" s="17"/>
    </row>
    <row r="7506" spans="2:2">
      <c r="B7506" s="17"/>
    </row>
    <row r="7507" spans="2:2">
      <c r="B7507" s="17"/>
    </row>
    <row r="7508" spans="2:2">
      <c r="B7508" s="17"/>
    </row>
    <row r="7509" spans="2:2">
      <c r="B7509" s="17"/>
    </row>
    <row r="7510" spans="2:2">
      <c r="B7510" s="17"/>
    </row>
    <row r="7511" spans="2:2">
      <c r="B7511" s="17"/>
    </row>
    <row r="7512" spans="2:2">
      <c r="B7512" s="17"/>
    </row>
    <row r="7513" spans="2:2">
      <c r="B7513" s="17"/>
    </row>
    <row r="7514" spans="2:2">
      <c r="B7514" s="17"/>
    </row>
    <row r="7515" spans="2:2">
      <c r="B7515" s="17"/>
    </row>
    <row r="7516" spans="2:2">
      <c r="B7516" s="17"/>
    </row>
    <row r="7517" spans="2:2">
      <c r="B7517" s="17"/>
    </row>
    <row r="7518" spans="2:2">
      <c r="B7518" s="17"/>
    </row>
    <row r="7519" spans="2:2">
      <c r="B7519" s="17"/>
    </row>
    <row r="7520" spans="2:2">
      <c r="B7520" s="17"/>
    </row>
    <row r="7521" spans="2:2">
      <c r="B7521" s="17"/>
    </row>
    <row r="7522" spans="2:2">
      <c r="B7522" s="17"/>
    </row>
    <row r="7523" spans="2:2">
      <c r="B7523" s="17"/>
    </row>
    <row r="7524" spans="2:2">
      <c r="B7524" s="17"/>
    </row>
    <row r="7525" spans="2:2">
      <c r="B7525" s="17"/>
    </row>
    <row r="7526" spans="2:2">
      <c r="B7526" s="17"/>
    </row>
    <row r="7527" spans="2:2">
      <c r="B7527" s="17"/>
    </row>
    <row r="7528" spans="2:2">
      <c r="B7528" s="17"/>
    </row>
    <row r="7529" spans="2:2">
      <c r="B7529" s="17"/>
    </row>
    <row r="7530" spans="2:2">
      <c r="B7530" s="17"/>
    </row>
    <row r="7531" spans="2:2">
      <c r="B7531" s="17"/>
    </row>
    <row r="7532" spans="2:2">
      <c r="B7532" s="17"/>
    </row>
    <row r="7533" spans="2:2">
      <c r="B7533" s="17"/>
    </row>
    <row r="7534" spans="2:2">
      <c r="B7534" s="17"/>
    </row>
    <row r="7535" spans="2:2">
      <c r="B7535" s="17"/>
    </row>
    <row r="7536" spans="2:2">
      <c r="B7536" s="17"/>
    </row>
    <row r="7537" spans="2:2">
      <c r="B7537" s="17"/>
    </row>
    <row r="7538" spans="2:2">
      <c r="B7538" s="17"/>
    </row>
    <row r="7539" spans="2:2">
      <c r="B7539" s="17"/>
    </row>
    <row r="7540" spans="2:2">
      <c r="B7540" s="17"/>
    </row>
    <row r="7541" spans="2:2">
      <c r="B7541" s="17"/>
    </row>
    <row r="7542" spans="2:2">
      <c r="B7542" s="17"/>
    </row>
    <row r="7543" spans="2:2">
      <c r="B7543" s="17"/>
    </row>
    <row r="7544" spans="2:2">
      <c r="B7544" s="17"/>
    </row>
    <row r="7545" spans="2:2">
      <c r="B7545" s="17"/>
    </row>
    <row r="7546" spans="2:2">
      <c r="B7546" s="17"/>
    </row>
    <row r="7547" spans="2:2">
      <c r="B7547" s="17"/>
    </row>
    <row r="7548" spans="2:2">
      <c r="B7548" s="17"/>
    </row>
    <row r="7549" spans="2:2">
      <c r="B7549" s="17"/>
    </row>
    <row r="7550" spans="2:2">
      <c r="B7550" s="17"/>
    </row>
    <row r="7551" spans="2:2">
      <c r="B7551" s="17"/>
    </row>
    <row r="7552" spans="2:2">
      <c r="B7552" s="17"/>
    </row>
    <row r="7553" spans="2:2">
      <c r="B7553" s="17"/>
    </row>
    <row r="7554" spans="2:2">
      <c r="B7554" s="17"/>
    </row>
    <row r="7555" spans="2:2">
      <c r="B7555" s="17"/>
    </row>
    <row r="7556" spans="2:2">
      <c r="B7556" s="17"/>
    </row>
    <row r="7557" spans="2:2">
      <c r="B7557" s="17"/>
    </row>
    <row r="7558" spans="2:2">
      <c r="B7558" s="17"/>
    </row>
    <row r="7559" spans="2:2">
      <c r="B7559" s="17"/>
    </row>
    <row r="7560" spans="2:2">
      <c r="B7560" s="17"/>
    </row>
    <row r="7561" spans="2:2">
      <c r="B7561" s="17"/>
    </row>
    <row r="7562" spans="2:2">
      <c r="B7562" s="17"/>
    </row>
    <row r="7563" spans="2:2">
      <c r="B7563" s="17"/>
    </row>
    <row r="7564" spans="2:2">
      <c r="B7564" s="17"/>
    </row>
    <row r="7565" spans="2:2">
      <c r="B7565" s="17"/>
    </row>
    <row r="7566" spans="2:2">
      <c r="B7566" s="17"/>
    </row>
    <row r="7567" spans="2:2">
      <c r="B7567" s="17"/>
    </row>
    <row r="7568" spans="2:2">
      <c r="B7568" s="17"/>
    </row>
    <row r="7569" spans="2:2">
      <c r="B7569" s="17"/>
    </row>
    <row r="7570" spans="2:2">
      <c r="B7570" s="17"/>
    </row>
    <row r="7571" spans="2:2">
      <c r="B7571" s="17"/>
    </row>
    <row r="7572" spans="2:2">
      <c r="B7572" s="17"/>
    </row>
    <row r="7573" spans="2:2">
      <c r="B7573" s="17"/>
    </row>
    <row r="7574" spans="2:2">
      <c r="B7574" s="17"/>
    </row>
    <row r="7575" spans="2:2">
      <c r="B7575" s="17"/>
    </row>
    <row r="7576" spans="2:2">
      <c r="B7576" s="17"/>
    </row>
    <row r="7577" spans="2:2">
      <c r="B7577" s="17"/>
    </row>
    <row r="7578" spans="2:2">
      <c r="B7578" s="17"/>
    </row>
    <row r="7579" spans="2:2">
      <c r="B7579" s="17"/>
    </row>
    <row r="7580" spans="2:2">
      <c r="B7580" s="17"/>
    </row>
    <row r="7581" spans="2:2">
      <c r="B7581" s="17"/>
    </row>
    <row r="7582" spans="2:2">
      <c r="B7582" s="17"/>
    </row>
    <row r="7583" spans="2:2">
      <c r="B7583" s="17"/>
    </row>
    <row r="7584" spans="2:2">
      <c r="B7584" s="17"/>
    </row>
    <row r="7585" spans="2:2">
      <c r="B7585" s="17"/>
    </row>
    <row r="7586" spans="2:2">
      <c r="B7586" s="17"/>
    </row>
    <row r="7587" spans="2:2">
      <c r="B7587" s="17"/>
    </row>
    <row r="7588" spans="2:2">
      <c r="B7588" s="17"/>
    </row>
    <row r="7589" spans="2:2">
      <c r="B7589" s="17"/>
    </row>
    <row r="7590" spans="2:2">
      <c r="B7590" s="17"/>
    </row>
    <row r="7591" spans="2:2">
      <c r="B7591" s="17"/>
    </row>
    <row r="7592" spans="2:2">
      <c r="B7592" s="17"/>
    </row>
    <row r="7593" spans="2:2">
      <c r="B7593" s="17"/>
    </row>
    <row r="7594" spans="2:2">
      <c r="B7594" s="17"/>
    </row>
    <row r="7595" spans="2:2">
      <c r="B7595" s="17"/>
    </row>
    <row r="7596" spans="2:2">
      <c r="B7596" s="17"/>
    </row>
    <row r="7597" spans="2:2">
      <c r="B7597" s="17"/>
    </row>
    <row r="7598" spans="2:2">
      <c r="B7598" s="17"/>
    </row>
    <row r="7599" spans="2:2">
      <c r="B7599" s="17"/>
    </row>
    <row r="7600" spans="2:2">
      <c r="B7600" s="17"/>
    </row>
    <row r="7601" spans="2:2">
      <c r="B7601" s="17"/>
    </row>
    <row r="7602" spans="2:2">
      <c r="B7602" s="17"/>
    </row>
    <row r="7603" spans="2:2">
      <c r="B7603" s="17"/>
    </row>
    <row r="7604" spans="2:2">
      <c r="B7604" s="17"/>
    </row>
    <row r="7605" spans="2:2">
      <c r="B7605" s="17"/>
    </row>
    <row r="7606" spans="2:2">
      <c r="B7606" s="17"/>
    </row>
    <row r="7607" spans="2:2">
      <c r="B7607" s="17"/>
    </row>
    <row r="7608" spans="2:2">
      <c r="B7608" s="17"/>
    </row>
    <row r="7609" spans="2:2">
      <c r="B7609" s="17"/>
    </row>
    <row r="7610" spans="2:2">
      <c r="B7610" s="17"/>
    </row>
    <row r="7611" spans="2:2">
      <c r="B7611" s="17"/>
    </row>
    <row r="7612" spans="2:2">
      <c r="B7612" s="17"/>
    </row>
    <row r="7613" spans="2:2">
      <c r="B7613" s="17"/>
    </row>
    <row r="7614" spans="2:2">
      <c r="B7614" s="17"/>
    </row>
    <row r="7615" spans="2:2">
      <c r="B7615" s="17"/>
    </row>
    <row r="7616" spans="2:2">
      <c r="B7616" s="17"/>
    </row>
    <row r="7617" spans="2:2">
      <c r="B7617" s="17"/>
    </row>
    <row r="7618" spans="2:2">
      <c r="B7618" s="17"/>
    </row>
    <row r="7619" spans="2:2">
      <c r="B7619" s="17"/>
    </row>
    <row r="7620" spans="2:2">
      <c r="B7620" s="17"/>
    </row>
    <row r="7621" spans="2:2">
      <c r="B7621" s="17"/>
    </row>
    <row r="7622" spans="2:2">
      <c r="B7622" s="17"/>
    </row>
    <row r="7623" spans="2:2">
      <c r="B7623" s="17"/>
    </row>
    <row r="7624" spans="2:2">
      <c r="B7624" s="17"/>
    </row>
    <row r="7625" spans="2:2">
      <c r="B7625" s="17"/>
    </row>
    <row r="7626" spans="2:2">
      <c r="B7626" s="17"/>
    </row>
    <row r="7627" spans="2:2">
      <c r="B7627" s="17"/>
    </row>
    <row r="7628" spans="2:2">
      <c r="B7628" s="17"/>
    </row>
    <row r="7629" spans="2:2">
      <c r="B7629" s="17"/>
    </row>
    <row r="7630" spans="2:2">
      <c r="B7630" s="17"/>
    </row>
    <row r="7631" spans="2:2">
      <c r="B7631" s="17"/>
    </row>
    <row r="7632" spans="2:2">
      <c r="B7632" s="17"/>
    </row>
    <row r="7633" spans="2:2">
      <c r="B7633" s="17"/>
    </row>
    <row r="7634" spans="2:2">
      <c r="B7634" s="17"/>
    </row>
    <row r="7635" spans="2:2">
      <c r="B7635" s="17"/>
    </row>
    <row r="7636" spans="2:2">
      <c r="B7636" s="17"/>
    </row>
    <row r="7637" spans="2:2">
      <c r="B7637" s="17"/>
    </row>
    <row r="7638" spans="2:2">
      <c r="B7638" s="17"/>
    </row>
    <row r="7639" spans="2:2">
      <c r="B7639" s="17"/>
    </row>
    <row r="7640" spans="2:2">
      <c r="B7640" s="17"/>
    </row>
    <row r="7641" spans="2:2">
      <c r="B7641" s="17"/>
    </row>
    <row r="7642" spans="2:2">
      <c r="B7642" s="17"/>
    </row>
    <row r="7643" spans="2:2">
      <c r="B7643" s="17"/>
    </row>
    <row r="7644" spans="2:2">
      <c r="B7644" s="17"/>
    </row>
    <row r="7645" spans="2:2">
      <c r="B7645" s="17"/>
    </row>
    <row r="7646" spans="2:2">
      <c r="B7646" s="17"/>
    </row>
    <row r="7647" spans="2:2">
      <c r="B7647" s="17"/>
    </row>
    <row r="7648" spans="2:2">
      <c r="B7648" s="17"/>
    </row>
    <row r="7649" spans="2:2">
      <c r="B7649" s="17"/>
    </row>
    <row r="7650" spans="2:2">
      <c r="B7650" s="17"/>
    </row>
    <row r="7651" spans="2:2">
      <c r="B7651" s="17"/>
    </row>
    <row r="7652" spans="2:2">
      <c r="B7652" s="17"/>
    </row>
    <row r="7653" spans="2:2">
      <c r="B7653" s="17"/>
    </row>
    <row r="7654" spans="2:2">
      <c r="B7654" s="17"/>
    </row>
    <row r="7655" spans="2:2">
      <c r="B7655" s="17"/>
    </row>
    <row r="7656" spans="2:2">
      <c r="B7656" s="17"/>
    </row>
    <row r="7657" spans="2:2">
      <c r="B7657" s="17"/>
    </row>
    <row r="7658" spans="2:2">
      <c r="B7658" s="17"/>
    </row>
    <row r="7659" spans="2:2">
      <c r="B7659" s="17"/>
    </row>
    <row r="7660" spans="2:2">
      <c r="B7660" s="17"/>
    </row>
    <row r="7661" spans="2:2">
      <c r="B7661" s="17"/>
    </row>
    <row r="7662" spans="2:2">
      <c r="B7662" s="17"/>
    </row>
    <row r="7663" spans="2:2">
      <c r="B7663" s="17"/>
    </row>
    <row r="7664" spans="2:2">
      <c r="B7664" s="17"/>
    </row>
    <row r="7665" spans="2:2">
      <c r="B7665" s="17"/>
    </row>
    <row r="7666" spans="2:2">
      <c r="B7666" s="17"/>
    </row>
    <row r="7667" spans="2:2">
      <c r="B7667" s="17"/>
    </row>
    <row r="7668" spans="2:2">
      <c r="B7668" s="17"/>
    </row>
    <row r="7669" spans="2:2">
      <c r="B7669" s="17"/>
    </row>
    <row r="7670" spans="2:2">
      <c r="B7670" s="17"/>
    </row>
    <row r="7671" spans="2:2">
      <c r="B7671" s="17"/>
    </row>
    <row r="7672" spans="2:2">
      <c r="B7672" s="17"/>
    </row>
    <row r="7673" spans="2:2">
      <c r="B7673" s="17"/>
    </row>
    <row r="7674" spans="2:2">
      <c r="B7674" s="17"/>
    </row>
    <row r="7675" spans="2:2">
      <c r="B7675" s="17"/>
    </row>
    <row r="7676" spans="2:2">
      <c r="B7676" s="17"/>
    </row>
    <row r="7677" spans="2:2">
      <c r="B7677" s="17"/>
    </row>
    <row r="7678" spans="2:2">
      <c r="B7678" s="17"/>
    </row>
    <row r="7679" spans="2:2">
      <c r="B7679" s="17"/>
    </row>
    <row r="7680" spans="2:2">
      <c r="B7680" s="17"/>
    </row>
    <row r="7681" spans="2:2">
      <c r="B7681" s="17"/>
    </row>
    <row r="7682" spans="2:2">
      <c r="B7682" s="17"/>
    </row>
    <row r="7683" spans="2:2">
      <c r="B7683" s="17"/>
    </row>
    <row r="7684" spans="2:2">
      <c r="B7684" s="17"/>
    </row>
    <row r="7685" spans="2:2">
      <c r="B7685" s="17"/>
    </row>
    <row r="7686" spans="2:2">
      <c r="B7686" s="17"/>
    </row>
    <row r="7687" spans="2:2">
      <c r="B7687" s="17"/>
    </row>
    <row r="7688" spans="2:2">
      <c r="B7688" s="17"/>
    </row>
    <row r="7689" spans="2:2">
      <c r="B7689" s="17"/>
    </row>
    <row r="7690" spans="2:2">
      <c r="B7690" s="17"/>
    </row>
    <row r="7691" spans="2:2">
      <c r="B7691" s="17"/>
    </row>
    <row r="7692" spans="2:2">
      <c r="B7692" s="17"/>
    </row>
    <row r="7693" spans="2:2">
      <c r="B7693" s="17"/>
    </row>
    <row r="7694" spans="2:2">
      <c r="B7694" s="17"/>
    </row>
    <row r="7695" spans="2:2">
      <c r="B7695" s="17"/>
    </row>
    <row r="7696" spans="2:2">
      <c r="B7696" s="17"/>
    </row>
    <row r="7697" spans="2:2">
      <c r="B7697" s="17"/>
    </row>
    <row r="7698" spans="2:2">
      <c r="B7698" s="17"/>
    </row>
    <row r="7699" spans="2:2">
      <c r="B7699" s="17"/>
    </row>
    <row r="7700" spans="2:2">
      <c r="B7700" s="17"/>
    </row>
    <row r="7701" spans="2:2">
      <c r="B7701" s="17"/>
    </row>
    <row r="7702" spans="2:2">
      <c r="B7702" s="17"/>
    </row>
    <row r="7703" spans="2:2">
      <c r="B7703" s="17"/>
    </row>
    <row r="7704" spans="2:2">
      <c r="B7704" s="17"/>
    </row>
    <row r="7705" spans="2:2">
      <c r="B7705" s="17"/>
    </row>
    <row r="7706" spans="2:2">
      <c r="B7706" s="17"/>
    </row>
    <row r="7707" spans="2:2">
      <c r="B7707" s="17"/>
    </row>
    <row r="7708" spans="2:2">
      <c r="B7708" s="17"/>
    </row>
    <row r="7709" spans="2:2">
      <c r="B7709" s="17"/>
    </row>
    <row r="7710" spans="2:2">
      <c r="B7710" s="17"/>
    </row>
    <row r="7711" spans="2:2">
      <c r="B7711" s="17"/>
    </row>
    <row r="7712" spans="2:2">
      <c r="B7712" s="17"/>
    </row>
    <row r="7713" spans="2:2">
      <c r="B7713" s="17"/>
    </row>
    <row r="7714" spans="2:2">
      <c r="B7714" s="17"/>
    </row>
    <row r="7715" spans="2:2">
      <c r="B7715" s="17"/>
    </row>
    <row r="7716" spans="2:2">
      <c r="B7716" s="17"/>
    </row>
    <row r="7717" spans="2:2">
      <c r="B7717" s="17"/>
    </row>
    <row r="7718" spans="2:2">
      <c r="B7718" s="17"/>
    </row>
    <row r="7719" spans="2:2">
      <c r="B7719" s="17"/>
    </row>
    <row r="7720" spans="2:2">
      <c r="B7720" s="17"/>
    </row>
    <row r="7721" spans="2:2">
      <c r="B7721" s="17"/>
    </row>
    <row r="7722" spans="2:2">
      <c r="B7722" s="17"/>
    </row>
    <row r="7723" spans="2:2">
      <c r="B7723" s="17"/>
    </row>
    <row r="7724" spans="2:2">
      <c r="B7724" s="17"/>
    </row>
    <row r="7725" spans="2:2">
      <c r="B7725" s="17"/>
    </row>
    <row r="7726" spans="2:2">
      <c r="B7726" s="17"/>
    </row>
    <row r="7727" spans="2:2">
      <c r="B7727" s="17"/>
    </row>
    <row r="7728" spans="2:2">
      <c r="B7728" s="17"/>
    </row>
    <row r="7729" spans="2:2">
      <c r="B7729" s="17"/>
    </row>
    <row r="7730" spans="2:2">
      <c r="B7730" s="17"/>
    </row>
    <row r="7731" spans="2:2">
      <c r="B7731" s="17"/>
    </row>
    <row r="7732" spans="2:2">
      <c r="B7732" s="17"/>
    </row>
    <row r="7733" spans="2:2">
      <c r="B7733" s="17"/>
    </row>
    <row r="7734" spans="2:2">
      <c r="B7734" s="17"/>
    </row>
    <row r="7735" spans="2:2">
      <c r="B7735" s="17"/>
    </row>
    <row r="7736" spans="2:2">
      <c r="B7736" s="17"/>
    </row>
    <row r="7737" spans="2:2">
      <c r="B7737" s="17"/>
    </row>
    <row r="7738" spans="2:2">
      <c r="B7738" s="17"/>
    </row>
    <row r="7739" spans="2:2">
      <c r="B7739" s="17"/>
    </row>
    <row r="7740" spans="2:2">
      <c r="B7740" s="17"/>
    </row>
    <row r="7741" spans="2:2">
      <c r="B7741" s="17"/>
    </row>
    <row r="7742" spans="2:2">
      <c r="B7742" s="17"/>
    </row>
    <row r="7743" spans="2:2">
      <c r="B7743" s="17"/>
    </row>
    <row r="7744" spans="2:2">
      <c r="B7744" s="17"/>
    </row>
    <row r="7745" spans="2:2">
      <c r="B7745" s="17"/>
    </row>
    <row r="7746" spans="2:2">
      <c r="B7746" s="17"/>
    </row>
    <row r="7747" spans="2:2">
      <c r="B7747" s="17"/>
    </row>
    <row r="7748" spans="2:2">
      <c r="B7748" s="17"/>
    </row>
    <row r="7749" spans="2:2">
      <c r="B7749" s="17"/>
    </row>
    <row r="7750" spans="2:2">
      <c r="B7750" s="17"/>
    </row>
    <row r="7751" spans="2:2">
      <c r="B7751" s="17"/>
    </row>
    <row r="7752" spans="2:2">
      <c r="B7752" s="17"/>
    </row>
    <row r="7753" spans="2:2">
      <c r="B7753" s="17"/>
    </row>
    <row r="7754" spans="2:2">
      <c r="B7754" s="17"/>
    </row>
    <row r="7755" spans="2:2">
      <c r="B7755" s="17"/>
    </row>
    <row r="7756" spans="2:2">
      <c r="B7756" s="17"/>
    </row>
    <row r="7757" spans="2:2">
      <c r="B7757" s="17"/>
    </row>
    <row r="7758" spans="2:2">
      <c r="B7758" s="17"/>
    </row>
    <row r="7759" spans="2:2">
      <c r="B7759" s="17"/>
    </row>
    <row r="7760" spans="2:2">
      <c r="B7760" s="17"/>
    </row>
    <row r="7761" spans="2:2">
      <c r="B7761" s="17"/>
    </row>
    <row r="7762" spans="2:2">
      <c r="B7762" s="17"/>
    </row>
    <row r="7763" spans="2:2">
      <c r="B7763" s="17"/>
    </row>
    <row r="7764" spans="2:2">
      <c r="B7764" s="17"/>
    </row>
    <row r="7765" spans="2:2">
      <c r="B7765" s="17"/>
    </row>
    <row r="7766" spans="2:2">
      <c r="B7766" s="17"/>
    </row>
    <row r="7767" spans="2:2">
      <c r="B7767" s="17"/>
    </row>
    <row r="7768" spans="2:2">
      <c r="B7768" s="17"/>
    </row>
    <row r="7769" spans="2:2">
      <c r="B7769" s="17"/>
    </row>
    <row r="7770" spans="2:2">
      <c r="B7770" s="17"/>
    </row>
    <row r="7771" spans="2:2">
      <c r="B7771" s="17"/>
    </row>
    <row r="7772" spans="2:2">
      <c r="B7772" s="17"/>
    </row>
    <row r="7773" spans="2:2">
      <c r="B7773" s="17"/>
    </row>
    <row r="7774" spans="2:2">
      <c r="B7774" s="17"/>
    </row>
    <row r="7775" spans="2:2">
      <c r="B7775" s="17"/>
    </row>
    <row r="7776" spans="2:2">
      <c r="B7776" s="17"/>
    </row>
    <row r="7777" spans="2:2">
      <c r="B7777" s="17"/>
    </row>
    <row r="7778" spans="2:2">
      <c r="B7778" s="17"/>
    </row>
    <row r="7779" spans="2:2">
      <c r="B7779" s="17"/>
    </row>
    <row r="7780" spans="2:2">
      <c r="B7780" s="17"/>
    </row>
    <row r="7781" spans="2:2">
      <c r="B7781" s="17"/>
    </row>
    <row r="7782" spans="2:2">
      <c r="B7782" s="17"/>
    </row>
    <row r="7783" spans="2:2">
      <c r="B7783" s="17"/>
    </row>
    <row r="7784" spans="2:2">
      <c r="B7784" s="17"/>
    </row>
    <row r="7785" spans="2:2">
      <c r="B7785" s="17"/>
    </row>
    <row r="7786" spans="2:2">
      <c r="B7786" s="17"/>
    </row>
    <row r="7787" spans="2:2">
      <c r="B7787" s="17"/>
    </row>
    <row r="7788" spans="2:2">
      <c r="B7788" s="17"/>
    </row>
    <row r="7789" spans="2:2">
      <c r="B7789" s="17"/>
    </row>
    <row r="7790" spans="2:2">
      <c r="B7790" s="17"/>
    </row>
    <row r="7791" spans="2:2">
      <c r="B7791" s="17"/>
    </row>
    <row r="7792" spans="2:2">
      <c r="B7792" s="17"/>
    </row>
    <row r="7793" spans="2:2">
      <c r="B7793" s="17"/>
    </row>
    <row r="7794" spans="2:2">
      <c r="B7794" s="17"/>
    </row>
    <row r="7795" spans="2:2">
      <c r="B7795" s="17"/>
    </row>
    <row r="7796" spans="2:2">
      <c r="B7796" s="17"/>
    </row>
    <row r="7797" spans="2:2">
      <c r="B7797" s="17"/>
    </row>
    <row r="7798" spans="2:2">
      <c r="B7798" s="17"/>
    </row>
    <row r="7799" spans="2:2">
      <c r="B7799" s="17"/>
    </row>
    <row r="7800" spans="2:2">
      <c r="B7800" s="17"/>
    </row>
    <row r="7801" spans="2:2">
      <c r="B7801" s="17"/>
    </row>
    <row r="7802" spans="2:2">
      <c r="B7802" s="17"/>
    </row>
    <row r="7803" spans="2:2">
      <c r="B7803" s="17"/>
    </row>
    <row r="7804" spans="2:2">
      <c r="B7804" s="17"/>
    </row>
    <row r="7805" spans="2:2">
      <c r="B7805" s="17"/>
    </row>
    <row r="7806" spans="2:2">
      <c r="B7806" s="17"/>
    </row>
    <row r="7807" spans="2:2">
      <c r="B7807" s="17"/>
    </row>
    <row r="7808" spans="2:2">
      <c r="B7808" s="17"/>
    </row>
    <row r="7809" spans="2:2">
      <c r="B7809" s="17"/>
    </row>
    <row r="7810" spans="2:2">
      <c r="B7810" s="17"/>
    </row>
    <row r="7811" spans="2:2">
      <c r="B7811" s="17"/>
    </row>
    <row r="7812" spans="2:2">
      <c r="B7812" s="17"/>
    </row>
    <row r="7813" spans="2:2">
      <c r="B7813" s="17"/>
    </row>
    <row r="7814" spans="2:2">
      <c r="B7814" s="17"/>
    </row>
    <row r="7815" spans="2:2">
      <c r="B7815" s="17"/>
    </row>
    <row r="7816" spans="2:2">
      <c r="B7816" s="17"/>
    </row>
    <row r="7817" spans="2:2">
      <c r="B7817" s="17"/>
    </row>
    <row r="7818" spans="2:2">
      <c r="B7818" s="17"/>
    </row>
    <row r="7819" spans="2:2">
      <c r="B7819" s="17"/>
    </row>
    <row r="7820" spans="2:2">
      <c r="B7820" s="17"/>
    </row>
    <row r="7821" spans="2:2">
      <c r="B7821" s="17"/>
    </row>
    <row r="7822" spans="2:2">
      <c r="B7822" s="17"/>
    </row>
    <row r="7823" spans="2:2">
      <c r="B7823" s="17"/>
    </row>
    <row r="7824" spans="2:2">
      <c r="B7824" s="17"/>
    </row>
    <row r="7825" spans="2:2">
      <c r="B7825" s="17"/>
    </row>
    <row r="7826" spans="2:2">
      <c r="B7826" s="17"/>
    </row>
    <row r="7827" spans="2:2">
      <c r="B7827" s="17"/>
    </row>
    <row r="7828" spans="2:2">
      <c r="B7828" s="17"/>
    </row>
    <row r="7829" spans="2:2">
      <c r="B7829" s="17"/>
    </row>
    <row r="7830" spans="2:2">
      <c r="B7830" s="17"/>
    </row>
    <row r="7831" spans="2:2">
      <c r="B7831" s="17"/>
    </row>
    <row r="7832" spans="2:2">
      <c r="B7832" s="17"/>
    </row>
    <row r="7833" spans="2:2">
      <c r="B7833" s="17"/>
    </row>
    <row r="7834" spans="2:2">
      <c r="B7834" s="17"/>
    </row>
    <row r="7835" spans="2:2">
      <c r="B7835" s="17"/>
    </row>
    <row r="7836" spans="2:2">
      <c r="B7836" s="17"/>
    </row>
    <row r="7837" spans="2:2">
      <c r="B7837" s="17"/>
    </row>
    <row r="7838" spans="2:2">
      <c r="B7838" s="17"/>
    </row>
    <row r="7839" spans="2:2">
      <c r="B7839" s="17"/>
    </row>
    <row r="7840" spans="2:2">
      <c r="B7840" s="17"/>
    </row>
    <row r="7841" spans="2:2">
      <c r="B7841" s="17"/>
    </row>
    <row r="7842" spans="2:2">
      <c r="B7842" s="17"/>
    </row>
    <row r="7843" spans="2:2">
      <c r="B7843" s="17"/>
    </row>
    <row r="7844" spans="2:2">
      <c r="B7844" s="17"/>
    </row>
    <row r="7845" spans="2:2">
      <c r="B7845" s="17"/>
    </row>
    <row r="7846" spans="2:2">
      <c r="B7846" s="17"/>
    </row>
    <row r="7847" spans="2:2">
      <c r="B7847" s="17"/>
    </row>
    <row r="7848" spans="2:2">
      <c r="B7848" s="17"/>
    </row>
    <row r="7849" spans="2:2">
      <c r="B7849" s="17"/>
    </row>
    <row r="7850" spans="2:2">
      <c r="B7850" s="17"/>
    </row>
    <row r="7851" spans="2:2">
      <c r="B7851" s="17"/>
    </row>
    <row r="7852" spans="2:2">
      <c r="B7852" s="17"/>
    </row>
    <row r="7853" spans="2:2">
      <c r="B7853" s="17"/>
    </row>
    <row r="7854" spans="2:2">
      <c r="B7854" s="17"/>
    </row>
    <row r="7855" spans="2:2">
      <c r="B7855" s="17"/>
    </row>
    <row r="7856" spans="2:2">
      <c r="B7856" s="17"/>
    </row>
    <row r="7857" spans="2:2">
      <c r="B7857" s="17"/>
    </row>
    <row r="7858" spans="2:2">
      <c r="B7858" s="17"/>
    </row>
    <row r="7859" spans="2:2">
      <c r="B7859" s="17"/>
    </row>
    <row r="7860" spans="2:2">
      <c r="B7860" s="17"/>
    </row>
    <row r="7861" spans="2:2">
      <c r="B7861" s="17"/>
    </row>
    <row r="7862" spans="2:2">
      <c r="B7862" s="17"/>
    </row>
    <row r="7863" spans="2:2">
      <c r="B7863" s="17"/>
    </row>
    <row r="7864" spans="2:2">
      <c r="B7864" s="17"/>
    </row>
    <row r="7865" spans="2:2">
      <c r="B7865" s="17"/>
    </row>
    <row r="7866" spans="2:2">
      <c r="B7866" s="17"/>
    </row>
    <row r="7867" spans="2:2">
      <c r="B7867" s="17"/>
    </row>
    <row r="7868" spans="2:2">
      <c r="B7868" s="17"/>
    </row>
    <row r="7869" spans="2:2">
      <c r="B7869" s="17"/>
    </row>
    <row r="7870" spans="2:2">
      <c r="B7870" s="17"/>
    </row>
    <row r="7871" spans="2:2">
      <c r="B7871" s="17"/>
    </row>
    <row r="7872" spans="2:2">
      <c r="B7872" s="17"/>
    </row>
    <row r="7873" spans="2:2">
      <c r="B7873" s="17"/>
    </row>
    <row r="7874" spans="2:2">
      <c r="B7874" s="17"/>
    </row>
    <row r="7875" spans="2:2">
      <c r="B7875" s="17"/>
    </row>
    <row r="7876" spans="2:2">
      <c r="B7876" s="17"/>
    </row>
    <row r="7877" spans="2:2">
      <c r="B7877" s="17"/>
    </row>
    <row r="7878" spans="2:2">
      <c r="B7878" s="17"/>
    </row>
    <row r="7879" spans="2:2">
      <c r="B7879" s="17"/>
    </row>
    <row r="7880" spans="2:2">
      <c r="B7880" s="17"/>
    </row>
    <row r="7881" spans="2:2">
      <c r="B7881" s="17"/>
    </row>
    <row r="7882" spans="2:2">
      <c r="B7882" s="17"/>
    </row>
    <row r="7883" spans="2:2">
      <c r="B7883" s="17"/>
    </row>
    <row r="7884" spans="2:2">
      <c r="B7884" s="17"/>
    </row>
    <row r="7885" spans="2:2">
      <c r="B7885" s="17"/>
    </row>
    <row r="7886" spans="2:2">
      <c r="B7886" s="17"/>
    </row>
    <row r="7887" spans="2:2">
      <c r="B7887" s="17"/>
    </row>
    <row r="7888" spans="2:2">
      <c r="B7888" s="17"/>
    </row>
    <row r="7889" spans="2:2">
      <c r="B7889" s="17"/>
    </row>
    <row r="7890" spans="2:2">
      <c r="B7890" s="17"/>
    </row>
    <row r="7891" spans="2:2">
      <c r="B7891" s="17"/>
    </row>
    <row r="7892" spans="2:2">
      <c r="B7892" s="17"/>
    </row>
    <row r="7893" spans="2:2">
      <c r="B7893" s="17"/>
    </row>
    <row r="7894" spans="2:2">
      <c r="B7894" s="17"/>
    </row>
    <row r="7895" spans="2:2">
      <c r="B7895" s="17"/>
    </row>
    <row r="7896" spans="2:2">
      <c r="B7896" s="17"/>
    </row>
    <row r="7897" spans="2:2">
      <c r="B7897" s="17"/>
    </row>
    <row r="7898" spans="2:2">
      <c r="B7898" s="17"/>
    </row>
    <row r="7899" spans="2:2">
      <c r="B7899" s="17"/>
    </row>
    <row r="7900" spans="2:2">
      <c r="B7900" s="17"/>
    </row>
    <row r="7901" spans="2:2">
      <c r="B7901" s="17"/>
    </row>
    <row r="7902" spans="2:2">
      <c r="B7902" s="17"/>
    </row>
    <row r="7903" spans="2:2">
      <c r="B7903" s="17"/>
    </row>
    <row r="7904" spans="2:2">
      <c r="B7904" s="17"/>
    </row>
    <row r="7905" spans="2:2">
      <c r="B7905" s="17"/>
    </row>
    <row r="7906" spans="2:2">
      <c r="B7906" s="17"/>
    </row>
    <row r="7907" spans="2:2">
      <c r="B7907" s="17"/>
    </row>
    <row r="7908" spans="2:2">
      <c r="B7908" s="17"/>
    </row>
    <row r="7909" spans="2:2">
      <c r="B7909" s="17"/>
    </row>
    <row r="7910" spans="2:2">
      <c r="B7910" s="17"/>
    </row>
    <row r="7911" spans="2:2">
      <c r="B7911" s="17"/>
    </row>
    <row r="7912" spans="2:2">
      <c r="B7912" s="17"/>
    </row>
    <row r="7913" spans="2:2">
      <c r="B7913" s="17"/>
    </row>
    <row r="7914" spans="2:2">
      <c r="B7914" s="17"/>
    </row>
    <row r="7915" spans="2:2">
      <c r="B7915" s="17"/>
    </row>
    <row r="7916" spans="2:2">
      <c r="B7916" s="17"/>
    </row>
    <row r="7917" spans="2:2">
      <c r="B7917" s="17"/>
    </row>
    <row r="7918" spans="2:2">
      <c r="B7918" s="17"/>
    </row>
    <row r="7919" spans="2:2">
      <c r="B7919" s="17"/>
    </row>
    <row r="7920" spans="2:2">
      <c r="B7920" s="17"/>
    </row>
    <row r="7921" spans="2:2">
      <c r="B7921" s="17"/>
    </row>
    <row r="7922" spans="2:2">
      <c r="B7922" s="17"/>
    </row>
    <row r="7923" spans="2:2">
      <c r="B7923" s="17"/>
    </row>
    <row r="7924" spans="2:2">
      <c r="B7924" s="17"/>
    </row>
    <row r="7925" spans="2:2">
      <c r="B7925" s="17"/>
    </row>
    <row r="7926" spans="2:2">
      <c r="B7926" s="17"/>
    </row>
    <row r="7927" spans="2:2">
      <c r="B7927" s="17"/>
    </row>
    <row r="7928" spans="2:2">
      <c r="B7928" s="17"/>
    </row>
    <row r="7929" spans="2:2">
      <c r="B7929" s="17"/>
    </row>
    <row r="7930" spans="2:2">
      <c r="B7930" s="17"/>
    </row>
    <row r="7931" spans="2:2">
      <c r="B7931" s="17"/>
    </row>
    <row r="7932" spans="2:2">
      <c r="B7932" s="17"/>
    </row>
    <row r="7933" spans="2:2">
      <c r="B7933" s="17"/>
    </row>
    <row r="7934" spans="2:2">
      <c r="B7934" s="17"/>
    </row>
    <row r="7935" spans="2:2">
      <c r="B7935" s="17"/>
    </row>
    <row r="7936" spans="2:2">
      <c r="B7936" s="17"/>
    </row>
    <row r="7937" spans="2:2">
      <c r="B7937" s="17"/>
    </row>
    <row r="7938" spans="2:2">
      <c r="B7938" s="17"/>
    </row>
    <row r="7939" spans="2:2">
      <c r="B7939" s="17"/>
    </row>
    <row r="7940" spans="2:2">
      <c r="B7940" s="17"/>
    </row>
    <row r="7941" spans="2:2">
      <c r="B7941" s="17"/>
    </row>
    <row r="7942" spans="2:2">
      <c r="B7942" s="17"/>
    </row>
    <row r="7943" spans="2:2">
      <c r="B7943" s="17"/>
    </row>
    <row r="7944" spans="2:2">
      <c r="B7944" s="17"/>
    </row>
    <row r="7945" spans="2:2">
      <c r="B7945" s="17"/>
    </row>
    <row r="7946" spans="2:2">
      <c r="B7946" s="17"/>
    </row>
    <row r="7947" spans="2:2">
      <c r="B7947" s="17"/>
    </row>
    <row r="7948" spans="2:2">
      <c r="B7948" s="17"/>
    </row>
    <row r="7949" spans="2:2">
      <c r="B7949" s="17"/>
    </row>
    <row r="7950" spans="2:2">
      <c r="B7950" s="17"/>
    </row>
    <row r="7951" spans="2:2">
      <c r="B7951" s="17"/>
    </row>
    <row r="7952" spans="2:2">
      <c r="B7952" s="17"/>
    </row>
    <row r="7953" spans="2:2">
      <c r="B7953" s="17"/>
    </row>
    <row r="7954" spans="2:2">
      <c r="B7954" s="17"/>
    </row>
    <row r="7955" spans="2:2">
      <c r="B7955" s="17"/>
    </row>
    <row r="7956" spans="2:2">
      <c r="B7956" s="17"/>
    </row>
    <row r="7957" spans="2:2">
      <c r="B7957" s="17"/>
    </row>
    <row r="7958" spans="2:2">
      <c r="B7958" s="17"/>
    </row>
    <row r="7959" spans="2:2">
      <c r="B7959" s="17"/>
    </row>
    <row r="7960" spans="2:2">
      <c r="B7960" s="17"/>
    </row>
    <row r="7961" spans="2:2">
      <c r="B7961" s="17"/>
    </row>
    <row r="7962" spans="2:2">
      <c r="B7962" s="17"/>
    </row>
    <row r="7963" spans="2:2">
      <c r="B7963" s="17"/>
    </row>
    <row r="7964" spans="2:2">
      <c r="B7964" s="17"/>
    </row>
    <row r="7965" spans="2:2">
      <c r="B7965" s="17"/>
    </row>
    <row r="7966" spans="2:2">
      <c r="B7966" s="17"/>
    </row>
    <row r="7967" spans="2:2">
      <c r="B7967" s="17"/>
    </row>
    <row r="7968" spans="2:2">
      <c r="B7968" s="17"/>
    </row>
    <row r="7969" spans="2:2">
      <c r="B7969" s="17"/>
    </row>
    <row r="7970" spans="2:2">
      <c r="B7970" s="17"/>
    </row>
    <row r="7971" spans="2:2">
      <c r="B7971" s="17"/>
    </row>
    <row r="7972" spans="2:2">
      <c r="B7972" s="17"/>
    </row>
    <row r="7973" spans="2:2">
      <c r="B7973" s="17"/>
    </row>
    <row r="7974" spans="2:2">
      <c r="B7974" s="17"/>
    </row>
    <row r="7975" spans="2:2">
      <c r="B7975" s="17"/>
    </row>
    <row r="7976" spans="2:2">
      <c r="B7976" s="17"/>
    </row>
    <row r="7977" spans="2:2">
      <c r="B7977" s="17"/>
    </row>
    <row r="7978" spans="2:2">
      <c r="B7978" s="17"/>
    </row>
    <row r="7979" spans="2:2">
      <c r="B7979" s="17"/>
    </row>
    <row r="7980" spans="2:2">
      <c r="B7980" s="17"/>
    </row>
    <row r="7981" spans="2:2">
      <c r="B7981" s="17"/>
    </row>
    <row r="7982" spans="2:2">
      <c r="B7982" s="17"/>
    </row>
    <row r="7983" spans="2:2">
      <c r="B7983" s="17"/>
    </row>
    <row r="7984" spans="2:2">
      <c r="B7984" s="17"/>
    </row>
    <row r="7985" spans="2:2">
      <c r="B7985" s="17"/>
    </row>
    <row r="7986" spans="2:2">
      <c r="B7986" s="17"/>
    </row>
    <row r="7987" spans="2:2">
      <c r="B7987" s="17"/>
    </row>
    <row r="7988" spans="2:2">
      <c r="B7988" s="17"/>
    </row>
    <row r="7989" spans="2:2">
      <c r="B7989" s="17"/>
    </row>
    <row r="7990" spans="2:2">
      <c r="B7990" s="17"/>
    </row>
    <row r="7991" spans="2:2">
      <c r="B7991" s="17"/>
    </row>
    <row r="7992" spans="2:2">
      <c r="B7992" s="17"/>
    </row>
    <row r="7993" spans="2:2">
      <c r="B7993" s="17"/>
    </row>
    <row r="7994" spans="2:2">
      <c r="B7994" s="17"/>
    </row>
    <row r="7995" spans="2:2">
      <c r="B7995" s="17"/>
    </row>
    <row r="7996" spans="2:2">
      <c r="B7996" s="17"/>
    </row>
    <row r="7997" spans="2:2">
      <c r="B7997" s="17"/>
    </row>
    <row r="7998" spans="2:2">
      <c r="B7998" s="17"/>
    </row>
    <row r="7999" spans="2:2">
      <c r="B7999" s="17"/>
    </row>
    <row r="8000" spans="2:2">
      <c r="B8000" s="17"/>
    </row>
    <row r="8001" spans="2:2">
      <c r="B8001" s="17"/>
    </row>
    <row r="8002" spans="2:2">
      <c r="B8002" s="17"/>
    </row>
    <row r="8003" spans="2:2">
      <c r="B8003" s="17"/>
    </row>
    <row r="8004" spans="2:2">
      <c r="B8004" s="17"/>
    </row>
    <row r="8005" spans="2:2">
      <c r="B8005" s="17"/>
    </row>
    <row r="8006" spans="2:2">
      <c r="B8006" s="17"/>
    </row>
    <row r="8007" spans="2:2">
      <c r="B8007" s="17"/>
    </row>
    <row r="8008" spans="2:2">
      <c r="B8008" s="17"/>
    </row>
    <row r="8009" spans="2:2">
      <c r="B8009" s="17"/>
    </row>
    <row r="8010" spans="2:2">
      <c r="B8010" s="17"/>
    </row>
    <row r="8011" spans="2:2">
      <c r="B8011" s="17"/>
    </row>
    <row r="8012" spans="2:2">
      <c r="B8012" s="17"/>
    </row>
    <row r="8013" spans="2:2">
      <c r="B8013" s="17"/>
    </row>
    <row r="8014" spans="2:2">
      <c r="B8014" s="17"/>
    </row>
    <row r="8015" spans="2:2">
      <c r="B8015" s="17"/>
    </row>
    <row r="8016" spans="2:2">
      <c r="B8016" s="17"/>
    </row>
    <row r="8017" spans="2:2">
      <c r="B8017" s="17"/>
    </row>
    <row r="8018" spans="2:2">
      <c r="B8018" s="17"/>
    </row>
    <row r="8019" spans="2:2">
      <c r="B8019" s="17"/>
    </row>
    <row r="8020" spans="2:2">
      <c r="B8020" s="17"/>
    </row>
    <row r="8021" spans="2:2">
      <c r="B8021" s="17"/>
    </row>
    <row r="8022" spans="2:2">
      <c r="B8022" s="17"/>
    </row>
    <row r="8023" spans="2:2">
      <c r="B8023" s="17"/>
    </row>
    <row r="8024" spans="2:2">
      <c r="B8024" s="17"/>
    </row>
    <row r="8025" spans="2:2">
      <c r="B8025" s="17"/>
    </row>
    <row r="8026" spans="2:2">
      <c r="B8026" s="17"/>
    </row>
    <row r="8027" spans="2:2">
      <c r="B8027" s="17"/>
    </row>
    <row r="8028" spans="2:2">
      <c r="B8028" s="17"/>
    </row>
    <row r="8029" spans="2:2">
      <c r="B8029" s="17"/>
    </row>
    <row r="8030" spans="2:2">
      <c r="B8030" s="17"/>
    </row>
    <row r="8031" spans="2:2">
      <c r="B8031" s="17"/>
    </row>
    <row r="8032" spans="2:2">
      <c r="B8032" s="17"/>
    </row>
    <row r="8033" spans="2:2">
      <c r="B8033" s="17"/>
    </row>
    <row r="8034" spans="2:2">
      <c r="B8034" s="17"/>
    </row>
    <row r="8035" spans="2:2">
      <c r="B8035" s="17"/>
    </row>
    <row r="8036" spans="2:2">
      <c r="B8036" s="17"/>
    </row>
    <row r="8037" spans="2:2">
      <c r="B8037" s="17"/>
    </row>
    <row r="8038" spans="2:2">
      <c r="B8038" s="17"/>
    </row>
    <row r="8039" spans="2:2">
      <c r="B8039" s="17"/>
    </row>
    <row r="8040" spans="2:2">
      <c r="B8040" s="17"/>
    </row>
    <row r="8041" spans="2:2">
      <c r="B8041" s="17"/>
    </row>
    <row r="8042" spans="2:2">
      <c r="B8042" s="17"/>
    </row>
    <row r="8043" spans="2:2">
      <c r="B8043" s="17"/>
    </row>
    <row r="8044" spans="2:2">
      <c r="B8044" s="17"/>
    </row>
    <row r="8045" spans="2:2">
      <c r="B8045" s="17"/>
    </row>
    <row r="8046" spans="2:2">
      <c r="B8046" s="17"/>
    </row>
    <row r="8047" spans="2:2">
      <c r="B8047" s="17"/>
    </row>
    <row r="8048" spans="2:2">
      <c r="B8048" s="17"/>
    </row>
    <row r="8049" spans="2:2">
      <c r="B8049" s="17"/>
    </row>
    <row r="8050" spans="2:2">
      <c r="B8050" s="17"/>
    </row>
    <row r="8051" spans="2:2">
      <c r="B8051" s="17"/>
    </row>
    <row r="8052" spans="2:2">
      <c r="B8052" s="17"/>
    </row>
    <row r="8053" spans="2:2">
      <c r="B8053" s="17"/>
    </row>
    <row r="8054" spans="2:2">
      <c r="B8054" s="17"/>
    </row>
    <row r="8055" spans="2:2">
      <c r="B8055" s="17"/>
    </row>
    <row r="8056" spans="2:2">
      <c r="B8056" s="17"/>
    </row>
    <row r="8057" spans="2:2">
      <c r="B8057" s="17"/>
    </row>
    <row r="8058" spans="2:2">
      <c r="B8058" s="17"/>
    </row>
    <row r="8059" spans="2:2">
      <c r="B8059" s="17"/>
    </row>
    <row r="8060" spans="2:2">
      <c r="B8060" s="17"/>
    </row>
    <row r="8061" spans="2:2">
      <c r="B8061" s="17"/>
    </row>
    <row r="8062" spans="2:2">
      <c r="B8062" s="17"/>
    </row>
    <row r="8063" spans="2:2">
      <c r="B8063" s="17"/>
    </row>
    <row r="8064" spans="2:2">
      <c r="B8064" s="17"/>
    </row>
    <row r="8065" spans="2:2">
      <c r="B8065" s="17"/>
    </row>
    <row r="8066" spans="2:2">
      <c r="B8066" s="17"/>
    </row>
    <row r="8067" spans="2:2">
      <c r="B8067" s="17"/>
    </row>
    <row r="8068" spans="2:2">
      <c r="B8068" s="17"/>
    </row>
    <row r="8069" spans="2:2">
      <c r="B8069" s="17"/>
    </row>
    <row r="8070" spans="2:2">
      <c r="B8070" s="17"/>
    </row>
    <row r="8071" spans="2:2">
      <c r="B8071" s="17"/>
    </row>
    <row r="8072" spans="2:2">
      <c r="B8072" s="17"/>
    </row>
    <row r="8073" spans="2:2">
      <c r="B8073" s="17"/>
    </row>
    <row r="8074" spans="2:2">
      <c r="B8074" s="17"/>
    </row>
    <row r="8075" spans="2:2">
      <c r="B8075" s="17"/>
    </row>
    <row r="8076" spans="2:2">
      <c r="B8076" s="17"/>
    </row>
    <row r="8077" spans="2:2">
      <c r="B8077" s="17"/>
    </row>
    <row r="8078" spans="2:2">
      <c r="B8078" s="17"/>
    </row>
    <row r="8079" spans="2:2">
      <c r="B8079" s="17"/>
    </row>
    <row r="8080" spans="2:2">
      <c r="B8080" s="17"/>
    </row>
    <row r="8081" spans="2:2">
      <c r="B8081" s="17"/>
    </row>
    <row r="8082" spans="2:2">
      <c r="B8082" s="17"/>
    </row>
    <row r="8083" spans="2:2">
      <c r="B8083" s="17"/>
    </row>
    <row r="8084" spans="2:2">
      <c r="B8084" s="17"/>
    </row>
    <row r="8085" spans="2:2">
      <c r="B8085" s="17"/>
    </row>
    <row r="8086" spans="2:2">
      <c r="B8086" s="17"/>
    </row>
    <row r="8087" spans="2:2">
      <c r="B8087" s="17"/>
    </row>
    <row r="8088" spans="2:2">
      <c r="B8088" s="17"/>
    </row>
    <row r="8089" spans="2:2">
      <c r="B8089" s="17"/>
    </row>
    <row r="8090" spans="2:2">
      <c r="B8090" s="17"/>
    </row>
    <row r="8091" spans="2:2">
      <c r="B8091" s="17"/>
    </row>
    <row r="8092" spans="2:2">
      <c r="B8092" s="17"/>
    </row>
    <row r="8093" spans="2:2">
      <c r="B8093" s="17"/>
    </row>
    <row r="8094" spans="2:2">
      <c r="B8094" s="17"/>
    </row>
    <row r="8095" spans="2:2">
      <c r="B8095" s="17"/>
    </row>
    <row r="8096" spans="2:2">
      <c r="B8096" s="17"/>
    </row>
    <row r="8097" spans="2:2">
      <c r="B8097" s="17"/>
    </row>
    <row r="8098" spans="2:2">
      <c r="B8098" s="17"/>
    </row>
    <row r="8099" spans="2:2">
      <c r="B8099" s="17"/>
    </row>
    <row r="8100" spans="2:2">
      <c r="B8100" s="17"/>
    </row>
    <row r="8101" spans="2:2">
      <c r="B8101" s="17"/>
    </row>
    <row r="8102" spans="2:2">
      <c r="B8102" s="17"/>
    </row>
    <row r="8103" spans="2:2">
      <c r="B8103" s="17"/>
    </row>
    <row r="8104" spans="2:2">
      <c r="B8104" s="17"/>
    </row>
    <row r="8105" spans="2:2">
      <c r="B8105" s="17"/>
    </row>
    <row r="8106" spans="2:2">
      <c r="B8106" s="17"/>
    </row>
    <row r="8107" spans="2:2">
      <c r="B8107" s="17"/>
    </row>
    <row r="8108" spans="2:2">
      <c r="B8108" s="17"/>
    </row>
    <row r="8109" spans="2:2">
      <c r="B8109" s="17"/>
    </row>
    <row r="8110" spans="2:2">
      <c r="B8110" s="17"/>
    </row>
    <row r="8111" spans="2:2">
      <c r="B8111" s="17"/>
    </row>
    <row r="8112" spans="2:2">
      <c r="B8112" s="17"/>
    </row>
    <row r="8113" spans="2:2">
      <c r="B8113" s="17"/>
    </row>
    <row r="8114" spans="2:2">
      <c r="B8114" s="17"/>
    </row>
    <row r="8115" spans="2:2">
      <c r="B8115" s="17"/>
    </row>
    <row r="8116" spans="2:2">
      <c r="B8116" s="17"/>
    </row>
    <row r="8117" spans="2:2">
      <c r="B8117" s="17"/>
    </row>
    <row r="8118" spans="2:2">
      <c r="B8118" s="17"/>
    </row>
    <row r="8119" spans="2:2">
      <c r="B8119" s="17"/>
    </row>
    <row r="8120" spans="2:2">
      <c r="B8120" s="17"/>
    </row>
    <row r="8121" spans="2:2">
      <c r="B8121" s="17"/>
    </row>
    <row r="8122" spans="2:2">
      <c r="B8122" s="17"/>
    </row>
    <row r="8123" spans="2:2">
      <c r="B8123" s="17"/>
    </row>
    <row r="8124" spans="2:2">
      <c r="B8124" s="17"/>
    </row>
    <row r="8125" spans="2:2">
      <c r="B8125" s="17"/>
    </row>
    <row r="8126" spans="2:2">
      <c r="B8126" s="17"/>
    </row>
    <row r="8127" spans="2:2">
      <c r="B8127" s="17"/>
    </row>
    <row r="8128" spans="2:2">
      <c r="B8128" s="17"/>
    </row>
    <row r="8129" spans="2:2">
      <c r="B8129" s="17"/>
    </row>
    <row r="8130" spans="2:2">
      <c r="B8130" s="17"/>
    </row>
    <row r="8131" spans="2:2">
      <c r="B8131" s="17"/>
    </row>
    <row r="8132" spans="2:2">
      <c r="B8132" s="17"/>
    </row>
    <row r="8133" spans="2:2">
      <c r="B8133" s="17"/>
    </row>
    <row r="8134" spans="2:2">
      <c r="B8134" s="17"/>
    </row>
    <row r="8135" spans="2:2">
      <c r="B8135" s="17"/>
    </row>
    <row r="8136" spans="2:2">
      <c r="B8136" s="17"/>
    </row>
    <row r="8137" spans="2:2">
      <c r="B8137" s="17"/>
    </row>
    <row r="8138" spans="2:2">
      <c r="B8138" s="17"/>
    </row>
    <row r="8139" spans="2:2">
      <c r="B8139" s="17"/>
    </row>
    <row r="8140" spans="2:2">
      <c r="B8140" s="17"/>
    </row>
    <row r="8141" spans="2:2">
      <c r="B8141" s="17"/>
    </row>
    <row r="8142" spans="2:2">
      <c r="B8142" s="17"/>
    </row>
    <row r="8143" spans="2:2">
      <c r="B8143" s="17"/>
    </row>
    <row r="8144" spans="2:2">
      <c r="B8144" s="17"/>
    </row>
    <row r="8145" spans="2:2">
      <c r="B8145" s="17"/>
    </row>
    <row r="8146" spans="2:2">
      <c r="B8146" s="17"/>
    </row>
    <row r="8147" spans="2:2">
      <c r="B8147" s="17"/>
    </row>
    <row r="8148" spans="2:2">
      <c r="B8148" s="17"/>
    </row>
    <row r="8149" spans="2:2">
      <c r="B8149" s="17"/>
    </row>
    <row r="8150" spans="2:2">
      <c r="B8150" s="17"/>
    </row>
    <row r="8151" spans="2:2">
      <c r="B8151" s="17"/>
    </row>
    <row r="8152" spans="2:2">
      <c r="B8152" s="17"/>
    </row>
    <row r="8153" spans="2:2">
      <c r="B8153" s="17"/>
    </row>
    <row r="8154" spans="2:2">
      <c r="B8154" s="17"/>
    </row>
    <row r="8155" spans="2:2">
      <c r="B8155" s="17"/>
    </row>
    <row r="8156" spans="2:2">
      <c r="B8156" s="17"/>
    </row>
    <row r="8157" spans="2:2">
      <c r="B8157" s="17"/>
    </row>
    <row r="8158" spans="2:2">
      <c r="B8158" s="17"/>
    </row>
    <row r="8159" spans="2:2">
      <c r="B8159" s="17"/>
    </row>
    <row r="8160" spans="2:2">
      <c r="B8160" s="17"/>
    </row>
    <row r="8161" spans="2:2">
      <c r="B8161" s="17"/>
    </row>
    <row r="8162" spans="2:2">
      <c r="B8162" s="17"/>
    </row>
    <row r="8163" spans="2:2">
      <c r="B8163" s="17"/>
    </row>
    <row r="8164" spans="2:2">
      <c r="B8164" s="17"/>
    </row>
    <row r="8165" spans="2:2">
      <c r="B8165" s="17"/>
    </row>
    <row r="8166" spans="2:2">
      <c r="B8166" s="17"/>
    </row>
    <row r="8167" spans="2:2">
      <c r="B8167" s="17"/>
    </row>
    <row r="8168" spans="2:2">
      <c r="B8168" s="17"/>
    </row>
    <row r="8169" spans="2:2">
      <c r="B8169" s="17"/>
    </row>
    <row r="8170" spans="2:2">
      <c r="B8170" s="17"/>
    </row>
    <row r="8171" spans="2:2">
      <c r="B8171" s="17"/>
    </row>
    <row r="8172" spans="2:2">
      <c r="B8172" s="17"/>
    </row>
    <row r="8173" spans="2:2">
      <c r="B8173" s="17"/>
    </row>
    <row r="8174" spans="2:2">
      <c r="B8174" s="17"/>
    </row>
    <row r="8175" spans="2:2">
      <c r="B8175" s="17"/>
    </row>
    <row r="8176" spans="2:2">
      <c r="B8176" s="17"/>
    </row>
    <row r="8177" spans="2:2">
      <c r="B8177" s="17"/>
    </row>
    <row r="8178" spans="2:2">
      <c r="B8178" s="17"/>
    </row>
    <row r="8179" spans="2:2">
      <c r="B8179" s="17"/>
    </row>
    <row r="8180" spans="2:2">
      <c r="B8180" s="17"/>
    </row>
    <row r="8181" spans="2:2">
      <c r="B8181" s="17"/>
    </row>
    <row r="8182" spans="2:2">
      <c r="B8182" s="17"/>
    </row>
    <row r="8183" spans="2:2">
      <c r="B8183" s="17"/>
    </row>
    <row r="8184" spans="2:2">
      <c r="B8184" s="17"/>
    </row>
    <row r="8185" spans="2:2">
      <c r="B8185" s="17"/>
    </row>
    <row r="8186" spans="2:2">
      <c r="B8186" s="17"/>
    </row>
    <row r="8187" spans="2:2">
      <c r="B8187" s="17"/>
    </row>
    <row r="8188" spans="2:2">
      <c r="B8188" s="17"/>
    </row>
    <row r="8189" spans="2:2">
      <c r="B8189" s="17"/>
    </row>
    <row r="8190" spans="2:2">
      <c r="B8190" s="17"/>
    </row>
    <row r="8191" spans="2:2">
      <c r="B8191" s="17"/>
    </row>
    <row r="8192" spans="2:2">
      <c r="B8192" s="17"/>
    </row>
    <row r="8193" spans="2:2">
      <c r="B8193" s="17"/>
    </row>
    <row r="8194" spans="2:2">
      <c r="B8194" s="17"/>
    </row>
    <row r="8195" spans="2:2">
      <c r="B8195" s="17"/>
    </row>
    <row r="8196" spans="2:2">
      <c r="B8196" s="17"/>
    </row>
    <row r="8197" spans="2:2">
      <c r="B8197" s="17"/>
    </row>
    <row r="8198" spans="2:2">
      <c r="B8198" s="17"/>
    </row>
    <row r="8199" spans="2:2">
      <c r="B8199" s="17"/>
    </row>
    <row r="8200" spans="2:2">
      <c r="B8200" s="17"/>
    </row>
    <row r="8201" spans="2:2">
      <c r="B8201" s="17"/>
    </row>
    <row r="8202" spans="2:2">
      <c r="B8202" s="17"/>
    </row>
    <row r="8203" spans="2:2">
      <c r="B8203" s="17"/>
    </row>
    <row r="8204" spans="2:2">
      <c r="B8204" s="17"/>
    </row>
    <row r="8205" spans="2:2">
      <c r="B8205" s="17"/>
    </row>
    <row r="8206" spans="2:2">
      <c r="B8206" s="17"/>
    </row>
    <row r="8207" spans="2:2">
      <c r="B8207" s="17"/>
    </row>
    <row r="8208" spans="2:2">
      <c r="B8208" s="17"/>
    </row>
    <row r="8209" spans="2:2">
      <c r="B8209" s="17"/>
    </row>
    <row r="8210" spans="2:2">
      <c r="B8210" s="17"/>
    </row>
    <row r="8211" spans="2:2">
      <c r="B8211" s="17"/>
    </row>
    <row r="8212" spans="2:2">
      <c r="B8212" s="17"/>
    </row>
    <row r="8213" spans="2:2">
      <c r="B8213" s="17"/>
    </row>
    <row r="8214" spans="2:2">
      <c r="B8214" s="17"/>
    </row>
    <row r="8215" spans="2:2">
      <c r="B8215" s="17"/>
    </row>
    <row r="8216" spans="2:2">
      <c r="B8216" s="17"/>
    </row>
    <row r="8217" spans="2:2">
      <c r="B8217" s="17"/>
    </row>
    <row r="8218" spans="2:2">
      <c r="B8218" s="17"/>
    </row>
    <row r="8219" spans="2:2">
      <c r="B8219" s="17"/>
    </row>
    <row r="8220" spans="2:2">
      <c r="B8220" s="17"/>
    </row>
    <row r="8221" spans="2:2">
      <c r="B8221" s="17"/>
    </row>
    <row r="8222" spans="2:2">
      <c r="B8222" s="17"/>
    </row>
    <row r="8223" spans="2:2">
      <c r="B8223" s="17"/>
    </row>
    <row r="8224" spans="2:2">
      <c r="B8224" s="17"/>
    </row>
    <row r="8225" spans="2:2">
      <c r="B8225" s="17"/>
    </row>
    <row r="8226" spans="2:2">
      <c r="B8226" s="17"/>
    </row>
    <row r="8227" spans="2:2">
      <c r="B8227" s="17"/>
    </row>
    <row r="8228" spans="2:2">
      <c r="B8228" s="17"/>
    </row>
    <row r="8229" spans="2:2">
      <c r="B8229" s="17"/>
    </row>
    <row r="8230" spans="2:2">
      <c r="B8230" s="17"/>
    </row>
    <row r="8231" spans="2:2">
      <c r="B8231" s="17"/>
    </row>
    <row r="8232" spans="2:2">
      <c r="B8232" s="17"/>
    </row>
    <row r="8233" spans="2:2">
      <c r="B8233" s="17"/>
    </row>
    <row r="8234" spans="2:2">
      <c r="B8234" s="17"/>
    </row>
    <row r="8235" spans="2:2">
      <c r="B8235" s="17"/>
    </row>
    <row r="8236" spans="2:2">
      <c r="B8236" s="17"/>
    </row>
    <row r="8237" spans="2:2">
      <c r="B8237" s="17"/>
    </row>
    <row r="8238" spans="2:2">
      <c r="B8238" s="17"/>
    </row>
    <row r="8239" spans="2:2">
      <c r="B8239" s="17"/>
    </row>
    <row r="8240" spans="2:2">
      <c r="B8240" s="17"/>
    </row>
    <row r="8241" spans="2:2">
      <c r="B8241" s="17"/>
    </row>
    <row r="8242" spans="2:2">
      <c r="B8242" s="17"/>
    </row>
    <row r="8243" spans="2:2">
      <c r="B8243" s="17"/>
    </row>
    <row r="8244" spans="2:2">
      <c r="B8244" s="17"/>
    </row>
    <row r="8245" spans="2:2">
      <c r="B8245" s="17"/>
    </row>
    <row r="8246" spans="2:2">
      <c r="B8246" s="17"/>
    </row>
    <row r="8247" spans="2:2">
      <c r="B8247" s="17"/>
    </row>
    <row r="8248" spans="2:2">
      <c r="B8248" s="17"/>
    </row>
    <row r="8249" spans="2:2">
      <c r="B8249" s="17"/>
    </row>
    <row r="8250" spans="2:2">
      <c r="B8250" s="17"/>
    </row>
    <row r="8251" spans="2:2">
      <c r="B8251" s="17"/>
    </row>
    <row r="8252" spans="2:2">
      <c r="B8252" s="17"/>
    </row>
    <row r="8253" spans="2:2">
      <c r="B8253" s="17"/>
    </row>
    <row r="8254" spans="2:2">
      <c r="B8254" s="17"/>
    </row>
    <row r="8255" spans="2:2">
      <c r="B8255" s="17"/>
    </row>
    <row r="8256" spans="2:2">
      <c r="B8256" s="17"/>
    </row>
    <row r="8257" spans="2:2">
      <c r="B8257" s="17"/>
    </row>
    <row r="8258" spans="2:2">
      <c r="B8258" s="17"/>
    </row>
    <row r="8259" spans="2:2">
      <c r="B8259" s="17"/>
    </row>
    <row r="8260" spans="2:2">
      <c r="B8260" s="17"/>
    </row>
    <row r="8261" spans="2:2">
      <c r="B8261" s="17"/>
    </row>
    <row r="8262" spans="2:2">
      <c r="B8262" s="17"/>
    </row>
    <row r="8263" spans="2:2">
      <c r="B8263" s="17"/>
    </row>
    <row r="8264" spans="2:2">
      <c r="B8264" s="17"/>
    </row>
    <row r="8265" spans="2:2">
      <c r="B8265" s="17"/>
    </row>
    <row r="8266" spans="2:2">
      <c r="B8266" s="17"/>
    </row>
    <row r="8267" spans="2:2">
      <c r="B8267" s="17"/>
    </row>
    <row r="8268" spans="2:2">
      <c r="B8268" s="17"/>
    </row>
    <row r="8269" spans="2:2">
      <c r="B8269" s="17"/>
    </row>
    <row r="8270" spans="2:2">
      <c r="B8270" s="17"/>
    </row>
    <row r="8271" spans="2:2">
      <c r="B8271" s="17"/>
    </row>
    <row r="8272" spans="2:2">
      <c r="B8272" s="17"/>
    </row>
    <row r="8273" spans="2:2">
      <c r="B8273" s="17"/>
    </row>
    <row r="8274" spans="2:2">
      <c r="B8274" s="17"/>
    </row>
    <row r="8275" spans="2:2">
      <c r="B8275" s="17"/>
    </row>
    <row r="8276" spans="2:2">
      <c r="B8276" s="17"/>
    </row>
    <row r="8277" spans="2:2">
      <c r="B8277" s="17"/>
    </row>
    <row r="8278" spans="2:2">
      <c r="B8278" s="17"/>
    </row>
    <row r="8279" spans="2:2">
      <c r="B8279" s="17"/>
    </row>
    <row r="8280" spans="2:2">
      <c r="B8280" s="17"/>
    </row>
    <row r="8281" spans="2:2">
      <c r="B8281" s="17"/>
    </row>
    <row r="8282" spans="2:2">
      <c r="B8282" s="17"/>
    </row>
    <row r="8283" spans="2:2">
      <c r="B8283" s="17"/>
    </row>
    <row r="8284" spans="2:2">
      <c r="B8284" s="17"/>
    </row>
    <row r="8285" spans="2:2">
      <c r="B8285" s="17"/>
    </row>
    <row r="8286" spans="2:2">
      <c r="B8286" s="17"/>
    </row>
    <row r="8287" spans="2:2">
      <c r="B8287" s="17"/>
    </row>
    <row r="8288" spans="2:2">
      <c r="B8288" s="17"/>
    </row>
    <row r="8289" spans="2:2">
      <c r="B8289" s="17"/>
    </row>
    <row r="8290" spans="2:2">
      <c r="B8290" s="17"/>
    </row>
    <row r="8291" spans="2:2">
      <c r="B8291" s="17"/>
    </row>
    <row r="8292" spans="2:2">
      <c r="B8292" s="17"/>
    </row>
    <row r="8293" spans="2:2">
      <c r="B8293" s="17"/>
    </row>
    <row r="8294" spans="2:2">
      <c r="B8294" s="17"/>
    </row>
    <row r="8295" spans="2:2">
      <c r="B8295" s="17"/>
    </row>
    <row r="8296" spans="2:2">
      <c r="B8296" s="17"/>
    </row>
    <row r="8297" spans="2:2">
      <c r="B8297" s="17"/>
    </row>
    <row r="8298" spans="2:2">
      <c r="B8298" s="17"/>
    </row>
    <row r="8299" spans="2:2">
      <c r="B8299" s="17"/>
    </row>
    <row r="8300" spans="2:2">
      <c r="B8300" s="17"/>
    </row>
    <row r="8301" spans="2:2">
      <c r="B8301" s="17"/>
    </row>
    <row r="8302" spans="2:2">
      <c r="B8302" s="17"/>
    </row>
    <row r="8303" spans="2:2">
      <c r="B8303" s="17"/>
    </row>
    <row r="8304" spans="2:2">
      <c r="B8304" s="17"/>
    </row>
    <row r="8305" spans="2:2">
      <c r="B8305" s="17"/>
    </row>
    <row r="8306" spans="2:2">
      <c r="B8306" s="17"/>
    </row>
    <row r="8307" spans="2:2">
      <c r="B8307" s="17"/>
    </row>
    <row r="8308" spans="2:2">
      <c r="B8308" s="17"/>
    </row>
    <row r="8309" spans="2:2">
      <c r="B8309" s="17"/>
    </row>
    <row r="8310" spans="2:2">
      <c r="B8310" s="17"/>
    </row>
    <row r="8311" spans="2:2">
      <c r="B8311" s="17"/>
    </row>
    <row r="8312" spans="2:2">
      <c r="B8312" s="17"/>
    </row>
    <row r="8313" spans="2:2">
      <c r="B8313" s="17"/>
    </row>
    <row r="8314" spans="2:2">
      <c r="B8314" s="17"/>
    </row>
    <row r="8315" spans="2:2">
      <c r="B8315" s="17"/>
    </row>
    <row r="8316" spans="2:2">
      <c r="B8316" s="17"/>
    </row>
    <row r="8317" spans="2:2">
      <c r="B8317" s="17"/>
    </row>
    <row r="8318" spans="2:2">
      <c r="B8318" s="17"/>
    </row>
    <row r="8319" spans="2:2">
      <c r="B8319" s="17"/>
    </row>
    <row r="8320" spans="2:2">
      <c r="B8320" s="17"/>
    </row>
    <row r="8321" spans="2:2">
      <c r="B8321" s="17"/>
    </row>
    <row r="8322" spans="2:2">
      <c r="B8322" s="17"/>
    </row>
    <row r="8323" spans="2:2">
      <c r="B8323" s="17"/>
    </row>
    <row r="8324" spans="2:2">
      <c r="B8324" s="17"/>
    </row>
    <row r="8325" spans="2:2">
      <c r="B8325" s="17"/>
    </row>
    <row r="8326" spans="2:2">
      <c r="B8326" s="17"/>
    </row>
    <row r="8327" spans="2:2">
      <c r="B8327" s="17"/>
    </row>
    <row r="8328" spans="2:2">
      <c r="B8328" s="17"/>
    </row>
    <row r="8329" spans="2:2">
      <c r="B8329" s="17"/>
    </row>
    <row r="8330" spans="2:2">
      <c r="B8330" s="17"/>
    </row>
    <row r="8331" spans="2:2">
      <c r="B8331" s="17"/>
    </row>
    <row r="8332" spans="2:2">
      <c r="B8332" s="17"/>
    </row>
    <row r="8333" spans="2:2">
      <c r="B8333" s="17"/>
    </row>
    <row r="8334" spans="2:2">
      <c r="B8334" s="17"/>
    </row>
    <row r="8335" spans="2:2">
      <c r="B8335" s="17"/>
    </row>
    <row r="8336" spans="2:2">
      <c r="B8336" s="17"/>
    </row>
    <row r="8337" spans="2:2">
      <c r="B8337" s="17"/>
    </row>
    <row r="8338" spans="2:2">
      <c r="B8338" s="17"/>
    </row>
    <row r="8339" spans="2:2">
      <c r="B8339" s="17"/>
    </row>
    <row r="8340" spans="2:2">
      <c r="B8340" s="17"/>
    </row>
    <row r="8341" spans="2:2">
      <c r="B8341" s="17"/>
    </row>
    <row r="8342" spans="2:2">
      <c r="B8342" s="17"/>
    </row>
    <row r="8343" spans="2:2">
      <c r="B8343" s="17"/>
    </row>
    <row r="8344" spans="2:2">
      <c r="B8344" s="17"/>
    </row>
    <row r="8345" spans="2:2">
      <c r="B8345" s="17"/>
    </row>
    <row r="8346" spans="2:2">
      <c r="B8346" s="17"/>
    </row>
    <row r="8347" spans="2:2">
      <c r="B8347" s="17"/>
    </row>
    <row r="8348" spans="2:2">
      <c r="B8348" s="17"/>
    </row>
    <row r="8349" spans="2:2">
      <c r="B8349" s="17"/>
    </row>
    <row r="8350" spans="2:2">
      <c r="B8350" s="17"/>
    </row>
    <row r="8351" spans="2:2">
      <c r="B8351" s="17"/>
    </row>
    <row r="8352" spans="2:2">
      <c r="B8352" s="17"/>
    </row>
    <row r="8353" spans="2:2">
      <c r="B8353" s="17"/>
    </row>
    <row r="8354" spans="2:2">
      <c r="B8354" s="17"/>
    </row>
    <row r="8355" spans="2:2">
      <c r="B8355" s="17"/>
    </row>
    <row r="8356" spans="2:2">
      <c r="B8356" s="17"/>
    </row>
    <row r="8357" spans="2:2">
      <c r="B8357" s="17"/>
    </row>
    <row r="8358" spans="2:2">
      <c r="B8358" s="17"/>
    </row>
    <row r="8359" spans="2:2">
      <c r="B8359" s="17"/>
    </row>
    <row r="8360" spans="2:2">
      <c r="B8360" s="17"/>
    </row>
    <row r="8361" spans="2:2">
      <c r="B8361" s="17"/>
    </row>
    <row r="8362" spans="2:2">
      <c r="B8362" s="17"/>
    </row>
    <row r="8363" spans="2:2">
      <c r="B8363" s="17"/>
    </row>
    <row r="8364" spans="2:2">
      <c r="B8364" s="17"/>
    </row>
    <row r="8365" spans="2:2">
      <c r="B8365" s="17"/>
    </row>
    <row r="8366" spans="2:2">
      <c r="B8366" s="17"/>
    </row>
    <row r="8367" spans="2:2">
      <c r="B8367" s="17"/>
    </row>
    <row r="8368" spans="2:2">
      <c r="B8368" s="17"/>
    </row>
    <row r="8369" spans="2:2">
      <c r="B8369" s="17"/>
    </row>
    <row r="8370" spans="2:2">
      <c r="B8370" s="17"/>
    </row>
    <row r="8371" spans="2:2">
      <c r="B8371" s="17"/>
    </row>
    <row r="8372" spans="2:2">
      <c r="B8372" s="17"/>
    </row>
    <row r="8373" spans="2:2">
      <c r="B8373" s="17"/>
    </row>
    <row r="8374" spans="2:2">
      <c r="B8374" s="17"/>
    </row>
    <row r="8375" spans="2:2">
      <c r="B8375" s="17"/>
    </row>
    <row r="8376" spans="2:2">
      <c r="B8376" s="17"/>
    </row>
    <row r="8377" spans="2:2">
      <c r="B8377" s="17"/>
    </row>
    <row r="8378" spans="2:2">
      <c r="B8378" s="17"/>
    </row>
    <row r="8379" spans="2:2">
      <c r="B8379" s="17"/>
    </row>
    <row r="8380" spans="2:2">
      <c r="B8380" s="17"/>
    </row>
    <row r="8381" spans="2:2">
      <c r="B8381" s="17"/>
    </row>
    <row r="8382" spans="2:2">
      <c r="B8382" s="17"/>
    </row>
    <row r="8383" spans="2:2">
      <c r="B8383" s="17"/>
    </row>
    <row r="8384" spans="2:2">
      <c r="B8384" s="17"/>
    </row>
    <row r="8385" spans="2:2">
      <c r="B8385" s="17"/>
    </row>
    <row r="8386" spans="2:2">
      <c r="B8386" s="17"/>
    </row>
    <row r="8387" spans="2:2">
      <c r="B8387" s="17"/>
    </row>
    <row r="8388" spans="2:2">
      <c r="B8388" s="17"/>
    </row>
    <row r="8389" spans="2:2">
      <c r="B8389" s="17"/>
    </row>
    <row r="8390" spans="2:2">
      <c r="B8390" s="17"/>
    </row>
    <row r="8391" spans="2:2">
      <c r="B8391" s="17"/>
    </row>
    <row r="8392" spans="2:2">
      <c r="B8392" s="17"/>
    </row>
    <row r="8393" spans="2:2">
      <c r="B8393" s="17"/>
    </row>
    <row r="8394" spans="2:2">
      <c r="B8394" s="17"/>
    </row>
    <row r="8395" spans="2:2">
      <c r="B8395" s="17"/>
    </row>
    <row r="8396" spans="2:2">
      <c r="B8396" s="17"/>
    </row>
    <row r="8397" spans="2:2">
      <c r="B8397" s="17"/>
    </row>
    <row r="8398" spans="2:2">
      <c r="B8398" s="17"/>
    </row>
    <row r="8399" spans="2:2">
      <c r="B8399" s="17"/>
    </row>
    <row r="8400" spans="2:2">
      <c r="B8400" s="17"/>
    </row>
    <row r="8401" spans="2:2">
      <c r="B8401" s="17"/>
    </row>
    <row r="8402" spans="2:2">
      <c r="B8402" s="17"/>
    </row>
    <row r="8403" spans="2:2">
      <c r="B8403" s="17"/>
    </row>
    <row r="8404" spans="2:2">
      <c r="B8404" s="17"/>
    </row>
    <row r="8405" spans="2:2">
      <c r="B8405" s="17"/>
    </row>
    <row r="8406" spans="2:2">
      <c r="B8406" s="17"/>
    </row>
    <row r="8407" spans="2:2">
      <c r="B8407" s="17"/>
    </row>
    <row r="8408" spans="2:2">
      <c r="B8408" s="17"/>
    </row>
    <row r="8409" spans="2:2">
      <c r="B8409" s="17"/>
    </row>
    <row r="8410" spans="2:2">
      <c r="B8410" s="17"/>
    </row>
    <row r="8411" spans="2:2">
      <c r="B8411" s="17"/>
    </row>
    <row r="8412" spans="2:2">
      <c r="B8412" s="17"/>
    </row>
    <row r="8413" spans="2:2">
      <c r="B8413" s="17"/>
    </row>
    <row r="8414" spans="2:2">
      <c r="B8414" s="17"/>
    </row>
    <row r="8415" spans="2:2">
      <c r="B8415" s="17"/>
    </row>
    <row r="8416" spans="2:2">
      <c r="B8416" s="17"/>
    </row>
    <row r="8417" spans="2:2">
      <c r="B8417" s="17"/>
    </row>
    <row r="8418" spans="2:2">
      <c r="B8418" s="17"/>
    </row>
    <row r="8419" spans="2:2">
      <c r="B8419" s="17"/>
    </row>
    <row r="8420" spans="2:2">
      <c r="B8420" s="17"/>
    </row>
    <row r="8421" spans="2:2">
      <c r="B8421" s="17"/>
    </row>
    <row r="8422" spans="2:2">
      <c r="B8422" s="17"/>
    </row>
    <row r="8423" spans="2:2">
      <c r="B8423" s="17"/>
    </row>
    <row r="8424" spans="2:2">
      <c r="B8424" s="17"/>
    </row>
    <row r="8425" spans="2:2">
      <c r="B8425" s="17"/>
    </row>
    <row r="8426" spans="2:2">
      <c r="B8426" s="17"/>
    </row>
    <row r="8427" spans="2:2">
      <c r="B8427" s="17"/>
    </row>
    <row r="8428" spans="2:2">
      <c r="B8428" s="17"/>
    </row>
    <row r="8429" spans="2:2">
      <c r="B8429" s="17"/>
    </row>
    <row r="8430" spans="2:2">
      <c r="B8430" s="17"/>
    </row>
    <row r="8431" spans="2:2">
      <c r="B8431" s="17"/>
    </row>
    <row r="8432" spans="2:2">
      <c r="B8432" s="17"/>
    </row>
    <row r="8433" spans="2:2">
      <c r="B8433" s="17"/>
    </row>
    <row r="8434" spans="2:2">
      <c r="B8434" s="17"/>
    </row>
    <row r="8435" spans="2:2">
      <c r="B8435" s="17"/>
    </row>
    <row r="8436" spans="2:2">
      <c r="B8436" s="17"/>
    </row>
    <row r="8437" spans="2:2">
      <c r="B8437" s="17"/>
    </row>
    <row r="8438" spans="2:2">
      <c r="B8438" s="17"/>
    </row>
    <row r="8439" spans="2:2">
      <c r="B8439" s="17"/>
    </row>
    <row r="8440" spans="2:2">
      <c r="B8440" s="17"/>
    </row>
    <row r="8441" spans="2:2">
      <c r="B8441" s="17"/>
    </row>
    <row r="8442" spans="2:2">
      <c r="B8442" s="17"/>
    </row>
    <row r="8443" spans="2:2">
      <c r="B8443" s="17"/>
    </row>
    <row r="8444" spans="2:2">
      <c r="B8444" s="17"/>
    </row>
    <row r="8445" spans="2:2">
      <c r="B8445" s="17"/>
    </row>
    <row r="8446" spans="2:2">
      <c r="B8446" s="17"/>
    </row>
    <row r="8447" spans="2:2">
      <c r="B8447" s="17"/>
    </row>
    <row r="8448" spans="2:2">
      <c r="B8448" s="17"/>
    </row>
    <row r="8449" spans="2:2">
      <c r="B8449" s="17"/>
    </row>
    <row r="8450" spans="2:2">
      <c r="B8450" s="17"/>
    </row>
    <row r="8451" spans="2:2">
      <c r="B8451" s="17"/>
    </row>
    <row r="8452" spans="2:2">
      <c r="B8452" s="17"/>
    </row>
    <row r="8453" spans="2:2">
      <c r="B8453" s="17"/>
    </row>
    <row r="8454" spans="2:2">
      <c r="B8454" s="17"/>
    </row>
    <row r="8455" spans="2:2">
      <c r="B8455" s="17"/>
    </row>
    <row r="8456" spans="2:2">
      <c r="B8456" s="17"/>
    </row>
    <row r="8457" spans="2:2">
      <c r="B8457" s="17"/>
    </row>
    <row r="8458" spans="2:2">
      <c r="B8458" s="17"/>
    </row>
    <row r="8459" spans="2:2">
      <c r="B8459" s="17"/>
    </row>
    <row r="8460" spans="2:2">
      <c r="B8460" s="17"/>
    </row>
    <row r="8461" spans="2:2">
      <c r="B8461" s="17"/>
    </row>
    <row r="8462" spans="2:2">
      <c r="B8462" s="17"/>
    </row>
    <row r="8463" spans="2:2">
      <c r="B8463" s="17"/>
    </row>
    <row r="8464" spans="2:2">
      <c r="B8464" s="17"/>
    </row>
    <row r="8465" spans="2:2">
      <c r="B8465" s="17"/>
    </row>
    <row r="8466" spans="2:2">
      <c r="B8466" s="17"/>
    </row>
    <row r="8467" spans="2:2">
      <c r="B8467" s="17"/>
    </row>
    <row r="8468" spans="2:2">
      <c r="B8468" s="17"/>
    </row>
    <row r="8469" spans="2:2">
      <c r="B8469" s="17"/>
    </row>
    <row r="8470" spans="2:2">
      <c r="B8470" s="17"/>
    </row>
    <row r="8471" spans="2:2">
      <c r="B8471" s="17"/>
    </row>
    <row r="8472" spans="2:2">
      <c r="B8472" s="17"/>
    </row>
    <row r="8473" spans="2:2">
      <c r="B8473" s="17"/>
    </row>
    <row r="8474" spans="2:2">
      <c r="B8474" s="17"/>
    </row>
    <row r="8475" spans="2:2">
      <c r="B8475" s="17"/>
    </row>
    <row r="8476" spans="2:2">
      <c r="B8476" s="17"/>
    </row>
    <row r="8477" spans="2:2">
      <c r="B8477" s="17"/>
    </row>
    <row r="8478" spans="2:2">
      <c r="B8478" s="17"/>
    </row>
    <row r="8479" spans="2:2">
      <c r="B8479" s="17"/>
    </row>
    <row r="8480" spans="2:2">
      <c r="B8480" s="17"/>
    </row>
    <row r="8481" spans="2:2">
      <c r="B8481" s="17"/>
    </row>
    <row r="8482" spans="2:2">
      <c r="B8482" s="17"/>
    </row>
    <row r="8483" spans="2:2">
      <c r="B8483" s="17"/>
    </row>
    <row r="8484" spans="2:2">
      <c r="B8484" s="17"/>
    </row>
    <row r="8485" spans="2:2">
      <c r="B8485" s="17"/>
    </row>
    <row r="8486" spans="2:2">
      <c r="B8486" s="17"/>
    </row>
    <row r="8487" spans="2:2">
      <c r="B8487" s="17"/>
    </row>
    <row r="8488" spans="2:2">
      <c r="B8488" s="17"/>
    </row>
    <row r="8489" spans="2:2">
      <c r="B8489" s="17"/>
    </row>
    <row r="8490" spans="2:2">
      <c r="B8490" s="17"/>
    </row>
    <row r="8491" spans="2:2">
      <c r="B8491" s="17"/>
    </row>
    <row r="8492" spans="2:2">
      <c r="B8492" s="17"/>
    </row>
    <row r="8493" spans="2:2">
      <c r="B8493" s="17"/>
    </row>
    <row r="8494" spans="2:2">
      <c r="B8494" s="17"/>
    </row>
    <row r="8495" spans="2:2">
      <c r="B8495" s="17"/>
    </row>
    <row r="8496" spans="2:2">
      <c r="B8496" s="17"/>
    </row>
    <row r="8497" spans="2:2">
      <c r="B8497" s="17"/>
    </row>
    <row r="8498" spans="2:2">
      <c r="B8498" s="17"/>
    </row>
    <row r="8499" spans="2:2">
      <c r="B8499" s="17"/>
    </row>
    <row r="8500" spans="2:2">
      <c r="B8500" s="17"/>
    </row>
    <row r="8501" spans="2:2">
      <c r="B8501" s="17"/>
    </row>
    <row r="8502" spans="2:2">
      <c r="B8502" s="17"/>
    </row>
    <row r="8503" spans="2:2">
      <c r="B8503" s="17"/>
    </row>
    <row r="8504" spans="2:2">
      <c r="B8504" s="17"/>
    </row>
    <row r="8505" spans="2:2">
      <c r="B8505" s="17"/>
    </row>
    <row r="8506" spans="2:2">
      <c r="B8506" s="17"/>
    </row>
    <row r="8507" spans="2:2">
      <c r="B8507" s="17"/>
    </row>
    <row r="8508" spans="2:2">
      <c r="B8508" s="17"/>
    </row>
    <row r="8509" spans="2:2">
      <c r="B8509" s="17"/>
    </row>
    <row r="8510" spans="2:2">
      <c r="B8510" s="17"/>
    </row>
    <row r="8511" spans="2:2">
      <c r="B8511" s="17"/>
    </row>
    <row r="8512" spans="2:2">
      <c r="B8512" s="17"/>
    </row>
    <row r="8513" spans="2:2">
      <c r="B8513" s="17"/>
    </row>
    <row r="8514" spans="2:2">
      <c r="B8514" s="17"/>
    </row>
    <row r="8515" spans="2:2">
      <c r="B8515" s="17"/>
    </row>
    <row r="8516" spans="2:2">
      <c r="B8516" s="17"/>
    </row>
    <row r="8517" spans="2:2">
      <c r="B8517" s="17"/>
    </row>
    <row r="8518" spans="2:2">
      <c r="B8518" s="17"/>
    </row>
    <row r="8519" spans="2:2">
      <c r="B8519" s="17"/>
    </row>
    <row r="8520" spans="2:2">
      <c r="B8520" s="17"/>
    </row>
    <row r="8521" spans="2:2">
      <c r="B8521" s="17"/>
    </row>
    <row r="8522" spans="2:2">
      <c r="B8522" s="17"/>
    </row>
    <row r="8523" spans="2:2">
      <c r="B8523" s="17"/>
    </row>
    <row r="8524" spans="2:2">
      <c r="B8524" s="17"/>
    </row>
    <row r="8525" spans="2:2">
      <c r="B8525" s="17"/>
    </row>
    <row r="8526" spans="2:2">
      <c r="B8526" s="17"/>
    </row>
    <row r="8527" spans="2:2">
      <c r="B8527" s="17"/>
    </row>
    <row r="8528" spans="2:2">
      <c r="B8528" s="17"/>
    </row>
    <row r="8529" spans="2:2">
      <c r="B8529" s="17"/>
    </row>
    <row r="8530" spans="2:2">
      <c r="B8530" s="17"/>
    </row>
    <row r="8531" spans="2:2">
      <c r="B8531" s="17"/>
    </row>
    <row r="8532" spans="2:2">
      <c r="B8532" s="17"/>
    </row>
    <row r="8533" spans="2:2">
      <c r="B8533" s="17"/>
    </row>
    <row r="8534" spans="2:2">
      <c r="B8534" s="17"/>
    </row>
    <row r="8535" spans="2:2">
      <c r="B8535" s="17"/>
    </row>
    <row r="8536" spans="2:2">
      <c r="B8536" s="17"/>
    </row>
    <row r="8537" spans="2:2">
      <c r="B8537" s="17"/>
    </row>
    <row r="8538" spans="2:2">
      <c r="B8538" s="17"/>
    </row>
    <row r="8539" spans="2:2">
      <c r="B8539" s="17"/>
    </row>
    <row r="8540" spans="2:2">
      <c r="B8540" s="17"/>
    </row>
    <row r="8541" spans="2:2">
      <c r="B8541" s="17"/>
    </row>
    <row r="8542" spans="2:2">
      <c r="B8542" s="17"/>
    </row>
    <row r="8543" spans="2:2">
      <c r="B8543" s="17"/>
    </row>
    <row r="8544" spans="2:2">
      <c r="B8544" s="17"/>
    </row>
    <row r="8545" spans="2:2">
      <c r="B8545" s="17"/>
    </row>
    <row r="8546" spans="2:2">
      <c r="B8546" s="17"/>
    </row>
    <row r="8547" spans="2:2">
      <c r="B8547" s="17"/>
    </row>
    <row r="8548" spans="2:2">
      <c r="B8548" s="17"/>
    </row>
    <row r="8549" spans="2:2">
      <c r="B8549" s="17"/>
    </row>
    <row r="8550" spans="2:2">
      <c r="B8550" s="17"/>
    </row>
    <row r="8551" spans="2:2">
      <c r="B8551" s="17"/>
    </row>
    <row r="8552" spans="2:2">
      <c r="B8552" s="17"/>
    </row>
    <row r="8553" spans="2:2">
      <c r="B8553" s="17"/>
    </row>
    <row r="8554" spans="2:2">
      <c r="B8554" s="17"/>
    </row>
    <row r="8555" spans="2:2">
      <c r="B8555" s="17"/>
    </row>
    <row r="8556" spans="2:2">
      <c r="B8556" s="17"/>
    </row>
    <row r="8557" spans="2:2">
      <c r="B8557" s="17"/>
    </row>
    <row r="8558" spans="2:2">
      <c r="B8558" s="17"/>
    </row>
    <row r="8559" spans="2:2">
      <c r="B8559" s="17"/>
    </row>
    <row r="8560" spans="2:2">
      <c r="B8560" s="17"/>
    </row>
    <row r="8561" spans="2:2">
      <c r="B8561" s="17"/>
    </row>
    <row r="8562" spans="2:2">
      <c r="B8562" s="17"/>
    </row>
    <row r="8563" spans="2:2">
      <c r="B8563" s="17"/>
    </row>
    <row r="8564" spans="2:2">
      <c r="B8564" s="17"/>
    </row>
    <row r="8565" spans="2:2">
      <c r="B8565" s="17"/>
    </row>
    <row r="8566" spans="2:2">
      <c r="B8566" s="17"/>
    </row>
    <row r="8567" spans="2:2">
      <c r="B8567" s="17"/>
    </row>
    <row r="8568" spans="2:2">
      <c r="B8568" s="17"/>
    </row>
    <row r="8569" spans="2:2">
      <c r="B8569" s="17"/>
    </row>
    <row r="8570" spans="2:2">
      <c r="B8570" s="17"/>
    </row>
    <row r="8571" spans="2:2">
      <c r="B8571" s="17"/>
    </row>
    <row r="8572" spans="2:2">
      <c r="B8572" s="17"/>
    </row>
    <row r="8573" spans="2:2">
      <c r="B8573" s="17"/>
    </row>
    <row r="8574" spans="2:2">
      <c r="B8574" s="17"/>
    </row>
    <row r="8575" spans="2:2">
      <c r="B8575" s="17"/>
    </row>
    <row r="8576" spans="2:2">
      <c r="B8576" s="17"/>
    </row>
    <row r="8577" spans="2:2">
      <c r="B8577" s="17"/>
    </row>
    <row r="8578" spans="2:2">
      <c r="B8578" s="17"/>
    </row>
    <row r="8579" spans="2:2">
      <c r="B8579" s="17"/>
    </row>
    <row r="8580" spans="2:2">
      <c r="B8580" s="17"/>
    </row>
    <row r="8581" spans="2:2">
      <c r="B8581" s="17"/>
    </row>
    <row r="8582" spans="2:2">
      <c r="B8582" s="17"/>
    </row>
    <row r="8583" spans="2:2">
      <c r="B8583" s="17"/>
    </row>
    <row r="8584" spans="2:2">
      <c r="B8584" s="17"/>
    </row>
    <row r="8585" spans="2:2">
      <c r="B8585" s="17"/>
    </row>
    <row r="8586" spans="2:2">
      <c r="B8586" s="17"/>
    </row>
    <row r="8587" spans="2:2">
      <c r="B8587" s="17"/>
    </row>
    <row r="8588" spans="2:2">
      <c r="B8588" s="17"/>
    </row>
    <row r="8589" spans="2:2">
      <c r="B8589" s="17"/>
    </row>
    <row r="8590" spans="2:2">
      <c r="B8590" s="17"/>
    </row>
    <row r="8591" spans="2:2">
      <c r="B8591" s="17"/>
    </row>
    <row r="8592" spans="2:2">
      <c r="B8592" s="17"/>
    </row>
    <row r="8593" spans="2:2">
      <c r="B8593" s="17"/>
    </row>
    <row r="8594" spans="2:2">
      <c r="B8594" s="17"/>
    </row>
    <row r="8595" spans="2:2">
      <c r="B8595" s="17"/>
    </row>
    <row r="8596" spans="2:2">
      <c r="B8596" s="17"/>
    </row>
    <row r="8597" spans="2:2">
      <c r="B8597" s="17"/>
    </row>
    <row r="8598" spans="2:2">
      <c r="B8598" s="17"/>
    </row>
    <row r="8599" spans="2:2">
      <c r="B8599" s="17"/>
    </row>
    <row r="8600" spans="2:2">
      <c r="B8600" s="17"/>
    </row>
    <row r="8601" spans="2:2">
      <c r="B8601" s="17"/>
    </row>
    <row r="8602" spans="2:2">
      <c r="B8602" s="17"/>
    </row>
    <row r="8603" spans="2:2">
      <c r="B8603" s="17"/>
    </row>
    <row r="8604" spans="2:2">
      <c r="B8604" s="17"/>
    </row>
    <row r="8605" spans="2:2">
      <c r="B8605" s="17"/>
    </row>
    <row r="8606" spans="2:2">
      <c r="B8606" s="17"/>
    </row>
    <row r="8607" spans="2:2">
      <c r="B8607" s="17"/>
    </row>
    <row r="8608" spans="2:2">
      <c r="B8608" s="17"/>
    </row>
    <row r="8609" spans="2:2">
      <c r="B8609" s="17"/>
    </row>
    <row r="8610" spans="2:2">
      <c r="B8610" s="17"/>
    </row>
    <row r="8611" spans="2:2">
      <c r="B8611" s="17"/>
    </row>
    <row r="8612" spans="2:2">
      <c r="B8612" s="17"/>
    </row>
    <row r="8613" spans="2:2">
      <c r="B8613" s="17"/>
    </row>
    <row r="8614" spans="2:2">
      <c r="B8614" s="17"/>
    </row>
    <row r="8615" spans="2:2">
      <c r="B8615" s="17"/>
    </row>
    <row r="8616" spans="2:2">
      <c r="B8616" s="17"/>
    </row>
    <row r="8617" spans="2:2">
      <c r="B8617" s="17"/>
    </row>
    <row r="8618" spans="2:2">
      <c r="B8618" s="17"/>
    </row>
    <row r="8619" spans="2:2">
      <c r="B8619" s="17"/>
    </row>
    <row r="8620" spans="2:2">
      <c r="B8620" s="17"/>
    </row>
    <row r="8621" spans="2:2">
      <c r="B8621" s="17"/>
    </row>
    <row r="8622" spans="2:2">
      <c r="B8622" s="17"/>
    </row>
    <row r="8623" spans="2:2">
      <c r="B8623" s="17"/>
    </row>
    <row r="8624" spans="2:2">
      <c r="B8624" s="17"/>
    </row>
    <row r="8625" spans="2:2">
      <c r="B8625" s="17"/>
    </row>
    <row r="8626" spans="2:2">
      <c r="B8626" s="17"/>
    </row>
    <row r="8627" spans="2:2">
      <c r="B8627" s="17"/>
    </row>
    <row r="8628" spans="2:2">
      <c r="B8628" s="17"/>
    </row>
    <row r="8629" spans="2:2">
      <c r="B8629" s="17"/>
    </row>
    <row r="8630" spans="2:2">
      <c r="B8630" s="17"/>
    </row>
    <row r="8631" spans="2:2">
      <c r="B8631" s="17"/>
    </row>
    <row r="8632" spans="2:2">
      <c r="B8632" s="17"/>
    </row>
    <row r="8633" spans="2:2">
      <c r="B8633" s="17"/>
    </row>
    <row r="8634" spans="2:2">
      <c r="B8634" s="17"/>
    </row>
    <row r="8635" spans="2:2">
      <c r="B8635" s="17"/>
    </row>
    <row r="8636" spans="2:2">
      <c r="B8636" s="17"/>
    </row>
    <row r="8637" spans="2:2">
      <c r="B8637" s="17"/>
    </row>
    <row r="8638" spans="2:2">
      <c r="B8638" s="17"/>
    </row>
    <row r="8639" spans="2:2">
      <c r="B8639" s="17"/>
    </row>
    <row r="8640" spans="2:2">
      <c r="B8640" s="17"/>
    </row>
    <row r="8641" spans="2:2">
      <c r="B8641" s="17"/>
    </row>
    <row r="8642" spans="2:2">
      <c r="B8642" s="17"/>
    </row>
    <row r="8643" spans="2:2">
      <c r="B8643" s="17"/>
    </row>
    <row r="8644" spans="2:2">
      <c r="B8644" s="17"/>
    </row>
    <row r="8645" spans="2:2">
      <c r="B8645" s="17"/>
    </row>
    <row r="8646" spans="2:2">
      <c r="B8646" s="17"/>
    </row>
    <row r="8647" spans="2:2">
      <c r="B8647" s="17"/>
    </row>
    <row r="8648" spans="2:2">
      <c r="B8648" s="17"/>
    </row>
    <row r="8649" spans="2:2">
      <c r="B8649" s="17"/>
    </row>
    <row r="8650" spans="2:2">
      <c r="B8650" s="17"/>
    </row>
    <row r="8651" spans="2:2">
      <c r="B8651" s="17"/>
    </row>
    <row r="8652" spans="2:2">
      <c r="B8652" s="17"/>
    </row>
    <row r="8653" spans="2:2">
      <c r="B8653" s="17"/>
    </row>
    <row r="8654" spans="2:2">
      <c r="B8654" s="17"/>
    </row>
    <row r="8655" spans="2:2">
      <c r="B8655" s="17"/>
    </row>
    <row r="8656" spans="2:2">
      <c r="B8656" s="17"/>
    </row>
    <row r="8657" spans="2:2">
      <c r="B8657" s="17"/>
    </row>
    <row r="8658" spans="2:2">
      <c r="B8658" s="17"/>
    </row>
    <row r="8659" spans="2:2">
      <c r="B8659" s="17"/>
    </row>
    <row r="8660" spans="2:2">
      <c r="B8660" s="17"/>
    </row>
    <row r="8661" spans="2:2">
      <c r="B8661" s="17"/>
    </row>
    <row r="8662" spans="2:2">
      <c r="B8662" s="17"/>
    </row>
    <row r="8663" spans="2:2">
      <c r="B8663" s="17"/>
    </row>
    <row r="8664" spans="2:2">
      <c r="B8664" s="17"/>
    </row>
    <row r="8665" spans="2:2">
      <c r="B8665" s="17"/>
    </row>
    <row r="8666" spans="2:2">
      <c r="B8666" s="17"/>
    </row>
    <row r="8667" spans="2:2">
      <c r="B8667" s="17"/>
    </row>
    <row r="8668" spans="2:2">
      <c r="B8668" s="17"/>
    </row>
    <row r="8669" spans="2:2">
      <c r="B8669" s="17"/>
    </row>
    <row r="8670" spans="2:2">
      <c r="B8670" s="17"/>
    </row>
    <row r="8671" spans="2:2">
      <c r="B8671" s="17"/>
    </row>
    <row r="8672" spans="2:2">
      <c r="B8672" s="17"/>
    </row>
    <row r="8673" spans="2:2">
      <c r="B8673" s="17"/>
    </row>
    <row r="8674" spans="2:2">
      <c r="B8674" s="17"/>
    </row>
    <row r="8675" spans="2:2">
      <c r="B8675" s="17"/>
    </row>
    <row r="8676" spans="2:2">
      <c r="B8676" s="17"/>
    </row>
    <row r="8677" spans="2:2">
      <c r="B8677" s="17"/>
    </row>
    <row r="8678" spans="2:2">
      <c r="B8678" s="17"/>
    </row>
    <row r="8679" spans="2:2">
      <c r="B8679" s="17"/>
    </row>
    <row r="8680" spans="2:2">
      <c r="B8680" s="17"/>
    </row>
    <row r="8681" spans="2:2">
      <c r="B8681" s="17"/>
    </row>
    <row r="8682" spans="2:2">
      <c r="B8682" s="17"/>
    </row>
    <row r="8683" spans="2:2">
      <c r="B8683" s="17"/>
    </row>
    <row r="8684" spans="2:2">
      <c r="B8684" s="17"/>
    </row>
    <row r="8685" spans="2:2">
      <c r="B8685" s="17"/>
    </row>
    <row r="8686" spans="2:2">
      <c r="B8686" s="17"/>
    </row>
    <row r="8687" spans="2:2">
      <c r="B8687" s="17"/>
    </row>
    <row r="8688" spans="2:2">
      <c r="B8688" s="17"/>
    </row>
    <row r="8689" spans="2:2">
      <c r="B8689" s="17"/>
    </row>
    <row r="8690" spans="2:2">
      <c r="B8690" s="17"/>
    </row>
    <row r="8691" spans="2:2">
      <c r="B8691" s="17"/>
    </row>
    <row r="8692" spans="2:2">
      <c r="B8692" s="17"/>
    </row>
    <row r="8693" spans="2:2">
      <c r="B8693" s="17"/>
    </row>
    <row r="8694" spans="2:2">
      <c r="B8694" s="17"/>
    </row>
    <row r="8695" spans="2:2">
      <c r="B8695" s="17"/>
    </row>
    <row r="8696" spans="2:2">
      <c r="B8696" s="17"/>
    </row>
    <row r="8697" spans="2:2">
      <c r="B8697" s="17"/>
    </row>
    <row r="8698" spans="2:2">
      <c r="B8698" s="17"/>
    </row>
    <row r="8699" spans="2:2">
      <c r="B8699" s="17"/>
    </row>
    <row r="8700" spans="2:2">
      <c r="B8700" s="17"/>
    </row>
    <row r="8701" spans="2:2">
      <c r="B8701" s="17"/>
    </row>
    <row r="8702" spans="2:2">
      <c r="B8702" s="17"/>
    </row>
    <row r="8703" spans="2:2">
      <c r="B8703" s="17"/>
    </row>
    <row r="8704" spans="2:2">
      <c r="B8704" s="17"/>
    </row>
    <row r="8705" spans="2:2">
      <c r="B8705" s="17"/>
    </row>
    <row r="8706" spans="2:2">
      <c r="B8706" s="17"/>
    </row>
    <row r="8707" spans="2:2">
      <c r="B8707" s="17"/>
    </row>
    <row r="8708" spans="2:2">
      <c r="B8708" s="17"/>
    </row>
    <row r="8709" spans="2:2">
      <c r="B8709" s="17"/>
    </row>
    <row r="8710" spans="2:2">
      <c r="B8710" s="17"/>
    </row>
    <row r="8711" spans="2:2">
      <c r="B8711" s="17"/>
    </row>
    <row r="8712" spans="2:2">
      <c r="B8712" s="17"/>
    </row>
    <row r="8713" spans="2:2">
      <c r="B8713" s="17"/>
    </row>
    <row r="8714" spans="2:2">
      <c r="B8714" s="17"/>
    </row>
    <row r="8715" spans="2:2">
      <c r="B8715" s="17"/>
    </row>
    <row r="8716" spans="2:2">
      <c r="B8716" s="17"/>
    </row>
    <row r="8717" spans="2:2">
      <c r="B8717" s="17"/>
    </row>
    <row r="8718" spans="2:2">
      <c r="B8718" s="17"/>
    </row>
    <row r="8719" spans="2:2">
      <c r="B8719" s="17"/>
    </row>
    <row r="8720" spans="2:2">
      <c r="B8720" s="17"/>
    </row>
    <row r="8721" spans="2:2">
      <c r="B8721" s="17"/>
    </row>
    <row r="8722" spans="2:2">
      <c r="B8722" s="17"/>
    </row>
    <row r="8723" spans="2:2">
      <c r="B8723" s="17"/>
    </row>
    <row r="8724" spans="2:2">
      <c r="B8724" s="17"/>
    </row>
    <row r="8725" spans="2:2">
      <c r="B8725" s="17"/>
    </row>
    <row r="8726" spans="2:2">
      <c r="B8726" s="17"/>
    </row>
    <row r="8727" spans="2:2">
      <c r="B8727" s="17"/>
    </row>
    <row r="8728" spans="2:2">
      <c r="B8728" s="17"/>
    </row>
    <row r="8729" spans="2:2">
      <c r="B8729" s="17"/>
    </row>
    <row r="8730" spans="2:2">
      <c r="B8730" s="17"/>
    </row>
    <row r="8731" spans="2:2">
      <c r="B8731" s="17"/>
    </row>
    <row r="8732" spans="2:2">
      <c r="B8732" s="17"/>
    </row>
    <row r="8733" spans="2:2">
      <c r="B8733" s="17"/>
    </row>
    <row r="8734" spans="2:2">
      <c r="B8734" s="17"/>
    </row>
    <row r="8735" spans="2:2">
      <c r="B8735" s="17"/>
    </row>
    <row r="8736" spans="2:2">
      <c r="B8736" s="17"/>
    </row>
    <row r="8737" spans="2:2">
      <c r="B8737" s="17"/>
    </row>
    <row r="8738" spans="2:2">
      <c r="B8738" s="17"/>
    </row>
    <row r="8739" spans="2:2">
      <c r="B8739" s="17"/>
    </row>
    <row r="8740" spans="2:2">
      <c r="B8740" s="17"/>
    </row>
    <row r="8741" spans="2:2">
      <c r="B8741" s="17"/>
    </row>
    <row r="8742" spans="2:2">
      <c r="B8742" s="17"/>
    </row>
    <row r="8743" spans="2:2">
      <c r="B8743" s="17"/>
    </row>
    <row r="8744" spans="2:2">
      <c r="B8744" s="17"/>
    </row>
    <row r="8745" spans="2:2">
      <c r="B8745" s="17"/>
    </row>
    <row r="8746" spans="2:2">
      <c r="B8746" s="17"/>
    </row>
    <row r="8747" spans="2:2">
      <c r="B8747" s="17"/>
    </row>
    <row r="8748" spans="2:2">
      <c r="B8748" s="17"/>
    </row>
    <row r="8749" spans="2:2">
      <c r="B8749" s="17"/>
    </row>
    <row r="8750" spans="2:2">
      <c r="B8750" s="17"/>
    </row>
    <row r="8751" spans="2:2">
      <c r="B8751" s="17"/>
    </row>
    <row r="8752" spans="2:2">
      <c r="B8752" s="17"/>
    </row>
    <row r="8753" spans="2:2">
      <c r="B8753" s="17"/>
    </row>
    <row r="8754" spans="2:2">
      <c r="B8754" s="17"/>
    </row>
    <row r="8755" spans="2:2">
      <c r="B8755" s="17"/>
    </row>
    <row r="8756" spans="2:2">
      <c r="B8756" s="17"/>
    </row>
    <row r="8757" spans="2:2">
      <c r="B8757" s="17"/>
    </row>
    <row r="8758" spans="2:2">
      <c r="B8758" s="17"/>
    </row>
    <row r="8759" spans="2:2">
      <c r="B8759" s="17"/>
    </row>
    <row r="8760" spans="2:2">
      <c r="B8760" s="17"/>
    </row>
    <row r="8761" spans="2:2">
      <c r="B8761" s="17"/>
    </row>
    <row r="8762" spans="2:2">
      <c r="B8762" s="17"/>
    </row>
    <row r="8763" spans="2:2">
      <c r="B8763" s="17"/>
    </row>
    <row r="8764" spans="2:2">
      <c r="B8764" s="17"/>
    </row>
    <row r="8765" spans="2:2">
      <c r="B8765" s="17"/>
    </row>
    <row r="8766" spans="2:2">
      <c r="B8766" s="17"/>
    </row>
    <row r="8767" spans="2:2">
      <c r="B8767" s="17"/>
    </row>
    <row r="8768" spans="2:2">
      <c r="B8768" s="17"/>
    </row>
    <row r="8769" spans="2:2">
      <c r="B8769" s="17"/>
    </row>
    <row r="8770" spans="2:2">
      <c r="B8770" s="17"/>
    </row>
    <row r="8771" spans="2:2">
      <c r="B8771" s="17"/>
    </row>
    <row r="8772" spans="2:2">
      <c r="B8772" s="17"/>
    </row>
    <row r="8773" spans="2:2">
      <c r="B8773" s="17"/>
    </row>
    <row r="8774" spans="2:2">
      <c r="B8774" s="17"/>
    </row>
    <row r="8775" spans="2:2">
      <c r="B8775" s="17"/>
    </row>
    <row r="8776" spans="2:2">
      <c r="B8776" s="17"/>
    </row>
    <row r="8777" spans="2:2">
      <c r="B8777" s="17"/>
    </row>
    <row r="8778" spans="2:2">
      <c r="B8778" s="17"/>
    </row>
    <row r="8779" spans="2:2">
      <c r="B8779" s="17"/>
    </row>
    <row r="8780" spans="2:2">
      <c r="B8780" s="17"/>
    </row>
    <row r="8781" spans="2:2">
      <c r="B8781" s="17"/>
    </row>
    <row r="8782" spans="2:2">
      <c r="B8782" s="17"/>
    </row>
    <row r="8783" spans="2:2">
      <c r="B8783" s="17"/>
    </row>
    <row r="8784" spans="2:2">
      <c r="B8784" s="17"/>
    </row>
    <row r="8785" spans="2:2">
      <c r="B8785" s="17"/>
    </row>
    <row r="8786" spans="2:2">
      <c r="B8786" s="17"/>
    </row>
    <row r="8787" spans="2:2">
      <c r="B8787" s="17"/>
    </row>
    <row r="8788" spans="2:2">
      <c r="B8788" s="17"/>
    </row>
    <row r="8789" spans="2:2">
      <c r="B8789" s="17"/>
    </row>
    <row r="8790" spans="2:2">
      <c r="B8790" s="17"/>
    </row>
    <row r="8791" spans="2:2">
      <c r="B8791" s="17"/>
    </row>
    <row r="8792" spans="2:2">
      <c r="B8792" s="17"/>
    </row>
    <row r="8793" spans="2:2">
      <c r="B8793" s="17"/>
    </row>
    <row r="8794" spans="2:2">
      <c r="B8794" s="17"/>
    </row>
    <row r="8795" spans="2:2">
      <c r="B8795" s="17"/>
    </row>
    <row r="8796" spans="2:2">
      <c r="B8796" s="17"/>
    </row>
    <row r="8797" spans="2:2">
      <c r="B8797" s="17"/>
    </row>
    <row r="8798" spans="2:2">
      <c r="B8798" s="17"/>
    </row>
    <row r="8799" spans="2:2">
      <c r="B8799" s="17"/>
    </row>
    <row r="8800" spans="2:2">
      <c r="B8800" s="17"/>
    </row>
    <row r="8801" spans="2:2">
      <c r="B8801" s="17"/>
    </row>
    <row r="8802" spans="2:2">
      <c r="B8802" s="17"/>
    </row>
    <row r="8803" spans="2:2">
      <c r="B8803" s="17"/>
    </row>
    <row r="8804" spans="2:2">
      <c r="B8804" s="17"/>
    </row>
    <row r="8805" spans="2:2">
      <c r="B8805" s="17"/>
    </row>
    <row r="8806" spans="2:2">
      <c r="B8806" s="17"/>
    </row>
    <row r="8807" spans="2:2">
      <c r="B8807" s="17"/>
    </row>
    <row r="8808" spans="2:2">
      <c r="B8808" s="17"/>
    </row>
    <row r="8809" spans="2:2">
      <c r="B8809" s="17"/>
    </row>
    <row r="8810" spans="2:2">
      <c r="B8810" s="17"/>
    </row>
    <row r="8811" spans="2:2">
      <c r="B8811" s="17"/>
    </row>
    <row r="8812" spans="2:2">
      <c r="B8812" s="17"/>
    </row>
    <row r="8813" spans="2:2">
      <c r="B8813" s="17"/>
    </row>
    <row r="8814" spans="2:2">
      <c r="B8814" s="17"/>
    </row>
    <row r="8815" spans="2:2">
      <c r="B8815" s="17"/>
    </row>
    <row r="8816" spans="2:2">
      <c r="B8816" s="17"/>
    </row>
    <row r="8817" spans="2:2">
      <c r="B8817" s="17"/>
    </row>
    <row r="8818" spans="2:2">
      <c r="B8818" s="17"/>
    </row>
    <row r="8819" spans="2:2">
      <c r="B8819" s="17"/>
    </row>
    <row r="8820" spans="2:2">
      <c r="B8820" s="17"/>
    </row>
    <row r="8821" spans="2:2">
      <c r="B8821" s="17"/>
    </row>
    <row r="8822" spans="2:2">
      <c r="B8822" s="17"/>
    </row>
    <row r="8823" spans="2:2">
      <c r="B8823" s="17"/>
    </row>
    <row r="8824" spans="2:2">
      <c r="B8824" s="17"/>
    </row>
    <row r="8825" spans="2:2">
      <c r="B8825" s="17"/>
    </row>
    <row r="8826" spans="2:2">
      <c r="B8826" s="17"/>
    </row>
    <row r="8827" spans="2:2">
      <c r="B8827" s="17"/>
    </row>
    <row r="8828" spans="2:2">
      <c r="B8828" s="17"/>
    </row>
    <row r="8829" spans="2:2">
      <c r="B8829" s="17"/>
    </row>
    <row r="8830" spans="2:2">
      <c r="B8830" s="17"/>
    </row>
    <row r="8831" spans="2:2">
      <c r="B8831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Europe</vt:lpstr>
      <vt:lpstr>US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HULLARD Alexandre</dc:creator>
  <cp:lastModifiedBy>Jingxuan LI</cp:lastModifiedBy>
  <dcterms:created xsi:type="dcterms:W3CDTF">2023-03-01T16:18:34Z</dcterms:created>
  <dcterms:modified xsi:type="dcterms:W3CDTF">2026-06-26T06:43:59Z</dcterms:modified>
</cp:coreProperties>
</file>