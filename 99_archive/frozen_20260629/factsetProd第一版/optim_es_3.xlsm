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groupe-ufg.com\Commun\Prive\GestionAM\Ingenierie_Financiere\PROD\_EQUITY\3_Optimiseur_ES\"/>
    </mc:Choice>
  </mc:AlternateContent>
  <xr:revisionPtr revIDLastSave="0" documentId="13_ncr:1_{E891C53F-BF7B-47AE-9A36-DD2A6A7F1D4D}" xr6:coauthVersionLast="47" xr6:coauthVersionMax="47" xr10:uidLastSave="{00000000-0000-0000-0000-000000000000}"/>
  <bookViews>
    <workbookView xWindow="-264" yWindow="-16296" windowWidth="28992" windowHeight="15672" tabRatio="759" xr2:uid="{E815AED8-6117-4A44-A64A-A081D62C703E}"/>
  </bookViews>
  <sheets>
    <sheet name="Menu" sheetId="1" r:id="rId1"/>
    <sheet name="Input" sheetId="8" r:id="rId2"/>
    <sheet name="Output" sheetId="3" r:id="rId3"/>
    <sheet name="Output_BK" sheetId="9" r:id="rId4"/>
    <sheet name="Bench" sheetId="4" r:id="rId5"/>
    <sheet name="Stats" sheetId="5" r:id="rId6"/>
    <sheet name="Liste params" sheetId="2" r:id="rId7"/>
    <sheet name="Exclusion forcee" sheetId="7" r:id="rId8"/>
  </sheets>
  <definedNames>
    <definedName name="_xlnm._FilterDatabase" localSheetId="4" hidden="1">Bench!$A$1:$X$1562</definedName>
    <definedName name="_xlnm._FilterDatabase" localSheetId="1" hidden="1">Input!$A$1:$D$600</definedName>
    <definedName name="_xlnm._FilterDatabase" localSheetId="2" hidden="1">Output!$A$1:$AB$1892</definedName>
    <definedName name="CIQWBGuid" hidden="1">"optim_FIXED_INCOME_CREDIT_INDICES_CUSTOM.xlsm"</definedName>
    <definedName name="DateRun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43049.5475810185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NbStocksPTF">#REF!</definedName>
    <definedName name="PTF_to_Optimize">#REF!</definedName>
    <definedName name="TO_Limit">#REF!</definedName>
    <definedName name="Univ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" i="5" l="1"/>
  <c r="H55" i="1"/>
  <c r="N25" i="1"/>
  <c r="G55" i="1"/>
  <c r="I48" i="1"/>
  <c r="D55" i="1"/>
  <c r="E54" i="1"/>
  <c r="D54" i="1"/>
  <c r="E55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G32" i="1"/>
  <c r="F32" i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J54" i="1"/>
  <c r="K54" i="1" s="1"/>
  <c r="J55" i="1"/>
  <c r="K55" i="1" s="1"/>
  <c r="J53" i="1"/>
  <c r="K53" i="1" s="1"/>
  <c r="D53" i="1"/>
  <c r="H53" i="1"/>
  <c r="F53" i="1"/>
  <c r="I32" i="1"/>
  <c r="D32" i="5"/>
  <c r="D33" i="5"/>
  <c r="D31" i="5"/>
  <c r="C32" i="5"/>
  <c r="C33" i="5"/>
  <c r="C31" i="5"/>
  <c r="B32" i="5"/>
  <c r="B33" i="5"/>
  <c r="B31" i="5"/>
  <c r="D30" i="5"/>
  <c r="D22" i="5"/>
  <c r="D1" i="5"/>
  <c r="O31" i="5" s="1"/>
  <c r="C24" i="5"/>
  <c r="D24" i="5"/>
  <c r="H54" i="1"/>
  <c r="F54" i="1"/>
  <c r="O25" i="1"/>
  <c r="M25" i="1"/>
  <c r="H43" i="1"/>
  <c r="G53" i="1"/>
  <c r="F55" i="1"/>
  <c r="J32" i="1"/>
  <c r="G54" i="1" l="1"/>
  <c r="E32" i="5"/>
  <c r="E33" i="5"/>
  <c r="Q33" i="5"/>
  <c r="E31" i="5"/>
  <c r="O26" i="5"/>
  <c r="O11" i="5"/>
  <c r="O16" i="5"/>
  <c r="O21" i="5"/>
  <c r="I53" i="1"/>
  <c r="H32" i="1" l="1"/>
  <c r="I54" i="1" l="1"/>
  <c r="I55" i="1"/>
  <c r="K25" i="1" l="1"/>
  <c r="M26" i="1"/>
  <c r="M27" i="1"/>
  <c r="M28" i="1"/>
  <c r="M29" i="1"/>
  <c r="M24" i="1"/>
  <c r="L27" i="1"/>
  <c r="L28" i="1"/>
  <c r="L29" i="1"/>
  <c r="L26" i="1"/>
  <c r="L24" i="1"/>
  <c r="L25" i="1"/>
  <c r="J30" i="1"/>
  <c r="K24" i="1"/>
  <c r="K26" i="1" l="1"/>
  <c r="P2" i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" i="5"/>
  <c r="P31" i="5" l="1"/>
  <c r="Q31" i="5" s="1"/>
  <c r="R31" i="5" s="1"/>
  <c r="P30" i="5"/>
  <c r="P26" i="5"/>
  <c r="P25" i="5"/>
  <c r="Q25" i="5" s="1"/>
  <c r="P21" i="5"/>
  <c r="P20" i="5"/>
  <c r="P16" i="5"/>
  <c r="P15" i="5"/>
  <c r="P11" i="5"/>
  <c r="P10" i="5"/>
  <c r="P29" i="5" l="1"/>
  <c r="S31" i="5"/>
  <c r="P19" i="5"/>
  <c r="P9" i="5"/>
  <c r="P14" i="5"/>
  <c r="Q16" i="5"/>
  <c r="R16" i="5" s="1"/>
  <c r="P24" i="5"/>
  <c r="Q15" i="5"/>
  <c r="R15" i="5" s="1"/>
  <c r="Q20" i="5"/>
  <c r="Q30" i="5"/>
  <c r="R30" i="5" s="1"/>
  <c r="R29" i="5" s="1"/>
  <c r="R25" i="5"/>
  <c r="Q26" i="5"/>
  <c r="Q24" i="5" s="1"/>
  <c r="Q21" i="5"/>
  <c r="R21" i="5" s="1"/>
  <c r="Q10" i="5"/>
  <c r="Q11" i="5"/>
  <c r="R26" i="5" l="1"/>
  <c r="S26" i="5" s="1"/>
  <c r="Q9" i="5"/>
  <c r="R14" i="5"/>
  <c r="S16" i="5"/>
  <c r="T16" i="5" s="1"/>
  <c r="S25" i="5"/>
  <c r="S30" i="5"/>
  <c r="S29" i="5" s="1"/>
  <c r="Q29" i="5"/>
  <c r="S15" i="5"/>
  <c r="Q14" i="5"/>
  <c r="R20" i="5"/>
  <c r="Q19" i="5"/>
  <c r="S21" i="5"/>
  <c r="T21" i="5" s="1"/>
  <c r="T31" i="5"/>
  <c r="R11" i="5"/>
  <c r="S11" i="5" s="1"/>
  <c r="T11" i="5" s="1"/>
  <c r="R10" i="5"/>
  <c r="S14" i="5" l="1"/>
  <c r="R24" i="5"/>
  <c r="T26" i="5"/>
  <c r="R9" i="5"/>
  <c r="R19" i="5"/>
  <c r="S20" i="5"/>
  <c r="S19" i="5" s="1"/>
  <c r="T30" i="5"/>
  <c r="T29" i="5" s="1"/>
  <c r="T25" i="5"/>
  <c r="S24" i="5"/>
  <c r="T15" i="5"/>
  <c r="T14" i="5" s="1"/>
  <c r="S10" i="5"/>
  <c r="S9" i="5" s="1"/>
  <c r="T24" i="5" l="1"/>
  <c r="T20" i="5"/>
  <c r="T19" i="5" s="1"/>
  <c r="T10" i="5"/>
  <c r="T9" i="5" s="1"/>
  <c r="D28" i="5" l="1"/>
  <c r="C28" i="5"/>
  <c r="B28" i="5"/>
  <c r="D27" i="5"/>
  <c r="C27" i="5"/>
  <c r="B27" i="5"/>
  <c r="D26" i="5"/>
  <c r="C26" i="5"/>
  <c r="B26" i="5"/>
  <c r="D25" i="5"/>
  <c r="C25" i="5"/>
  <c r="B25" i="5"/>
  <c r="B24" i="5"/>
  <c r="L16" i="5"/>
  <c r="K16" i="5"/>
  <c r="J16" i="5"/>
  <c r="D23" i="5"/>
  <c r="C23" i="5"/>
  <c r="B23" i="5"/>
  <c r="L15" i="5"/>
  <c r="K15" i="5"/>
  <c r="J15" i="5"/>
  <c r="L14" i="5"/>
  <c r="K14" i="5"/>
  <c r="J14" i="5"/>
  <c r="D20" i="5"/>
  <c r="C20" i="5"/>
  <c r="B20" i="5"/>
  <c r="L13" i="5"/>
  <c r="K13" i="5"/>
  <c r="J13" i="5"/>
  <c r="D19" i="5"/>
  <c r="C19" i="5"/>
  <c r="B19" i="5"/>
  <c r="Q39" i="5"/>
  <c r="P39" i="5"/>
  <c r="L12" i="5"/>
  <c r="K12" i="5"/>
  <c r="J12" i="5"/>
  <c r="D18" i="5"/>
  <c r="C18" i="5"/>
  <c r="B18" i="5"/>
  <c r="L11" i="5"/>
  <c r="K11" i="5"/>
  <c r="J11" i="5"/>
  <c r="D17" i="5"/>
  <c r="C17" i="5"/>
  <c r="B17" i="5"/>
  <c r="Q38" i="5" a="1"/>
  <c r="Q38" i="5" s="1"/>
  <c r="P38" i="5" a="1"/>
  <c r="P38" i="5" s="1"/>
  <c r="D16" i="5"/>
  <c r="C16" i="5"/>
  <c r="B16" i="5"/>
  <c r="Q37" i="5" a="1"/>
  <c r="Q37" i="5" s="1"/>
  <c r="P37" i="5" a="1"/>
  <c r="P37" i="5" s="1"/>
  <c r="L10" i="5"/>
  <c r="K10" i="5"/>
  <c r="J10" i="5"/>
  <c r="D15" i="5"/>
  <c r="C15" i="5"/>
  <c r="B15" i="5"/>
  <c r="L9" i="5"/>
  <c r="K9" i="5"/>
  <c r="J9" i="5"/>
  <c r="D14" i="5"/>
  <c r="C14" i="5"/>
  <c r="B14" i="5"/>
  <c r="L8" i="5"/>
  <c r="K8" i="5"/>
  <c r="J8" i="5"/>
  <c r="D13" i="5"/>
  <c r="C13" i="5"/>
  <c r="B13" i="5"/>
  <c r="D12" i="5"/>
  <c r="C12" i="5"/>
  <c r="B12" i="5"/>
  <c r="D11" i="5"/>
  <c r="C11" i="5"/>
  <c r="B11" i="5"/>
  <c r="S35" i="5"/>
  <c r="L7" i="5"/>
  <c r="K7" i="5"/>
  <c r="J7" i="5"/>
  <c r="D10" i="5"/>
  <c r="C10" i="5"/>
  <c r="B10" i="5"/>
  <c r="D9" i="5"/>
  <c r="C9" i="5"/>
  <c r="B9" i="5"/>
  <c r="U33" i="5"/>
  <c r="D8" i="5"/>
  <c r="C8" i="5"/>
  <c r="B8" i="5"/>
  <c r="L6" i="5"/>
  <c r="K6" i="5"/>
  <c r="J6" i="5"/>
  <c r="D7" i="5"/>
  <c r="C7" i="5"/>
  <c r="B7" i="5"/>
  <c r="Q6" i="5" a="1"/>
  <c r="Q6" i="5" s="1"/>
  <c r="P6" i="5" a="1"/>
  <c r="P6" i="5" s="1"/>
  <c r="L5" i="5"/>
  <c r="K5" i="5"/>
  <c r="J5" i="5"/>
  <c r="D6" i="5"/>
  <c r="C6" i="5"/>
  <c r="B6" i="5"/>
  <c r="Q5" i="5" a="1"/>
  <c r="Q5" i="5" s="1"/>
  <c r="P5" i="5" a="1"/>
  <c r="P5" i="5" s="1"/>
  <c r="L4" i="5"/>
  <c r="K4" i="5"/>
  <c r="J4" i="5"/>
  <c r="D5" i="5"/>
  <c r="C5" i="5"/>
  <c r="B5" i="5"/>
  <c r="Q4" i="5" a="1"/>
  <c r="Q4" i="5" s="1"/>
  <c r="P4" i="5" a="1"/>
  <c r="P4" i="5" s="1"/>
  <c r="L3" i="5"/>
  <c r="K3" i="5"/>
  <c r="J3" i="5"/>
  <c r="D4" i="5"/>
  <c r="C4" i="5"/>
  <c r="B4" i="5"/>
  <c r="Q3" i="5" a="1"/>
  <c r="Q3" i="5" s="1"/>
  <c r="P3" i="5" a="1"/>
  <c r="P3" i="5" s="1"/>
  <c r="L2" i="5"/>
  <c r="K2" i="5"/>
  <c r="J2" i="5"/>
  <c r="D3" i="5"/>
  <c r="C3" i="5"/>
  <c r="B3" i="5"/>
  <c r="Q2" i="5" a="1"/>
  <c r="Q2" i="5" s="1"/>
  <c r="P2" i="5" a="1"/>
  <c r="P2" i="5" s="1"/>
  <c r="D2" i="5"/>
  <c r="C2" i="5"/>
  <c r="B2" i="5"/>
  <c r="J50" i="1"/>
  <c r="I50" i="1"/>
  <c r="H50" i="1"/>
  <c r="J49" i="1"/>
  <c r="I49" i="1"/>
  <c r="H49" i="1"/>
  <c r="J48" i="1"/>
  <c r="K48" i="1" s="1"/>
  <c r="H48" i="1"/>
  <c r="J47" i="1"/>
  <c r="I47" i="1"/>
  <c r="H47" i="1"/>
  <c r="J46" i="1"/>
  <c r="I46" i="1"/>
  <c r="H46" i="1"/>
  <c r="J45" i="1"/>
  <c r="I45" i="1"/>
  <c r="H45" i="1"/>
  <c r="J44" i="1"/>
  <c r="I44" i="1"/>
  <c r="H44" i="1"/>
  <c r="J43" i="1"/>
  <c r="I43" i="1"/>
  <c r="J42" i="1"/>
  <c r="I42" i="1"/>
  <c r="H42" i="1"/>
  <c r="J41" i="1"/>
  <c r="I41" i="1"/>
  <c r="H41" i="1"/>
  <c r="J40" i="1"/>
  <c r="I40" i="1"/>
  <c r="H40" i="1"/>
  <c r="J39" i="1"/>
  <c r="I39" i="1"/>
  <c r="H39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3" i="1"/>
  <c r="I33" i="1"/>
  <c r="H33" i="1"/>
  <c r="O29" i="1"/>
  <c r="N29" i="1"/>
  <c r="K29" i="1"/>
  <c r="O28" i="1"/>
  <c r="N28" i="1"/>
  <c r="K28" i="1"/>
  <c r="O27" i="1"/>
  <c r="N27" i="1"/>
  <c r="K27" i="1"/>
  <c r="O26" i="1"/>
  <c r="N26" i="1"/>
  <c r="O24" i="1"/>
  <c r="N24" i="1"/>
  <c r="K33" i="1" l="1"/>
  <c r="G7" i="5"/>
  <c r="S37" i="5"/>
  <c r="R38" i="5"/>
  <c r="G32" i="5"/>
  <c r="G33" i="5"/>
  <c r="G31" i="5"/>
  <c r="G23" i="5"/>
  <c r="E23" i="5"/>
  <c r="K35" i="1"/>
  <c r="K47" i="1"/>
  <c r="P25" i="1"/>
  <c r="P26" i="1"/>
  <c r="K37" i="1"/>
  <c r="K38" i="1"/>
  <c r="P29" i="1"/>
  <c r="K43" i="1"/>
  <c r="K39" i="1"/>
  <c r="K44" i="1"/>
  <c r="K42" i="1"/>
  <c r="K46" i="1"/>
  <c r="K32" i="1"/>
  <c r="K36" i="1"/>
  <c r="K41" i="1"/>
  <c r="K45" i="1"/>
  <c r="K49" i="1"/>
  <c r="K40" i="1"/>
  <c r="K34" i="1"/>
  <c r="K50" i="1"/>
  <c r="P27" i="1"/>
  <c r="P24" i="1"/>
  <c r="P28" i="1"/>
  <c r="E10" i="5"/>
  <c r="G13" i="5"/>
  <c r="E25" i="5"/>
  <c r="E8" i="5"/>
  <c r="M16" i="5"/>
  <c r="G5" i="5"/>
  <c r="E20" i="5"/>
  <c r="E18" i="5"/>
  <c r="E26" i="5"/>
  <c r="M9" i="5"/>
  <c r="M4" i="5"/>
  <c r="M15" i="5"/>
  <c r="G4" i="5"/>
  <c r="M10" i="5"/>
  <c r="E5" i="5"/>
  <c r="M2" i="5"/>
  <c r="M6" i="5"/>
  <c r="M7" i="5"/>
  <c r="E4" i="5"/>
  <c r="E9" i="5"/>
  <c r="M14" i="5"/>
  <c r="E11" i="5"/>
  <c r="E28" i="5"/>
  <c r="G26" i="5"/>
  <c r="G11" i="5"/>
  <c r="G3" i="5"/>
  <c r="E7" i="5"/>
  <c r="M12" i="5"/>
  <c r="G16" i="5"/>
  <c r="G19" i="5"/>
  <c r="G12" i="5"/>
  <c r="G20" i="5"/>
  <c r="E3" i="5"/>
  <c r="G24" i="5"/>
  <c r="E12" i="5"/>
  <c r="E17" i="5"/>
  <c r="M13" i="5"/>
  <c r="E24" i="5"/>
  <c r="G9" i="5"/>
  <c r="G17" i="5"/>
  <c r="G15" i="5"/>
  <c r="M11" i="5"/>
  <c r="E2" i="5"/>
  <c r="M3" i="5"/>
  <c r="G6" i="5"/>
  <c r="G10" i="5"/>
  <c r="E13" i="5"/>
  <c r="R37" i="5"/>
  <c r="E6" i="5"/>
  <c r="G14" i="5"/>
  <c r="G27" i="5"/>
  <c r="M8" i="5"/>
  <c r="M5" i="5"/>
  <c r="G2" i="5"/>
  <c r="E16" i="5"/>
  <c r="E19" i="5"/>
  <c r="G28" i="5"/>
  <c r="G8" i="5"/>
  <c r="E15" i="5"/>
  <c r="G25" i="5"/>
  <c r="E14" i="5"/>
  <c r="G18" i="5"/>
  <c r="E2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<sst xmlns="http://schemas.openxmlformats.org/spreadsheetml/2006/main" count="11390" uniqueCount="2045">
  <si>
    <t>screen path</t>
  </si>
  <si>
    <t>critère repêchage</t>
  </si>
  <si>
    <t>min poids bench</t>
  </si>
  <si>
    <t>min dvd yield</t>
  </si>
  <si>
    <t>min carbon intensity</t>
  </si>
  <si>
    <t>Parameters</t>
  </si>
  <si>
    <t>Ponderation multifacteurs</t>
  </si>
  <si>
    <t>Metrics</t>
  </si>
  <si>
    <t>ESG_E</t>
  </si>
  <si>
    <t>ESG_S</t>
  </si>
  <si>
    <t>ESG_G</t>
  </si>
  <si>
    <t>ESG_ANALYST_SCORE</t>
  </si>
  <si>
    <t>CARBON_IMPACT_SCORE</t>
  </si>
  <si>
    <t>CarbonIntensity_Sales</t>
  </si>
  <si>
    <t>CarbonIntensity_EV</t>
  </si>
  <si>
    <t>Dividend Avg Percentile</t>
  </si>
  <si>
    <t>Value Avg Percentile</t>
  </si>
  <si>
    <t>Quality Avg Percentile</t>
  </si>
  <si>
    <t>Mom Avg Percentile</t>
  </si>
  <si>
    <t>Size Avg Percentile</t>
  </si>
  <si>
    <t>LowVol Avg Percentile</t>
  </si>
  <si>
    <t>Growth Avg Percentile</t>
  </si>
  <si>
    <t>PMOM 12M1M</t>
  </si>
  <si>
    <t>EPS Med NTM -3M</t>
  </si>
  <si>
    <t>EPS Med NTM 0</t>
  </si>
  <si>
    <t>EPS NTM 3M Growth</t>
  </si>
  <si>
    <t>EPS Revision Ratio</t>
  </si>
  <si>
    <t>PE LTM</t>
  </si>
  <si>
    <t>PE FY1</t>
  </si>
  <si>
    <t>PB LTM</t>
  </si>
  <si>
    <t>Price to Book FY1</t>
  </si>
  <si>
    <t>PTangibleBook LTM</t>
  </si>
  <si>
    <t>PB / PTangibleBook LTM</t>
  </si>
  <si>
    <t>PB / PTangibleBook NTM</t>
  </si>
  <si>
    <t>PFCF LTM</t>
  </si>
  <si>
    <t>Price to FreeCF FY1</t>
  </si>
  <si>
    <t>EV To EBITDA LTM</t>
  </si>
  <si>
    <t>EV To EBITDA FY1</t>
  </si>
  <si>
    <t>EV to Ebit FY1</t>
  </si>
  <si>
    <t>EV to Sales FY1</t>
  </si>
  <si>
    <t>EV to Sales LTM</t>
  </si>
  <si>
    <t>ROE avg FY0</t>
  </si>
  <si>
    <t>NetDebt to EBITDA exFIN</t>
  </si>
  <si>
    <t>Oper Margin</t>
  </si>
  <si>
    <t>Asset TO exFIN</t>
  </si>
  <si>
    <t>TIER1 Ratio FY0</t>
  </si>
  <si>
    <t>ROTE avg FY1</t>
  </si>
  <si>
    <t>DVD Yield FY0</t>
  </si>
  <si>
    <t>DVD Payout FY0</t>
  </si>
  <si>
    <t>DVD Yield FY1</t>
  </si>
  <si>
    <t>DPS 1Y Growth Forecast</t>
  </si>
  <si>
    <t>DPS FY1</t>
  </si>
  <si>
    <t>Earns Yield FY0</t>
  </si>
  <si>
    <t>Earns Yield FY1</t>
  </si>
  <si>
    <t>Sales Growth FY1</t>
  </si>
  <si>
    <t>Gross Income Growth FY1</t>
  </si>
  <si>
    <t>EPS Growth FY1</t>
  </si>
  <si>
    <t>Daily Vol 60J</t>
  </si>
  <si>
    <t>Daily Vol 90J</t>
  </si>
  <si>
    <t>Daily Vol 260J</t>
  </si>
  <si>
    <t>Net_margin_FY1</t>
  </si>
  <si>
    <t>Net_margin_FY1_chg_3M</t>
  </si>
  <si>
    <t>Net_margin_FY1_chg_6M</t>
  </si>
  <si>
    <t>Net_margin_FY1_chg_12M</t>
  </si>
  <si>
    <t>Ebitda_margin_FY1</t>
  </si>
  <si>
    <t>Ebitda_margin_FY1_chg_3M</t>
  </si>
  <si>
    <t>Ebitda_margin_FY1_chg_6M</t>
  </si>
  <si>
    <t>Ebitda_margin_FY1_chg_12M</t>
  </si>
  <si>
    <t>Multi Avg Percentile</t>
  </si>
  <si>
    <t>returns matrix</t>
  </si>
  <si>
    <t>Region</t>
  </si>
  <si>
    <t>North America</t>
  </si>
  <si>
    <t>West Europe</t>
  </si>
  <si>
    <t>Asia</t>
  </si>
  <si>
    <t>Pacific</t>
  </si>
  <si>
    <t>Mid East</t>
  </si>
  <si>
    <t>East Europe</t>
  </si>
  <si>
    <t>Poids moyen par titre</t>
  </si>
  <si>
    <t>Secteur</t>
  </si>
  <si>
    <t>Exclusion (worst)</t>
  </si>
  <si>
    <t>Nom</t>
  </si>
  <si>
    <t>Déviation</t>
  </si>
  <si>
    <t>Banks</t>
  </si>
  <si>
    <t>Basic Resources</t>
  </si>
  <si>
    <t>Chemicals</t>
  </si>
  <si>
    <t>Construction &amp; Materials</t>
  </si>
  <si>
    <t>Financial Services</t>
  </si>
  <si>
    <t>Food, Beverage &amp; Tobacco</t>
  </si>
  <si>
    <t>Health Care</t>
  </si>
  <si>
    <t>Industrial Goods &amp; Services</t>
  </si>
  <si>
    <t>Insurance</t>
  </si>
  <si>
    <t>Media</t>
  </si>
  <si>
    <t>Energy</t>
  </si>
  <si>
    <t>Personal &amp; Household Goods</t>
  </si>
  <si>
    <t>Real Estate</t>
  </si>
  <si>
    <t>Retail</t>
  </si>
  <si>
    <t>Technology</t>
  </si>
  <si>
    <t>Telecommunications</t>
  </si>
  <si>
    <t>Travel &amp; Leisure</t>
  </si>
  <si>
    <t>Utilities</t>
  </si>
  <si>
    <t>Auto &amp; Parts</t>
  </si>
  <si>
    <t>lb : divide bench weight by</t>
  </si>
  <si>
    <t>ub : multiply bench weight by</t>
  </si>
  <si>
    <t>min poids ptf</t>
  </si>
  <si>
    <t>max poids ptf</t>
  </si>
  <si>
    <t>SWEDEN</t>
  </si>
  <si>
    <t>UNITED KINGDOM</t>
  </si>
  <si>
    <t>FRANCE</t>
  </si>
  <si>
    <t>NORWAY</t>
  </si>
  <si>
    <t>BELGIUM</t>
  </si>
  <si>
    <t>SWITZERLAND</t>
  </si>
  <si>
    <t>SPAIN</t>
  </si>
  <si>
    <t>GERMANY</t>
  </si>
  <si>
    <t>ITALY</t>
  </si>
  <si>
    <t>ISIN</t>
  </si>
  <si>
    <t>Name</t>
  </si>
  <si>
    <t>Country</t>
  </si>
  <si>
    <t>Sector</t>
  </si>
  <si>
    <t>Weight</t>
  </si>
  <si>
    <t>Score E</t>
  </si>
  <si>
    <t>Score S</t>
  </si>
  <si>
    <t>Score G</t>
  </si>
  <si>
    <t>Score ESG</t>
  </si>
  <si>
    <t>Dvd yield</t>
  </si>
  <si>
    <t>Carbon Intensity</t>
  </si>
  <si>
    <t>NETHERLANDS</t>
  </si>
  <si>
    <t>IRELAND</t>
  </si>
  <si>
    <t>DENMARK</t>
  </si>
  <si>
    <t>Nb titres</t>
  </si>
  <si>
    <t>Ptf</t>
  </si>
  <si>
    <t>Bench</t>
  </si>
  <si>
    <t>+/-</t>
  </si>
  <si>
    <t>Métriques</t>
  </si>
  <si>
    <t>TE</t>
  </si>
  <si>
    <t>Nb titres ptf</t>
  </si>
  <si>
    <t>top</t>
  </si>
  <si>
    <t>liste noire</t>
  </si>
  <si>
    <t>ordre repêchage</t>
  </si>
  <si>
    <t>optim</t>
  </si>
  <si>
    <t>Exchange Country Region</t>
  </si>
  <si>
    <t>Repêchage</t>
  </si>
  <si>
    <t>Top weights</t>
  </si>
  <si>
    <t>Liste optim</t>
  </si>
  <si>
    <t>Min TE</t>
  </si>
  <si>
    <t>Max Div</t>
  </si>
  <si>
    <t>Min var</t>
  </si>
  <si>
    <t xml:space="preserve">Benchmark ICB Supersector </t>
  </si>
  <si>
    <t>min ub</t>
  </si>
  <si>
    <t>&lt; 0.20%</t>
  </si>
  <si>
    <t>&gt; 0.20%</t>
  </si>
  <si>
    <t>\\groupe-ufg.com\Commun\Prive\DIRR\Ingenierie Financiere\_LISTE_NOIRE_EXCLUSION\Liste_Noire_Exclusion.xlsx</t>
  </si>
  <si>
    <t>Poids bench</t>
  </si>
  <si>
    <t>lb secteur</t>
  </si>
  <si>
    <t>ub secteur</t>
  </si>
  <si>
    <t>nb titres min</t>
  </si>
  <si>
    <t>lb region</t>
  </si>
  <si>
    <t>ub region</t>
  </si>
  <si>
    <t>=</t>
  </si>
  <si>
    <t>Target Beta</t>
  </si>
  <si>
    <t>Min</t>
  </si>
  <si>
    <t>Max</t>
  </si>
  <si>
    <t>AUSTRIA</t>
  </si>
  <si>
    <t>Growth Score</t>
  </si>
  <si>
    <t>Momentum score</t>
  </si>
  <si>
    <t>Quality Score</t>
  </si>
  <si>
    <t>Value Score</t>
  </si>
  <si>
    <t>Dividend score</t>
  </si>
  <si>
    <t>Multi score</t>
  </si>
  <si>
    <t>Repechage</t>
  </si>
  <si>
    <t>Raison repechage</t>
  </si>
  <si>
    <t>lb</t>
  </si>
  <si>
    <t>ub</t>
  </si>
  <si>
    <t>Beta</t>
  </si>
  <si>
    <t>&lt; 0.10%</t>
  </si>
  <si>
    <t>Exclusion</t>
  </si>
  <si>
    <t>Inclusion</t>
  </si>
  <si>
    <t>min_lb</t>
  </si>
  <si>
    <t>FINLAND</t>
  </si>
  <si>
    <t>PORTUGAL</t>
  </si>
  <si>
    <t>Yes</t>
  </si>
  <si>
    <t>No</t>
  </si>
  <si>
    <t>Top3</t>
  </si>
  <si>
    <t>Earnings yield</t>
  </si>
  <si>
    <t>1)</t>
  </si>
  <si>
    <t>2)</t>
  </si>
  <si>
    <t>3)</t>
  </si>
  <si>
    <t>Sedol</t>
  </si>
  <si>
    <t>Date</t>
  </si>
  <si>
    <t>tolerance</t>
  </si>
  <si>
    <t>Pays</t>
  </si>
  <si>
    <t>Facteurs</t>
  </si>
  <si>
    <t>Growth</t>
  </si>
  <si>
    <t>Momentum</t>
  </si>
  <si>
    <t>Quality</t>
  </si>
  <si>
    <t>Value</t>
  </si>
  <si>
    <t>Dividend</t>
  </si>
  <si>
    <t>Q1</t>
  </si>
  <si>
    <t>Q2</t>
  </si>
  <si>
    <t>Q3</t>
  </si>
  <si>
    <t>Q4</t>
  </si>
  <si>
    <t>Q5</t>
  </si>
  <si>
    <t>Moyenne ptf</t>
  </si>
  <si>
    <t>+</t>
  </si>
  <si>
    <t>lb sum</t>
  </si>
  <si>
    <t>ub sum</t>
  </si>
  <si>
    <t>\\groupe-ufg.com\Commun\SYS\hooker\In_Intra\LFP IF</t>
  </si>
  <si>
    <t>20230613_ESG_Carbon.xls</t>
  </si>
  <si>
    <t>Moyenne MSCI W</t>
  </si>
  <si>
    <t>Vue</t>
  </si>
  <si>
    <t>Répartition</t>
  </si>
  <si>
    <t>STOXX EUROPE 600</t>
  </si>
  <si>
    <t>small cap threshold</t>
  </si>
  <si>
    <t>mid cap threshold</t>
  </si>
  <si>
    <t>DK0062498333</t>
  </si>
  <si>
    <t>NL0010273215</t>
  </si>
  <si>
    <t>CH0038863350</t>
  </si>
  <si>
    <t>GB0009895292</t>
  </si>
  <si>
    <t>CH0012005267</t>
  </si>
  <si>
    <t>CH0012032048</t>
  </si>
  <si>
    <t>GB00BP6MXD84</t>
  </si>
  <si>
    <t>DE0007164600</t>
  </si>
  <si>
    <t>FR0000121014</t>
  </si>
  <si>
    <t>GB0005405286</t>
  </si>
  <si>
    <t>FR0000120271</t>
  </si>
  <si>
    <t>GB00B10RZP78</t>
  </si>
  <si>
    <t>FR0000121972</t>
  </si>
  <si>
    <t>DE0007236101</t>
  </si>
  <si>
    <t>FR0000120578</t>
  </si>
  <si>
    <t>DE0008404005</t>
  </si>
  <si>
    <t>FR0000120073</t>
  </si>
  <si>
    <t>FR0000120321</t>
  </si>
  <si>
    <t>DE0005557508</t>
  </si>
  <si>
    <t>GB0007980591</t>
  </si>
  <si>
    <t>CH0244767585</t>
  </si>
  <si>
    <t>GB00BN7SWP63</t>
  </si>
  <si>
    <t>CH0012221716</t>
  </si>
  <si>
    <t>NL0000235190</t>
  </si>
  <si>
    <t>GB00B2B0DG97</t>
  </si>
  <si>
    <t>CH0011075394</t>
  </si>
  <si>
    <t>CH0210483332</t>
  </si>
  <si>
    <t>FR0000052292</t>
  </si>
  <si>
    <t>ES0144580Y14</t>
  </si>
  <si>
    <t>FR0000073272</t>
  </si>
  <si>
    <t>ES0113900J37</t>
  </si>
  <si>
    <t>GB0002875804</t>
  </si>
  <si>
    <t>FR0000131104</t>
  </si>
  <si>
    <t>DE0008430026</t>
  </si>
  <si>
    <t>FR0000120628</t>
  </si>
  <si>
    <t>FR0000121667</t>
  </si>
  <si>
    <t>GB0002374006</t>
  </si>
  <si>
    <t>IT0005239360</t>
  </si>
  <si>
    <t>FR0000125486</t>
  </si>
  <si>
    <t>GB00B0SWJX34</t>
  </si>
  <si>
    <t>IT0000072618</t>
  </si>
  <si>
    <t>GB0007188757</t>
  </si>
  <si>
    <t>GB00BDR05C01</t>
  </si>
  <si>
    <t>ES0113211835</t>
  </si>
  <si>
    <t>NL0011821202</t>
  </si>
  <si>
    <t>ES0148396007</t>
  </si>
  <si>
    <t>IT0003128367</t>
  </si>
  <si>
    <t>BE0974293251</t>
  </si>
  <si>
    <t>NL0011585146</t>
  </si>
  <si>
    <t>GB00BD6K4575</t>
  </si>
  <si>
    <t>NL0013654783</t>
  </si>
  <si>
    <t>GB00B63H8491</t>
  </si>
  <si>
    <t>DE0007100000</t>
  </si>
  <si>
    <t>SE0015811963</t>
  </si>
  <si>
    <t>GB0002634946</t>
  </si>
  <si>
    <t>JE00B4T3BW64</t>
  </si>
  <si>
    <t>CH0012214059</t>
  </si>
  <si>
    <t>GB0008706128</t>
  </si>
  <si>
    <t>CH0418792922</t>
  </si>
  <si>
    <t>CH0432492467</t>
  </si>
  <si>
    <t>CH0013841017</t>
  </si>
  <si>
    <t>DE0006231004</t>
  </si>
  <si>
    <t>SE0017486889</t>
  </si>
  <si>
    <t>GB0031348658</t>
  </si>
  <si>
    <t>FR0000120644</t>
  </si>
  <si>
    <t>DE000BASF111</t>
  </si>
  <si>
    <t>GB00B19NLV48</t>
  </si>
  <si>
    <t>FR0000125007</t>
  </si>
  <si>
    <t>DE0005810055</t>
  </si>
  <si>
    <t>NL0000395903</t>
  </si>
  <si>
    <t>SE0000115446</t>
  </si>
  <si>
    <t>DE000A1EWWW0</t>
  </si>
  <si>
    <t>GB00B24CGK77</t>
  </si>
  <si>
    <t>FI4000297767</t>
  </si>
  <si>
    <t>DE0005552004</t>
  </si>
  <si>
    <t>NL0012969182</t>
  </si>
  <si>
    <t>GB00B1YW4409</t>
  </si>
  <si>
    <t>CH0010645932</t>
  </si>
  <si>
    <t>CH0126881561</t>
  </si>
  <si>
    <t>IT0003132476</t>
  </si>
  <si>
    <t>IE00BWT6H894</t>
  </si>
  <si>
    <t>GB00BMX86B70</t>
  </si>
  <si>
    <t>CH1216478797</t>
  </si>
  <si>
    <t>GB00B1XZS820</t>
  </si>
  <si>
    <t>FR0000125338</t>
  </si>
  <si>
    <t>NL00150001Q9</t>
  </si>
  <si>
    <t>FR0010208488</t>
  </si>
  <si>
    <t>GB00BLGZ9862</t>
  </si>
  <si>
    <t>DE0005140008</t>
  </si>
  <si>
    <t>NL0011794037</t>
  </si>
  <si>
    <t>CH0024608827</t>
  </si>
  <si>
    <t>SE0007100581</t>
  </si>
  <si>
    <t>GB0000536739</t>
  </si>
  <si>
    <t>DK0060079531</t>
  </si>
  <si>
    <t>NL0010832176</t>
  </si>
  <si>
    <t>IT0000062072</t>
  </si>
  <si>
    <t>ES0109067019</t>
  </si>
  <si>
    <t>DE000BAY0017</t>
  </si>
  <si>
    <t>NL0000334118</t>
  </si>
  <si>
    <t>GB00BM8PJY71</t>
  </si>
  <si>
    <t>FR0010307819</t>
  </si>
  <si>
    <t>DE000ENAG999</t>
  </si>
  <si>
    <t>FR0000120693</t>
  </si>
  <si>
    <t>FR001400AJ45</t>
  </si>
  <si>
    <t>FR0014003TT8</t>
  </si>
  <si>
    <t>DE0005190003</t>
  </si>
  <si>
    <t>GB0007908733</t>
  </si>
  <si>
    <t>NO0010096985</t>
  </si>
  <si>
    <t>SE0012853455</t>
  </si>
  <si>
    <t>FR0000130577</t>
  </si>
  <si>
    <t>NL0000009165</t>
  </si>
  <si>
    <t>DE0007030009</t>
  </si>
  <si>
    <t>SE0000148884</t>
  </si>
  <si>
    <t>DK0060336014</t>
  </si>
  <si>
    <t>DE0006599905</t>
  </si>
  <si>
    <t>DE000A1ML7J1</t>
  </si>
  <si>
    <t>DE0007037129</t>
  </si>
  <si>
    <t>CH0014852781</t>
  </si>
  <si>
    <t>FR0000124141</t>
  </si>
  <si>
    <t>NL0000009538</t>
  </si>
  <si>
    <t>FR0000133308</t>
  </si>
  <si>
    <t>GB0004544929</t>
  </si>
  <si>
    <t>GB0007099541</t>
  </si>
  <si>
    <t>DK0061539921</t>
  </si>
  <si>
    <t>FI0009000681</t>
  </si>
  <si>
    <t>ES0178430E18</t>
  </si>
  <si>
    <t>SE0000108656</t>
  </si>
  <si>
    <t>GB00BH4HKS39</t>
  </si>
  <si>
    <t>SE0000667891</t>
  </si>
  <si>
    <t>BE0003739530</t>
  </si>
  <si>
    <t>ES0140609019</t>
  </si>
  <si>
    <t>NL0015001FS8</t>
  </si>
  <si>
    <t>GB0004082847</t>
  </si>
  <si>
    <t>DE000DTR0CK8</t>
  </si>
  <si>
    <t>DE0007664039</t>
  </si>
  <si>
    <t>FI0009013403</t>
  </si>
  <si>
    <t>DK0060448595</t>
  </si>
  <si>
    <t>DK0010274414</t>
  </si>
  <si>
    <t>CH0030170408</t>
  </si>
  <si>
    <t>FI4000552500</t>
  </si>
  <si>
    <t>NL0000226223</t>
  </si>
  <si>
    <t>SE0015961909</t>
  </si>
  <si>
    <t>NL0015000IY2</t>
  </si>
  <si>
    <t>FR0000121485</t>
  </si>
  <si>
    <t>SE0012673267</t>
  </si>
  <si>
    <t>SE0000242455</t>
  </si>
  <si>
    <t>FR0000130809</t>
  </si>
  <si>
    <t>DE000ENER6Y0</t>
  </si>
  <si>
    <t>CH1243598427</t>
  </si>
  <si>
    <t>BE0003565737</t>
  </si>
  <si>
    <t>IT0004176001</t>
  </si>
  <si>
    <t>FR0000045072</t>
  </si>
  <si>
    <t>ES0105066007</t>
  </si>
  <si>
    <t>DK0010272202</t>
  </si>
  <si>
    <t>NO0010161896</t>
  </si>
  <si>
    <t>FI0009005987</t>
  </si>
  <si>
    <t>GB00BPQY8M80</t>
  </si>
  <si>
    <t>CH0025238863</t>
  </si>
  <si>
    <t>GB0005603997</t>
  </si>
  <si>
    <t>DE0008402215</t>
  </si>
  <si>
    <t>AT0000652011</t>
  </si>
  <si>
    <t>CH1256740924</t>
  </si>
  <si>
    <t>FR0000121329</t>
  </si>
  <si>
    <t>CH0012549785</t>
  </si>
  <si>
    <t>CH1175448666</t>
  </si>
  <si>
    <t>SE0009922164</t>
  </si>
  <si>
    <t>GB00BHJYC057</t>
  </si>
  <si>
    <t>ES0173516115</t>
  </si>
  <si>
    <t>DE000SYM9999</t>
  </si>
  <si>
    <t>GB0032089863</t>
  </si>
  <si>
    <t>NL0000009082</t>
  </si>
  <si>
    <t>CH0008742519</t>
  </si>
  <si>
    <t>DE000A0D9PT0</t>
  </si>
  <si>
    <t>DE000SHL1006</t>
  </si>
  <si>
    <t>GB00B082RF11</t>
  </si>
  <si>
    <t>SE0007100599</t>
  </si>
  <si>
    <t>DE0005785604</t>
  </si>
  <si>
    <t>GB00B0744B38</t>
  </si>
  <si>
    <t>ES0105046009</t>
  </si>
  <si>
    <t>GB00BMJ6DW54</t>
  </si>
  <si>
    <t>IE0004906560</t>
  </si>
  <si>
    <t>DE0006048432</t>
  </si>
  <si>
    <t>DE000CBK1001</t>
  </si>
  <si>
    <t>DE0005200000</t>
  </si>
  <si>
    <t>CH0311864901</t>
  </si>
  <si>
    <t>GB00B5ZN1N88</t>
  </si>
  <si>
    <t>DE0006047004</t>
  </si>
  <si>
    <t>DK0060252690</t>
  </si>
  <si>
    <t>IE0004927939</t>
  </si>
  <si>
    <t>CH0025751329</t>
  </si>
  <si>
    <t>IT0004965148</t>
  </si>
  <si>
    <t>GB00B8C3BL03</t>
  </si>
  <si>
    <t>GB0009223206</t>
  </si>
  <si>
    <t>GB0004052071</t>
  </si>
  <si>
    <t>NL0010773842</t>
  </si>
  <si>
    <t>CH0010570767</t>
  </si>
  <si>
    <t>SE0000695876</t>
  </si>
  <si>
    <t>PLPKO0000016</t>
  </si>
  <si>
    <t>IE00BD1RP616</t>
  </si>
  <si>
    <t>IT0003242622</t>
  </si>
  <si>
    <t>CH0102484968</t>
  </si>
  <si>
    <t>ES0113860A34</t>
  </si>
  <si>
    <t>DE0006062144</t>
  </si>
  <si>
    <t>GB0030913577</t>
  </si>
  <si>
    <t>SE0015658109</t>
  </si>
  <si>
    <t>CH0024638196</t>
  </si>
  <si>
    <t>PTEDP0AM0009</t>
  </si>
  <si>
    <t>DK0060094928</t>
  </si>
  <si>
    <t>DK0010181759</t>
  </si>
  <si>
    <t>FR0006174348</t>
  </si>
  <si>
    <t>NL0012866412</t>
  </si>
  <si>
    <t>NL0013267909</t>
  </si>
  <si>
    <t>FI0009003727</t>
  </si>
  <si>
    <t>LU1598757687</t>
  </si>
  <si>
    <t>NL0012059018</t>
  </si>
  <si>
    <t>FR0010908533</t>
  </si>
  <si>
    <t>IT0000072170</t>
  </si>
  <si>
    <t>IT0005218380</t>
  </si>
  <si>
    <t>GB00B02J6398</t>
  </si>
  <si>
    <t>GB0031638363</t>
  </si>
  <si>
    <t>JE00B8KF9B49</t>
  </si>
  <si>
    <t>GB0006731235</t>
  </si>
  <si>
    <t>FR0000130452</t>
  </si>
  <si>
    <t>GB00BVYVFW23</t>
  </si>
  <si>
    <t>IT0003153415</t>
  </si>
  <si>
    <t>IE00BF0L3536</t>
  </si>
  <si>
    <t>IE00BYTBXV33</t>
  </si>
  <si>
    <t>PLPKN0000018</t>
  </si>
  <si>
    <t>ES0167050915</t>
  </si>
  <si>
    <t>FR0000120503</t>
  </si>
  <si>
    <t>FI0009013296</t>
  </si>
  <si>
    <t>DE000A1DAHH0</t>
  </si>
  <si>
    <t>FR0000131906</t>
  </si>
  <si>
    <t>FR0000120172</t>
  </si>
  <si>
    <t>NO0003043309</t>
  </si>
  <si>
    <t>SE0000106270</t>
  </si>
  <si>
    <t>PTGAL0AM0009</t>
  </si>
  <si>
    <t>IT0003856405</t>
  </si>
  <si>
    <t>GB0006776081</t>
  </si>
  <si>
    <t>GB0000456144</t>
  </si>
  <si>
    <t>NL0010801007</t>
  </si>
  <si>
    <t>GB0000811801</t>
  </si>
  <si>
    <t>BE0974264930</t>
  </si>
  <si>
    <t>CH0012410517</t>
  </si>
  <si>
    <t>GB00B033F229</t>
  </si>
  <si>
    <t>GB00B39J2M42</t>
  </si>
  <si>
    <t>NL0000008977</t>
  </si>
  <si>
    <t>GB00B1FH8J72</t>
  </si>
  <si>
    <t>GB0031274896</t>
  </si>
  <si>
    <t>GB0008220112</t>
  </si>
  <si>
    <t>NL0006294274</t>
  </si>
  <si>
    <t>IT0000062957</t>
  </si>
  <si>
    <t>BMG0112X1056</t>
  </si>
  <si>
    <t>DE000PAG9113</t>
  </si>
  <si>
    <t>FR0000120404</t>
  </si>
  <si>
    <t>CH0008038389</t>
  </si>
  <si>
    <t>SE0014781795</t>
  </si>
  <si>
    <t>SE0001515552</t>
  </si>
  <si>
    <t>GB00BYT1DJ19</t>
  </si>
  <si>
    <t>FR0013326246</t>
  </si>
  <si>
    <t>GB00B1WY2338</t>
  </si>
  <si>
    <t>NL0011540547</t>
  </si>
  <si>
    <t>NO0010063308</t>
  </si>
  <si>
    <t>SE0020050417</t>
  </si>
  <si>
    <t>GB00BNGDN821</t>
  </si>
  <si>
    <t>SE0000114837</t>
  </si>
  <si>
    <t>FR0000127771</t>
  </si>
  <si>
    <t>NO0003054108</t>
  </si>
  <si>
    <t>FI0009005961</t>
  </si>
  <si>
    <t>CH0198251305</t>
  </si>
  <si>
    <t>SE0021921269</t>
  </si>
  <si>
    <t>FR0000121220</t>
  </si>
  <si>
    <t>GB0008782301</t>
  </si>
  <si>
    <t>SE0015949201</t>
  </si>
  <si>
    <t>SE0000112724</t>
  </si>
  <si>
    <t>DE0005785802</t>
  </si>
  <si>
    <t>GB00BMWC6P49</t>
  </si>
  <si>
    <t>GB0001826634</t>
  </si>
  <si>
    <t>NL0011872643</t>
  </si>
  <si>
    <t>FR0014000MR3</t>
  </si>
  <si>
    <t>PLPEKAO00016</t>
  </si>
  <si>
    <t>NO0005052605</t>
  </si>
  <si>
    <t>DK0060636678</t>
  </si>
  <si>
    <t>FI0009007884</t>
  </si>
  <si>
    <t>NO0010345853</t>
  </si>
  <si>
    <t>DE000LEG1110</t>
  </si>
  <si>
    <t>SE0000872095</t>
  </si>
  <si>
    <t>SE0000113250</t>
  </si>
  <si>
    <t>SE0000667925</t>
  </si>
  <si>
    <t>DE0005439004</t>
  </si>
  <si>
    <t>DE0006602006</t>
  </si>
  <si>
    <t>DK0060257814</t>
  </si>
  <si>
    <t>IE0002424939</t>
  </si>
  <si>
    <t>GB00BWFGQN14</t>
  </si>
  <si>
    <t>SE0015988019</t>
  </si>
  <si>
    <t>GB00BGDT3G23</t>
  </si>
  <si>
    <t>GB00B019KW72</t>
  </si>
  <si>
    <t>FR0010220475</t>
  </si>
  <si>
    <t>GB0006825383</t>
  </si>
  <si>
    <t>GB00BLJNXL82</t>
  </si>
  <si>
    <t>NO0003733800</t>
  </si>
  <si>
    <t>DE000PAH0038</t>
  </si>
  <si>
    <t>FI0009007132</t>
  </si>
  <si>
    <t>GB00BJFFLV09</t>
  </si>
  <si>
    <t>GB0033195214</t>
  </si>
  <si>
    <t>LU2598331598</t>
  </si>
  <si>
    <t>GB0005576813</t>
  </si>
  <si>
    <t>ES0173093024</t>
  </si>
  <si>
    <t>GB0009465807</t>
  </si>
  <si>
    <t>DE0007165631</t>
  </si>
  <si>
    <t>CH0018294154</t>
  </si>
  <si>
    <t>GB00BKFB1C65</t>
  </si>
  <si>
    <t>ES0130670112</t>
  </si>
  <si>
    <t>GB00B1KJJ408</t>
  </si>
  <si>
    <t>PLPZU0000011</t>
  </si>
  <si>
    <t>BE0003797140</t>
  </si>
  <si>
    <t>DK0010244508</t>
  </si>
  <si>
    <t>IT0003796171</t>
  </si>
  <si>
    <t>FI0009014575</t>
  </si>
  <si>
    <t>SE0005190238</t>
  </si>
  <si>
    <t>FR0000121964</t>
  </si>
  <si>
    <t>GB00BGLP8L22</t>
  </si>
  <si>
    <t>DE000A2E4K43</t>
  </si>
  <si>
    <t>GB00BYW0PQ60</t>
  </si>
  <si>
    <t>GB00BGXQNP29</t>
  </si>
  <si>
    <t>SE0015949748</t>
  </si>
  <si>
    <t>CH1101098163</t>
  </si>
  <si>
    <t>AT0000743059</t>
  </si>
  <si>
    <t>AT0000BAWAG2</t>
  </si>
  <si>
    <t>DE0006452907</t>
  </si>
  <si>
    <t>GB00BYQ0JC66</t>
  </si>
  <si>
    <t>CH0435377954</t>
  </si>
  <si>
    <t>GB00BL9YR756</t>
  </si>
  <si>
    <t>BE0974464977</t>
  </si>
  <si>
    <t>NL0000379121</t>
  </si>
  <si>
    <t>SE0000163594</t>
  </si>
  <si>
    <t>SE0000108227</t>
  </si>
  <si>
    <t>IT0003828271</t>
  </si>
  <si>
    <t>FR0012757854</t>
  </si>
  <si>
    <t>FR0000051807</t>
  </si>
  <si>
    <t>LU2237380790</t>
  </si>
  <si>
    <t>SE0005127818</t>
  </si>
  <si>
    <t>CH1169151003</t>
  </si>
  <si>
    <t>ES0113679I37</t>
  </si>
  <si>
    <t>DE000ZAL1111</t>
  </si>
  <si>
    <t>DE000A12DM80</t>
  </si>
  <si>
    <t>SE0011337708</t>
  </si>
  <si>
    <t>CH0012255151</t>
  </si>
  <si>
    <t>AT0000746409</t>
  </si>
  <si>
    <t>SE0000107203</t>
  </si>
  <si>
    <t>FI0009000202</t>
  </si>
  <si>
    <t>FI0009014377</t>
  </si>
  <si>
    <t>CH0012138605</t>
  </si>
  <si>
    <t>LU1072616219</t>
  </si>
  <si>
    <t>CH0009002962</t>
  </si>
  <si>
    <t>ES0177542018</t>
  </si>
  <si>
    <t>NL0006237562</t>
  </si>
  <si>
    <t>CH0466642201</t>
  </si>
  <si>
    <t>BMG4593F1389</t>
  </si>
  <si>
    <t>CH0016440353</t>
  </si>
  <si>
    <t>FR0013280286</t>
  </si>
  <si>
    <t>BE0003604155</t>
  </si>
  <si>
    <t>DE000KBX1006</t>
  </si>
  <si>
    <t>FR0010533075</t>
  </si>
  <si>
    <t>NL0015435975</t>
  </si>
  <si>
    <t>GB0001859296</t>
  </si>
  <si>
    <t>DE000EVNK013</t>
  </si>
  <si>
    <t>SE0000379190</t>
  </si>
  <si>
    <t>SE0017832488</t>
  </si>
  <si>
    <t>PTJMT0AE0001</t>
  </si>
  <si>
    <t>IT0000066123</t>
  </si>
  <si>
    <t>FR0010040865</t>
  </si>
  <si>
    <t>IT0005508921</t>
  </si>
  <si>
    <t>FR0010451203</t>
  </si>
  <si>
    <t>GB00B4WFW713</t>
  </si>
  <si>
    <t>GB00BD3VFW73</t>
  </si>
  <si>
    <t>FR0013154002</t>
  </si>
  <si>
    <t>GB00B1VZ0M25</t>
  </si>
  <si>
    <t>DE0005470306</t>
  </si>
  <si>
    <t>FR0011726835</t>
  </si>
  <si>
    <t>CH0014284498</t>
  </si>
  <si>
    <t>FR0010313833</t>
  </si>
  <si>
    <t>IM00B5VQMV65</t>
  </si>
  <si>
    <t>GB0007669376</t>
  </si>
  <si>
    <t>BE0974259880</t>
  </si>
  <si>
    <t>GB00B06QFB75</t>
  </si>
  <si>
    <t>CH1335392721</t>
  </si>
  <si>
    <t>ES0127797019</t>
  </si>
  <si>
    <t>DE000TLX1005</t>
  </si>
  <si>
    <t>GB0001367019</t>
  </si>
  <si>
    <t>PLKGHM000017</t>
  </si>
  <si>
    <t>FI0009005870</t>
  </si>
  <si>
    <t>AT0000730007</t>
  </si>
  <si>
    <t>FR0000039299</t>
  </si>
  <si>
    <t>DE0007010803</t>
  </si>
  <si>
    <t>DK0010287663</t>
  </si>
  <si>
    <t>FR0004125920</t>
  </si>
  <si>
    <t>PLLPP0000011</t>
  </si>
  <si>
    <t>NO0003053605</t>
  </si>
  <si>
    <t>GB00BG49KP99</t>
  </si>
  <si>
    <t>CH1169360919</t>
  </si>
  <si>
    <t>ES0116870314</t>
  </si>
  <si>
    <t>GB0000904986</t>
  </si>
  <si>
    <t>GB00B61TVQ02</t>
  </si>
  <si>
    <t>GB00BNYK8G86</t>
  </si>
  <si>
    <t>GB0003096442</t>
  </si>
  <si>
    <t>NL0010558797</t>
  </si>
  <si>
    <t>GB00B63QSB39</t>
  </si>
  <si>
    <t>SE0000202624</t>
  </si>
  <si>
    <t>BE0974349814</t>
  </si>
  <si>
    <t>DE0006969603</t>
  </si>
  <si>
    <t>CH0012100191</t>
  </si>
  <si>
    <t>IT0005090300</t>
  </si>
  <si>
    <t>GB00BM8Q5M07</t>
  </si>
  <si>
    <t>DK0060854669</t>
  </si>
  <si>
    <t>NO0010208051</t>
  </si>
  <si>
    <t>CH0012453913</t>
  </si>
  <si>
    <t>FR0012435121</t>
  </si>
  <si>
    <t>FI4000074984</t>
  </si>
  <si>
    <t>IT0004056880</t>
  </si>
  <si>
    <t>PLBZ00000044</t>
  </si>
  <si>
    <t>FR0013451333</t>
  </si>
  <si>
    <t>GB00BP9LHF23</t>
  </si>
  <si>
    <t>SE0010100958</t>
  </si>
  <si>
    <t>GB0003718474</t>
  </si>
  <si>
    <t>CH0023405456</t>
  </si>
  <si>
    <t>FI0009000459</t>
  </si>
  <si>
    <t>GB00B17BBQ50</t>
  </si>
  <si>
    <t>BE0003764785</t>
  </si>
  <si>
    <t>IT0004810054</t>
  </si>
  <si>
    <t>CH0319416936</t>
  </si>
  <si>
    <t>FR0010259150</t>
  </si>
  <si>
    <t>GB00B0N8QD54</t>
  </si>
  <si>
    <t>PTBCP0AM0015</t>
  </si>
  <si>
    <t>GB0003308607</t>
  </si>
  <si>
    <t>PLDINPL00011</t>
  </si>
  <si>
    <t>FR0000044448</t>
  </si>
  <si>
    <t>GB00B0LCW083</t>
  </si>
  <si>
    <t>CH0360674466</t>
  </si>
  <si>
    <t>CH0130293662</t>
  </si>
  <si>
    <t>DK0060738599</t>
  </si>
  <si>
    <t>NO0010310956</t>
  </si>
  <si>
    <t>FR0000121121</t>
  </si>
  <si>
    <t>GB0006928617</t>
  </si>
  <si>
    <t>LU0075646355</t>
  </si>
  <si>
    <t>FR0014004L86</t>
  </si>
  <si>
    <t>IT0001078911</t>
  </si>
  <si>
    <t>CH0010675863</t>
  </si>
  <si>
    <t>CH0012142631</t>
  </si>
  <si>
    <t>IT0005366767</t>
  </si>
  <si>
    <t>ES0105025003</t>
  </si>
  <si>
    <t>NL0000852564</t>
  </si>
  <si>
    <t>SE0000108847</t>
  </si>
  <si>
    <t>DE0005158703</t>
  </si>
  <si>
    <t>SE0014960373</t>
  </si>
  <si>
    <t>JE00BJ1DLW90</t>
  </si>
  <si>
    <t>DE0008232125</t>
  </si>
  <si>
    <t>GB00BZ4BQC70</t>
  </si>
  <si>
    <t>GB00BY9D0Y18</t>
  </si>
  <si>
    <t>DK0010219153</t>
  </si>
  <si>
    <t>SE0011090018</t>
  </si>
  <si>
    <t>BE0003822393</t>
  </si>
  <si>
    <t>GB00BF8Q6K64</t>
  </si>
  <si>
    <t>DE000A0LD6E6</t>
  </si>
  <si>
    <t>SE0014990966</t>
  </si>
  <si>
    <t>SE0015192067</t>
  </si>
  <si>
    <t>DK0061802139</t>
  </si>
  <si>
    <t>BE0003717312</t>
  </si>
  <si>
    <t>DK0010307958</t>
  </si>
  <si>
    <t>GB00BVFNZH21</t>
  </si>
  <si>
    <t>AT0000831706</t>
  </si>
  <si>
    <t>GB0033986497</t>
  </si>
  <si>
    <t>GB0002869419</t>
  </si>
  <si>
    <t>ES0125220311</t>
  </si>
  <si>
    <t>GB00B0WMWD03</t>
  </si>
  <si>
    <t>IT0001347308</t>
  </si>
  <si>
    <t>FR0000071946</t>
  </si>
  <si>
    <t>ES0171996087</t>
  </si>
  <si>
    <t>IT0001250932</t>
  </si>
  <si>
    <t>FR0010411983</t>
  </si>
  <si>
    <t>NO0012470089</t>
  </si>
  <si>
    <t>CY0200352116</t>
  </si>
  <si>
    <t>GB0002318888</t>
  </si>
  <si>
    <t>SE0001174970</t>
  </si>
  <si>
    <t>BE0003851681</t>
  </si>
  <si>
    <t>GB00BP92CJ43</t>
  </si>
  <si>
    <t>GB0000961622</t>
  </si>
  <si>
    <t>IT0001233417</t>
  </si>
  <si>
    <t>NL0011821392</t>
  </si>
  <si>
    <t>IE0000669501</t>
  </si>
  <si>
    <t>IT0005282865</t>
  </si>
  <si>
    <t>FR0011675362</t>
  </si>
  <si>
    <t>DE000A0Z2ZZ5</t>
  </si>
  <si>
    <t>GB0031743007</t>
  </si>
  <si>
    <t>DK0060946788</t>
  </si>
  <si>
    <t>GB00BD6GN030</t>
  </si>
  <si>
    <t>DK0010272632</t>
  </si>
  <si>
    <t>DK0060634707</t>
  </si>
  <si>
    <t>LU2290522684</t>
  </si>
  <si>
    <t>GB00B1VNSX38</t>
  </si>
  <si>
    <t>SE0015671995</t>
  </si>
  <si>
    <t>PLOPTTC00011</t>
  </si>
  <si>
    <t>NL0014559478</t>
  </si>
  <si>
    <t>FR0013227113</t>
  </si>
  <si>
    <t>GB00BDVZYZ77</t>
  </si>
  <si>
    <t>SE0000120669</t>
  </si>
  <si>
    <t>NO0010582521</t>
  </si>
  <si>
    <t>FR0000064578</t>
  </si>
  <si>
    <t>FR0000121709</t>
  </si>
  <si>
    <t>NO0011202772</t>
  </si>
  <si>
    <t>CH0360826991</t>
  </si>
  <si>
    <t>IT0004764699</t>
  </si>
  <si>
    <t>ES0130960018</t>
  </si>
  <si>
    <t>SE0017161243</t>
  </si>
  <si>
    <t>SE0020539310</t>
  </si>
  <si>
    <t>FI0009004824</t>
  </si>
  <si>
    <t>GB0002652740</t>
  </si>
  <si>
    <t>IT0005211237</t>
  </si>
  <si>
    <t>IT0003497168</t>
  </si>
  <si>
    <t>NL0012015705</t>
  </si>
  <si>
    <t>DK0010311471</t>
  </si>
  <si>
    <t>CH1176493729</t>
  </si>
  <si>
    <t>FR0013269123</t>
  </si>
  <si>
    <t>CH0531751755</t>
  </si>
  <si>
    <t>FR0000050809</t>
  </si>
  <si>
    <t>IE00B00MZ448</t>
  </si>
  <si>
    <t>FR0000130403</t>
  </si>
  <si>
    <t>FR0010340141</t>
  </si>
  <si>
    <t>DE0008303504</t>
  </si>
  <si>
    <t>AT0000937503</t>
  </si>
  <si>
    <t>SE0006422390</t>
  </si>
  <si>
    <t>NL0014332678</t>
  </si>
  <si>
    <t>IT0000784196</t>
  </si>
  <si>
    <t>CH0008837566</t>
  </si>
  <si>
    <t>SE0000375115</t>
  </si>
  <si>
    <t>IT0003492391</t>
  </si>
  <si>
    <t>SE0009806607</t>
  </si>
  <si>
    <t>ES0183746314</t>
  </si>
  <si>
    <t>IT0003261697</t>
  </si>
  <si>
    <t>SE0012454072</t>
  </si>
  <si>
    <t>CH0239229302</t>
  </si>
  <si>
    <t>SE0007074281</t>
  </si>
  <si>
    <t>DE0005470405</t>
  </si>
  <si>
    <t>SE0006993770</t>
  </si>
  <si>
    <t>DE000A3E5D64</t>
  </si>
  <si>
    <t>GB00BV9FP302</t>
  </si>
  <si>
    <t>GB00B1N7Z094</t>
  </si>
  <si>
    <t>BE0974400328</t>
  </si>
  <si>
    <t>SE0018012635</t>
  </si>
  <si>
    <t>CH0126673539</t>
  </si>
  <si>
    <t>GB0007973794</t>
  </si>
  <si>
    <t>DK0060542181</t>
  </si>
  <si>
    <t>FR0000121204</t>
  </si>
  <si>
    <t>GB00B3MBS747</t>
  </si>
  <si>
    <t>DK0010234467</t>
  </si>
  <si>
    <t>CH0225173167</t>
  </si>
  <si>
    <t>NL00150003E1</t>
  </si>
  <si>
    <t>CH0002432174</t>
  </si>
  <si>
    <t>GB00BYZDVK82</t>
  </si>
  <si>
    <t>SE0001662230</t>
  </si>
  <si>
    <t>FR0013506730</t>
  </si>
  <si>
    <t>DE000KGX8881</t>
  </si>
  <si>
    <t>AT0000606306</t>
  </si>
  <si>
    <t>SE0017780133</t>
  </si>
  <si>
    <t>ES0184262212</t>
  </si>
  <si>
    <t>FO0000000179</t>
  </si>
  <si>
    <t>IT0005495657</t>
  </si>
  <si>
    <t>GB00BK9RKT01</t>
  </si>
  <si>
    <t>BE0974320526</t>
  </si>
  <si>
    <t>DE0005313704</t>
  </si>
  <si>
    <t>CH0011029946</t>
  </si>
  <si>
    <t>DE000KSAG888</t>
  </si>
  <si>
    <t>SE0016589188</t>
  </si>
  <si>
    <t>GB00B7KR2P84</t>
  </si>
  <si>
    <t>BE0003593044</t>
  </si>
  <si>
    <t>DE000A1PHFF7</t>
  </si>
  <si>
    <t>SE0000163628</t>
  </si>
  <si>
    <t>FR0013176526</t>
  </si>
  <si>
    <t>FI0009000277</t>
  </si>
  <si>
    <t>FR0000073298</t>
  </si>
  <si>
    <t>DE0006070006</t>
  </si>
  <si>
    <t>DE000A0WMPJ6</t>
  </si>
  <si>
    <t>DE0006766504</t>
  </si>
  <si>
    <t>GB00BNTJ3546</t>
  </si>
  <si>
    <t>FR0013447729</t>
  </si>
  <si>
    <t>GB00BNNTLN49</t>
  </si>
  <si>
    <t>FI4000571013</t>
  </si>
  <si>
    <t>NL0015000LU4</t>
  </si>
  <si>
    <t>FR0011981968</t>
  </si>
  <si>
    <t>LU0088087324</t>
  </si>
  <si>
    <t>GB0004161021</t>
  </si>
  <si>
    <t>SE0021628898</t>
  </si>
  <si>
    <t>DE000WCH8881</t>
  </si>
  <si>
    <t>FR0000054470</t>
  </si>
  <si>
    <t>SE0022060521</t>
  </si>
  <si>
    <t>DE0007500001</t>
  </si>
  <si>
    <t>FR0000121147</t>
  </si>
  <si>
    <t>GB00BN4HT335</t>
  </si>
  <si>
    <t>Analyst Score</t>
  </si>
  <si>
    <t>LVMH Moet Hennessy Louis Vuitton SE</t>
  </si>
  <si>
    <t>TotalEnergies SE</t>
  </si>
  <si>
    <t>Schneider Electric SE</t>
  </si>
  <si>
    <t>Sanofi</t>
  </si>
  <si>
    <t>Air Liquide SA</t>
  </si>
  <si>
    <t>L'Oreal S.A.</t>
  </si>
  <si>
    <t>Airbus SE</t>
  </si>
  <si>
    <t>BNP Paribas S.A. Class A</t>
  </si>
  <si>
    <t>Safran SA</t>
  </si>
  <si>
    <t>Hermes International SCA</t>
  </si>
  <si>
    <t>EssilorLuxottica SA</t>
  </si>
  <si>
    <t>AXA SA</t>
  </si>
  <si>
    <t>VINCI SA</t>
  </si>
  <si>
    <t>Danone SA</t>
  </si>
  <si>
    <t>Compagnie de Saint-Gobain SA</t>
  </si>
  <si>
    <t>Stellantis N.V.</t>
  </si>
  <si>
    <t>Capgemini SE</t>
  </si>
  <si>
    <t>ENGIE SA.</t>
  </si>
  <si>
    <t>Legrand SA</t>
  </si>
  <si>
    <t>Pernod Ricard SA</t>
  </si>
  <si>
    <t>Cie Generale des Etablissements Michelin SA</t>
  </si>
  <si>
    <t>Dassault Systemes SE</t>
  </si>
  <si>
    <t>Publicis Groupe SA</t>
  </si>
  <si>
    <t>Veolia Environnement SA</t>
  </si>
  <si>
    <t>Orange SA</t>
  </si>
  <si>
    <t>Kering SA</t>
  </si>
  <si>
    <t>STMicroelectronics NV</t>
  </si>
  <si>
    <t>Societe Generale S.A. Class A</t>
  </si>
  <si>
    <t>Thales SA</t>
  </si>
  <si>
    <t>Credit Agricole SA</t>
  </si>
  <si>
    <t>ArcelorMittal SA</t>
  </si>
  <si>
    <t>Edenred SA</t>
  </si>
  <si>
    <t>Renault SA</t>
  </si>
  <si>
    <t>Unibail-Rodamco-Westfield SE Stapled Secs Cons of 1 Sh Unibail Rodamco + 1 Sh WFD Unib Rod</t>
  </si>
  <si>
    <t>Carrefour SA</t>
  </si>
  <si>
    <t>Vivendi SE</t>
  </si>
  <si>
    <t>Accor SA</t>
  </si>
  <si>
    <t>Eurofins Scientific SE</t>
  </si>
  <si>
    <t>Bouygues SA</t>
  </si>
  <si>
    <t>Teleperformance SE</t>
  </si>
  <si>
    <t>Metso Corporation</t>
  </si>
  <si>
    <t>M&amp;G Plc</t>
  </si>
  <si>
    <t>Fresenius SE &amp; Co. KGaA</t>
  </si>
  <si>
    <t>Siemens Healthineers AG</t>
  </si>
  <si>
    <t>Computacenter Plc</t>
  </si>
  <si>
    <t>Tate &amp; Lyle PLC</t>
  </si>
  <si>
    <t>Adyen NV</t>
  </si>
  <si>
    <t>Swatch Group Ltd. Bearer</t>
  </si>
  <si>
    <t>Iberdrola SA</t>
  </si>
  <si>
    <t>Bechtle AG</t>
  </si>
  <si>
    <t>Wihlborgs Fastigheter AB</t>
  </si>
  <si>
    <t>Enel SpA</t>
  </si>
  <si>
    <t>Travis Perkins plc</t>
  </si>
  <si>
    <t>IMCD N.V.</t>
  </si>
  <si>
    <t>Beazley Plc</t>
  </si>
  <si>
    <t>Aker BP ASA</t>
  </si>
  <si>
    <t>Addtech AB Class B</t>
  </si>
  <si>
    <t>Bachem Holding AG Class B</t>
  </si>
  <si>
    <t>Julius Baer Gruppe AG</t>
  </si>
  <si>
    <t>Sofina SA</t>
  </si>
  <si>
    <t>InPost S.A.</t>
  </si>
  <si>
    <t>Land Securities Group PLC</t>
  </si>
  <si>
    <t>Sectra AB Class B</t>
  </si>
  <si>
    <t>Worldline SA</t>
  </si>
  <si>
    <t>Berkeley Group Holdings plc</t>
  </si>
  <si>
    <t>Marks and Spencer Group plc</t>
  </si>
  <si>
    <t>ageas SA/NV</t>
  </si>
  <si>
    <t>K+S AG</t>
  </si>
  <si>
    <t>SalMar ASA</t>
  </si>
  <si>
    <t>Pandora A/S</t>
  </si>
  <si>
    <t>Smiths Group Plc</t>
  </si>
  <si>
    <t>Elia Group SA/NV</t>
  </si>
  <si>
    <t>Temenos AG</t>
  </si>
  <si>
    <t>Sweco AB Class B</t>
  </si>
  <si>
    <t>Coloplast A/S Class B</t>
  </si>
  <si>
    <t>Unilever PLC</t>
  </si>
  <si>
    <t>Antofagasta plc</t>
  </si>
  <si>
    <t>Orion Oyj Class B</t>
  </si>
  <si>
    <t>ConvaTec Group Plc</t>
  </si>
  <si>
    <t>Aviva plc</t>
  </si>
  <si>
    <t>Bank of Ireland Group Plc</t>
  </si>
  <si>
    <t>Leonardo SpA</t>
  </si>
  <si>
    <t>Bunzl plc</t>
  </si>
  <si>
    <t>Croda International Plc</t>
  </si>
  <si>
    <t>Telefonica SA</t>
  </si>
  <si>
    <t>Next plc</t>
  </si>
  <si>
    <t>Lonza Group AG</t>
  </si>
  <si>
    <t>Technip Energies NV</t>
  </si>
  <si>
    <t>Georg Fischer AG</t>
  </si>
  <si>
    <t>Avanza Bank Holding AB</t>
  </si>
  <si>
    <t>Safestore Holdings plc</t>
  </si>
  <si>
    <t>Talanx AG</t>
  </si>
  <si>
    <t>Orkla ASA</t>
  </si>
  <si>
    <t>Admiral Group plc</t>
  </si>
  <si>
    <t>Commerzbank AG</t>
  </si>
  <si>
    <t>Fresenius Medical Care AG</t>
  </si>
  <si>
    <t>Infrastrutture Wireless Italiane S.p.A.</t>
  </si>
  <si>
    <t>Galenica AG</t>
  </si>
  <si>
    <t>OCI NV</t>
  </si>
  <si>
    <t>Vallourec SA</t>
  </si>
  <si>
    <t>Cofinimmo SA</t>
  </si>
  <si>
    <t>Glanbia Plc</t>
  </si>
  <si>
    <t>CD Projekt S.A.</t>
  </si>
  <si>
    <t>Direct Line Insurance Group Plc</t>
  </si>
  <si>
    <t>Straumann Holding AG</t>
  </si>
  <si>
    <t>Abrdn plc</t>
  </si>
  <si>
    <t>JD Sports Fashion Plc</t>
  </si>
  <si>
    <t>Svenska Cellulosa AB SCA Class B</t>
  </si>
  <si>
    <t>SEGRO plc</t>
  </si>
  <si>
    <t>arGEN-X SE</t>
  </si>
  <si>
    <t>Barratt Developments PLC</t>
  </si>
  <si>
    <t>Swiss Prime Site AG</t>
  </si>
  <si>
    <t>BT Group plc</t>
  </si>
  <si>
    <t>Pennon Group Plc</t>
  </si>
  <si>
    <t>BELIMO Holding AG</t>
  </si>
  <si>
    <t>Deutsche Telekom AG</t>
  </si>
  <si>
    <t>Serco Group plc</t>
  </si>
  <si>
    <t>thyssenkrupp AG</t>
  </si>
  <si>
    <t>Grafton Group Plc</t>
  </si>
  <si>
    <t>Sika AG</t>
  </si>
  <si>
    <t>Wacker Chemie AG</t>
  </si>
  <si>
    <t>Indivior PLC</t>
  </si>
  <si>
    <t>Mercedes-Benz Group AG</t>
  </si>
  <si>
    <t>UBS Group AG</t>
  </si>
  <si>
    <t>Millicom International Cellular SA Swedish Depository Receipt</t>
  </si>
  <si>
    <t>Rolls-Royce Holdings plc</t>
  </si>
  <si>
    <t>Darktrace PLC</t>
  </si>
  <si>
    <t>LEG Immobilien SE</t>
  </si>
  <si>
    <t>Sage Group plc</t>
  </si>
  <si>
    <t>London Stock Exchange Group plc</t>
  </si>
  <si>
    <t>E.ON SE</t>
  </si>
  <si>
    <t>Prosus N.V. Class N</t>
  </si>
  <si>
    <t>AAK AB</t>
  </si>
  <si>
    <t>Siemens Aktiengesellschaft</t>
  </si>
  <si>
    <t>Sodexo SA</t>
  </si>
  <si>
    <t>AB Sagax Class B</t>
  </si>
  <si>
    <t>Diploma PLC</t>
  </si>
  <si>
    <t>Sartorius AG Pref</t>
  </si>
  <si>
    <t>Rexel SA</t>
  </si>
  <si>
    <t>INFICON Holding AG</t>
  </si>
  <si>
    <t>Bakkafrost P/F</t>
  </si>
  <si>
    <t>Ipsos SA</t>
  </si>
  <si>
    <t>D'Ieteren Group SA/NV</t>
  </si>
  <si>
    <t>GN Store Nord A/S</t>
  </si>
  <si>
    <t>Groupe Bruxelles Lambert SA</t>
  </si>
  <si>
    <t>Hargreaves Lansdown plc</t>
  </si>
  <si>
    <t>Axfood AB</t>
  </si>
  <si>
    <t>Gjensidige Forsikring ASA</t>
  </si>
  <si>
    <t>ABB Ltd.</t>
  </si>
  <si>
    <t>Frontline Plc</t>
  </si>
  <si>
    <t>Barry Callebaut AG</t>
  </si>
  <si>
    <t>La Francaise des Jeux SA</t>
  </si>
  <si>
    <t>Rheinmetall AG</t>
  </si>
  <si>
    <t>Bayer AG</t>
  </si>
  <si>
    <t>Svenska Handelsbanken AB Class A</t>
  </si>
  <si>
    <t>BKW AG</t>
  </si>
  <si>
    <t>Gerresheimer AG</t>
  </si>
  <si>
    <t>Nemetschek SE</t>
  </si>
  <si>
    <t>Repsol SA</t>
  </si>
  <si>
    <t>Sopra Steria Group SA</t>
  </si>
  <si>
    <t>NKT A/S</t>
  </si>
  <si>
    <t>Vestas Wind Systems A/S</t>
  </si>
  <si>
    <t>Banque Cantonale Vaudoise</t>
  </si>
  <si>
    <t>Nexi S.p.A.</t>
  </si>
  <si>
    <t>Glencore plc</t>
  </si>
  <si>
    <t>Nexans SA</t>
  </si>
  <si>
    <t>Acciona SA</t>
  </si>
  <si>
    <t>Kingfisher Plc</t>
  </si>
  <si>
    <t>SES SA FDR (Class A)</t>
  </si>
  <si>
    <t>Getinge AB Class B</t>
  </si>
  <si>
    <t>Banca Popolare di Sondrio S.p.A.</t>
  </si>
  <si>
    <t>ASM International N.V.</t>
  </si>
  <si>
    <t>Brenntag SE</t>
  </si>
  <si>
    <t>Allianz SE</t>
  </si>
  <si>
    <t>Chocoladefabriken Lindt &amp; Spruengli AG Partizipsch.</t>
  </si>
  <si>
    <t>Nordea Bank Abp</t>
  </si>
  <si>
    <t>Euronext NV</t>
  </si>
  <si>
    <t>Castellum AB</t>
  </si>
  <si>
    <t>ISS A/S</t>
  </si>
  <si>
    <t>Covestro AG</t>
  </si>
  <si>
    <t>SEB SA</t>
  </si>
  <si>
    <t>Swedbank AB Class A</t>
  </si>
  <si>
    <t>BAWAG Group AG</t>
  </si>
  <si>
    <t>3i Group plc</t>
  </si>
  <si>
    <t>Siemens Energy AG</t>
  </si>
  <si>
    <t>Royal KPN NV</t>
  </si>
  <si>
    <t>AstraZeneca PLC</t>
  </si>
  <si>
    <t>Ackermans &amp; van Haaren NV</t>
  </si>
  <si>
    <t>BAE Systems plc</t>
  </si>
  <si>
    <t>Fugro NV</t>
  </si>
  <si>
    <t>Telenor ASA</t>
  </si>
  <si>
    <t>LANXESS AG</t>
  </si>
  <si>
    <t>United Utilities Group PLC</t>
  </si>
  <si>
    <t>Coca-Cola HBC AG</t>
  </si>
  <si>
    <t>Swiss Life Holding AG</t>
  </si>
  <si>
    <t>Heineken NV</t>
  </si>
  <si>
    <t>Henkel AG &amp; Co. KGaA Pref</t>
  </si>
  <si>
    <t>Shell Plc</t>
  </si>
  <si>
    <t>Amadeus IT Group SA Class A</t>
  </si>
  <si>
    <t>Redeia Corporacion SA</t>
  </si>
  <si>
    <t>SSAB AB Class B</t>
  </si>
  <si>
    <t>Kerry Group Plc Class A</t>
  </si>
  <si>
    <t>Novonesis A/S Class B</t>
  </si>
  <si>
    <t>Tritax Big Box REIT PLC</t>
  </si>
  <si>
    <t>Porsche AG</t>
  </si>
  <si>
    <t>Heidelberg Materials AG</t>
  </si>
  <si>
    <t>RWE AG</t>
  </si>
  <si>
    <t>Deutsche Lufthansa AG</t>
  </si>
  <si>
    <t>TietoEVRY Oyj</t>
  </si>
  <si>
    <t>Bucher Industries AG</t>
  </si>
  <si>
    <t>Essity AB Class B</t>
  </si>
  <si>
    <t>Holmen AB Class B</t>
  </si>
  <si>
    <t>Continental AG</t>
  </si>
  <si>
    <t>National Grid plc</t>
  </si>
  <si>
    <t>Symrise AG</t>
  </si>
  <si>
    <t>Vodafone Group Plc</t>
  </si>
  <si>
    <t>ANDRITZ AG</t>
  </si>
  <si>
    <t>Aurubis AG</t>
  </si>
  <si>
    <t>EXOR N.V.</t>
  </si>
  <si>
    <t>B&amp;M European Value Retail SA</t>
  </si>
  <si>
    <t>Saab AB Class B</t>
  </si>
  <si>
    <t>Stora Enso Oyj Class R</t>
  </si>
  <si>
    <t>IG Group Holdings plc</t>
  </si>
  <si>
    <t>Soitec SA</t>
  </si>
  <si>
    <t>UNITE Group plc</t>
  </si>
  <si>
    <t>TOMRA Systems ASA</t>
  </si>
  <si>
    <t>Sandoz Group Ltd</t>
  </si>
  <si>
    <t>H&amp;M Hennes &amp; Mauritz AB Class B</t>
  </si>
  <si>
    <t>COMET Holding AG</t>
  </si>
  <si>
    <t>SGS SA</t>
  </si>
  <si>
    <t>GEA Group Aktiengesellschaft</t>
  </si>
  <si>
    <t>Melrose Industries PLC</t>
  </si>
  <si>
    <t>Taylor Wimpey plc</t>
  </si>
  <si>
    <t>British American Tobacco p.l.c.</t>
  </si>
  <si>
    <t>ASML Holding NV</t>
  </si>
  <si>
    <t>Rentokil Initial plc</t>
  </si>
  <si>
    <t>A2A S.p.A.</t>
  </si>
  <si>
    <t>HOCHTIEF Aktiengesellschaft</t>
  </si>
  <si>
    <t>Zurich Insurance Group Ltd</t>
  </si>
  <si>
    <t>Derwent London plc</t>
  </si>
  <si>
    <t>PUMA SE</t>
  </si>
  <si>
    <t>Tele2 AB Class B</t>
  </si>
  <si>
    <t>Poste Italiane SpA</t>
  </si>
  <si>
    <t>SIG Group AG</t>
  </si>
  <si>
    <t>Kingspan Group Plc</t>
  </si>
  <si>
    <t>Trelleborg AB Class B</t>
  </si>
  <si>
    <t>Thule Group AB</t>
  </si>
  <si>
    <t>Orsted</t>
  </si>
  <si>
    <t>Merck KGaA</t>
  </si>
  <si>
    <t>Saipem S.p.A.</t>
  </si>
  <si>
    <t>Kinnevik AB Class B</t>
  </si>
  <si>
    <t>Industrivarden AB Class C</t>
  </si>
  <si>
    <t>NatWest Group Plc</t>
  </si>
  <si>
    <t>MERLIN Properties SOCIMI, S.A.</t>
  </si>
  <si>
    <t>Bureau Veritas SA</t>
  </si>
  <si>
    <t>Pearson PLC</t>
  </si>
  <si>
    <t>Compagnie Financiere Richemont SA</t>
  </si>
  <si>
    <t>UCB S.A.</t>
  </si>
  <si>
    <t>Sartorius Stedim Biotech SA</t>
  </si>
  <si>
    <t>Kesko Oyj Class B</t>
  </si>
  <si>
    <t>Azimut Holding Spa</t>
  </si>
  <si>
    <t>Britvic plc</t>
  </si>
  <si>
    <t>DiaSorin S.p.A.</t>
  </si>
  <si>
    <t>Bollore SE</t>
  </si>
  <si>
    <t>Baloise-Holding AG</t>
  </si>
  <si>
    <t>BPER Banca S.p.A.</t>
  </si>
  <si>
    <t>Naturgy Energy Group, S.A.</t>
  </si>
  <si>
    <t>Umicore SA</t>
  </si>
  <si>
    <t>Evolution AB</t>
  </si>
  <si>
    <t>DNB Bank ASA</t>
  </si>
  <si>
    <t>Smith &amp; Nephew plc</t>
  </si>
  <si>
    <t>Wienerberger AG</t>
  </si>
  <si>
    <t>Johnson Matthey Plc</t>
  </si>
  <si>
    <t>Hannover Rueck SE</t>
  </si>
  <si>
    <t>L E Lundbergforetagen AB Class B</t>
  </si>
  <si>
    <t>Partners Group Holding AG</t>
  </si>
  <si>
    <t>Atlas Copco AB Class A</t>
  </si>
  <si>
    <t>Schindler Holding Ltd. Pref</t>
  </si>
  <si>
    <t>Zealand Pharma A/S</t>
  </si>
  <si>
    <t>bioMerieux SA</t>
  </si>
  <si>
    <t>Aeroports de Paris ADP</t>
  </si>
  <si>
    <t>Siegfried Holding AG</t>
  </si>
  <si>
    <t>Ubisoft Entertainment SA</t>
  </si>
  <si>
    <t>Dino Polska SA</t>
  </si>
  <si>
    <t>Centrica plc</t>
  </si>
  <si>
    <t>Ocado Group PLC</t>
  </si>
  <si>
    <t>Compass Group PLC</t>
  </si>
  <si>
    <t>Allegro.eu S.A.</t>
  </si>
  <si>
    <t>Eurazeo SE</t>
  </si>
  <si>
    <t>Brunello Cucinelli S.p.A.</t>
  </si>
  <si>
    <t>NIBE Industrier AB Class B</t>
  </si>
  <si>
    <t>Swissquote Group Holding Ltd.</t>
  </si>
  <si>
    <t>MTU Aero Engines AG</t>
  </si>
  <si>
    <t>Anglo American plc</t>
  </si>
  <si>
    <t>Severn Trent Plc</t>
  </si>
  <si>
    <t>Aedifica SA</t>
  </si>
  <si>
    <t>easyJet plc</t>
  </si>
  <si>
    <t>Heineken Holding N.V.</t>
  </si>
  <si>
    <t>Investor AB Class B</t>
  </si>
  <si>
    <t>FinecoBank SpA</t>
  </si>
  <si>
    <t>Hexagon AB Class B</t>
  </si>
  <si>
    <t>FUCHS SE Pref Registered Shs</t>
  </si>
  <si>
    <t>DCC Plc</t>
  </si>
  <si>
    <t>Beiersdorf AG</t>
  </si>
  <si>
    <t>InterContinental Hotels Group PLC</t>
  </si>
  <si>
    <t>Gaztransport &amp; Technigaz SA</t>
  </si>
  <si>
    <t>ING Groep NV</t>
  </si>
  <si>
    <t>Sandvik AB</t>
  </si>
  <si>
    <t>BE Semiconductor Industries N.V.</t>
  </si>
  <si>
    <t>UniCredit S.p.A.</t>
  </si>
  <si>
    <t>Banco Comercial Portugues S.A.</t>
  </si>
  <si>
    <t>Wartsila Oyj Abp</t>
  </si>
  <si>
    <t>Akzo Nobel N.V.</t>
  </si>
  <si>
    <t>Cellnex Telecom S.A.</t>
  </si>
  <si>
    <t>Nokia Oyj</t>
  </si>
  <si>
    <t>LPP S.A.</t>
  </si>
  <si>
    <t>Verallia SAS</t>
  </si>
  <si>
    <t>Novartis AG</t>
  </si>
  <si>
    <t>Ashtead Group plc</t>
  </si>
  <si>
    <t>Tesco PLC</t>
  </si>
  <si>
    <t>Warehouses De Pauw SA</t>
  </si>
  <si>
    <t>HSBC Holdings Plc</t>
  </si>
  <si>
    <t>Anheuser-Busch InBev SA/NV</t>
  </si>
  <si>
    <t>J Sainsbury plc</t>
  </si>
  <si>
    <t>Spectris plc</t>
  </si>
  <si>
    <t>Bellway p.l.c.</t>
  </si>
  <si>
    <t>Wendel SE</t>
  </si>
  <si>
    <t>Prysmian S.p.A.</t>
  </si>
  <si>
    <t>Greggs plc</t>
  </si>
  <si>
    <t>Haleon PLC</t>
  </si>
  <si>
    <t>Roche Holding Ltd Dividend Right Cert.</t>
  </si>
  <si>
    <t>ASSA ABLOY AB Class B</t>
  </si>
  <si>
    <t>Skanska AB Class B</t>
  </si>
  <si>
    <t>Balfour Beatty plc</t>
  </si>
  <si>
    <t>Norsk Hydro ASA</t>
  </si>
  <si>
    <t>Novo Nordisk A/S Class B</t>
  </si>
  <si>
    <t>Beijer Ref AB Class B</t>
  </si>
  <si>
    <t>KGHM Polska Miedz S.A.</t>
  </si>
  <si>
    <t>Yara International ASA</t>
  </si>
  <si>
    <t>Industria de Diseno Textil, S.A.</t>
  </si>
  <si>
    <t>Nordnet AB</t>
  </si>
  <si>
    <t>Viscofan, S.A.</t>
  </si>
  <si>
    <t>Universal Music Group N.V.</t>
  </si>
  <si>
    <t>Dassault Aviation SA</t>
  </si>
  <si>
    <t>Rightmove plc</t>
  </si>
  <si>
    <t>Lotus Bakeries NV</t>
  </si>
  <si>
    <t>Storebrand ASA</t>
  </si>
  <si>
    <t>Man Group PLC</t>
  </si>
  <si>
    <t>Ambu A/S Class B</t>
  </si>
  <si>
    <t>Banco Santander, S.A.</t>
  </si>
  <si>
    <t>Helvetia Holding Ltd</t>
  </si>
  <si>
    <t>Ryanair Holdings Plc</t>
  </si>
  <si>
    <t>Mycronic AB</t>
  </si>
  <si>
    <t>Intesa Sanpaolo S.p.A.</t>
  </si>
  <si>
    <t>Skandinaviska Enskilda Banken AB Class A</t>
  </si>
  <si>
    <t>CaixaBank SA</t>
  </si>
  <si>
    <t>Fortum Oyj</t>
  </si>
  <si>
    <t>Volvo AB Class B</t>
  </si>
  <si>
    <t>Banco de Sabadell SA</t>
  </si>
  <si>
    <t>Genmab A/S</t>
  </si>
  <si>
    <t>Recordati Industria Chimica e Farmaceutica S.p.A.</t>
  </si>
  <si>
    <t>CTS Eventim AG &amp; Co. KGaA</t>
  </si>
  <si>
    <t>Infineon Technologies AG</t>
  </si>
  <si>
    <t>Delivery Hero SE</t>
  </si>
  <si>
    <t>Just Eat Takeaway.com N.V.</t>
  </si>
  <si>
    <t>Telefonaktiebolaget LM Ericsson Class B</t>
  </si>
  <si>
    <t>TAG Immobilien AG</t>
  </si>
  <si>
    <t>Alfa Laval AB</t>
  </si>
  <si>
    <t>RS Group PLC</t>
  </si>
  <si>
    <t>Unipol Gruppo S.p.A.</t>
  </si>
  <si>
    <t>Intertek Group plc</t>
  </si>
  <si>
    <t>Fastighets AB Balder Class B</t>
  </si>
  <si>
    <t>RELX PLC</t>
  </si>
  <si>
    <t>Valeo SE</t>
  </si>
  <si>
    <t>Reply S.p.A.</t>
  </si>
  <si>
    <t>Mowi ASA</t>
  </si>
  <si>
    <t>Neoen SA</t>
  </si>
  <si>
    <t>Persimmon Plc</t>
  </si>
  <si>
    <t>Bankinter SA</t>
  </si>
  <si>
    <t>Porsche Automobil Holding SE Pref</t>
  </si>
  <si>
    <t>Getlink SE</t>
  </si>
  <si>
    <t>Zalando SE</t>
  </si>
  <si>
    <t>Aena SME SA</t>
  </si>
  <si>
    <t>VAT Group AG</t>
  </si>
  <si>
    <t>FLSmidth &amp; Co. A/S</t>
  </si>
  <si>
    <t>Whitbread PLC</t>
  </si>
  <si>
    <t>Erste Group Bank AG</t>
  </si>
  <si>
    <t>Allreal Holding AG</t>
  </si>
  <si>
    <t>Softcat Plc</t>
  </si>
  <si>
    <t>KBC Group N.V.</t>
  </si>
  <si>
    <t>Carl Zeiss Meditec AG</t>
  </si>
  <si>
    <t>Ferrari NV</t>
  </si>
  <si>
    <t>Arcadis NV</t>
  </si>
  <si>
    <t>Barclays PLC</t>
  </si>
  <si>
    <t>SFS Group AG</t>
  </si>
  <si>
    <t>Inchcape plc</t>
  </si>
  <si>
    <t>Elisa Oyj Class A</t>
  </si>
  <si>
    <t>SAP SE</t>
  </si>
  <si>
    <t>Flughafen Zurich AG</t>
  </si>
  <si>
    <t>Informa Plc</t>
  </si>
  <si>
    <t>ABN AMRO Bank N.V. Depositary receipts</t>
  </si>
  <si>
    <t>Munich Reinsurance Company</t>
  </si>
  <si>
    <t>GSK plc</t>
  </si>
  <si>
    <t>voestalpine AG</t>
  </si>
  <si>
    <t>Demant A/S</t>
  </si>
  <si>
    <t>Volkswagen AG Pref</t>
  </si>
  <si>
    <t>SCOR SE</t>
  </si>
  <si>
    <t>DS Smith Plc</t>
  </si>
  <si>
    <t>adidas AG</t>
  </si>
  <si>
    <t>Lloyds Banking Group plc</t>
  </si>
  <si>
    <t>Husqvarna AB Class B</t>
  </si>
  <si>
    <t>Sonova Holding AG</t>
  </si>
  <si>
    <t>DKSH Holding AG</t>
  </si>
  <si>
    <t>Cargotec Oyj Class B</t>
  </si>
  <si>
    <t>Italgas SpA</t>
  </si>
  <si>
    <t>Alstom SA</t>
  </si>
  <si>
    <t>Davide Campari-Milano N.V.</t>
  </si>
  <si>
    <t>SPIE SA</t>
  </si>
  <si>
    <t>HUGO BOSS AG</t>
  </si>
  <si>
    <t>Geberit AG</t>
  </si>
  <si>
    <t>Snam S.p.A.</t>
  </si>
  <si>
    <t>Securitas AB Class B</t>
  </si>
  <si>
    <t>A.P. Moller - Maersk A/S Class B</t>
  </si>
  <si>
    <t>Legal &amp; General Group Plc</t>
  </si>
  <si>
    <t>Galderma Group AG</t>
  </si>
  <si>
    <t>Telia Company AB</t>
  </si>
  <si>
    <t>Enagas SA</t>
  </si>
  <si>
    <t>DSV A/S</t>
  </si>
  <si>
    <t>Cembra Money Bank AG</t>
  </si>
  <si>
    <t>Eni S.p.A.</t>
  </si>
  <si>
    <t>Kemira Oyj</t>
  </si>
  <si>
    <t>PKO Bank Polski S.A.</t>
  </si>
  <si>
    <t>Latour AB Investment Class B</t>
  </si>
  <si>
    <t>Alten SA</t>
  </si>
  <si>
    <t>Munters Group AB</t>
  </si>
  <si>
    <t>Gecina SA</t>
  </si>
  <si>
    <t>Associated British Foods plc</t>
  </si>
  <si>
    <t>LondonMetric Property Plc</t>
  </si>
  <si>
    <t>Knorr-Bremse AG</t>
  </si>
  <si>
    <t>freenet AG</t>
  </si>
  <si>
    <t>Kuehne &amp; Nagel International AG</t>
  </si>
  <si>
    <t>Evonik Industries AG</t>
  </si>
  <si>
    <t>Auto Trader Group PLC</t>
  </si>
  <si>
    <t>EDP-Energias de Portugal SA</t>
  </si>
  <si>
    <t>Swedish Orphan Biovitrum AB</t>
  </si>
  <si>
    <t>Rio Tinto plc</t>
  </si>
  <si>
    <t>Phoenix Group Holdings plc</t>
  </si>
  <si>
    <t>Standard Chartered PLC</t>
  </si>
  <si>
    <t>International Consolidated Airlines Group SA</t>
  </si>
  <si>
    <t>Bayerische Motoren Werke AG</t>
  </si>
  <si>
    <t>Deutsche Boerse AG</t>
  </si>
  <si>
    <t>Telecom Italia S.p.A.</t>
  </si>
  <si>
    <t>Avolta AG</t>
  </si>
  <si>
    <t>Equinor ASA</t>
  </si>
  <si>
    <t>Raiffeisen Bank International AG</t>
  </si>
  <si>
    <t>Volvo Car AB Class B</t>
  </si>
  <si>
    <t>Experian PLC</t>
  </si>
  <si>
    <t>Var Energi ASA</t>
  </si>
  <si>
    <t>Tryg A/S</t>
  </si>
  <si>
    <t>Banco Bilbao Vizcaya Argentaria, S.A.</t>
  </si>
  <si>
    <t>Deutsche Bank Aktiengesellschaft</t>
  </si>
  <si>
    <t>BP p.l.c.</t>
  </si>
  <si>
    <t>Reckitt Benckiser Group plc</t>
  </si>
  <si>
    <t>HEXPOL AB Class B</t>
  </si>
  <si>
    <t>Clariant AG</t>
  </si>
  <si>
    <t>PSP Swiss Property AG</t>
  </si>
  <si>
    <t>ALK-abello A/S Class B</t>
  </si>
  <si>
    <t>Elekta AB Class B</t>
  </si>
  <si>
    <t>JDE Peet's NV</t>
  </si>
  <si>
    <t>Adecco Group AG</t>
  </si>
  <si>
    <t>BASF SE</t>
  </si>
  <si>
    <t>Terna S.p.A.</t>
  </si>
  <si>
    <t>Jyske Bank A/S</t>
  </si>
  <si>
    <t>Tenaris S.A.</t>
  </si>
  <si>
    <t>Subsea 7 S.A.</t>
  </si>
  <si>
    <t>Diageo plc</t>
  </si>
  <si>
    <t>Spirax Group plc.</t>
  </si>
  <si>
    <t>DSM-Firmenich AG</t>
  </si>
  <si>
    <t>Swisscom AG</t>
  </si>
  <si>
    <t>Rubis SCA</t>
  </si>
  <si>
    <t>Alcon AG</t>
  </si>
  <si>
    <t>Vistry Group PLC</t>
  </si>
  <si>
    <t>Allfunds Group plc</t>
  </si>
  <si>
    <t>Nestle S.A.</t>
  </si>
  <si>
    <t>ACS, Actividades de Construccion y Servicios SA</t>
  </si>
  <si>
    <t>Investec plc</t>
  </si>
  <si>
    <t>Ferrovial SE</t>
  </si>
  <si>
    <t>Howden Joinery Group PLC</t>
  </si>
  <si>
    <t>Wise PLC Class A</t>
  </si>
  <si>
    <t>Hays plc</t>
  </si>
  <si>
    <t>Galp Energia, SGPS S.A. Class B</t>
  </si>
  <si>
    <t>Logitech International S.A.</t>
  </si>
  <si>
    <t>Swiss Re AG</t>
  </si>
  <si>
    <t>Buzzi Spa</t>
  </si>
  <si>
    <t>Boliden AB</t>
  </si>
  <si>
    <t>Lifco AB Class B</t>
  </si>
  <si>
    <t>Signify NV</t>
  </si>
  <si>
    <t>EMS-CHEMIE HOLDING AG</t>
  </si>
  <si>
    <t>NN Group N.V.</t>
  </si>
  <si>
    <t>Elis SA</t>
  </si>
  <si>
    <t>Hera S.p.A.</t>
  </si>
  <si>
    <t>VERBUND AG Class A</t>
  </si>
  <si>
    <t>WPP Plc</t>
  </si>
  <si>
    <t>Wolters Kluwer N.V.</t>
  </si>
  <si>
    <t>Mediobanca - Banca di Credito Finanziario S.p.A.</t>
  </si>
  <si>
    <t>Entain PLC</t>
  </si>
  <si>
    <t>Danske Bank A/S</t>
  </si>
  <si>
    <t>SKF AB Class B</t>
  </si>
  <si>
    <t>Tecan Group AG</t>
  </si>
  <si>
    <t>Virgin Money UK Plc</t>
  </si>
  <si>
    <t>Jeronimo Martins, SGPS S.A.</t>
  </si>
  <si>
    <t>Deutsche Post AG</t>
  </si>
  <si>
    <t>Prudential plc</t>
  </si>
  <si>
    <t>Randstad NV</t>
  </si>
  <si>
    <t>Vidrala SA</t>
  </si>
  <si>
    <t>SSE plc</t>
  </si>
  <si>
    <t>Wallenstam AB Class B</t>
  </si>
  <si>
    <t>Cranswick plc</t>
  </si>
  <si>
    <t>Fortnox AB</t>
  </si>
  <si>
    <t>St. James's Place Plc</t>
  </si>
  <si>
    <t>AIXTRON SE</t>
  </si>
  <si>
    <t>Sampo Oyj</t>
  </si>
  <si>
    <t>Covivio SA</t>
  </si>
  <si>
    <t>Big Yellow Group PLC</t>
  </si>
  <si>
    <t>Flutter Entertainment Plc</t>
  </si>
  <si>
    <t>Iveco Group NV</t>
  </si>
  <si>
    <t>Lagercrantz Group AB Class B</t>
  </si>
  <si>
    <t>Ringkjobing Landbobank A/S</t>
  </si>
  <si>
    <t>Koninklijke Ahold Delhaize N.V.</t>
  </si>
  <si>
    <t>Neste Corporation</t>
  </si>
  <si>
    <t>Syensqo SA/NV</t>
  </si>
  <si>
    <t>Moncler SpA</t>
  </si>
  <si>
    <t>Electrolux AB Class B</t>
  </si>
  <si>
    <t>ASR Nederland N.V.</t>
  </si>
  <si>
    <t>Aegon Ltd.</t>
  </si>
  <si>
    <t>Halma plc</t>
  </si>
  <si>
    <t>UPM-Kymmene Oyj</t>
  </si>
  <si>
    <t>Royal Unibrew A/S</t>
  </si>
  <si>
    <t>OMV AG</t>
  </si>
  <si>
    <t>Kone Oyj Class B</t>
  </si>
  <si>
    <t>Ipsen SA</t>
  </si>
  <si>
    <t>British Land Company PLC</t>
  </si>
  <si>
    <t>Powszechny Zaklad Ubezpieczen Spolka Akcyjna</t>
  </si>
  <si>
    <t>ORLEN Spolka Akcyjna</t>
  </si>
  <si>
    <t>Sydbank A/S</t>
  </si>
  <si>
    <t>Burberry Group plc</t>
  </si>
  <si>
    <t>Games Workshop Group PLC</t>
  </si>
  <si>
    <t>Schroders PLC</t>
  </si>
  <si>
    <t>Kongsberg Gruppen ASA</t>
  </si>
  <si>
    <t>Amundi SA</t>
  </si>
  <si>
    <t>Assicurazioni Generali S.p.A.</t>
  </si>
  <si>
    <t>AIB Group plc</t>
  </si>
  <si>
    <t>RATIONAL AG</t>
  </si>
  <si>
    <t>Givaudan SA</t>
  </si>
  <si>
    <t>Klepierre SA</t>
  </si>
  <si>
    <t>IMI plc</t>
  </si>
  <si>
    <t>Grifols, S.A. Class A</t>
  </si>
  <si>
    <t>Koninklijke Philips N.V.</t>
  </si>
  <si>
    <t>Valmet Corp</t>
  </si>
  <si>
    <t>Amplifon SpA</t>
  </si>
  <si>
    <t>Rotork plc</t>
  </si>
  <si>
    <t>ROCKWOOL A/S Class B</t>
  </si>
  <si>
    <t>Daimler Truck Holding AG</t>
  </si>
  <si>
    <t>Accelleron Industries AG</t>
  </si>
  <si>
    <t>Scout24 SE</t>
  </si>
  <si>
    <t>Banca Monte dei Paschi di Siena S.p.A.</t>
  </si>
  <si>
    <t>Imperial Brands PLC</t>
  </si>
  <si>
    <t>Hikma Pharmaceuticals Plc</t>
  </si>
  <si>
    <t>Hiscox Ltd</t>
  </si>
  <si>
    <t>Konecranes Oyj</t>
  </si>
  <si>
    <t>Epiroc AB Class A</t>
  </si>
  <si>
    <t>Azelis Group N.V.</t>
  </si>
  <si>
    <t>Forvia SE</t>
  </si>
  <si>
    <t>EQT AB</t>
  </si>
  <si>
    <t>Huhtamaki Oyj</t>
  </si>
  <si>
    <t>Intermediate Capital Group plc</t>
  </si>
  <si>
    <t>Mondi plc</t>
  </si>
  <si>
    <t>EDP Renovaveis SA</t>
  </si>
  <si>
    <t>Drax Group plc</t>
  </si>
  <si>
    <t>Interpump Group S.p.A.</t>
  </si>
  <si>
    <t>KION GROUP AG</t>
  </si>
  <si>
    <t>Eiffage SA</t>
  </si>
  <si>
    <t>ITV PLC</t>
  </si>
  <si>
    <t>Aalberts N.V.</t>
  </si>
  <si>
    <t>Hemnet Group AB</t>
  </si>
  <si>
    <t>Indutrade AB</t>
  </si>
  <si>
    <t>Banco BPM SpA</t>
  </si>
  <si>
    <t>Weir Group PLC</t>
  </si>
  <si>
    <t>International Distribution Services plc</t>
  </si>
  <si>
    <t>Christian Dior SE</t>
  </si>
  <si>
    <t>Holcim Ltd</t>
  </si>
  <si>
    <t>QinetiQ Group plc</t>
  </si>
  <si>
    <t>Endesa S.A.</t>
  </si>
  <si>
    <t>Carlsberg AS Class B</t>
  </si>
  <si>
    <t>Arkema SA</t>
  </si>
  <si>
    <t>BANK POLSKA KASA OPIEKI SA</t>
  </si>
  <si>
    <t>Vonovia SE</t>
  </si>
  <si>
    <t>Santander Bank Polska SA</t>
  </si>
  <si>
    <t>Size</t>
  </si>
  <si>
    <t>lb size</t>
  </si>
  <si>
    <t>ub size</t>
  </si>
  <si>
    <t>Poids Bench</t>
  </si>
  <si>
    <t>mid</t>
  </si>
  <si>
    <t>large</t>
  </si>
  <si>
    <t>small</t>
  </si>
  <si>
    <t xml:space="preserve">Benchmark Market Value Millions in EUR </t>
  </si>
  <si>
    <t>Top n candidats from bench</t>
  </si>
  <si>
    <t>Top n add to the ptf</t>
  </si>
  <si>
    <t>Top Weights stocks mandatory</t>
  </si>
  <si>
    <t>\\groupe-ufg.com\Commun\Prive\GestionAM\Ingenierie_Financiere\PROD\_EQUITY\0_RETURNS\returns_2Y.pkl</t>
  </si>
  <si>
    <t>S0YJ3Z-R</t>
  </si>
  <si>
    <t>J4T9VD-R</t>
  </si>
  <si>
    <t>Q9J52J-R</t>
  </si>
  <si>
    <t>MBPRB7-R</t>
  </si>
  <si>
    <t>MT9P59-R</t>
  </si>
  <si>
    <t>T0JRMW-R</t>
  </si>
  <si>
    <t>JHQVTD-R</t>
  </si>
  <si>
    <t>RT6MQY-R</t>
  </si>
  <si>
    <t>DMXKJB-R</t>
  </si>
  <si>
    <t>HZ43T1-R</t>
  </si>
  <si>
    <t>HJLYBN-R</t>
  </si>
  <si>
    <t>DRBPYY-R</t>
  </si>
  <si>
    <t>WK2NV8-R</t>
  </si>
  <si>
    <t>RN0R13-R</t>
  </si>
  <si>
    <t>PKT6GW-R</t>
  </si>
  <si>
    <t>WK2NJZ-R</t>
  </si>
  <si>
    <t>W11JDF-R</t>
  </si>
  <si>
    <t>GV499G-R</t>
  </si>
  <si>
    <t>MVMFXK-R</t>
  </si>
  <si>
    <t>PM9V18-R</t>
  </si>
  <si>
    <t>RT3HS0-R</t>
  </si>
  <si>
    <t>V5XZDP-R</t>
  </si>
  <si>
    <t>M9KK66-R</t>
  </si>
  <si>
    <t>RBBTWH-R</t>
  </si>
  <si>
    <t>WXFLS8-R</t>
  </si>
  <si>
    <t>GFDP5M-R</t>
  </si>
  <si>
    <t>G12VZ9-R</t>
  </si>
  <si>
    <t>JK94MF-R</t>
  </si>
  <si>
    <t>SDCTWH-R</t>
  </si>
  <si>
    <t>M78XGX-R</t>
  </si>
  <si>
    <t>WCCWD2-R</t>
  </si>
  <si>
    <t>X9RMCS-R</t>
  </si>
  <si>
    <t>VWJ2JM-R</t>
  </si>
  <si>
    <t>XKWXKK-R</t>
  </si>
  <si>
    <t>SX578S-R</t>
  </si>
  <si>
    <t>VTG478-R</t>
  </si>
  <si>
    <t>D6B0JQ-R</t>
  </si>
  <si>
    <t>QLR4HX-R</t>
  </si>
  <si>
    <t>MVFYFD-R</t>
  </si>
  <si>
    <t>SY9MT0-R</t>
  </si>
  <si>
    <t>RFRHDN-R</t>
  </si>
  <si>
    <t>RS2FLX-R</t>
  </si>
  <si>
    <t>GY9L86-R</t>
  </si>
  <si>
    <t>C5C1JQ-R</t>
  </si>
  <si>
    <t>LHKZY9-R</t>
  </si>
  <si>
    <t>WRRSLC-R</t>
  </si>
  <si>
    <t>KW6FJP-R</t>
  </si>
  <si>
    <t>XHM7S7-R</t>
  </si>
  <si>
    <t>CGF31Z-R</t>
  </si>
  <si>
    <t>T1SDB4-R</t>
  </si>
  <si>
    <t>X5814S-R</t>
  </si>
  <si>
    <t>GX5F66-R</t>
  </si>
  <si>
    <t>MDTJSZ-R</t>
  </si>
  <si>
    <t>Q8D48N-R</t>
  </si>
  <si>
    <t>B80DS4-R</t>
  </si>
  <si>
    <t>B5WBS4-R</t>
  </si>
  <si>
    <t>RQC189-R</t>
  </si>
  <si>
    <t>BK790F-R</t>
  </si>
  <si>
    <t>LXHSHL-R</t>
  </si>
  <si>
    <t>KZKSKM-R</t>
  </si>
  <si>
    <t>JYXN9V-R</t>
  </si>
  <si>
    <t>BFTG53-R</t>
  </si>
  <si>
    <t>R9B29P-R</t>
  </si>
  <si>
    <t>P8WZNN-R</t>
  </si>
  <si>
    <t>QS9BG1-R</t>
  </si>
  <si>
    <t>M60C0S-R</t>
  </si>
  <si>
    <t>WQQSKB-R</t>
  </si>
  <si>
    <t>SPCV0B-R</t>
  </si>
  <si>
    <t>DZ437D-R</t>
  </si>
  <si>
    <t>SN6T9J-R</t>
  </si>
  <si>
    <t>JWGWTR-R</t>
  </si>
  <si>
    <t>TMWCW7-R</t>
  </si>
  <si>
    <t>VJ7HTK-R</t>
  </si>
  <si>
    <t>SK4CJ6-R</t>
  </si>
  <si>
    <t>CVDC08-R</t>
  </si>
  <si>
    <t>VGZNR3-R</t>
  </si>
  <si>
    <t>H40DH4-R</t>
  </si>
  <si>
    <t>KGV6N1-R</t>
  </si>
  <si>
    <t>NZSHXK-R</t>
  </si>
  <si>
    <t>QZ3B6F-R</t>
  </si>
  <si>
    <t>DTHPQT-R</t>
  </si>
  <si>
    <t>PQHMVC-R</t>
  </si>
  <si>
    <t>VVCHP7-R</t>
  </si>
  <si>
    <t>TVPQ9Y-R</t>
  </si>
  <si>
    <t>L6DD46-R</t>
  </si>
  <si>
    <t>GW7KTS-R</t>
  </si>
  <si>
    <t>PZGQ27-R</t>
  </si>
  <si>
    <t>D9L3BL-R</t>
  </si>
  <si>
    <t>N6Z6TP-R</t>
  </si>
  <si>
    <t>BV5649-R</t>
  </si>
  <si>
    <t>KNHDSG-R</t>
  </si>
  <si>
    <t>H0LS10-R</t>
  </si>
  <si>
    <t>FLFHHZ-R</t>
  </si>
  <si>
    <t>CB3CHZ-R</t>
  </si>
  <si>
    <t>LRMVGS-R</t>
  </si>
  <si>
    <t>FJ622T-R</t>
  </si>
  <si>
    <t>C5C2LR-R</t>
  </si>
  <si>
    <t>MH7BG5-R</t>
  </si>
  <si>
    <t>L1YNFY-R</t>
  </si>
  <si>
    <t>MDVHMW-R</t>
  </si>
  <si>
    <t>WZG9RH-R</t>
  </si>
  <si>
    <t>VJN49T-R</t>
  </si>
  <si>
    <t>VPRXRF-R</t>
  </si>
  <si>
    <t>WW8WNR-R</t>
  </si>
  <si>
    <t>J0DWNC-R</t>
  </si>
  <si>
    <t>DKKBWM-R</t>
  </si>
  <si>
    <t>SSRNYQ-R</t>
  </si>
  <si>
    <t>PY6Z5W-R</t>
  </si>
  <si>
    <t>FS0W5P-R</t>
  </si>
  <si>
    <t>GSYT6Q-R</t>
  </si>
  <si>
    <t>WB7QB2-R</t>
  </si>
  <si>
    <t>LQ9KR1-R</t>
  </si>
  <si>
    <t>FCNN91-R</t>
  </si>
  <si>
    <t>K3FPD8-R</t>
  </si>
  <si>
    <t>V0CW55-R</t>
  </si>
  <si>
    <t>SKXD2H-R</t>
  </si>
  <si>
    <t>SDDWXH-R</t>
  </si>
  <si>
    <t>XHL1H3-R</t>
  </si>
  <si>
    <t>FQZ7Z2-R</t>
  </si>
  <si>
    <t>B93JW5-R</t>
  </si>
  <si>
    <t>KYL30T-R</t>
  </si>
  <si>
    <t>CC6S48-R</t>
  </si>
  <si>
    <t>QLLYHZ-R</t>
  </si>
  <si>
    <t>CRNVGL-R</t>
  </si>
  <si>
    <t>LF6ZPS-R</t>
  </si>
  <si>
    <t>HF31NG-R</t>
  </si>
  <si>
    <t>TKR72J-R</t>
  </si>
  <si>
    <t>SGQ0K7-R</t>
  </si>
  <si>
    <t>RXPGD4-R</t>
  </si>
  <si>
    <t>LBZ7PB-R</t>
  </si>
  <si>
    <t>LC2JZF-R</t>
  </si>
  <si>
    <t>RML0Q2-R</t>
  </si>
  <si>
    <t>T7C5W9-R</t>
  </si>
  <si>
    <t>QYYQF3-R</t>
  </si>
  <si>
    <t>BS3CJJ-R</t>
  </si>
  <si>
    <t>QMG6LM-R</t>
  </si>
  <si>
    <t>T8YXW3-R</t>
  </si>
  <si>
    <t>FX5LTM-R</t>
  </si>
  <si>
    <t>HDL2BM-R</t>
  </si>
  <si>
    <t>KNB0HD-R</t>
  </si>
  <si>
    <t>R7RWKM-R</t>
  </si>
  <si>
    <t>Q2TXFN-R</t>
  </si>
  <si>
    <t>DSLY98-R</t>
  </si>
  <si>
    <t>PMSGZ0-R</t>
  </si>
  <si>
    <t>Q553HS-R</t>
  </si>
  <si>
    <t>D52NY8-R</t>
  </si>
  <si>
    <t>JJB3B7-R</t>
  </si>
  <si>
    <t>DQ7JSW-R</t>
  </si>
  <si>
    <t>SXZFWZ-R</t>
  </si>
  <si>
    <t>KCYPFK-R</t>
  </si>
  <si>
    <t>NQWDFJ-R</t>
  </si>
  <si>
    <t>G6SN46-R</t>
  </si>
  <si>
    <t>DLPK0N-R</t>
  </si>
  <si>
    <t>CVZ4KL-R</t>
  </si>
  <si>
    <t>WK9VK0-R</t>
  </si>
  <si>
    <t>DCZ6P4-R</t>
  </si>
  <si>
    <t>BS1M1R-R</t>
  </si>
  <si>
    <t>SS3GV5-R</t>
  </si>
  <si>
    <t>JLFCTH-R</t>
  </si>
  <si>
    <t>R1W007-R</t>
  </si>
  <si>
    <t>UNITED STATES</t>
  </si>
  <si>
    <t>HR88W9-R</t>
  </si>
  <si>
    <t>S6QLP1-R</t>
  </si>
  <si>
    <t>BB8V37-R</t>
  </si>
  <si>
    <t>LY1Y1J-R</t>
  </si>
  <si>
    <t>PZGYJG-R</t>
  </si>
  <si>
    <t>J2HM33-R</t>
  </si>
  <si>
    <t>P32T0K-R</t>
  </si>
  <si>
    <t>H8M907-R</t>
  </si>
  <si>
    <t>V3R2XZ-R</t>
  </si>
  <si>
    <t>B3LWD0-R</t>
  </si>
  <si>
    <t>D3XD6P-R</t>
  </si>
  <si>
    <t>RT6W65-R</t>
  </si>
  <si>
    <t>GVJ2XN-R</t>
  </si>
  <si>
    <t>K3B7V1-R</t>
  </si>
  <si>
    <t>P59ZZH-R</t>
  </si>
  <si>
    <t>FYP7N8-R</t>
  </si>
  <si>
    <t>KFN73B-R</t>
  </si>
  <si>
    <t>JLFH0L-R</t>
  </si>
  <si>
    <t>J4YHVB-R</t>
  </si>
  <si>
    <t>K6PMY0-R</t>
  </si>
  <si>
    <t>W8Z700-R</t>
  </si>
  <si>
    <t>FT4G44-R</t>
  </si>
  <si>
    <t>J07D56-R</t>
  </si>
  <si>
    <t>Q53RYJ-R</t>
  </si>
  <si>
    <t>FBBQ6M-R</t>
  </si>
  <si>
    <t>F82JBR-R</t>
  </si>
  <si>
    <t>QBTQFL-R</t>
  </si>
  <si>
    <t>J0CL54-R</t>
  </si>
  <si>
    <t>P6MRQR-R</t>
  </si>
  <si>
    <t>L8SYB5-R</t>
  </si>
  <si>
    <t>GQH62T-R</t>
  </si>
  <si>
    <t>Q8CXWG-R</t>
  </si>
  <si>
    <t>LQ9WBB-R</t>
  </si>
  <si>
    <t>FXMKFQ-R</t>
  </si>
  <si>
    <t>VBDWB1-R</t>
  </si>
  <si>
    <t>RMHTJ0-R</t>
  </si>
  <si>
    <t>WKN8S4-R</t>
  </si>
  <si>
    <t>GM98K3-R</t>
  </si>
  <si>
    <t>QDYYRR-R</t>
  </si>
  <si>
    <t>XPYPGM-R</t>
  </si>
  <si>
    <t>QVQPN7-R</t>
  </si>
  <si>
    <t>P5GH6C-R</t>
  </si>
  <si>
    <t>LVZ4GQ-R</t>
  </si>
  <si>
    <t>SKYG3H-R</t>
  </si>
  <si>
    <t>FVCVC5-R</t>
  </si>
  <si>
    <t>D3HSB0-R</t>
  </si>
  <si>
    <t>F2JQPJ-R</t>
  </si>
  <si>
    <t>GXQDVD-R</t>
  </si>
  <si>
    <t>RGB6QT-R</t>
  </si>
  <si>
    <t>X9G6FZ-R</t>
  </si>
  <si>
    <t>C6JDWV-R</t>
  </si>
  <si>
    <t>DZPGCQ-R</t>
  </si>
  <si>
    <t>HYFCLX-R</t>
  </si>
  <si>
    <t>B4W80H-R</t>
  </si>
  <si>
    <t>J3R0B4-R</t>
  </si>
  <si>
    <t>CZH06S-R</t>
  </si>
  <si>
    <t>DQ873J-R</t>
  </si>
  <si>
    <t>PM6KP2-R</t>
  </si>
  <si>
    <t>XJP7Q6-R</t>
  </si>
  <si>
    <t>PN4F6N-R</t>
  </si>
  <si>
    <t>QZ4Y8Y-R</t>
  </si>
  <si>
    <t>P0YS2L-R</t>
  </si>
  <si>
    <t>FK99CY-R</t>
  </si>
  <si>
    <t>TZ1Y2R-R</t>
  </si>
  <si>
    <t>G13PK2-R</t>
  </si>
  <si>
    <t>SM1M8K-R</t>
  </si>
  <si>
    <t>R4PJJZ-R</t>
  </si>
  <si>
    <t>KFDRGY-R</t>
  </si>
  <si>
    <t>C6RB2B-R</t>
  </si>
  <si>
    <t>LC3XQV-R</t>
  </si>
  <si>
    <t>HWYYQ0-R</t>
  </si>
  <si>
    <t>CD71SM-R</t>
  </si>
  <si>
    <t>VTCPYB-R</t>
  </si>
  <si>
    <t>S4HTHH-R</t>
  </si>
  <si>
    <t>Q9JDJR-R</t>
  </si>
  <si>
    <t>VH5CMG-R</t>
  </si>
  <si>
    <t>NNMH2X-R</t>
  </si>
  <si>
    <t>G6QVQJ-R</t>
  </si>
  <si>
    <t>SJKQMD-R</t>
  </si>
  <si>
    <t>KK2X62-R</t>
  </si>
  <si>
    <t>M7R42R-R</t>
  </si>
  <si>
    <t>HMZCMS-R</t>
  </si>
  <si>
    <t>S6PT59-R</t>
  </si>
  <si>
    <t>PHL0HY-R</t>
  </si>
  <si>
    <t>NZTKYK-R</t>
  </si>
  <si>
    <t>NQPWYC-R</t>
  </si>
  <si>
    <t>L0Q74W-R</t>
  </si>
  <si>
    <t>GGL1JR-R</t>
  </si>
  <si>
    <t>X41LWS-R</t>
  </si>
  <si>
    <t>XJKZH4-R</t>
  </si>
  <si>
    <t>R2JVCD-R</t>
  </si>
  <si>
    <t>NZNF7V-R</t>
  </si>
  <si>
    <t>B97PT2-R</t>
  </si>
  <si>
    <t>N189DN-R</t>
  </si>
  <si>
    <t>T1Q642-R</t>
  </si>
  <si>
    <t>WDKLDJ-R</t>
  </si>
  <si>
    <t>HP1KTT-R</t>
  </si>
  <si>
    <t>G0XN0D-R</t>
  </si>
  <si>
    <t>CPDD2G-R</t>
  </si>
  <si>
    <t>N3KTTS-R</t>
  </si>
  <si>
    <t>KRX5HQ-R</t>
  </si>
  <si>
    <t>J0DP85-R</t>
  </si>
  <si>
    <t>X1TBNN-R</t>
  </si>
  <si>
    <t>M76BKH-R</t>
  </si>
  <si>
    <t>JCQQSM-R</t>
  </si>
  <si>
    <t>VQYLTZ-R</t>
  </si>
  <si>
    <t>NZP5KF-R</t>
  </si>
  <si>
    <t>Q514Z2-R</t>
  </si>
  <si>
    <t>VJ9CC9-R</t>
  </si>
  <si>
    <t>VWH0HM-R</t>
  </si>
  <si>
    <t>CGMTCS-R</t>
  </si>
  <si>
    <t>B045ZY-R</t>
  </si>
  <si>
    <t>WJNT62-R</t>
  </si>
  <si>
    <t>GTC7FX-R</t>
  </si>
  <si>
    <t>VBKJ5D-R</t>
  </si>
  <si>
    <t>QQ6TWZ-R</t>
  </si>
  <si>
    <t>FDPMD5-R</t>
  </si>
  <si>
    <t>KYL1YS-R</t>
  </si>
  <si>
    <t>GSX767-R</t>
  </si>
  <si>
    <t>D9KCYX-R</t>
  </si>
  <si>
    <t>VCL3F1-R</t>
  </si>
  <si>
    <t>RCFYZJ-R</t>
  </si>
  <si>
    <t>NGS8GV-R</t>
  </si>
  <si>
    <t>FGXHMP-R</t>
  </si>
  <si>
    <t>HXYRFX-R</t>
  </si>
  <si>
    <t>NL9BH6-R</t>
  </si>
  <si>
    <t>SQG6NN-R</t>
  </si>
  <si>
    <t>NSZ0P5-R</t>
  </si>
  <si>
    <t>F5TYNG-R</t>
  </si>
  <si>
    <t>GM702V-R</t>
  </si>
  <si>
    <t>SC37CB-R</t>
  </si>
  <si>
    <t>MQ1RPL-R</t>
  </si>
  <si>
    <t>GQH86W-R</t>
  </si>
  <si>
    <t>LLW6X7-R</t>
  </si>
  <si>
    <t>MLJKF3-R</t>
  </si>
  <si>
    <t>F86RDQ-R</t>
  </si>
  <si>
    <t>L7MP54-R</t>
  </si>
  <si>
    <t>P45SVG-R</t>
  </si>
  <si>
    <t>R6Y499-R</t>
  </si>
  <si>
    <t>GW21MY-R</t>
  </si>
  <si>
    <t>PVX0ZC-R</t>
  </si>
  <si>
    <t>BLBH7J-R</t>
  </si>
  <si>
    <t>RK87TQ-R</t>
  </si>
  <si>
    <t>F86QBP-R</t>
  </si>
  <si>
    <t>R71R5P-R</t>
  </si>
  <si>
    <t>LY205L-R</t>
  </si>
  <si>
    <t>XHL0F2-R</t>
  </si>
  <si>
    <t>LZ645K-R</t>
  </si>
  <si>
    <t>VXQN5W-R</t>
  </si>
  <si>
    <t>GSRMDX-R</t>
  </si>
  <si>
    <t>VK7479-R</t>
  </si>
  <si>
    <t>HSDXVR-R</t>
  </si>
  <si>
    <t>W7GV53-R</t>
  </si>
  <si>
    <t>KL214V-R</t>
  </si>
  <si>
    <t>RDQKHP-R</t>
  </si>
  <si>
    <t>QKJP1R-R</t>
  </si>
  <si>
    <t>QSF694-R</t>
  </si>
  <si>
    <t>PB2NM2-R</t>
  </si>
  <si>
    <t>LD8KL5-R</t>
  </si>
  <si>
    <t>QBX2YT-R</t>
  </si>
  <si>
    <t>FBG90Z-R</t>
  </si>
  <si>
    <t>PKTRNJ-R</t>
  </si>
  <si>
    <t>Q0JVDG-R</t>
  </si>
  <si>
    <t>PDR05W-R</t>
  </si>
  <si>
    <t>LY3NVN-R</t>
  </si>
  <si>
    <t>C0V8L5-R</t>
  </si>
  <si>
    <t>TN5Y36-R</t>
  </si>
  <si>
    <t>QV6J9K-R</t>
  </si>
  <si>
    <t>KQMGSG-R</t>
  </si>
  <si>
    <t>PD8SK0-R</t>
  </si>
  <si>
    <t>JFVH6B-R</t>
  </si>
  <si>
    <t>LD75YW-R</t>
  </si>
  <si>
    <t>MBJFFH-R</t>
  </si>
  <si>
    <t>FT4D8B-R</t>
  </si>
  <si>
    <t>CGGTW3-R</t>
  </si>
  <si>
    <t>VMHPTJ-R</t>
  </si>
  <si>
    <t>N4KJCL-R</t>
  </si>
  <si>
    <t>CGFLHY-R</t>
  </si>
  <si>
    <t>MCTS43-R</t>
  </si>
  <si>
    <t>DH768X-R</t>
  </si>
  <si>
    <t>MKHPN6-R</t>
  </si>
  <si>
    <t>VXL7SR-R</t>
  </si>
  <si>
    <t>F97RFR-R</t>
  </si>
  <si>
    <t>V8B4W9-R</t>
  </si>
  <si>
    <t>SRR0L0-R</t>
  </si>
  <si>
    <t>H3ZDL6-R</t>
  </si>
  <si>
    <t>K4GJ34-R</t>
  </si>
  <si>
    <t>VDQK09-R</t>
  </si>
  <si>
    <t>JTC3C0-R</t>
  </si>
  <si>
    <t>P7S21W-R</t>
  </si>
  <si>
    <t>MH8MYD-R</t>
  </si>
  <si>
    <t>W1439V-R</t>
  </si>
  <si>
    <t>VQYC7M-R</t>
  </si>
  <si>
    <t>RT2GT1-R</t>
  </si>
  <si>
    <t>T66ZR8-R</t>
  </si>
  <si>
    <t>WRQWWJ-R</t>
  </si>
  <si>
    <t>MH2X00-R</t>
  </si>
  <si>
    <t>T53VN7-R</t>
  </si>
  <si>
    <t>R033YB-R</t>
  </si>
  <si>
    <t>KL682P-R</t>
  </si>
  <si>
    <t>PFG3V3-R</t>
  </si>
  <si>
    <t>JH0SFD-R</t>
  </si>
  <si>
    <t>V4QWNW-R</t>
  </si>
  <si>
    <t>V9GD2C-R</t>
  </si>
  <si>
    <t>V70D41-R</t>
  </si>
  <si>
    <t>DQ19Y1-R</t>
  </si>
  <si>
    <t>S8V1HG-R</t>
  </si>
  <si>
    <t>QCZ86Y-R</t>
  </si>
  <si>
    <t>QG1XJM-R</t>
  </si>
  <si>
    <t>JPV6NT-R</t>
  </si>
  <si>
    <t>L5CD35-R</t>
  </si>
  <si>
    <t>XG8BVX-R</t>
  </si>
  <si>
    <t>DKMXT1-R</t>
  </si>
  <si>
    <t>Q1KZKH-R</t>
  </si>
  <si>
    <t>P8X97Y-R</t>
  </si>
  <si>
    <t>W1427T-R</t>
  </si>
  <si>
    <t>CQJM8J-R</t>
  </si>
  <si>
    <t>GGPJ50-R</t>
  </si>
  <si>
    <t>X9RQKW-R</t>
  </si>
  <si>
    <t>MH7DL7-R</t>
  </si>
  <si>
    <t>D2TYF9-R</t>
  </si>
  <si>
    <t>JDXSGD-R</t>
  </si>
  <si>
    <t>CMX879-R</t>
  </si>
  <si>
    <t>JWNLQ3-R</t>
  </si>
  <si>
    <t>F0BW8V-R</t>
  </si>
  <si>
    <t>S243YB-R</t>
  </si>
  <si>
    <t>LRJK5P-R</t>
  </si>
  <si>
    <t>PN6Z21-R</t>
  </si>
  <si>
    <t>CZFY4R-R</t>
  </si>
  <si>
    <t>FMPBLF-R</t>
  </si>
  <si>
    <t>C7RT3W-R</t>
  </si>
  <si>
    <t>LRJCVJ-R</t>
  </si>
  <si>
    <t>S8ZFWL-R</t>
  </si>
  <si>
    <t>PC4MH0-R</t>
  </si>
  <si>
    <t>H9PG8C-R</t>
  </si>
  <si>
    <t>LHPBFK-R</t>
  </si>
  <si>
    <t>RFW6M8-R</t>
  </si>
  <si>
    <t>DF4GV5-R</t>
  </si>
  <si>
    <t>Q3ZMYK-R</t>
  </si>
  <si>
    <t>DTMN8J-R</t>
  </si>
  <si>
    <t>MNT64D-R</t>
  </si>
  <si>
    <t>LSNJXJ-R</t>
  </si>
  <si>
    <t>F057JK-R</t>
  </si>
  <si>
    <t>CHLB60-R</t>
  </si>
  <si>
    <t>LJQ74C-R</t>
  </si>
  <si>
    <t>J2N4RC-R</t>
  </si>
  <si>
    <t>XH6933-R</t>
  </si>
  <si>
    <t>DD26CY-R</t>
  </si>
  <si>
    <t>HXW8WR-R</t>
  </si>
  <si>
    <t>N6W4ZT-R</t>
  </si>
  <si>
    <t>WDBQ92-R</t>
  </si>
  <si>
    <t>RS2N47-R</t>
  </si>
  <si>
    <t>J4RDQ3-R</t>
  </si>
  <si>
    <t>LY217M-R</t>
  </si>
  <si>
    <t>CN97ZF-R</t>
  </si>
  <si>
    <t>BJ362H-R</t>
  </si>
  <si>
    <t>B18MVG-R</t>
  </si>
  <si>
    <t>T65TSF-R</t>
  </si>
  <si>
    <t>C11GSC-R</t>
  </si>
  <si>
    <t>KHS6Z8-R</t>
  </si>
  <si>
    <t>DF01D0-R</t>
  </si>
  <si>
    <t>Q77TYJ-R</t>
  </si>
  <si>
    <t>X31C9G-R</t>
  </si>
  <si>
    <t>MQ54K5-R</t>
  </si>
  <si>
    <t>JPV5LS-R</t>
  </si>
  <si>
    <t>DLMRLZ-R</t>
  </si>
  <si>
    <t>T0F62S-R</t>
  </si>
  <si>
    <t>HKR6LR-R</t>
  </si>
  <si>
    <t>W255GY-R</t>
  </si>
  <si>
    <t>CKVFC8-R</t>
  </si>
  <si>
    <t>WK11GG-R</t>
  </si>
  <si>
    <t>SRS3P1-R</t>
  </si>
  <si>
    <t>DBXPPN-R</t>
  </si>
  <si>
    <t>X1TGXS-R</t>
  </si>
  <si>
    <t>BXLFMX-R</t>
  </si>
  <si>
    <t>PYV9PN-R</t>
  </si>
  <si>
    <t>L8NP65-R</t>
  </si>
  <si>
    <t>DBQN3Y-R</t>
  </si>
  <si>
    <t>HTK75W-R</t>
  </si>
  <si>
    <t>KDDY2D-R</t>
  </si>
  <si>
    <t>DQ60XG-R</t>
  </si>
  <si>
    <t>CLZD12-R</t>
  </si>
  <si>
    <t>W7Y6YZ-R</t>
  </si>
  <si>
    <t>NV36T6-R</t>
  </si>
  <si>
    <t>TY565Q-R</t>
  </si>
  <si>
    <t>W7TTGS-R</t>
  </si>
  <si>
    <t>TWYX1Q-R</t>
  </si>
  <si>
    <t>LVTKC1-R</t>
  </si>
  <si>
    <t>NYHV8B-R</t>
  </si>
  <si>
    <t>GKZDGM-R</t>
  </si>
  <si>
    <t>X8MC3P-R</t>
  </si>
  <si>
    <t>TP09WD-R</t>
  </si>
  <si>
    <t>TG6436-R</t>
  </si>
  <si>
    <t>QYYXT9-R</t>
  </si>
  <si>
    <t>SKZ5H5-R</t>
  </si>
  <si>
    <t>KT20WC-R</t>
  </si>
  <si>
    <t>KXDF6J-R</t>
  </si>
  <si>
    <t>RT6ZD8-R</t>
  </si>
  <si>
    <t>KBR84J-R</t>
  </si>
  <si>
    <t>P1YDHB-R</t>
  </si>
  <si>
    <t>CM4SB4-R</t>
  </si>
  <si>
    <t>WJWHT6-R</t>
  </si>
  <si>
    <t>MLRJQN-R</t>
  </si>
  <si>
    <t>LNW87G-R</t>
  </si>
  <si>
    <t>VK44PN-R</t>
  </si>
  <si>
    <t>D4NXL8-R</t>
  </si>
  <si>
    <t>XC3B11-R</t>
  </si>
  <si>
    <t>PD9L1R-R</t>
  </si>
  <si>
    <t>GD0QSV-R</t>
  </si>
  <si>
    <t>KFP708-R</t>
  </si>
  <si>
    <t>GDLPN9-R</t>
  </si>
  <si>
    <t>TVSR2S-R</t>
  </si>
  <si>
    <t>NL99F5-R</t>
  </si>
  <si>
    <t>GJV8GN-R</t>
  </si>
  <si>
    <t>J5XDH0-R</t>
  </si>
  <si>
    <t>POLAND</t>
  </si>
  <si>
    <t>LLFN8R-R</t>
  </si>
  <si>
    <t>BWZN5N-R</t>
  </si>
  <si>
    <t>LTNDSH-R</t>
  </si>
  <si>
    <t>GY9DY1-R</t>
  </si>
  <si>
    <t>HF7CXJ-R</t>
  </si>
  <si>
    <t>WGRN6D-R</t>
  </si>
  <si>
    <t>B5PNYT-R</t>
  </si>
  <si>
    <t>PKYMY1-R</t>
  </si>
  <si>
    <t>GM7H09-R</t>
  </si>
  <si>
    <t>V4XB0Z-R</t>
  </si>
  <si>
    <t>TWWNXR-R</t>
  </si>
  <si>
    <t>X9WZPW-R</t>
  </si>
  <si>
    <t>Q0GKY6-R</t>
  </si>
  <si>
    <t>GTX4SW-R</t>
  </si>
  <si>
    <t>D5DNM8-R</t>
  </si>
  <si>
    <t>BK738W-R</t>
  </si>
  <si>
    <t>DG473N-R</t>
  </si>
  <si>
    <t>Q7XWQX-R</t>
  </si>
  <si>
    <t>Q05NFB-R</t>
  </si>
  <si>
    <t>LY6KWW-R</t>
  </si>
  <si>
    <t>TH0NDS-R</t>
  </si>
  <si>
    <t>VPJF20-R</t>
  </si>
  <si>
    <t>P6FKFG-R</t>
  </si>
  <si>
    <t>J564PS-R</t>
  </si>
  <si>
    <t>M3XC1S-R</t>
  </si>
  <si>
    <t>B8DGF3-R</t>
  </si>
  <si>
    <t>M79YFW-R</t>
  </si>
  <si>
    <t>F39WDV-R</t>
  </si>
  <si>
    <t>N4H21N-R</t>
  </si>
  <si>
    <t>VH48TQ-R</t>
  </si>
  <si>
    <t>T31DQR-R</t>
  </si>
  <si>
    <t>QTFWQW-R</t>
  </si>
  <si>
    <t>W6VV9N-R</t>
  </si>
  <si>
    <t>NJ2NHR-R</t>
  </si>
  <si>
    <t>PDBDMJ-R</t>
  </si>
  <si>
    <t>CZHVTK-R</t>
  </si>
  <si>
    <t>MVMBQG-R</t>
  </si>
  <si>
    <t>H7F209-R</t>
  </si>
  <si>
    <t>RZSB30-R</t>
  </si>
  <si>
    <t>L57WDW-R</t>
  </si>
  <si>
    <t>MXS313-R</t>
  </si>
  <si>
    <t>C6LWM5-R</t>
  </si>
  <si>
    <t>BLBW30-R</t>
  </si>
  <si>
    <t>FNW967-R</t>
  </si>
  <si>
    <t>S4F6YG-R</t>
  </si>
  <si>
    <t>JH4B5Q-R</t>
  </si>
  <si>
    <t>XQG0NZ-R</t>
  </si>
  <si>
    <t>LHK3T0-R</t>
  </si>
  <si>
    <t>MWM5JD-R</t>
  </si>
  <si>
    <t>M9N67P-R</t>
  </si>
  <si>
    <t>DBXNLL-R</t>
  </si>
  <si>
    <t>XLYS7D-R</t>
  </si>
  <si>
    <t>W0ZW7W-R</t>
  </si>
  <si>
    <t>RBCQLB-R</t>
  </si>
  <si>
    <t>VYTGTR-R</t>
  </si>
  <si>
    <t>M74M8W-R</t>
  </si>
  <si>
    <t>RQTY5S-R</t>
  </si>
  <si>
    <t>T6GNCG-R</t>
  </si>
  <si>
    <t>V2HLHV-R</t>
  </si>
  <si>
    <t>JJ43XM-R</t>
  </si>
  <si>
    <t>V0CLMX-R</t>
  </si>
  <si>
    <t>P6LTYW-R</t>
  </si>
  <si>
    <t>L9YRMS-R</t>
  </si>
  <si>
    <t>DF3CR4-R</t>
  </si>
  <si>
    <t>MTG5RJ-R</t>
  </si>
  <si>
    <t>KDFDZV-R</t>
  </si>
  <si>
    <t>HRGXJJ-R</t>
  </si>
  <si>
    <t>NYJ1NJ-R</t>
  </si>
  <si>
    <t>SJXTST-R</t>
  </si>
  <si>
    <t>GK0D7G-R</t>
  </si>
  <si>
    <t>GW6H33-R</t>
  </si>
  <si>
    <t>NWFLR1-R</t>
  </si>
  <si>
    <t>GV2Z8Q-R</t>
  </si>
  <si>
    <t>LZCMNQ-R</t>
  </si>
  <si>
    <t>R2JS7B-R</t>
  </si>
  <si>
    <t>P7RWQQ-R</t>
  </si>
  <si>
    <t>RQX8MZ-R</t>
  </si>
  <si>
    <t>XBY522-R</t>
  </si>
  <si>
    <t>QH99RN-R</t>
  </si>
  <si>
    <t>F8T8X8-R</t>
  </si>
  <si>
    <t>K6W4F5-R</t>
  </si>
  <si>
    <t>KDVW4Z-R</t>
  </si>
  <si>
    <t>FNM7QK-R</t>
  </si>
  <si>
    <t>SDCW2N-R</t>
  </si>
  <si>
    <t>MT9XMJ-R</t>
  </si>
  <si>
    <t>FWJ4P9-R</t>
  </si>
  <si>
    <t>RDLJGK-R</t>
  </si>
  <si>
    <t>J1HNQQ-R</t>
  </si>
  <si>
    <t>RBHVG6-R</t>
  </si>
  <si>
    <t>J1JT84-R</t>
  </si>
  <si>
    <t>F3LWYN-R</t>
  </si>
  <si>
    <t>CY7YM1-R</t>
  </si>
  <si>
    <t>L3H7V7-R</t>
  </si>
  <si>
    <t>X0M159-R</t>
  </si>
  <si>
    <t>BNNFG1-R</t>
  </si>
  <si>
    <t>CD6ZNK-R</t>
  </si>
  <si>
    <t>VH4VMZ-R</t>
  </si>
  <si>
    <t>N1XH4V-R</t>
  </si>
  <si>
    <t>WXJXS1-R</t>
  </si>
  <si>
    <t>XBLSJL-R</t>
  </si>
  <si>
    <t>LVSS7P-R</t>
  </si>
  <si>
    <t>TGN13R-R</t>
  </si>
  <si>
    <t>MVN234-R</t>
  </si>
  <si>
    <t>LVVB64-R</t>
  </si>
  <si>
    <t>LP9QY3-R</t>
  </si>
  <si>
    <t>VKDKLD-R</t>
  </si>
  <si>
    <t>V9DC6G-R</t>
  </si>
  <si>
    <t>LC28G5-R</t>
  </si>
  <si>
    <t>V76GQR-R</t>
  </si>
  <si>
    <t>PB1Z9F-R</t>
  </si>
  <si>
    <t>BCFSNZ-R</t>
  </si>
  <si>
    <t>TG9824-R</t>
  </si>
  <si>
    <t>BZW6MB-R</t>
  </si>
  <si>
    <t>S208X0-R</t>
  </si>
  <si>
    <t>J9HWH0-R</t>
  </si>
  <si>
    <t>KFQ0J0-R</t>
  </si>
  <si>
    <t>\\groupe-ufg.com\Commun\Prive\GestionAM\Ingenierie_Financiere\PROD\_EQUITY\0_SCREEN_AGG\screen_mensuel\FS_BT_output_20240930.xlsx</t>
  </si>
  <si>
    <t>DKSH Holding Ltd</t>
  </si>
  <si>
    <t>BE0003823409</t>
  </si>
  <si>
    <t>Financiere de Tubize S.A.</t>
  </si>
  <si>
    <t>STXY3R-R</t>
  </si>
  <si>
    <t>DK0015998017</t>
  </si>
  <si>
    <t>Bavarian Nordic A/S</t>
  </si>
  <si>
    <t>FJ0PVS-R</t>
  </si>
  <si>
    <t>ES0105777017</t>
  </si>
  <si>
    <t>Puig Brands, S.A.</t>
  </si>
  <si>
    <t>PQ62XP-R</t>
  </si>
  <si>
    <t>GB00B62G9D36</t>
  </si>
  <si>
    <t>Shaftesbury Capital PLC</t>
  </si>
  <si>
    <t>J2R4L9-R</t>
  </si>
  <si>
    <t>GB00BP0RGD03</t>
  </si>
  <si>
    <t>IT0004776628</t>
  </si>
  <si>
    <t>Banca Mediolanum SpA</t>
  </si>
  <si>
    <t>V4X8YY-R</t>
  </si>
  <si>
    <t>JE00BRX98089</t>
  </si>
  <si>
    <t>CVC Capital Partners plc</t>
  </si>
  <si>
    <t>C9QWXH-R</t>
  </si>
  <si>
    <t>Poids Ptf</t>
  </si>
  <si>
    <t>Limite Max TE</t>
  </si>
  <si>
    <t>limite max te</t>
  </si>
  <si>
    <t>constraints to consider</t>
  </si>
  <si>
    <t>region</t>
  </si>
  <si>
    <t>sector</t>
  </si>
  <si>
    <t>size</t>
  </si>
  <si>
    <t>Constraints</t>
  </si>
  <si>
    <t>Top mandatory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</si>
</sst>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\ _€"/>
    <numFmt numFmtId="165" formatCode="_-* #,##0.00\ _€_-;\-* #,##0.00\ _€_-;_-* &quot;-&quot;??\ _€_-;_-@_-"/>
    <numFmt numFmtId="166" formatCode="0.0000000000"/>
    <numFmt numFmtId="167" formatCode="0.0%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Arial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2" fillId="0" borderId="0"/>
  </cellStyleXfs>
  <cellXfs count="83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2" borderId="0" xfId="1" applyFill="1"/>
    <xf numFmtId="10" fontId="0" fillId="2" borderId="0" xfId="0" applyNumberFormat="1" applyFill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0" fontId="6" fillId="0" borderId="0" xfId="2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0" xfId="0" quotePrefix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/>
    <xf numFmtId="0" fontId="0" fillId="2" borderId="0" xfId="0" applyFill="1" applyAlignment="1">
      <alignment horizontal="right" vertical="center"/>
    </xf>
    <xf numFmtId="10" fontId="0" fillId="2" borderId="0" xfId="0" applyNumberFormat="1" applyFill="1" applyAlignment="1">
      <alignment horizontal="center" vertical="center" wrapText="1"/>
    </xf>
    <xf numFmtId="0" fontId="7" fillId="2" borderId="0" xfId="0" applyFont="1" applyFill="1"/>
    <xf numFmtId="10" fontId="1" fillId="4" borderId="0" xfId="2" applyNumberFormat="1" applyFont="1" applyFill="1" applyAlignment="1">
      <alignment horizontal="center" vertical="center" wrapText="1"/>
    </xf>
    <xf numFmtId="0" fontId="3" fillId="0" borderId="0" xfId="1"/>
    <xf numFmtId="0" fontId="6" fillId="0" borderId="0" xfId="0" applyFont="1" applyAlignment="1">
      <alignment horizontal="center" vertical="center"/>
    </xf>
    <xf numFmtId="2" fontId="0" fillId="0" borderId="0" xfId="2" applyNumberFormat="1" applyFont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0" xfId="2" applyNumberFormat="1" applyFont="1" applyFill="1" applyAlignment="1">
      <alignment horizontal="center"/>
    </xf>
    <xf numFmtId="0" fontId="9" fillId="0" borderId="0" xfId="0" applyFont="1" applyAlignment="1">
      <alignment horizontal="left"/>
    </xf>
    <xf numFmtId="0" fontId="10" fillId="2" borderId="0" xfId="0" applyFont="1" applyFill="1" applyAlignment="1">
      <alignment horizontal="right" vertical="top"/>
    </xf>
    <xf numFmtId="0" fontId="1" fillId="8" borderId="0" xfId="0" applyFont="1" applyFill="1" applyAlignment="1">
      <alignment horizontal="center"/>
    </xf>
    <xf numFmtId="14" fontId="0" fillId="2" borderId="1" xfId="0" applyNumberFormat="1" applyFill="1" applyBorder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164" fontId="5" fillId="6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0" fontId="6" fillId="0" borderId="0" xfId="2" applyNumberFormat="1" applyFont="1" applyFill="1" applyAlignment="1">
      <alignment horizontal="center"/>
    </xf>
    <xf numFmtId="2" fontId="0" fillId="0" borderId="0" xfId="2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2" borderId="0" xfId="0" applyFill="1" applyAlignment="1">
      <alignment horizontal="left"/>
    </xf>
    <xf numFmtId="0" fontId="1" fillId="6" borderId="2" xfId="0" applyFon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10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10" fontId="5" fillId="6" borderId="0" xfId="2" applyNumberFormat="1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166" fontId="0" fillId="0" borderId="0" xfId="0" applyNumberFormat="1"/>
    <xf numFmtId="0" fontId="6" fillId="0" borderId="1" xfId="0" applyFont="1" applyBorder="1" applyAlignment="1">
      <alignment horizontal="center" vertical="top"/>
    </xf>
    <xf numFmtId="1" fontId="5" fillId="6" borderId="0" xfId="0" applyNumberFormat="1" applyFont="1" applyFill="1" applyAlignment="1">
      <alignment horizontal="center" vertical="center" wrapText="1"/>
    </xf>
    <xf numFmtId="1" fontId="0" fillId="0" borderId="0" xfId="2" applyNumberFormat="1" applyFont="1" applyFill="1" applyAlignment="1">
      <alignment horizontal="center"/>
    </xf>
    <xf numFmtId="1" fontId="0" fillId="0" borderId="0" xfId="2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2" borderId="0" xfId="2" applyFont="1" applyFill="1"/>
    <xf numFmtId="10" fontId="0" fillId="2" borderId="0" xfId="2" applyNumberFormat="1" applyFont="1" applyFill="1"/>
    <xf numFmtId="10" fontId="5" fillId="6" borderId="0" xfId="0" applyNumberFormat="1" applyFont="1" applyFill="1" applyAlignment="1">
      <alignment horizontal="center" vertical="center" wrapText="1"/>
    </xf>
    <xf numFmtId="10" fontId="0" fillId="0" borderId="0" xfId="0" applyNumberFormat="1" applyAlignment="1">
      <alignment horizontal="center"/>
    </xf>
    <xf numFmtId="2" fontId="5" fillId="6" borderId="0" xfId="0" applyNumberFormat="1" applyFont="1" applyFill="1" applyAlignment="1">
      <alignment horizontal="center" vertical="center" wrapText="1"/>
    </xf>
    <xf numFmtId="2" fontId="5" fillId="6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2" fontId="0" fillId="0" borderId="0" xfId="0" applyNumberFormat="1"/>
    <xf numFmtId="1" fontId="0" fillId="2" borderId="1" xfId="0" applyNumberFormat="1" applyFill="1" applyBorder="1" applyAlignment="1">
      <alignment horizontal="center" vertical="center"/>
    </xf>
    <xf numFmtId="167" fontId="0" fillId="2" borderId="0" xfId="2" applyNumberFormat="1" applyFont="1" applyFill="1"/>
    <xf numFmtId="10" fontId="0" fillId="2" borderId="0" xfId="2" applyNumberFormat="1" applyFont="1" applyFill="1" applyAlignment="1">
      <alignment horizontal="right"/>
    </xf>
    <xf numFmtId="0" fontId="10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8">
    <cellStyle name="Lien hypertexte" xfId="1" builtinId="8"/>
    <cellStyle name="Milliers 2" xfId="6" xr:uid="{02FA58AD-4CF6-4481-8CD3-5DB2727E6EB5}"/>
    <cellStyle name="Monétaire 2" xfId="5" xr:uid="{4B6FF76F-33F9-4879-A00F-D28AE554448A}"/>
    <cellStyle name="Normal" xfId="0" builtinId="0"/>
    <cellStyle name="Normal 11 2" xfId="7" xr:uid="{F285AB3C-C786-4BB3-A702-4867D34C8ED6}"/>
    <cellStyle name="Normal 2" xfId="3" xr:uid="{533CFDAE-5C67-436D-AE7E-1C2E67BD7BD1}"/>
    <cellStyle name="Pourcentage" xfId="2" builtinId="5"/>
    <cellStyle name="Pourcentage 2" xfId="4" xr:uid="{8D74FAAB-B16D-4CDC-8029-4329207A83D6}"/>
  </cellStyles>
  <dxfs count="14">
    <dxf>
      <font>
        <color rgb="FFFF0000"/>
      </font>
    </dxf>
    <dxf>
      <font>
        <color theme="9"/>
      </font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</dxfs>
  <tableStyles count="0" defaultTableStyle="TableStyleMedium2" defaultPivotStyle="PivotStyleLight16"/>
  <colors>
    <mruColors>
      <color rgb="FFFF9595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19050</xdr:rowOff>
        </xdr:from>
        <xdr:to>
          <xdr:col>18</xdr:col>
          <xdr:colOff>723900</xdr:colOff>
          <xdr:row>1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Bench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342900</xdr:rowOff>
        </xdr:from>
        <xdr:to>
          <xdr:col>18</xdr:col>
          <xdr:colOff>723900</xdr:colOff>
          <xdr:row>2</xdr:row>
          <xdr:rowOff>361950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sec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114300</xdr:rowOff>
        </xdr:from>
        <xdr:to>
          <xdr:col>18</xdr:col>
          <xdr:colOff>723900</xdr:colOff>
          <xdr:row>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optim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../0_RETURNS/returns_2Y.pkl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../0_SCREEN_AGG/screen_mensuel/FS_BT_output_20240930.xlsx" TargetMode="External"/><Relationship Id="rId1" Type="http://schemas.openxmlformats.org/officeDocument/2006/relationships/hyperlink" Target="../_LISTE_NOIRE_EXCLUSION/Liste_Noire_Exclusion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19B00-5739-4EC9-8F81-A8423FF55883}">
  <sheetPr codeName="Feuil1"/>
  <dimension ref="A1:Q65"/>
  <sheetViews>
    <sheetView tabSelected="1" zoomScale="85" zoomScaleNormal="85" workbookViewId="0">
      <selection activeCell="B6" sqref="B6"/>
    </sheetView>
  </sheetViews>
  <sheetFormatPr baseColWidth="10" defaultColWidth="11" defaultRowHeight="14.4" x14ac:dyDescent="0.55000000000000004"/>
  <cols>
    <col min="1" max="1" width="28.578125" style="1" customWidth="1"/>
    <col min="2" max="2" width="26.83984375" style="1" customWidth="1"/>
    <col min="3" max="3" width="14.15625" style="1" customWidth="1"/>
    <col min="4" max="5" width="15.578125" style="1" bestFit="1" customWidth="1"/>
    <col min="6" max="6" width="12.26171875" style="1" bestFit="1" customWidth="1"/>
    <col min="7" max="7" width="12.41796875" style="1" customWidth="1"/>
    <col min="8" max="8" width="12.26171875" style="1" bestFit="1" customWidth="1"/>
    <col min="9" max="9" width="11" style="1" customWidth="1"/>
    <col min="10" max="10" width="13.578125" style="1" customWidth="1"/>
    <col min="11" max="11" width="14.83984375" style="1" customWidth="1"/>
    <col min="12" max="12" width="12.41796875" style="1" customWidth="1"/>
    <col min="13" max="13" width="12.26171875" style="1" bestFit="1" customWidth="1"/>
    <col min="14" max="16384" width="11" style="1"/>
  </cols>
  <sheetData>
    <row r="1" spans="1:17" x14ac:dyDescent="0.55000000000000004">
      <c r="A1" s="81" t="s">
        <v>5</v>
      </c>
      <c r="B1" s="81"/>
      <c r="G1" s="81" t="s">
        <v>79</v>
      </c>
      <c r="H1" s="81"/>
      <c r="J1" s="81" t="s">
        <v>6</v>
      </c>
      <c r="K1" s="81"/>
      <c r="M1" s="81" t="s">
        <v>158</v>
      </c>
      <c r="N1" s="81"/>
      <c r="P1" s="45" t="s">
        <v>187</v>
      </c>
      <c r="Q1" s="79" t="s">
        <v>183</v>
      </c>
    </row>
    <row r="2" spans="1:17" ht="28.8" x14ac:dyDescent="0.55000000000000004">
      <c r="A2" s="2" t="s">
        <v>1</v>
      </c>
      <c r="B2" s="5" t="s">
        <v>68</v>
      </c>
      <c r="G2" s="12" t="s">
        <v>18</v>
      </c>
      <c r="H2" s="13">
        <v>0</v>
      </c>
      <c r="J2" s="12" t="s">
        <v>21</v>
      </c>
      <c r="K2" s="13">
        <v>0.15</v>
      </c>
      <c r="M2" s="16" t="s">
        <v>159</v>
      </c>
      <c r="N2" s="16">
        <v>0.9</v>
      </c>
      <c r="P2" s="46">
        <f ca="1">TODAY()</f>
        <v>45602</v>
      </c>
      <c r="Q2" s="79"/>
    </row>
    <row r="3" spans="1:17" ht="28.8" x14ac:dyDescent="0.55000000000000004">
      <c r="A3" s="2" t="s">
        <v>2</v>
      </c>
      <c r="B3" s="8">
        <v>0</v>
      </c>
      <c r="G3" s="12" t="s">
        <v>21</v>
      </c>
      <c r="H3" s="13">
        <v>0</v>
      </c>
      <c r="J3" s="12" t="s">
        <v>20</v>
      </c>
      <c r="K3" s="13">
        <v>0.15</v>
      </c>
      <c r="M3" s="16" t="s">
        <v>160</v>
      </c>
      <c r="N3" s="76">
        <v>1.0001</v>
      </c>
      <c r="Q3" s="44" t="s">
        <v>184</v>
      </c>
    </row>
    <row r="4" spans="1:17" ht="28.8" x14ac:dyDescent="0.55000000000000004">
      <c r="A4" s="2" t="s">
        <v>1418</v>
      </c>
      <c r="B4" s="6">
        <v>598</v>
      </c>
      <c r="F4" s="34" t="s">
        <v>135</v>
      </c>
      <c r="G4" s="12" t="s">
        <v>48</v>
      </c>
      <c r="H4" s="13">
        <v>0</v>
      </c>
      <c r="J4" s="12" t="s">
        <v>17</v>
      </c>
      <c r="K4" s="13">
        <v>0.15</v>
      </c>
      <c r="N4" s="6"/>
      <c r="Q4" s="80" t="s">
        <v>185</v>
      </c>
    </row>
    <row r="5" spans="1:17" ht="28.8" x14ac:dyDescent="0.55000000000000004">
      <c r="A5" s="2" t="s">
        <v>1419</v>
      </c>
      <c r="B5" s="6">
        <v>5</v>
      </c>
      <c r="G5" s="12" t="s">
        <v>11</v>
      </c>
      <c r="H5" s="16">
        <v>0</v>
      </c>
      <c r="J5" s="12" t="s">
        <v>16</v>
      </c>
      <c r="K5" s="13">
        <v>0.1</v>
      </c>
      <c r="Q5" s="80"/>
    </row>
    <row r="6" spans="1:17" x14ac:dyDescent="0.55000000000000004">
      <c r="A6" s="2" t="s">
        <v>1420</v>
      </c>
      <c r="B6" s="6">
        <v>3</v>
      </c>
      <c r="C6" s="6"/>
      <c r="D6" s="4"/>
      <c r="G6" s="12"/>
      <c r="H6" s="13"/>
      <c r="J6" s="12" t="s">
        <v>53</v>
      </c>
      <c r="K6" s="13">
        <v>0.45</v>
      </c>
    </row>
    <row r="7" spans="1:17" ht="27.75" customHeight="1" x14ac:dyDescent="0.55000000000000004">
      <c r="A7" s="2" t="s">
        <v>3</v>
      </c>
      <c r="B7" s="6">
        <v>0</v>
      </c>
      <c r="D7" s="4"/>
      <c r="J7" s="12" t="s">
        <v>811</v>
      </c>
      <c r="K7" s="13">
        <v>0</v>
      </c>
    </row>
    <row r="8" spans="1:17" ht="26.25" customHeight="1" x14ac:dyDescent="0.55000000000000004">
      <c r="A8" s="2" t="s">
        <v>4</v>
      </c>
      <c r="B8" s="20">
        <v>0</v>
      </c>
      <c r="J8" s="12"/>
      <c r="K8" s="13"/>
    </row>
    <row r="9" spans="1:17" ht="24.75" customHeight="1" x14ac:dyDescent="0.55000000000000004">
      <c r="A9" s="2" t="s">
        <v>0</v>
      </c>
      <c r="B9" s="7" t="s">
        <v>2015</v>
      </c>
      <c r="K9" s="67"/>
      <c r="P9" s="1" t="s">
        <v>205</v>
      </c>
    </row>
    <row r="10" spans="1:17" x14ac:dyDescent="0.55000000000000004">
      <c r="A10" s="2" t="s">
        <v>69</v>
      </c>
      <c r="B10" s="7" t="s">
        <v>1421</v>
      </c>
      <c r="P10" s="1" t="s">
        <v>206</v>
      </c>
    </row>
    <row r="11" spans="1:17" ht="15" customHeight="1" x14ac:dyDescent="0.55000000000000004">
      <c r="A11" s="2" t="s">
        <v>103</v>
      </c>
      <c r="B11" s="9">
        <v>0</v>
      </c>
    </row>
    <row r="12" spans="1:17" ht="15" customHeight="1" x14ac:dyDescent="0.55000000000000004">
      <c r="A12" s="2" t="s">
        <v>104</v>
      </c>
      <c r="B12" s="9">
        <v>0.05</v>
      </c>
    </row>
    <row r="13" spans="1:17" ht="15" customHeight="1" x14ac:dyDescent="0.55000000000000004">
      <c r="A13" s="2" t="s">
        <v>137</v>
      </c>
      <c r="B13" s="35" t="s">
        <v>146</v>
      </c>
      <c r="C13" s="35" t="s">
        <v>1410</v>
      </c>
      <c r="D13" s="35" t="s">
        <v>141</v>
      </c>
      <c r="E13" s="6"/>
    </row>
    <row r="14" spans="1:17" ht="15" customHeight="1" x14ac:dyDescent="0.55000000000000004">
      <c r="A14" s="2" t="s">
        <v>138</v>
      </c>
      <c r="B14" s="9" t="s">
        <v>143</v>
      </c>
    </row>
    <row r="15" spans="1:17" ht="15" customHeight="1" x14ac:dyDescent="0.55000000000000004">
      <c r="A15" s="2" t="s">
        <v>136</v>
      </c>
      <c r="B15" s="38" t="s">
        <v>150</v>
      </c>
    </row>
    <row r="16" spans="1:17" ht="24.75" customHeight="1" x14ac:dyDescent="0.55000000000000004">
      <c r="A16" s="2" t="s">
        <v>130</v>
      </c>
      <c r="B16" s="6" t="s">
        <v>210</v>
      </c>
    </row>
    <row r="17" spans="1:16" ht="20.25" customHeight="1" x14ac:dyDescent="0.55000000000000004">
      <c r="A17" s="2" t="s">
        <v>211</v>
      </c>
      <c r="B17" s="6">
        <v>2000</v>
      </c>
    </row>
    <row r="18" spans="1:16" ht="20.25" customHeight="1" x14ac:dyDescent="0.55000000000000004">
      <c r="A18" s="2" t="s">
        <v>212</v>
      </c>
      <c r="B18" s="6">
        <v>5000</v>
      </c>
    </row>
    <row r="19" spans="1:16" x14ac:dyDescent="0.55000000000000004">
      <c r="A19" s="2" t="s">
        <v>2038</v>
      </c>
      <c r="B19" s="6">
        <v>0</v>
      </c>
    </row>
    <row r="20" spans="1:16" x14ac:dyDescent="0.55000000000000004">
      <c r="A20" s="2" t="s">
        <v>2039</v>
      </c>
      <c r="B20" s="26" t="s">
        <v>2041</v>
      </c>
      <c r="C20" s="26" t="s">
        <v>2042</v>
      </c>
      <c r="D20" s="26"/>
    </row>
    <row r="21" spans="1:16" x14ac:dyDescent="0.55000000000000004">
      <c r="A21" s="2"/>
      <c r="B21" s="38"/>
    </row>
    <row r="22" spans="1:16" x14ac:dyDescent="0.55000000000000004">
      <c r="F22" s="82" t="s">
        <v>147</v>
      </c>
      <c r="G22" s="82"/>
      <c r="H22" s="82"/>
      <c r="I22" s="17" t="s">
        <v>176</v>
      </c>
    </row>
    <row r="23" spans="1:16" ht="28.8" x14ac:dyDescent="0.55000000000000004">
      <c r="A23" s="10" t="s">
        <v>70</v>
      </c>
      <c r="B23" s="11" t="s">
        <v>77</v>
      </c>
      <c r="C23" s="11" t="s">
        <v>81</v>
      </c>
      <c r="D23" s="11" t="s">
        <v>101</v>
      </c>
      <c r="E23" s="11" t="s">
        <v>102</v>
      </c>
      <c r="F23" s="37" t="s">
        <v>173</v>
      </c>
      <c r="G23" s="37" t="s">
        <v>148</v>
      </c>
      <c r="H23" s="37" t="s">
        <v>149</v>
      </c>
      <c r="I23" s="37" t="s">
        <v>149</v>
      </c>
      <c r="J23" s="10" t="s">
        <v>151</v>
      </c>
      <c r="K23" s="10" t="s">
        <v>155</v>
      </c>
      <c r="L23" s="10" t="s">
        <v>156</v>
      </c>
      <c r="M23" s="10" t="s">
        <v>154</v>
      </c>
      <c r="N23" s="10" t="s">
        <v>203</v>
      </c>
      <c r="O23" s="10" t="s">
        <v>204</v>
      </c>
    </row>
    <row r="24" spans="1:16" x14ac:dyDescent="0.55000000000000004">
      <c r="A24" s="14" t="s">
        <v>71</v>
      </c>
      <c r="B24" s="15">
        <v>0</v>
      </c>
      <c r="C24" s="16" t="s">
        <v>157</v>
      </c>
      <c r="D24" s="16">
        <v>1.5</v>
      </c>
      <c r="E24" s="17">
        <v>3</v>
      </c>
      <c r="F24" s="18">
        <v>7.4999999999999997E-3</v>
      </c>
      <c r="G24" s="18">
        <v>0.02</v>
      </c>
      <c r="H24" s="18">
        <v>3.5000000000000003E-2</v>
      </c>
      <c r="I24" s="18">
        <v>0.01</v>
      </c>
      <c r="J24" s="15">
        <v>0</v>
      </c>
      <c r="K24" s="15">
        <f>MAX(J24,0%)</f>
        <v>0</v>
      </c>
      <c r="L24" s="15">
        <f>MIN(J24+2%, 100%)</f>
        <v>0.02</v>
      </c>
      <c r="M24" s="16">
        <f>IF(B24=0, 0, ROUNDUP(J24/B24,0))</f>
        <v>0</v>
      </c>
      <c r="N24" s="32">
        <f>SUMIF(Output!$D:$D,"="&amp;Menu!$A24,Output!V:V)</f>
        <v>0</v>
      </c>
      <c r="O24" s="32">
        <f>SUMIF(Output!$D:$D,"="&amp;Menu!$A24,Output!W:W)</f>
        <v>0</v>
      </c>
      <c r="P24" s="26" t="str">
        <f>IF(OR(O24&lt;K24,N24&gt;L24),"!! KO !!", "OK")</f>
        <v>OK</v>
      </c>
    </row>
    <row r="25" spans="1:16" x14ac:dyDescent="0.55000000000000004">
      <c r="A25" s="14" t="s">
        <v>72</v>
      </c>
      <c r="B25" s="15">
        <v>1.7500000000000002E-2</v>
      </c>
      <c r="C25" s="16" t="s">
        <v>157</v>
      </c>
      <c r="D25" s="16">
        <v>1.5</v>
      </c>
      <c r="E25" s="17">
        <v>2</v>
      </c>
      <c r="F25" s="18">
        <v>3.5999999999999997E-2</v>
      </c>
      <c r="G25" s="18">
        <v>3.5999999999999997E-2</v>
      </c>
      <c r="H25" s="18">
        <v>3.5999999999999997E-2</v>
      </c>
      <c r="I25" s="18">
        <v>9.9999999999999995E-8</v>
      </c>
      <c r="J25" s="15">
        <v>1</v>
      </c>
      <c r="K25" s="15">
        <f>MAX(J25-2%,0%)</f>
        <v>0.98</v>
      </c>
      <c r="L25" s="15">
        <f>MIN(J25+1%, 100%)</f>
        <v>1</v>
      </c>
      <c r="M25" s="16">
        <f>IF(B25=0, 0, ROUNDUP(J25/B25,0))</f>
        <v>58</v>
      </c>
      <c r="N25" s="32">
        <f>SUMIF(Output!$D:$D,"="&amp;Menu!$A25,Output!V:V)</f>
        <v>-2.3343431000478176</v>
      </c>
      <c r="O25" s="32">
        <f>SUMIF(Output!$D:$D,"="&amp;Menu!$A25,Output!W:W)</f>
        <v>3.6656568999521828</v>
      </c>
      <c r="P25" s="26" t="str">
        <f t="shared" ref="P25:P29" si="0">IF(OR(O25&lt;K25,N25&gt;L25),"!! KO !!", "OK")</f>
        <v>OK</v>
      </c>
    </row>
    <row r="26" spans="1:16" x14ac:dyDescent="0.55000000000000004">
      <c r="A26" s="14" t="s">
        <v>73</v>
      </c>
      <c r="B26" s="15">
        <v>0</v>
      </c>
      <c r="C26" s="16" t="s">
        <v>157</v>
      </c>
      <c r="D26" s="16">
        <v>1.5</v>
      </c>
      <c r="E26" s="17">
        <v>2</v>
      </c>
      <c r="F26" s="18">
        <v>5.0000000000000001E-3</v>
      </c>
      <c r="G26" s="18">
        <v>0.01</v>
      </c>
      <c r="H26" s="18">
        <v>1.4999999999999999E-2</v>
      </c>
      <c r="I26" s="18">
        <v>5.0000000000000001E-3</v>
      </c>
      <c r="J26" s="15">
        <v>0</v>
      </c>
      <c r="K26" s="15">
        <f>MAX(J26-1%,0%)</f>
        <v>0</v>
      </c>
      <c r="L26" s="15">
        <f>MIN(J26+2%, 100%)</f>
        <v>0.02</v>
      </c>
      <c r="M26" s="16">
        <f t="shared" ref="M26:M29" si="1">IF(B26=0, 0, ROUNDUP(J26/B26,0))</f>
        <v>0</v>
      </c>
      <c r="N26" s="32">
        <f>SUMIF(Output!$D:$D,"="&amp;Menu!$A26,Output!V:V)</f>
        <v>0</v>
      </c>
      <c r="O26" s="32">
        <f>SUMIF(Output!$D:$D,"="&amp;Menu!$A26,Output!W:W)</f>
        <v>0</v>
      </c>
      <c r="P26" s="26" t="str">
        <f t="shared" si="0"/>
        <v>OK</v>
      </c>
    </row>
    <row r="27" spans="1:16" x14ac:dyDescent="0.55000000000000004">
      <c r="A27" s="14" t="s">
        <v>74</v>
      </c>
      <c r="B27" s="15">
        <v>0</v>
      </c>
      <c r="C27" s="16" t="s">
        <v>157</v>
      </c>
      <c r="D27" s="16">
        <v>1.5</v>
      </c>
      <c r="E27" s="17">
        <v>2</v>
      </c>
      <c r="F27" s="18">
        <v>5.0000000000000001E-3</v>
      </c>
      <c r="G27" s="18">
        <v>7.4999999999999997E-3</v>
      </c>
      <c r="H27" s="18">
        <v>0.01</v>
      </c>
      <c r="I27" s="18">
        <v>5.0000000000000001E-3</v>
      </c>
      <c r="J27" s="15">
        <v>0</v>
      </c>
      <c r="K27" s="15">
        <f t="shared" ref="K27:K29" si="2">MAX(J27-2%,0%)</f>
        <v>0</v>
      </c>
      <c r="L27" s="15">
        <f t="shared" ref="L27:L29" si="3">MIN(J27+2%, 100%)</f>
        <v>0.02</v>
      </c>
      <c r="M27" s="16">
        <f t="shared" si="1"/>
        <v>0</v>
      </c>
      <c r="N27" s="32">
        <f>SUMIF(Output!$D:$D,"="&amp;Menu!$A27,Output!V:V)</f>
        <v>0</v>
      </c>
      <c r="O27" s="32">
        <f>SUMIF(Output!$D:$D,"="&amp;Menu!$A27,Output!W:W)</f>
        <v>0</v>
      </c>
      <c r="P27" s="26" t="str">
        <f t="shared" si="0"/>
        <v>OK</v>
      </c>
    </row>
    <row r="28" spans="1:16" x14ac:dyDescent="0.55000000000000004">
      <c r="A28" s="14" t="s">
        <v>75</v>
      </c>
      <c r="B28" s="15">
        <v>0</v>
      </c>
      <c r="C28" s="16" t="s">
        <v>157</v>
      </c>
      <c r="D28" s="16">
        <v>1.5</v>
      </c>
      <c r="E28" s="17">
        <v>2</v>
      </c>
      <c r="F28" s="18">
        <v>5.0000000000000001E-3</v>
      </c>
      <c r="G28" s="18">
        <v>7.4999999999999997E-3</v>
      </c>
      <c r="H28" s="18">
        <v>0.01</v>
      </c>
      <c r="I28" s="18">
        <v>5.0000000000000001E-3</v>
      </c>
      <c r="J28" s="15">
        <v>0</v>
      </c>
      <c r="K28" s="15">
        <f t="shared" si="2"/>
        <v>0</v>
      </c>
      <c r="L28" s="15">
        <f t="shared" si="3"/>
        <v>0.02</v>
      </c>
      <c r="M28" s="16">
        <f t="shared" si="1"/>
        <v>0</v>
      </c>
      <c r="N28" s="32">
        <f>SUMIF(Output!$D:$D,"="&amp;Menu!$A28,Output!V:V)</f>
        <v>0</v>
      </c>
      <c r="O28" s="32">
        <f>SUMIF(Output!$D:$D,"="&amp;Menu!$A28,Output!W:W)</f>
        <v>0</v>
      </c>
      <c r="P28" s="26" t="str">
        <f t="shared" si="0"/>
        <v>OK</v>
      </c>
    </row>
    <row r="29" spans="1:16" x14ac:dyDescent="0.55000000000000004">
      <c r="A29" s="14" t="s">
        <v>76</v>
      </c>
      <c r="B29" s="15">
        <v>0</v>
      </c>
      <c r="C29" s="16" t="s">
        <v>157</v>
      </c>
      <c r="D29" s="16">
        <v>1.5</v>
      </c>
      <c r="E29" s="17">
        <v>2</v>
      </c>
      <c r="F29" s="18">
        <v>5.0000000000000001E-3</v>
      </c>
      <c r="G29" s="18">
        <v>7.4999999999999997E-3</v>
      </c>
      <c r="H29" s="18">
        <v>0.01</v>
      </c>
      <c r="I29" s="18">
        <v>5.0000000000000001E-3</v>
      </c>
      <c r="J29" s="15">
        <v>0</v>
      </c>
      <c r="K29" s="15">
        <f t="shared" si="2"/>
        <v>0</v>
      </c>
      <c r="L29" s="15">
        <f t="shared" si="3"/>
        <v>0.02</v>
      </c>
      <c r="M29" s="16">
        <f t="shared" si="1"/>
        <v>0</v>
      </c>
      <c r="N29" s="32">
        <f>SUMIF(Output!$D:$D,"="&amp;Menu!$A29,Output!V:V)</f>
        <v>0</v>
      </c>
      <c r="O29" s="32">
        <f>SUMIF(Output!$D:$D,"="&amp;Menu!$A29,Output!W:W)</f>
        <v>0</v>
      </c>
      <c r="P29" s="26" t="str">
        <f t="shared" si="0"/>
        <v>OK</v>
      </c>
    </row>
    <row r="30" spans="1:16" x14ac:dyDescent="0.55000000000000004">
      <c r="G30" s="33"/>
      <c r="H30" s="33"/>
      <c r="J30" s="33">
        <f>SUM(J24:J29)</f>
        <v>1</v>
      </c>
    </row>
    <row r="31" spans="1:16" ht="28.8" x14ac:dyDescent="0.55000000000000004">
      <c r="A31" s="10" t="s">
        <v>78</v>
      </c>
      <c r="B31" s="11" t="s">
        <v>80</v>
      </c>
      <c r="C31" s="11" t="s">
        <v>77</v>
      </c>
      <c r="D31" s="10" t="s">
        <v>81</v>
      </c>
      <c r="E31" s="10" t="s">
        <v>151</v>
      </c>
      <c r="F31" s="10" t="s">
        <v>152</v>
      </c>
      <c r="G31" s="10" t="s">
        <v>153</v>
      </c>
      <c r="H31" s="10" t="s">
        <v>154</v>
      </c>
      <c r="I31" s="10" t="s">
        <v>203</v>
      </c>
      <c r="J31" s="10" t="s">
        <v>204</v>
      </c>
      <c r="L31" s="11" t="s">
        <v>2036</v>
      </c>
      <c r="M31" s="11" t="s">
        <v>131</v>
      </c>
    </row>
    <row r="32" spans="1:16" x14ac:dyDescent="0.55000000000000004">
      <c r="A32" s="6">
        <v>1</v>
      </c>
      <c r="B32" s="14" t="s">
        <v>100</v>
      </c>
      <c r="C32" s="57">
        <v>2.4E-2</v>
      </c>
      <c r="D32" s="58" t="s">
        <v>157</v>
      </c>
      <c r="E32" s="57">
        <v>2.0550771281258786E-2</v>
      </c>
      <c r="F32" s="57">
        <f>E32-1%</f>
        <v>1.0550771281258786E-2</v>
      </c>
      <c r="G32" s="57">
        <f>E32+1%</f>
        <v>3.0550771281258784E-2</v>
      </c>
      <c r="H32" s="16">
        <f>ROUNDUP(E32/C32,0)</f>
        <v>1</v>
      </c>
      <c r="I32" s="32">
        <f>SUMIF(Output!$E:$E,"="&amp;Menu!$B32,Output!V:V)</f>
        <v>-5.183300038078683E-2</v>
      </c>
      <c r="J32" s="32">
        <f>SUMIF(Output!$E:$E,"="&amp;Menu!$B32,Output!W:W)</f>
        <v>6.8166999619213159E-2</v>
      </c>
      <c r="K32" s="26" t="str">
        <f>IF(OR(J32&lt;F32,I32&gt;G32),"!! KO !!", "OK")</f>
        <v>OK</v>
      </c>
      <c r="L32" s="78">
        <f>SUMIF(Output!$E:$E,"="&amp;Stats!$A2,Output!$F:$F)</f>
        <v>3.0174747963301281E-2</v>
      </c>
      <c r="M32" s="9">
        <f>L32-E32</f>
        <v>9.6239766820424948E-3</v>
      </c>
    </row>
    <row r="33" spans="1:13" x14ac:dyDescent="0.55000000000000004">
      <c r="A33" s="6">
        <v>2</v>
      </c>
      <c r="B33" s="14" t="s">
        <v>82</v>
      </c>
      <c r="C33" s="57">
        <v>0.02</v>
      </c>
      <c r="D33" s="48" t="s">
        <v>202</v>
      </c>
      <c r="E33" s="57">
        <v>9.4186263351937166E-2</v>
      </c>
      <c r="F33" s="57">
        <f t="shared" ref="F33:F50" si="4">E33-1%</f>
        <v>8.4186263351937171E-2</v>
      </c>
      <c r="G33" s="57">
        <f t="shared" ref="G33:G50" si="5">E33+1%</f>
        <v>0.10418626335193716</v>
      </c>
      <c r="H33" s="16">
        <f t="shared" ref="H33:H50" si="6">ROUNDUP(E33/C33,0)</f>
        <v>5</v>
      </c>
      <c r="I33" s="32">
        <f>SUMIF(Output!$E:$E,"="&amp;Menu!$B33,Output!V:V)</f>
        <v>-0.2960622880169278</v>
      </c>
      <c r="J33" s="32">
        <f>SUMIF(Output!$E:$E,"="&amp;Menu!$B33,Output!W:W)</f>
        <v>0.42393771198307229</v>
      </c>
      <c r="K33" s="26" t="str">
        <f>IF(OR(J33&lt;F33,I33&gt;G33),"!! KO !!", "OK")</f>
        <v>OK</v>
      </c>
      <c r="L33" s="78">
        <f>SUMIF(Output!$E:$E,"="&amp;Stats!$A3,Output!$F:$F)</f>
        <v>0.10418629730927997</v>
      </c>
      <c r="M33" s="9">
        <f t="shared" ref="M33:M50" si="7">L33-E33</f>
        <v>1.0000033957342808E-2</v>
      </c>
    </row>
    <row r="34" spans="1:13" x14ac:dyDescent="0.55000000000000004">
      <c r="A34" s="6">
        <v>3</v>
      </c>
      <c r="B34" s="14" t="s">
        <v>83</v>
      </c>
      <c r="C34" s="57">
        <v>0.02</v>
      </c>
      <c r="D34" s="58" t="s">
        <v>157</v>
      </c>
      <c r="E34" s="57">
        <v>2.3085302942693217E-2</v>
      </c>
      <c r="F34" s="57">
        <f t="shared" si="4"/>
        <v>1.3085302942693217E-2</v>
      </c>
      <c r="G34" s="57">
        <f t="shared" si="5"/>
        <v>3.3085302942693219E-2</v>
      </c>
      <c r="H34" s="16">
        <f t="shared" si="6"/>
        <v>2</v>
      </c>
      <c r="I34" s="32">
        <f>SUMIF(Output!$E:$E,"="&amp;Menu!$B34,Output!V:V)</f>
        <v>-7.5878043487037583E-2</v>
      </c>
      <c r="J34" s="32">
        <f>SUMIF(Output!$E:$E,"="&amp;Menu!$B34,Output!W:W)</f>
        <v>0.10412195651296241</v>
      </c>
      <c r="K34" s="26" t="str">
        <f t="shared" ref="K34:K50" si="8">IF(OR(J34&lt;F34,I34&gt;G34),"!! KO !!", "OK")</f>
        <v>OK</v>
      </c>
      <c r="L34" s="78">
        <f>SUMIF(Output!$E:$E,"="&amp;Stats!$A4,Output!$F:$F)</f>
        <v>3.1920656653005537E-2</v>
      </c>
      <c r="M34" s="9">
        <f t="shared" si="7"/>
        <v>8.83535371031232E-3</v>
      </c>
    </row>
    <row r="35" spans="1:13" x14ac:dyDescent="0.55000000000000004">
      <c r="A35" s="6">
        <v>4</v>
      </c>
      <c r="B35" s="14" t="s">
        <v>84</v>
      </c>
      <c r="C35" s="57">
        <v>1.2E-2</v>
      </c>
      <c r="D35" s="58" t="s">
        <v>157</v>
      </c>
      <c r="E35" s="57">
        <v>2.5983609917478487E-2</v>
      </c>
      <c r="F35" s="57">
        <f t="shared" si="4"/>
        <v>1.5983609917478485E-2</v>
      </c>
      <c r="G35" s="57">
        <f t="shared" si="5"/>
        <v>3.5983609917478489E-2</v>
      </c>
      <c r="H35" s="16">
        <f t="shared" si="6"/>
        <v>3</v>
      </c>
      <c r="I35" s="32">
        <f>SUMIF(Output!$E:$E,"="&amp;Menu!$B35,Output!V:V)</f>
        <v>-7.3470248612022476E-2</v>
      </c>
      <c r="J35" s="32">
        <f>SUMIF(Output!$E:$E,"="&amp;Menu!$B35,Output!W:W)</f>
        <v>0.10652975138797752</v>
      </c>
      <c r="K35" s="26" t="str">
        <f>IF(OR(J35&lt;F35,I35&gt;G35),"!! KO !!", "OK")</f>
        <v>OK</v>
      </c>
      <c r="L35" s="78">
        <f>SUMIF(Output!$E:$E,"="&amp;Stats!$A5,Output!$F:$F)</f>
        <v>1.84433793836297E-2</v>
      </c>
      <c r="M35" s="9">
        <f t="shared" si="7"/>
        <v>-7.5402305338487866E-3</v>
      </c>
    </row>
    <row r="36" spans="1:13" x14ac:dyDescent="0.55000000000000004">
      <c r="A36" s="6">
        <v>5</v>
      </c>
      <c r="B36" s="14" t="s">
        <v>85</v>
      </c>
      <c r="C36" s="57">
        <v>0.01</v>
      </c>
      <c r="D36" s="58" t="s">
        <v>157</v>
      </c>
      <c r="E36" s="57">
        <v>3.5613858055569242E-2</v>
      </c>
      <c r="F36" s="57">
        <f t="shared" si="4"/>
        <v>2.561385805556924E-2</v>
      </c>
      <c r="G36" s="57">
        <f t="shared" si="5"/>
        <v>4.5613858055569244E-2</v>
      </c>
      <c r="H36" s="16">
        <f t="shared" si="6"/>
        <v>4</v>
      </c>
      <c r="I36" s="32">
        <f>SUMIF(Output!$E:$E,"="&amp;Menu!$B36,Output!V:V)</f>
        <v>-0.12931936867711152</v>
      </c>
      <c r="J36" s="32">
        <f>SUMIF(Output!$E:$E,"="&amp;Menu!$B36,Output!W:W)</f>
        <v>0.17068063132288849</v>
      </c>
      <c r="K36" s="26" t="str">
        <f t="shared" si="8"/>
        <v>OK</v>
      </c>
      <c r="L36" s="78">
        <f>SUMIF(Output!$E:$E,"="&amp;Stats!$A6,Output!$F:$F)</f>
        <v>4.5615175949443559E-2</v>
      </c>
      <c r="M36" s="9">
        <f t="shared" si="7"/>
        <v>1.0001317893874317E-2</v>
      </c>
    </row>
    <row r="37" spans="1:13" x14ac:dyDescent="0.55000000000000004">
      <c r="A37" s="6">
        <v>6</v>
      </c>
      <c r="B37" s="14" t="s">
        <v>86</v>
      </c>
      <c r="C37" s="57">
        <v>0.02</v>
      </c>
      <c r="D37" s="48" t="s">
        <v>202</v>
      </c>
      <c r="E37" s="57">
        <v>4.2422718448350112E-2</v>
      </c>
      <c r="F37" s="57">
        <f t="shared" si="4"/>
        <v>3.242271844835011E-2</v>
      </c>
      <c r="G37" s="57">
        <f t="shared" si="5"/>
        <v>5.2422718448350114E-2</v>
      </c>
      <c r="H37" s="16">
        <f t="shared" si="6"/>
        <v>3</v>
      </c>
      <c r="I37" s="32">
        <f>SUMIF(Output!$E:$E,"="&amp;Menu!$B37,Output!V:V)</f>
        <v>-0.15159131717192909</v>
      </c>
      <c r="J37" s="32">
        <f>SUMIF(Output!$E:$E,"="&amp;Menu!$B37,Output!W:W)</f>
        <v>0.2084086828280709</v>
      </c>
      <c r="K37" s="26" t="str">
        <f t="shared" si="8"/>
        <v>OK</v>
      </c>
      <c r="L37" s="78">
        <f>SUMIF(Output!$E:$E,"="&amp;Stats!$A7,Output!$F:$F)</f>
        <v>5.242272705025789E-2</v>
      </c>
      <c r="M37" s="9">
        <f t="shared" si="7"/>
        <v>1.0000008601907778E-2</v>
      </c>
    </row>
    <row r="38" spans="1:13" x14ac:dyDescent="0.55000000000000004">
      <c r="A38" s="6">
        <v>7</v>
      </c>
      <c r="B38" s="19" t="s">
        <v>87</v>
      </c>
      <c r="C38" s="57">
        <v>0.02</v>
      </c>
      <c r="D38" s="58" t="s">
        <v>157</v>
      </c>
      <c r="E38" s="57">
        <v>6.3013155080788627E-2</v>
      </c>
      <c r="F38" s="57">
        <f t="shared" si="4"/>
        <v>5.3013155080788625E-2</v>
      </c>
      <c r="G38" s="57">
        <f t="shared" si="5"/>
        <v>7.3013155080788622E-2</v>
      </c>
      <c r="H38" s="16">
        <f t="shared" si="6"/>
        <v>4</v>
      </c>
      <c r="I38" s="32">
        <f>SUMIF(Output!$E:$E,"="&amp;Menu!$B38,Output!V:V)</f>
        <v>-0.13441171312382888</v>
      </c>
      <c r="J38" s="32">
        <f>SUMIF(Output!$E:$E,"="&amp;Menu!$B38,Output!W:W)</f>
        <v>0.22558828687617111</v>
      </c>
      <c r="K38" s="26" t="str">
        <f t="shared" si="8"/>
        <v>OK</v>
      </c>
      <c r="L38" s="78">
        <f>SUMIF(Output!$E:$E,"="&amp;Stats!$A8,Output!$F:$F)</f>
        <v>5.3013104688444126E-2</v>
      </c>
      <c r="M38" s="9">
        <f t="shared" si="7"/>
        <v>-1.0000050392344501E-2</v>
      </c>
    </row>
    <row r="39" spans="1:13" x14ac:dyDescent="0.55000000000000004">
      <c r="A39" s="6">
        <v>8</v>
      </c>
      <c r="B39" s="19" t="s">
        <v>88</v>
      </c>
      <c r="C39" s="57">
        <v>0.02</v>
      </c>
      <c r="D39" s="48" t="s">
        <v>202</v>
      </c>
      <c r="E39" s="57">
        <v>0.15881406721580826</v>
      </c>
      <c r="F39" s="57">
        <f t="shared" si="4"/>
        <v>0.14881406721580825</v>
      </c>
      <c r="G39" s="57">
        <f t="shared" si="5"/>
        <v>0.16881406721580827</v>
      </c>
      <c r="H39" s="16">
        <f t="shared" si="6"/>
        <v>8</v>
      </c>
      <c r="I39" s="32">
        <f>SUMIF(Output!$E:$E,"="&amp;Menu!$B39,Output!V:V)</f>
        <v>-0.23132499087396624</v>
      </c>
      <c r="J39" s="32">
        <f>SUMIF(Output!$E:$E,"="&amp;Menu!$B39,Output!W:W)</f>
        <v>0.48867500912603368</v>
      </c>
      <c r="K39" s="26" t="str">
        <f t="shared" si="8"/>
        <v>OK</v>
      </c>
      <c r="L39" s="78">
        <f>SUMIF(Output!$E:$E,"="&amp;Stats!$A9,Output!$F:$F)</f>
        <v>0.14881382042515265</v>
      </c>
      <c r="M39" s="9">
        <f t="shared" si="7"/>
        <v>-1.0000246790655615E-2</v>
      </c>
    </row>
    <row r="40" spans="1:13" x14ac:dyDescent="0.55000000000000004">
      <c r="A40" s="6">
        <v>9</v>
      </c>
      <c r="B40" s="19" t="s">
        <v>89</v>
      </c>
      <c r="C40" s="57">
        <v>1.2E-2</v>
      </c>
      <c r="D40" s="58" t="s">
        <v>157</v>
      </c>
      <c r="E40" s="57">
        <v>0.14000515879453412</v>
      </c>
      <c r="F40" s="57">
        <f t="shared" si="4"/>
        <v>0.13000515879453411</v>
      </c>
      <c r="G40" s="57">
        <f t="shared" si="5"/>
        <v>0.15000515879453413</v>
      </c>
      <c r="H40" s="16">
        <f t="shared" si="6"/>
        <v>12</v>
      </c>
      <c r="I40" s="32">
        <f>SUMIF(Output!$E:$E,"="&amp;Menu!$B40,Output!V:V)</f>
        <v>-0.36683466843796458</v>
      </c>
      <c r="J40" s="32">
        <f>SUMIF(Output!$E:$E,"="&amp;Menu!$B40,Output!W:W)</f>
        <v>0.53316533156203549</v>
      </c>
      <c r="K40" s="26" t="str">
        <f t="shared" si="8"/>
        <v>OK</v>
      </c>
      <c r="L40" s="78">
        <f>SUMIF(Output!$E:$E,"="&amp;Stats!$A10,Output!$F:$F)</f>
        <v>0.14996319454071422</v>
      </c>
      <c r="M40" s="9">
        <f t="shared" si="7"/>
        <v>9.9580357461800939E-3</v>
      </c>
    </row>
    <row r="41" spans="1:13" x14ac:dyDescent="0.55000000000000004">
      <c r="A41" s="6">
        <v>10</v>
      </c>
      <c r="B41" s="19" t="s">
        <v>90</v>
      </c>
      <c r="C41" s="57">
        <v>0.02</v>
      </c>
      <c r="D41" s="48" t="s">
        <v>202</v>
      </c>
      <c r="E41" s="57">
        <v>5.5664580034442558E-2</v>
      </c>
      <c r="F41" s="57">
        <f t="shared" si="4"/>
        <v>4.5664580034442556E-2</v>
      </c>
      <c r="G41" s="57">
        <f t="shared" si="5"/>
        <v>6.566458003444256E-2</v>
      </c>
      <c r="H41" s="16">
        <f t="shared" si="6"/>
        <v>3</v>
      </c>
      <c r="I41" s="32">
        <f>SUMIF(Output!$E:$E,"="&amp;Menu!$B41,Output!V:V)</f>
        <v>-0.14458491406469273</v>
      </c>
      <c r="J41" s="32">
        <f>SUMIF(Output!$E:$E,"="&amp;Menu!$B41,Output!W:W)</f>
        <v>0.21541508593530725</v>
      </c>
      <c r="K41" s="26" t="str">
        <f t="shared" si="8"/>
        <v>OK</v>
      </c>
      <c r="L41" s="78">
        <f>SUMIF(Output!$E:$E,"="&amp;Stats!$A11,Output!$F:$F)</f>
        <v>5.35374941593929E-2</v>
      </c>
      <c r="M41" s="9">
        <f t="shared" si="7"/>
        <v>-2.1270858750496585E-3</v>
      </c>
    </row>
    <row r="42" spans="1:13" x14ac:dyDescent="0.55000000000000004">
      <c r="A42" s="6">
        <v>11</v>
      </c>
      <c r="B42" s="19" t="s">
        <v>91</v>
      </c>
      <c r="C42" s="57">
        <v>0.02</v>
      </c>
      <c r="D42" s="58" t="s">
        <v>157</v>
      </c>
      <c r="E42" s="57">
        <v>1.9935889731844566E-2</v>
      </c>
      <c r="F42" s="57">
        <f t="shared" si="4"/>
        <v>9.9358897318445657E-3</v>
      </c>
      <c r="G42" s="57">
        <f t="shared" si="5"/>
        <v>2.9935889731844564E-2</v>
      </c>
      <c r="H42" s="16">
        <f t="shared" si="6"/>
        <v>1</v>
      </c>
      <c r="I42" s="32">
        <f>SUMIF(Output!$E:$E,"="&amp;Menu!$B42,Output!V:V)</f>
        <v>-4.9174368289800159E-2</v>
      </c>
      <c r="J42" s="32">
        <f>SUMIF(Output!$E:$E,"="&amp;Menu!$B42,Output!W:W)</f>
        <v>7.0825631710199843E-2</v>
      </c>
      <c r="K42" s="26" t="str">
        <f t="shared" si="8"/>
        <v>OK</v>
      </c>
      <c r="L42" s="78">
        <f>SUMIF(Output!$E:$E,"="&amp;Stats!$A12,Output!$F:$F)</f>
        <v>2.44098714662924E-2</v>
      </c>
      <c r="M42" s="9">
        <f t="shared" si="7"/>
        <v>4.4739817344478343E-3</v>
      </c>
    </row>
    <row r="43" spans="1:13" x14ac:dyDescent="0.55000000000000004">
      <c r="A43" s="6">
        <v>12</v>
      </c>
      <c r="B43" s="19" t="s">
        <v>92</v>
      </c>
      <c r="C43" s="57">
        <v>0.02</v>
      </c>
      <c r="D43" s="58" t="s">
        <v>157</v>
      </c>
      <c r="E43" s="57">
        <v>5.1760792751985502E-2</v>
      </c>
      <c r="F43" s="57">
        <f t="shared" si="4"/>
        <v>4.17607927519855E-2</v>
      </c>
      <c r="G43" s="57">
        <f t="shared" si="5"/>
        <v>6.1760792751985504E-2</v>
      </c>
      <c r="H43" s="16">
        <f>ROUNDUP(E43/C43,0)</f>
        <v>3</v>
      </c>
      <c r="I43" s="32">
        <f>SUMIF(Output!$E:$E,"="&amp;Menu!$B43,Output!V:V)</f>
        <v>-8.0406202359940143E-2</v>
      </c>
      <c r="J43" s="32">
        <f>SUMIF(Output!$E:$E,"="&amp;Menu!$B43,Output!W:W)</f>
        <v>0.15959379764005985</v>
      </c>
      <c r="K43" s="26" t="str">
        <f t="shared" si="8"/>
        <v>OK</v>
      </c>
      <c r="L43" s="78">
        <f>SUMIF(Output!$E:$E,"="&amp;Stats!$A13,Output!$F:$F)</f>
        <v>4.1760791401267199E-2</v>
      </c>
      <c r="M43" s="9">
        <f t="shared" si="7"/>
        <v>-1.0000001350718303E-2</v>
      </c>
    </row>
    <row r="44" spans="1:13" x14ac:dyDescent="0.55000000000000004">
      <c r="A44" s="6">
        <v>13</v>
      </c>
      <c r="B44" s="19" t="s">
        <v>93</v>
      </c>
      <c r="C44" s="57">
        <v>2.4E-2</v>
      </c>
      <c r="D44" s="58" t="s">
        <v>157</v>
      </c>
      <c r="E44" s="57">
        <v>7.2696344231197432E-2</v>
      </c>
      <c r="F44" s="57">
        <f t="shared" si="4"/>
        <v>6.2696344231197437E-2</v>
      </c>
      <c r="G44" s="57">
        <f t="shared" si="5"/>
        <v>8.2696344231197427E-2</v>
      </c>
      <c r="H44" s="16">
        <f t="shared" si="6"/>
        <v>4</v>
      </c>
      <c r="I44" s="32">
        <f>SUMIF(Output!$E:$E,"="&amp;Menu!$B44,Output!V:V)</f>
        <v>-0.15100820238867185</v>
      </c>
      <c r="J44" s="32">
        <f>SUMIF(Output!$E:$E,"="&amp;Menu!$B44,Output!W:W)</f>
        <v>0.26899179761132819</v>
      </c>
      <c r="K44" s="26" t="str">
        <f t="shared" si="8"/>
        <v>OK</v>
      </c>
      <c r="L44" s="78">
        <f>SUMIF(Output!$E:$E,"="&amp;Stats!$A14,Output!$F:$F)</f>
        <v>6.2696334868307391E-2</v>
      </c>
      <c r="M44" s="9">
        <f t="shared" si="7"/>
        <v>-1.0000009362890042E-2</v>
      </c>
    </row>
    <row r="45" spans="1:13" x14ac:dyDescent="0.55000000000000004">
      <c r="A45" s="6">
        <v>14</v>
      </c>
      <c r="B45" s="19" t="s">
        <v>94</v>
      </c>
      <c r="C45" s="57">
        <v>0.02</v>
      </c>
      <c r="D45" s="58" t="s">
        <v>157</v>
      </c>
      <c r="E45" s="57">
        <v>1.5504284328662531E-2</v>
      </c>
      <c r="F45" s="57">
        <f t="shared" si="4"/>
        <v>5.5042843286625311E-3</v>
      </c>
      <c r="G45" s="57">
        <f t="shared" si="5"/>
        <v>2.550428432866253E-2</v>
      </c>
      <c r="H45" s="16">
        <f t="shared" si="6"/>
        <v>1</v>
      </c>
      <c r="I45" s="32">
        <f>SUMIF(Output!$E:$E,"="&amp;Menu!$B45,Output!V:V)</f>
        <v>0</v>
      </c>
      <c r="J45" s="32">
        <f>SUMIF(Output!$E:$E,"="&amp;Menu!$B45,Output!W:W)</f>
        <v>0</v>
      </c>
      <c r="K45" s="26" t="str">
        <f t="shared" si="8"/>
        <v>!! KO !!</v>
      </c>
      <c r="L45" s="78">
        <f>SUMIF(Output!$E:$E,"="&amp;Stats!$A15,Output!$F:$F)</f>
        <v>0</v>
      </c>
      <c r="M45" s="9">
        <f t="shared" si="7"/>
        <v>-1.5504284328662531E-2</v>
      </c>
    </row>
    <row r="46" spans="1:13" x14ac:dyDescent="0.55000000000000004">
      <c r="A46" s="6">
        <v>15</v>
      </c>
      <c r="B46" s="19" t="s">
        <v>95</v>
      </c>
      <c r="C46" s="57">
        <v>2.1999999999999999E-2</v>
      </c>
      <c r="D46" s="58" t="s">
        <v>157</v>
      </c>
      <c r="E46" s="57">
        <v>2.0822701954295926E-2</v>
      </c>
      <c r="F46" s="57">
        <f t="shared" si="4"/>
        <v>1.0822701954295926E-2</v>
      </c>
      <c r="G46" s="57">
        <f t="shared" si="5"/>
        <v>3.0822701954295928E-2</v>
      </c>
      <c r="H46" s="16">
        <f t="shared" si="6"/>
        <v>1</v>
      </c>
      <c r="I46" s="32">
        <f>SUMIF(Output!$E:$E,"="&amp;Menu!$B46,Output!V:V)</f>
        <v>-7.9222775893227154E-2</v>
      </c>
      <c r="J46" s="32">
        <f>SUMIF(Output!$E:$E,"="&amp;Menu!$B46,Output!W:W)</f>
        <v>0.10077722410677285</v>
      </c>
      <c r="K46" s="26" t="str">
        <f t="shared" si="8"/>
        <v>OK</v>
      </c>
      <c r="L46" s="78">
        <f>SUMIF(Output!$E:$E,"="&amp;Stats!$A16,Output!$F:$F)</f>
        <v>1.08220739610065E-2</v>
      </c>
      <c r="M46" s="9">
        <f t="shared" si="7"/>
        <v>-1.0000627993289426E-2</v>
      </c>
    </row>
    <row r="47" spans="1:13" x14ac:dyDescent="0.55000000000000004">
      <c r="A47" s="6">
        <v>16</v>
      </c>
      <c r="B47" s="19" t="s">
        <v>96</v>
      </c>
      <c r="C47" s="57">
        <v>0.03</v>
      </c>
      <c r="D47" s="58" t="s">
        <v>157</v>
      </c>
      <c r="E47" s="57">
        <v>7.9890704510726204E-2</v>
      </c>
      <c r="F47" s="57">
        <f t="shared" si="4"/>
        <v>6.9890704510726209E-2</v>
      </c>
      <c r="G47" s="57">
        <f t="shared" si="5"/>
        <v>8.9890704510726199E-2</v>
      </c>
      <c r="H47" s="16">
        <f t="shared" si="6"/>
        <v>3</v>
      </c>
      <c r="I47" s="32">
        <f>SUMIF(Output!$E:$E,"="&amp;Menu!$B47,Output!V:V)</f>
        <v>-0.14594039028945921</v>
      </c>
      <c r="J47" s="32">
        <f>SUMIF(Output!$E:$E,"="&amp;Menu!$B47,Output!W:W)</f>
        <v>0.27405960971054077</v>
      </c>
      <c r="K47" s="26" t="str">
        <f t="shared" si="8"/>
        <v>OK</v>
      </c>
      <c r="L47" s="78">
        <f>SUMIF(Output!$E:$E,"="&amp;Stats!$A17,Output!$F:$F)</f>
        <v>7.1497555951651456E-2</v>
      </c>
      <c r="M47" s="9">
        <f t="shared" si="7"/>
        <v>-8.3931485590747479E-3</v>
      </c>
    </row>
    <row r="48" spans="1:13" x14ac:dyDescent="0.55000000000000004">
      <c r="A48" s="6">
        <v>17</v>
      </c>
      <c r="B48" s="19" t="s">
        <v>97</v>
      </c>
      <c r="C48" s="57">
        <v>0.01</v>
      </c>
      <c r="D48" s="58" t="s">
        <v>157</v>
      </c>
      <c r="E48" s="57">
        <v>2.7090464061528922E-2</v>
      </c>
      <c r="F48" s="57">
        <f t="shared" si="4"/>
        <v>1.7090464061528921E-2</v>
      </c>
      <c r="G48" s="57">
        <f t="shared" si="5"/>
        <v>3.7090464061528924E-2</v>
      </c>
      <c r="H48" s="16">
        <f t="shared" si="6"/>
        <v>3</v>
      </c>
      <c r="I48" s="32">
        <f>SUMIF(Output!$E:$E,"="&amp;Menu!$B48,Output!V:V)</f>
        <v>-2.1360688971440139E-2</v>
      </c>
      <c r="J48" s="32">
        <f>SUMIF(Output!$E:$E,"="&amp;Menu!$B48,Output!W:W)</f>
        <v>3.8639311028559858E-2</v>
      </c>
      <c r="K48" s="26" t="str">
        <f>IF(OR(J48&lt;F48,I48&gt;G48),"!! KO !!", "OK")</f>
        <v>OK</v>
      </c>
      <c r="L48" s="78">
        <f>SUMIF(Output!$E:$E,"="&amp;Stats!$A18,Output!$F:$F)</f>
        <v>1.7090469047252196E-2</v>
      </c>
      <c r="M48" s="9">
        <f t="shared" si="7"/>
        <v>-9.9999950142767267E-3</v>
      </c>
    </row>
    <row r="49" spans="1:13" x14ac:dyDescent="0.55000000000000004">
      <c r="A49" s="6">
        <v>18</v>
      </c>
      <c r="B49" s="19" t="s">
        <v>98</v>
      </c>
      <c r="C49" s="57">
        <v>0.02</v>
      </c>
      <c r="D49" s="58" t="s">
        <v>157</v>
      </c>
      <c r="E49" s="57">
        <v>1.2515327390957932E-2</v>
      </c>
      <c r="F49" s="57">
        <f t="shared" si="4"/>
        <v>2.5153273909579322E-3</v>
      </c>
      <c r="G49" s="57">
        <f t="shared" si="5"/>
        <v>2.2515327390957934E-2</v>
      </c>
      <c r="H49" s="16">
        <f t="shared" si="6"/>
        <v>1</v>
      </c>
      <c r="I49" s="32">
        <f>SUMIF(Output!$E:$E,"="&amp;Menu!$B49,Output!V:V)</f>
        <v>-2.5313401781050057E-2</v>
      </c>
      <c r="J49" s="32">
        <f>SUMIF(Output!$E:$E,"="&amp;Menu!$B49,Output!W:W)</f>
        <v>3.4686598218949941E-2</v>
      </c>
      <c r="K49" s="26" t="str">
        <f t="shared" si="8"/>
        <v>OK</v>
      </c>
      <c r="L49" s="78">
        <f>SUMIF(Output!$E:$E,"="&amp;Stats!$A19,Output!$F:$F)</f>
        <v>1.40212225754949E-2</v>
      </c>
      <c r="M49" s="9">
        <f t="shared" si="7"/>
        <v>1.5058951845369675E-3</v>
      </c>
    </row>
    <row r="50" spans="1:13" x14ac:dyDescent="0.55000000000000004">
      <c r="A50" s="6">
        <v>19</v>
      </c>
      <c r="B50" s="19" t="s">
        <v>99</v>
      </c>
      <c r="C50" s="57">
        <v>1.2E-2</v>
      </c>
      <c r="D50" s="58" t="s">
        <v>157</v>
      </c>
      <c r="E50" s="57">
        <v>4.044400591594037E-2</v>
      </c>
      <c r="F50" s="57">
        <f t="shared" si="4"/>
        <v>3.0444005915940368E-2</v>
      </c>
      <c r="G50" s="57">
        <f t="shared" si="5"/>
        <v>5.0444005915940372E-2</v>
      </c>
      <c r="H50" s="16">
        <f t="shared" si="6"/>
        <v>4</v>
      </c>
      <c r="I50" s="32">
        <f>SUMIF(Output!$E:$E,"="&amp;Menu!$B50,Output!V:V)</f>
        <v>-0.12660651722796123</v>
      </c>
      <c r="J50" s="32">
        <f>SUMIF(Output!$E:$E,"="&amp;Menu!$B50,Output!W:W)</f>
        <v>0.17339348277203875</v>
      </c>
      <c r="K50" s="26" t="str">
        <f t="shared" si="8"/>
        <v>OK</v>
      </c>
      <c r="L50" s="78">
        <f>SUMIF(Output!$E:$E,"="&amp;Stats!$A20,Output!$F:$F)</f>
        <v>5.0444002890891015E-2</v>
      </c>
      <c r="M50" s="9">
        <f t="shared" si="7"/>
        <v>9.9999969749506451E-3</v>
      </c>
    </row>
    <row r="52" spans="1:13" x14ac:dyDescent="0.55000000000000004">
      <c r="A52" s="11" t="s">
        <v>1410</v>
      </c>
      <c r="B52" s="11" t="s">
        <v>77</v>
      </c>
      <c r="C52" s="11" t="s">
        <v>1413</v>
      </c>
      <c r="D52" s="11" t="s">
        <v>1411</v>
      </c>
      <c r="E52" s="11" t="s">
        <v>1412</v>
      </c>
      <c r="F52" s="10" t="s">
        <v>154</v>
      </c>
      <c r="G52" s="11" t="s">
        <v>203</v>
      </c>
      <c r="H52" s="11" t="s">
        <v>204</v>
      </c>
      <c r="J52" s="11" t="s">
        <v>2036</v>
      </c>
      <c r="K52" s="11" t="s">
        <v>131</v>
      </c>
    </row>
    <row r="53" spans="1:13" x14ac:dyDescent="0.55000000000000004">
      <c r="A53" s="14" t="s">
        <v>1416</v>
      </c>
      <c r="B53" s="68">
        <v>0.02</v>
      </c>
      <c r="C53" s="68">
        <v>3.1211149593671286E-3</v>
      </c>
      <c r="D53" s="33">
        <f>0.003</f>
        <v>3.0000000000000001E-3</v>
      </c>
      <c r="E53" s="33">
        <v>4.0000000000000001E-3</v>
      </c>
      <c r="F53" s="1">
        <f>ROUNDUP(C53/B53,0)</f>
        <v>1</v>
      </c>
      <c r="G53" s="68">
        <f>SUMIF(Output!$AA:$AA,"="&amp;Menu!$A53,Output!V:V)</f>
        <v>0</v>
      </c>
      <c r="H53" s="68">
        <f>SUMIF(Output!$AA:$AA,"="&amp;Menu!$A53,Output!W:W)</f>
        <v>0</v>
      </c>
      <c r="I53" s="26" t="str">
        <f>IF(OR(H53&lt;D53,G53&gt;E53),"!! KO !!", "OK")</f>
        <v>!! KO !!</v>
      </c>
      <c r="J53" s="77">
        <f>SUMIF(Output!$AA:$AA,"="&amp;Stats!$A31,Output!$F:$F)</f>
        <v>0</v>
      </c>
      <c r="K53" s="9">
        <f>J53-C53</f>
        <v>-3.1211149593671286E-3</v>
      </c>
    </row>
    <row r="54" spans="1:13" x14ac:dyDescent="0.55000000000000004">
      <c r="A54" s="14" t="s">
        <v>1414</v>
      </c>
      <c r="B54" s="68">
        <v>0.02</v>
      </c>
      <c r="C54" s="68">
        <v>6.61972491648955E-2</v>
      </c>
      <c r="D54" s="33">
        <f>C54-0.05</f>
        <v>1.6197249164895497E-2</v>
      </c>
      <c r="E54" s="33">
        <f>C54+0.05</f>
        <v>0.1161972491648955</v>
      </c>
      <c r="F54" s="1">
        <f>ROUNDUP(C54/B54,0)</f>
        <v>4</v>
      </c>
      <c r="G54" s="68">
        <f>SUMIF(Output!$AA:$AA,"="&amp;Menu!$A54,Output!V:V)</f>
        <v>0</v>
      </c>
      <c r="H54" s="68">
        <f>SUMIF(Output!$AA:$AA,"="&amp;Menu!$A54,Output!W:W)</f>
        <v>0</v>
      </c>
      <c r="I54" s="26" t="str">
        <f t="shared" ref="I54:I55" si="9">IF(OR(H54&lt;D54,G54&gt;E54),"!! KO !!", "OK")</f>
        <v>!! KO !!</v>
      </c>
      <c r="J54" s="77">
        <f>SUMIF(Output!$AA:$AA,"="&amp;Stats!$A32,Output!$F:$F)</f>
        <v>0</v>
      </c>
      <c r="K54" s="9">
        <f t="shared" ref="K54:K55" si="10">J54-C54</f>
        <v>-6.61972491648955E-2</v>
      </c>
    </row>
    <row r="55" spans="1:13" x14ac:dyDescent="0.55000000000000004">
      <c r="A55" s="14" t="s">
        <v>1415</v>
      </c>
      <c r="B55" s="68">
        <v>0.02</v>
      </c>
      <c r="C55" s="68">
        <v>0.93068163587573738</v>
      </c>
      <c r="D55" s="33">
        <f>C55-0.05</f>
        <v>0.88068163587573733</v>
      </c>
      <c r="E55" s="33">
        <f>C55+0.05</f>
        <v>0.98068163587573742</v>
      </c>
      <c r="F55" s="1">
        <f t="shared" ref="F55" si="11">ROUNDUP(C55/B55,0)</f>
        <v>47</v>
      </c>
      <c r="G55" s="68">
        <f>SUMIF(Output!$AA:$AA,"="&amp;Menu!$A55,Output!V:V)</f>
        <v>-2.3343431000478176</v>
      </c>
      <c r="H55" s="68">
        <f>SUMIF(Output!$AA:$AA,"="&amp;Menu!$A55,Output!W:W)</f>
        <v>3.6656568999521828</v>
      </c>
      <c r="I55" s="26" t="str">
        <f t="shared" si="9"/>
        <v>OK</v>
      </c>
      <c r="J55" s="77">
        <f>SUMIF(Output!$AA:$AA,"="&amp;Stats!$A33,Output!$F:$F)</f>
        <v>0.98083292028478475</v>
      </c>
      <c r="K55" s="9">
        <f t="shared" si="10"/>
        <v>5.015128440904737E-2</v>
      </c>
    </row>
    <row r="63" spans="1:13" x14ac:dyDescent="0.55000000000000004">
      <c r="A63" s="36"/>
    </row>
    <row r="64" spans="1:13" x14ac:dyDescent="0.55000000000000004">
      <c r="A64" s="36"/>
    </row>
    <row r="65" spans="1:1" x14ac:dyDescent="0.55000000000000004">
      <c r="A65" s="36"/>
    </row>
  </sheetData>
  <mergeCells count="7">
    <mergeCell ref="Q1:Q2"/>
    <mergeCell ref="Q4:Q5"/>
    <mergeCell ref="A1:B1"/>
    <mergeCell ref="F22:H22"/>
    <mergeCell ref="M1:N1"/>
    <mergeCell ref="G1:H1"/>
    <mergeCell ref="J1:K1"/>
  </mergeCells>
  <phoneticPr fontId="8" type="noConversion"/>
  <conditionalFormatting sqref="K32:K50">
    <cfRule type="containsText" dxfId="13" priority="10" operator="containsText" text="KO">
      <formula>NOT(ISERROR(SEARCH("KO",K32)))</formula>
    </cfRule>
    <cfRule type="containsText" dxfId="12" priority="11" operator="containsText" text="OK">
      <formula>NOT(ISERROR(SEARCH("OK",K32)))</formula>
    </cfRule>
  </conditionalFormatting>
  <conditionalFormatting sqref="P24:P29">
    <cfRule type="containsText" dxfId="11" priority="6" operator="containsText" text="KO">
      <formula>NOT(ISERROR(SEARCH("KO",P24)))</formula>
    </cfRule>
    <cfRule type="containsText" dxfId="10" priority="7" operator="containsText" text="OK">
      <formula>NOT(ISERROR(SEARCH("OK",P24)))</formula>
    </cfRule>
  </conditionalFormatting>
  <conditionalFormatting sqref="I53:I55">
    <cfRule type="containsText" dxfId="9" priority="3" operator="containsText" text="KO">
      <formula>NOT(ISERROR(SEARCH("KO",I53)))</formula>
    </cfRule>
    <cfRule type="containsText" dxfId="8" priority="4" operator="containsText" text="OK">
      <formula>NOT(ISERROR(SEARCH("OK",I53)))</formula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2:M5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{37C5E079-1E2F-481D-9964-F8143317A673}</x14:id>
        </ext>
      </extLst>
    </cfRule>
  </conditionalFormatting>
  <conditionalFormatting sqref="K53:K55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{E6201DBB-428F-416F-82B2-714410B1D21E}</x14:id>
        </ext>
      </extLst>
    </cfRule>
  </conditionalFormatting>
  <dataValidations count="1">
    <dataValidation type="whole" operator="greaterThanOrEqual" allowBlank="1" showInputMessage="1" showErrorMessage="1" sqref="B6" xr:uid="{FF117511-8EE7-4D08-B729-D52DA8F06703}">
      <formula1>0</formula1>
    </dataValidation>
  </dataValidations>
  <hyperlinks>
    <hyperlink ref="B15" r:id="rId1" xr:uid="{9AC3EEF4-E82C-436D-8865-0447E7EB5970}"/>
    <hyperlink ref="B9" r:id="rId2" xr:uid="{8BB3C068-04B1-4E40-AF17-9494AF336709}"/>
    <hyperlink ref="B10" r:id="rId3" xr:uid="{D3220708-1DE5-4114-A038-9807A5DDA7E5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ench_weights">
                <anchor moveWithCells="1" sizeWithCells="1">
                  <from>
                    <xdr:col>17</xdr:col>
                    <xdr:colOff>0</xdr:colOff>
                    <xdr:row>0</xdr:row>
                    <xdr:rowOff>19050</xdr:rowOff>
                  </from>
                  <to>
                    <xdr:col>18</xdr:col>
                    <xdr:colOff>723900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sec_list">
                <anchor moveWithCells="1" sizeWithCells="1">
                  <from>
                    <xdr:col>17</xdr:col>
                    <xdr:colOff>0</xdr:colOff>
                    <xdr:row>1</xdr:row>
                    <xdr:rowOff>342900</xdr:rowOff>
                  </from>
                  <to>
                    <xdr:col>18</xdr:col>
                    <xdr:colOff>723900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optim">
                <anchor moveWithCells="1" sizeWithCells="1">
                  <from>
                    <xdr:col>17</xdr:col>
                    <xdr:colOff>0</xdr:colOff>
                    <xdr:row>3</xdr:row>
                    <xdr:rowOff>114300</xdr:rowOff>
                  </from>
                  <to>
                    <xdr:col>18</xdr:col>
                    <xdr:colOff>723900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C5E079-1E2F-481D-9964-F8143317A6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M32:M50</xm:sqref>
        </x14:conditionalFormatting>
        <x14:conditionalFormatting xmlns:xm="http://schemas.microsoft.com/office/excel/2006/main">
          <x14:cfRule type="dataBar" id="{E6201DBB-428F-416F-82B2-714410B1D2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K53:K55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1A5DFBA-A78D-4E5C-B216-02EC87F72EFC}">
          <x14:formula1>
            <xm:f>'Liste params'!$A$2:$A$62</xm:f>
          </x14:formula1>
          <xm:sqref>D2:D4 B2 G2:G6 J8</xm:sqref>
        </x14:dataValidation>
        <x14:dataValidation type="list" allowBlank="1" showInputMessage="1" showErrorMessage="1" xr:uid="{C9618A89-B2DF-4B8F-9A20-2DF00EFD9CCB}">
          <x14:formula1>
            <xm:f>'Liste params'!$C$2:$C$5</xm:f>
          </x14:formula1>
          <xm:sqref>B14</xm:sqref>
        </x14:dataValidation>
        <x14:dataValidation type="list" allowBlank="1" showInputMessage="1" showErrorMessage="1" xr:uid="{EA5B8D31-199D-4373-96FB-5105157116B0}">
          <x14:formula1>
            <xm:f>'Liste params'!$B$2:$B$5</xm:f>
          </x14:formula1>
          <xm:sqref>B13:E13</xm:sqref>
        </x14:dataValidation>
        <x14:dataValidation type="list" allowBlank="1" showInputMessage="1" showErrorMessage="1" xr:uid="{8043FB52-BF75-40B0-998F-2752CE99C555}">
          <x14:formula1>
            <xm:f>'Liste params'!$A$2:$A$63</xm:f>
          </x14:formula1>
          <xm:sqref>J2:J7</xm:sqref>
        </x14:dataValidation>
        <x14:dataValidation type="list" allowBlank="1" showInputMessage="1" showErrorMessage="1" xr:uid="{4F18A5BD-45F8-4E42-BE82-D9E5176DA818}">
          <x14:formula1>
            <xm:f>'Liste params'!$E$2:$E$5</xm:f>
          </x14:formula1>
          <xm:sqref>B20:E20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98FF4-46AC-4297-BF72-E5DE7CAD3CCD}">
  <sheetPr codeName="Feuil7"/>
  <dimension ref="A1:F667"/>
  <sheetViews>
    <sheetView workbookViewId="0">
      <selection activeCell="F18" sqref="F18"/>
    </sheetView>
  </sheetViews>
  <sheetFormatPr baseColWidth="10" defaultRowHeight="14.4" x14ac:dyDescent="0.55000000000000004"/>
  <cols>
    <col min="1" max="1" width="16.41796875" bestFit="1" customWidth="1"/>
    <col min="2" max="2" width="44.578125" customWidth="1"/>
    <col min="3" max="3" width="15.41796875" customWidth="1"/>
    <col min="4" max="4" width="15.68359375" customWidth="1"/>
  </cols>
  <sheetData>
    <row r="1" spans="1:6" x14ac:dyDescent="0.55000000000000004">
      <c r="A1" s="62" t="s">
        <v>114</v>
      </c>
      <c r="B1" s="62" t="s">
        <v>115</v>
      </c>
      <c r="C1" s="62" t="s">
        <v>118</v>
      </c>
      <c r="D1" s="62" t="s">
        <v>811</v>
      </c>
      <c r="E1" s="60"/>
      <c r="F1" s="60"/>
    </row>
    <row r="2" spans="1:6" x14ac:dyDescent="0.55000000000000004">
      <c r="A2" t="s">
        <v>213</v>
      </c>
      <c r="B2" t="s">
        <v>1147</v>
      </c>
      <c r="C2">
        <v>3.600365</v>
      </c>
      <c r="D2">
        <v>1</v>
      </c>
      <c r="E2" s="60"/>
      <c r="F2" s="60"/>
    </row>
    <row r="3" spans="1:6" x14ac:dyDescent="0.55000000000000004">
      <c r="A3" t="s">
        <v>214</v>
      </c>
      <c r="B3" t="s">
        <v>1046</v>
      </c>
      <c r="C3">
        <v>2.9258479999999998</v>
      </c>
      <c r="D3">
        <v>2</v>
      </c>
      <c r="E3" s="60"/>
      <c r="F3" s="60"/>
    </row>
    <row r="4" spans="1:6" x14ac:dyDescent="0.55000000000000004">
      <c r="A4" t="s">
        <v>215</v>
      </c>
      <c r="B4" t="s">
        <v>1295</v>
      </c>
      <c r="C4">
        <v>2.278343</v>
      </c>
      <c r="D4">
        <v>3</v>
      </c>
      <c r="E4" s="60"/>
      <c r="F4" s="60"/>
    </row>
    <row r="5" spans="1:6" x14ac:dyDescent="0.55000000000000004">
      <c r="A5" t="s">
        <v>216</v>
      </c>
      <c r="B5" t="s">
        <v>998</v>
      </c>
      <c r="C5">
        <v>2.1988409999999998</v>
      </c>
      <c r="D5">
        <v>4</v>
      </c>
      <c r="E5" s="60"/>
      <c r="F5" s="60"/>
    </row>
    <row r="6" spans="1:6" x14ac:dyDescent="0.55000000000000004">
      <c r="A6" t="s">
        <v>217</v>
      </c>
      <c r="B6" t="s">
        <v>1129</v>
      </c>
      <c r="C6">
        <v>1.991325</v>
      </c>
      <c r="D6">
        <v>5</v>
      </c>
      <c r="E6" s="60"/>
      <c r="F6" s="60"/>
    </row>
    <row r="7" spans="1:6" x14ac:dyDescent="0.55000000000000004">
      <c r="A7" t="s">
        <v>218</v>
      </c>
      <c r="B7" t="s">
        <v>1142</v>
      </c>
      <c r="C7">
        <v>1.9378390000000001</v>
      </c>
      <c r="D7">
        <v>6</v>
      </c>
      <c r="E7" s="60"/>
      <c r="F7" s="60"/>
    </row>
    <row r="8" spans="1:6" x14ac:dyDescent="0.55000000000000004">
      <c r="A8" t="s">
        <v>219</v>
      </c>
      <c r="B8" t="s">
        <v>1009</v>
      </c>
      <c r="C8">
        <v>1.859313</v>
      </c>
      <c r="D8">
        <v>7</v>
      </c>
      <c r="E8" s="60"/>
      <c r="F8" s="60"/>
    </row>
    <row r="9" spans="1:6" x14ac:dyDescent="0.55000000000000004">
      <c r="A9" t="s">
        <v>220</v>
      </c>
      <c r="B9" t="s">
        <v>1209</v>
      </c>
      <c r="C9">
        <v>1.8360620000000001</v>
      </c>
      <c r="D9">
        <v>8</v>
      </c>
      <c r="E9" s="60"/>
      <c r="F9" s="60"/>
    </row>
    <row r="10" spans="1:6" x14ac:dyDescent="0.55000000000000004">
      <c r="A10" t="s">
        <v>221</v>
      </c>
      <c r="B10" t="s">
        <v>812</v>
      </c>
      <c r="C10">
        <v>1.5411140000000001</v>
      </c>
      <c r="D10">
        <v>9</v>
      </c>
      <c r="E10" s="60"/>
      <c r="F10" s="60"/>
    </row>
    <row r="11" spans="1:6" x14ac:dyDescent="0.55000000000000004">
      <c r="A11" t="s">
        <v>222</v>
      </c>
      <c r="B11" t="s">
        <v>1133</v>
      </c>
      <c r="C11">
        <v>1.349626</v>
      </c>
      <c r="D11">
        <v>10</v>
      </c>
      <c r="E11" s="60"/>
      <c r="F11" s="60"/>
    </row>
    <row r="12" spans="1:6" x14ac:dyDescent="0.55000000000000004">
      <c r="A12" t="s">
        <v>223</v>
      </c>
      <c r="B12" t="s">
        <v>813</v>
      </c>
      <c r="C12">
        <v>1.3480209999999999</v>
      </c>
      <c r="D12">
        <v>11</v>
      </c>
      <c r="E12" s="60"/>
      <c r="F12" s="60"/>
    </row>
    <row r="13" spans="1:6" x14ac:dyDescent="0.55000000000000004">
      <c r="A13" t="s">
        <v>224</v>
      </c>
      <c r="B13" t="s">
        <v>887</v>
      </c>
      <c r="C13">
        <v>1.332762</v>
      </c>
      <c r="D13">
        <v>12</v>
      </c>
      <c r="E13" s="60"/>
      <c r="F13" s="60"/>
    </row>
    <row r="14" spans="1:6" x14ac:dyDescent="0.55000000000000004">
      <c r="A14" t="s">
        <v>225</v>
      </c>
      <c r="B14" t="s">
        <v>814</v>
      </c>
      <c r="C14">
        <v>1.1868110000000001</v>
      </c>
      <c r="D14">
        <v>13</v>
      </c>
      <c r="E14" s="60"/>
      <c r="F14" s="60"/>
    </row>
    <row r="15" spans="1:6" x14ac:dyDescent="0.55000000000000004">
      <c r="A15" t="s">
        <v>226</v>
      </c>
      <c r="B15" t="s">
        <v>945</v>
      </c>
      <c r="C15">
        <v>1.1484460000000001</v>
      </c>
      <c r="D15">
        <v>14</v>
      </c>
      <c r="E15" s="60"/>
      <c r="F15" s="60"/>
    </row>
    <row r="16" spans="1:6" x14ac:dyDescent="0.55000000000000004">
      <c r="A16" t="s">
        <v>227</v>
      </c>
      <c r="B16" t="s">
        <v>815</v>
      </c>
      <c r="C16">
        <v>1.0751539999999999</v>
      </c>
      <c r="D16">
        <v>15</v>
      </c>
      <c r="E16" s="60"/>
      <c r="F16" s="60"/>
    </row>
    <row r="17" spans="1:6" x14ac:dyDescent="0.55000000000000004">
      <c r="A17" t="s">
        <v>228</v>
      </c>
      <c r="B17" t="s">
        <v>985</v>
      </c>
      <c r="C17">
        <v>0.99354260000000005</v>
      </c>
      <c r="D17">
        <v>16</v>
      </c>
      <c r="E17" s="60"/>
      <c r="F17" s="60"/>
    </row>
    <row r="18" spans="1:6" x14ac:dyDescent="0.55000000000000004">
      <c r="A18" t="s">
        <v>229</v>
      </c>
      <c r="B18" t="s">
        <v>816</v>
      </c>
      <c r="C18">
        <v>0.87383339999999998</v>
      </c>
      <c r="D18">
        <v>17</v>
      </c>
      <c r="E18" s="60"/>
      <c r="F18" s="60"/>
    </row>
    <row r="19" spans="1:6" x14ac:dyDescent="0.55000000000000004">
      <c r="A19" t="s">
        <v>230</v>
      </c>
      <c r="B19" t="s">
        <v>817</v>
      </c>
      <c r="C19">
        <v>0.86098799999999998</v>
      </c>
      <c r="D19">
        <v>18</v>
      </c>
      <c r="E19" s="60"/>
      <c r="F19" s="60"/>
    </row>
    <row r="20" spans="1:6" x14ac:dyDescent="0.55000000000000004">
      <c r="A20" t="s">
        <v>231</v>
      </c>
      <c r="B20" t="s">
        <v>927</v>
      </c>
      <c r="C20">
        <v>0.81173960000000001</v>
      </c>
      <c r="D20">
        <v>19</v>
      </c>
      <c r="E20" s="60"/>
      <c r="F20" s="60"/>
    </row>
    <row r="21" spans="1:6" x14ac:dyDescent="0.55000000000000004">
      <c r="A21" t="s">
        <v>232</v>
      </c>
      <c r="B21" t="s">
        <v>1273</v>
      </c>
      <c r="C21">
        <v>0.80230670000000004</v>
      </c>
      <c r="D21">
        <v>20</v>
      </c>
      <c r="E21" s="60"/>
      <c r="F21" s="60"/>
    </row>
    <row r="22" spans="1:6" x14ac:dyDescent="0.55000000000000004">
      <c r="A22" t="s">
        <v>233</v>
      </c>
      <c r="B22" t="s">
        <v>935</v>
      </c>
      <c r="C22">
        <v>0.79401189999999999</v>
      </c>
      <c r="D22">
        <v>21</v>
      </c>
      <c r="E22" s="60"/>
      <c r="F22" s="60"/>
    </row>
    <row r="23" spans="1:6" x14ac:dyDescent="0.55000000000000004">
      <c r="A23" t="s">
        <v>234</v>
      </c>
      <c r="B23" t="s">
        <v>1214</v>
      </c>
      <c r="C23">
        <v>0.76659330000000003</v>
      </c>
      <c r="D23">
        <v>22</v>
      </c>
      <c r="E23" s="60"/>
      <c r="F23" s="60"/>
    </row>
    <row r="24" spans="1:6" x14ac:dyDescent="0.55000000000000004">
      <c r="A24" t="s">
        <v>235</v>
      </c>
      <c r="B24" t="s">
        <v>960</v>
      </c>
      <c r="C24">
        <v>0.75156489999999998</v>
      </c>
      <c r="D24">
        <v>23</v>
      </c>
      <c r="E24" s="60"/>
      <c r="F24" s="60"/>
    </row>
    <row r="25" spans="1:6" x14ac:dyDescent="0.55000000000000004">
      <c r="A25" t="s">
        <v>236</v>
      </c>
      <c r="B25" t="s">
        <v>818</v>
      </c>
      <c r="C25">
        <v>0.73875930000000001</v>
      </c>
      <c r="D25">
        <v>24</v>
      </c>
      <c r="E25" s="60"/>
      <c r="F25" s="60"/>
    </row>
    <row r="26" spans="1:6" x14ac:dyDescent="0.55000000000000004">
      <c r="A26" t="s">
        <v>237</v>
      </c>
      <c r="B26" t="s">
        <v>1184</v>
      </c>
      <c r="C26">
        <v>0.72150630000000004</v>
      </c>
      <c r="D26">
        <v>25</v>
      </c>
      <c r="E26" s="60"/>
      <c r="F26" s="60"/>
    </row>
    <row r="27" spans="1:6" x14ac:dyDescent="0.55000000000000004">
      <c r="A27" t="s">
        <v>238</v>
      </c>
      <c r="B27" t="s">
        <v>1050</v>
      </c>
      <c r="C27">
        <v>0.69518760000000002</v>
      </c>
      <c r="D27">
        <v>26</v>
      </c>
      <c r="E27" s="60"/>
      <c r="F27" s="60"/>
    </row>
    <row r="28" spans="1:6" x14ac:dyDescent="0.55000000000000004">
      <c r="A28" t="s">
        <v>239</v>
      </c>
      <c r="B28" t="s">
        <v>1068</v>
      </c>
      <c r="C28">
        <v>0.68497739999999996</v>
      </c>
      <c r="D28">
        <v>27</v>
      </c>
      <c r="E28" s="60"/>
      <c r="F28" s="60"/>
    </row>
    <row r="29" spans="1:6" x14ac:dyDescent="0.55000000000000004">
      <c r="A29" t="s">
        <v>240</v>
      </c>
      <c r="B29" t="s">
        <v>821</v>
      </c>
      <c r="C29">
        <v>0.6827955</v>
      </c>
      <c r="D29">
        <v>28</v>
      </c>
      <c r="E29" s="60"/>
      <c r="F29" s="60"/>
    </row>
    <row r="30" spans="1:6" x14ac:dyDescent="0.55000000000000004">
      <c r="A30" t="s">
        <v>241</v>
      </c>
      <c r="B30" t="s">
        <v>860</v>
      </c>
      <c r="C30">
        <v>0.67945290000000003</v>
      </c>
      <c r="D30">
        <v>29</v>
      </c>
      <c r="E30" s="60"/>
      <c r="F30" s="60"/>
    </row>
    <row r="31" spans="1:6" x14ac:dyDescent="0.55000000000000004">
      <c r="A31" t="s">
        <v>242</v>
      </c>
      <c r="B31" t="s">
        <v>820</v>
      </c>
      <c r="C31">
        <v>0.67448739999999996</v>
      </c>
      <c r="D31">
        <v>30</v>
      </c>
      <c r="E31" s="60"/>
      <c r="F31" s="60"/>
    </row>
    <row r="32" spans="1:6" x14ac:dyDescent="0.55000000000000004">
      <c r="A32" t="s">
        <v>243</v>
      </c>
      <c r="B32" t="s">
        <v>1161</v>
      </c>
      <c r="C32">
        <v>0.64160709999999999</v>
      </c>
      <c r="D32">
        <v>31</v>
      </c>
      <c r="E32" s="60"/>
      <c r="F32" s="60"/>
    </row>
    <row r="33" spans="1:6" x14ac:dyDescent="0.55000000000000004">
      <c r="A33" t="s">
        <v>244</v>
      </c>
      <c r="B33" t="s">
        <v>1045</v>
      </c>
      <c r="C33">
        <v>0.60812029999999995</v>
      </c>
      <c r="D33">
        <v>32</v>
      </c>
      <c r="E33" s="60"/>
      <c r="F33" s="60"/>
    </row>
    <row r="34" spans="1:6" x14ac:dyDescent="0.55000000000000004">
      <c r="A34" t="s">
        <v>245</v>
      </c>
      <c r="B34" t="s">
        <v>819</v>
      </c>
      <c r="C34">
        <v>0.60664340000000005</v>
      </c>
      <c r="D34">
        <v>33</v>
      </c>
      <c r="E34" s="60"/>
      <c r="F34" s="60"/>
    </row>
    <row r="35" spans="1:6" x14ac:dyDescent="0.55000000000000004">
      <c r="A35" t="s">
        <v>246</v>
      </c>
      <c r="B35" t="s">
        <v>1213</v>
      </c>
      <c r="C35">
        <v>0.59900500000000001</v>
      </c>
      <c r="D35">
        <v>34</v>
      </c>
      <c r="E35" s="60"/>
      <c r="F35" s="60"/>
    </row>
    <row r="36" spans="1:6" x14ac:dyDescent="0.55000000000000004">
      <c r="A36" t="s">
        <v>247</v>
      </c>
      <c r="B36" t="s">
        <v>823</v>
      </c>
      <c r="C36">
        <v>0.59569939999999999</v>
      </c>
      <c r="D36">
        <v>35</v>
      </c>
      <c r="E36" s="60"/>
      <c r="F36" s="60"/>
    </row>
    <row r="37" spans="1:6" x14ac:dyDescent="0.55000000000000004">
      <c r="A37" t="s">
        <v>248</v>
      </c>
      <c r="B37" t="s">
        <v>822</v>
      </c>
      <c r="C37">
        <v>0.5912309</v>
      </c>
      <c r="D37">
        <v>36</v>
      </c>
      <c r="E37" s="60"/>
      <c r="F37" s="60"/>
    </row>
    <row r="38" spans="1:6" x14ac:dyDescent="0.55000000000000004">
      <c r="A38" t="s">
        <v>249</v>
      </c>
      <c r="B38" t="s">
        <v>1287</v>
      </c>
      <c r="C38">
        <v>0.5873486</v>
      </c>
      <c r="D38">
        <v>37</v>
      </c>
      <c r="E38" s="60"/>
      <c r="F38" s="60"/>
    </row>
    <row r="39" spans="1:6" x14ac:dyDescent="0.55000000000000004">
      <c r="A39" t="s">
        <v>250</v>
      </c>
      <c r="B39" t="s">
        <v>1121</v>
      </c>
      <c r="C39">
        <v>0.57593309999999998</v>
      </c>
      <c r="D39">
        <v>38</v>
      </c>
      <c r="E39" s="60"/>
      <c r="F39" s="60"/>
    </row>
    <row r="40" spans="1:6" x14ac:dyDescent="0.55000000000000004">
      <c r="A40" t="s">
        <v>251</v>
      </c>
      <c r="B40" t="s">
        <v>824</v>
      </c>
      <c r="C40">
        <v>0.57489749999999995</v>
      </c>
      <c r="D40">
        <v>39</v>
      </c>
      <c r="E40" s="60"/>
      <c r="F40" s="60"/>
    </row>
    <row r="41" spans="1:6" x14ac:dyDescent="0.55000000000000004">
      <c r="A41" t="s">
        <v>252</v>
      </c>
      <c r="B41" t="s">
        <v>941</v>
      </c>
      <c r="C41">
        <v>0.56075229999999998</v>
      </c>
      <c r="D41">
        <v>40</v>
      </c>
      <c r="E41" s="60"/>
      <c r="F41" s="60"/>
    </row>
    <row r="42" spans="1:6" x14ac:dyDescent="0.55000000000000004">
      <c r="A42" t="s">
        <v>253</v>
      </c>
      <c r="B42" t="s">
        <v>1165</v>
      </c>
      <c r="C42">
        <v>0.55134640000000001</v>
      </c>
      <c r="D42">
        <v>41</v>
      </c>
      <c r="E42" s="60"/>
      <c r="F42" s="60"/>
    </row>
    <row r="43" spans="1:6" x14ac:dyDescent="0.55000000000000004">
      <c r="A43" t="s">
        <v>254</v>
      </c>
      <c r="B43" t="s">
        <v>1257</v>
      </c>
      <c r="C43">
        <v>0.54534859999999996</v>
      </c>
      <c r="D43">
        <v>42</v>
      </c>
      <c r="E43" s="60"/>
      <c r="F43" s="60"/>
    </row>
    <row r="44" spans="1:6" x14ac:dyDescent="0.55000000000000004">
      <c r="A44" t="s">
        <v>255</v>
      </c>
      <c r="B44" t="s">
        <v>1025</v>
      </c>
      <c r="C44">
        <v>0.53825579999999995</v>
      </c>
      <c r="D44">
        <v>43</v>
      </c>
      <c r="E44" s="60"/>
      <c r="F44" s="60"/>
    </row>
    <row r="45" spans="1:6" x14ac:dyDescent="0.55000000000000004">
      <c r="A45" t="s">
        <v>256</v>
      </c>
      <c r="B45" t="s">
        <v>1271</v>
      </c>
      <c r="C45">
        <v>0.5095227</v>
      </c>
      <c r="D45">
        <v>44</v>
      </c>
      <c r="E45" s="60"/>
      <c r="F45" s="60"/>
    </row>
    <row r="46" spans="1:6" x14ac:dyDescent="0.55000000000000004">
      <c r="A46" t="s">
        <v>257</v>
      </c>
      <c r="B46" t="s">
        <v>1118</v>
      </c>
      <c r="C46">
        <v>0.48931720000000001</v>
      </c>
      <c r="D46">
        <v>45</v>
      </c>
      <c r="E46" s="60"/>
      <c r="F46" s="60"/>
    </row>
    <row r="47" spans="1:6" x14ac:dyDescent="0.55000000000000004">
      <c r="A47" t="s">
        <v>258</v>
      </c>
      <c r="B47" t="s">
        <v>1151</v>
      </c>
      <c r="C47">
        <v>0.4887319</v>
      </c>
      <c r="D47">
        <v>46</v>
      </c>
      <c r="E47" s="60"/>
      <c r="F47" s="60"/>
    </row>
    <row r="48" spans="1:6" x14ac:dyDescent="0.55000000000000004">
      <c r="A48" t="s">
        <v>259</v>
      </c>
      <c r="B48" t="s">
        <v>863</v>
      </c>
      <c r="C48">
        <v>0.4840197</v>
      </c>
      <c r="D48">
        <v>47</v>
      </c>
      <c r="E48" s="60"/>
      <c r="F48" s="60"/>
    </row>
    <row r="49" spans="1:6" x14ac:dyDescent="0.55000000000000004">
      <c r="A49" t="s">
        <v>260</v>
      </c>
      <c r="B49" t="s">
        <v>1134</v>
      </c>
      <c r="C49">
        <v>0.47540880000000002</v>
      </c>
      <c r="D49">
        <v>48</v>
      </c>
      <c r="E49" s="60"/>
      <c r="F49" s="60"/>
    </row>
    <row r="50" spans="1:6" x14ac:dyDescent="0.55000000000000004">
      <c r="A50" t="s">
        <v>261</v>
      </c>
      <c r="B50" t="s">
        <v>1203</v>
      </c>
      <c r="C50">
        <v>0.47098699999999999</v>
      </c>
      <c r="D50">
        <v>49</v>
      </c>
      <c r="E50" s="60"/>
      <c r="F50" s="60"/>
    </row>
    <row r="51" spans="1:6" x14ac:dyDescent="0.55000000000000004">
      <c r="A51" t="s">
        <v>262</v>
      </c>
      <c r="B51" t="s">
        <v>1098</v>
      </c>
      <c r="C51">
        <v>0.4598024</v>
      </c>
      <c r="D51">
        <v>50</v>
      </c>
      <c r="E51" s="60"/>
      <c r="F51" s="60"/>
    </row>
    <row r="52" spans="1:6" x14ac:dyDescent="0.55000000000000004">
      <c r="A52" t="s">
        <v>263</v>
      </c>
      <c r="B52" t="s">
        <v>943</v>
      </c>
      <c r="C52">
        <v>0.45792739999999998</v>
      </c>
      <c r="D52">
        <v>51</v>
      </c>
      <c r="E52" s="60"/>
      <c r="F52" s="60"/>
    </row>
    <row r="53" spans="1:6" x14ac:dyDescent="0.55000000000000004">
      <c r="A53" t="s">
        <v>264</v>
      </c>
      <c r="B53" t="s">
        <v>937</v>
      </c>
      <c r="C53">
        <v>0.4479552</v>
      </c>
      <c r="D53">
        <v>52</v>
      </c>
      <c r="E53" s="60"/>
      <c r="F53" s="60"/>
    </row>
    <row r="54" spans="1:6" x14ac:dyDescent="0.55000000000000004">
      <c r="A54" t="s">
        <v>265</v>
      </c>
      <c r="B54" t="s">
        <v>934</v>
      </c>
      <c r="C54">
        <v>0.44631009999999999</v>
      </c>
      <c r="D54">
        <v>53</v>
      </c>
      <c r="E54" s="60"/>
      <c r="F54" s="60"/>
    </row>
    <row r="55" spans="1:6" x14ac:dyDescent="0.55000000000000004">
      <c r="A55" t="s">
        <v>266</v>
      </c>
      <c r="B55" t="s">
        <v>1110</v>
      </c>
      <c r="C55">
        <v>0.44498549999999998</v>
      </c>
      <c r="D55">
        <v>54</v>
      </c>
      <c r="E55" s="60"/>
      <c r="F55" s="60"/>
    </row>
    <row r="56" spans="1:6" x14ac:dyDescent="0.55000000000000004">
      <c r="A56" t="s">
        <v>267</v>
      </c>
      <c r="B56" t="s">
        <v>1000</v>
      </c>
      <c r="C56">
        <v>0.4373127</v>
      </c>
      <c r="D56">
        <v>55</v>
      </c>
      <c r="E56" s="60"/>
      <c r="F56" s="60"/>
    </row>
    <row r="57" spans="1:6" x14ac:dyDescent="0.55000000000000004">
      <c r="A57" t="s">
        <v>268</v>
      </c>
      <c r="B57" t="s">
        <v>976</v>
      </c>
      <c r="C57">
        <v>0.42611909999999997</v>
      </c>
      <c r="D57">
        <v>56</v>
      </c>
      <c r="E57" s="60"/>
      <c r="F57" s="60"/>
    </row>
    <row r="58" spans="1:6" x14ac:dyDescent="0.55000000000000004">
      <c r="A58" t="s">
        <v>269</v>
      </c>
      <c r="B58" t="s">
        <v>1402</v>
      </c>
      <c r="C58">
        <v>0.42119659999999998</v>
      </c>
      <c r="D58">
        <v>57</v>
      </c>
      <c r="E58" s="60"/>
      <c r="F58" s="60"/>
    </row>
    <row r="59" spans="1:6" x14ac:dyDescent="0.55000000000000004">
      <c r="A59" t="s">
        <v>270</v>
      </c>
      <c r="B59" t="s">
        <v>1221</v>
      </c>
      <c r="C59">
        <v>0.39887410000000001</v>
      </c>
      <c r="D59">
        <v>58</v>
      </c>
      <c r="E59" s="60"/>
      <c r="F59" s="60"/>
    </row>
    <row r="60" spans="1:6" x14ac:dyDescent="0.55000000000000004">
      <c r="A60" t="s">
        <v>271</v>
      </c>
      <c r="B60" t="s">
        <v>931</v>
      </c>
      <c r="C60">
        <v>0.39409749999999999</v>
      </c>
      <c r="D60">
        <v>59</v>
      </c>
      <c r="E60" s="60"/>
      <c r="F60" s="60"/>
    </row>
    <row r="61" spans="1:6" x14ac:dyDescent="0.55000000000000004">
      <c r="A61" t="s">
        <v>272</v>
      </c>
      <c r="B61" t="s">
        <v>1292</v>
      </c>
      <c r="C61">
        <v>0.39207429999999999</v>
      </c>
      <c r="D61">
        <v>60</v>
      </c>
      <c r="E61" s="60"/>
      <c r="F61" s="60"/>
    </row>
    <row r="62" spans="1:6" x14ac:dyDescent="0.55000000000000004">
      <c r="A62" t="s">
        <v>273</v>
      </c>
      <c r="B62" t="s">
        <v>898</v>
      </c>
      <c r="C62">
        <v>0.38928760000000001</v>
      </c>
      <c r="D62">
        <v>61</v>
      </c>
      <c r="E62" s="60"/>
      <c r="F62" s="60"/>
    </row>
    <row r="63" spans="1:6" x14ac:dyDescent="0.55000000000000004">
      <c r="A63" t="s">
        <v>274</v>
      </c>
      <c r="B63" t="s">
        <v>1174</v>
      </c>
      <c r="C63">
        <v>0.38393480000000002</v>
      </c>
      <c r="D63">
        <v>62</v>
      </c>
      <c r="E63" s="60"/>
      <c r="F63" s="60"/>
    </row>
    <row r="64" spans="1:6" x14ac:dyDescent="0.55000000000000004">
      <c r="A64" t="s">
        <v>275</v>
      </c>
      <c r="B64" t="s">
        <v>1088</v>
      </c>
      <c r="C64">
        <v>0.3815539</v>
      </c>
      <c r="D64">
        <v>63</v>
      </c>
      <c r="E64" s="60"/>
      <c r="F64" s="60"/>
    </row>
    <row r="65" spans="1:6" x14ac:dyDescent="0.55000000000000004">
      <c r="A65" t="s">
        <v>276</v>
      </c>
      <c r="B65" t="s">
        <v>1205</v>
      </c>
      <c r="C65">
        <v>0.36945289999999997</v>
      </c>
      <c r="D65">
        <v>64</v>
      </c>
      <c r="E65" s="60"/>
      <c r="F65" s="60"/>
    </row>
    <row r="66" spans="1:6" x14ac:dyDescent="0.55000000000000004">
      <c r="A66" t="s">
        <v>277</v>
      </c>
      <c r="B66" t="s">
        <v>825</v>
      </c>
      <c r="C66">
        <v>0.36503970000000002</v>
      </c>
      <c r="D66">
        <v>65</v>
      </c>
      <c r="E66" s="60"/>
      <c r="F66" s="60"/>
    </row>
    <row r="67" spans="1:6" x14ac:dyDescent="0.55000000000000004">
      <c r="A67" t="s">
        <v>278</v>
      </c>
      <c r="B67" t="s">
        <v>1282</v>
      </c>
      <c r="C67">
        <v>0.36439779999999999</v>
      </c>
      <c r="D67">
        <v>66</v>
      </c>
      <c r="E67" s="60"/>
      <c r="F67" s="60"/>
    </row>
    <row r="68" spans="1:6" x14ac:dyDescent="0.55000000000000004">
      <c r="A68" t="s">
        <v>279</v>
      </c>
      <c r="B68" t="s">
        <v>1268</v>
      </c>
      <c r="C68">
        <v>0.36040939999999999</v>
      </c>
      <c r="D68">
        <v>67</v>
      </c>
      <c r="E68" s="60"/>
      <c r="F68" s="60"/>
    </row>
    <row r="69" spans="1:6" x14ac:dyDescent="0.55000000000000004">
      <c r="A69" t="s">
        <v>280</v>
      </c>
      <c r="B69" t="s">
        <v>826</v>
      </c>
      <c r="C69">
        <v>0.35733160000000003</v>
      </c>
      <c r="D69">
        <v>68</v>
      </c>
      <c r="E69" s="60"/>
      <c r="F69" s="60"/>
    </row>
    <row r="70" spans="1:6" x14ac:dyDescent="0.55000000000000004">
      <c r="A70" t="s">
        <v>281</v>
      </c>
      <c r="B70" t="s">
        <v>1262</v>
      </c>
      <c r="C70">
        <v>0.34732259999999998</v>
      </c>
      <c r="D70">
        <v>69</v>
      </c>
      <c r="E70" s="60"/>
      <c r="F70" s="60"/>
    </row>
    <row r="71" spans="1:6" x14ac:dyDescent="0.55000000000000004">
      <c r="A71" t="s">
        <v>282</v>
      </c>
      <c r="B71" t="s">
        <v>1315</v>
      </c>
      <c r="C71">
        <v>0.34691</v>
      </c>
      <c r="D71">
        <v>70</v>
      </c>
      <c r="E71" s="60"/>
      <c r="F71" s="60"/>
    </row>
    <row r="72" spans="1:6" x14ac:dyDescent="0.55000000000000004">
      <c r="A72" t="s">
        <v>283</v>
      </c>
      <c r="B72" t="s">
        <v>1169</v>
      </c>
      <c r="C72">
        <v>0.34599210000000002</v>
      </c>
      <c r="D72">
        <v>71</v>
      </c>
      <c r="E72" s="60"/>
      <c r="F72" s="60"/>
    </row>
    <row r="73" spans="1:6" x14ac:dyDescent="0.55000000000000004">
      <c r="A73" t="s">
        <v>284</v>
      </c>
      <c r="B73" t="s">
        <v>1220</v>
      </c>
      <c r="C73">
        <v>0.34439900000000001</v>
      </c>
      <c r="D73">
        <v>72</v>
      </c>
      <c r="E73" s="60"/>
      <c r="F73" s="60"/>
    </row>
    <row r="74" spans="1:6" x14ac:dyDescent="0.55000000000000004">
      <c r="A74" t="s">
        <v>285</v>
      </c>
      <c r="B74" t="s">
        <v>1274</v>
      </c>
      <c r="C74">
        <v>0.34422069999999999</v>
      </c>
      <c r="D74">
        <v>73</v>
      </c>
      <c r="E74" s="60"/>
      <c r="F74" s="60"/>
    </row>
    <row r="75" spans="1:6" x14ac:dyDescent="0.55000000000000004">
      <c r="A75" t="s">
        <v>286</v>
      </c>
      <c r="B75" t="s">
        <v>987</v>
      </c>
      <c r="C75">
        <v>0.34257919999999997</v>
      </c>
      <c r="D75">
        <v>74</v>
      </c>
      <c r="E75" s="60"/>
      <c r="F75" s="60"/>
    </row>
    <row r="76" spans="1:6" x14ac:dyDescent="0.55000000000000004">
      <c r="A76" t="s">
        <v>287</v>
      </c>
      <c r="B76" t="s">
        <v>1323</v>
      </c>
      <c r="C76">
        <v>0.33965689999999998</v>
      </c>
      <c r="D76">
        <v>75</v>
      </c>
      <c r="E76" s="60"/>
      <c r="F76" s="60"/>
    </row>
    <row r="77" spans="1:6" x14ac:dyDescent="0.55000000000000004">
      <c r="A77" t="s">
        <v>288</v>
      </c>
      <c r="B77" t="s">
        <v>858</v>
      </c>
      <c r="C77">
        <v>0.33939659999999999</v>
      </c>
      <c r="D77">
        <v>76</v>
      </c>
      <c r="E77" s="60"/>
      <c r="F77" s="60"/>
    </row>
    <row r="78" spans="1:6" x14ac:dyDescent="0.55000000000000004">
      <c r="A78" t="s">
        <v>289</v>
      </c>
      <c r="B78" t="s">
        <v>995</v>
      </c>
      <c r="C78">
        <v>0.33193719999999999</v>
      </c>
      <c r="D78">
        <v>77</v>
      </c>
      <c r="E78" s="60"/>
      <c r="F78" s="60"/>
    </row>
    <row r="79" spans="1:6" x14ac:dyDescent="0.55000000000000004">
      <c r="A79" t="s">
        <v>290</v>
      </c>
      <c r="B79" t="s">
        <v>1365</v>
      </c>
      <c r="C79">
        <v>0.3302967</v>
      </c>
      <c r="D79">
        <v>78</v>
      </c>
      <c r="E79" s="60"/>
      <c r="F79" s="60"/>
    </row>
    <row r="80" spans="1:6" x14ac:dyDescent="0.55000000000000004">
      <c r="A80" t="s">
        <v>291</v>
      </c>
      <c r="B80" t="s">
        <v>1304</v>
      </c>
      <c r="C80">
        <v>0.32769740000000003</v>
      </c>
      <c r="D80">
        <v>79</v>
      </c>
      <c r="E80" s="60"/>
      <c r="F80" s="60"/>
    </row>
    <row r="81" spans="1:6" x14ac:dyDescent="0.55000000000000004">
      <c r="A81" t="s">
        <v>292</v>
      </c>
      <c r="B81" t="s">
        <v>1241</v>
      </c>
      <c r="C81">
        <v>0.30772139999999998</v>
      </c>
      <c r="D81">
        <v>80</v>
      </c>
      <c r="E81" s="60"/>
      <c r="F81" s="60"/>
    </row>
    <row r="82" spans="1:6" x14ac:dyDescent="0.55000000000000004">
      <c r="A82" t="s">
        <v>293</v>
      </c>
      <c r="B82" t="s">
        <v>1336</v>
      </c>
      <c r="C82">
        <v>0.30696010000000001</v>
      </c>
      <c r="D82">
        <v>81</v>
      </c>
      <c r="E82" s="60"/>
      <c r="F82" s="60"/>
    </row>
    <row r="83" spans="1:6" x14ac:dyDescent="0.55000000000000004">
      <c r="A83" t="s">
        <v>294</v>
      </c>
      <c r="B83" t="s">
        <v>1141</v>
      </c>
      <c r="C83">
        <v>0.30369930000000001</v>
      </c>
      <c r="D83">
        <v>82</v>
      </c>
      <c r="E83" s="60"/>
      <c r="F83" s="60"/>
    </row>
    <row r="84" spans="1:6" x14ac:dyDescent="0.55000000000000004">
      <c r="A84" t="s">
        <v>295</v>
      </c>
      <c r="B84" t="s">
        <v>1289</v>
      </c>
      <c r="C84">
        <v>0.2935835</v>
      </c>
      <c r="D84">
        <v>83</v>
      </c>
      <c r="E84" s="60"/>
      <c r="F84" s="60"/>
    </row>
    <row r="85" spans="1:6" x14ac:dyDescent="0.55000000000000004">
      <c r="A85" t="s">
        <v>296</v>
      </c>
      <c r="B85" t="s">
        <v>1105</v>
      </c>
      <c r="C85">
        <v>0.29271019999999998</v>
      </c>
      <c r="D85">
        <v>84</v>
      </c>
      <c r="E85" s="60"/>
      <c r="F85" s="60"/>
    </row>
    <row r="86" spans="1:6" x14ac:dyDescent="0.55000000000000004">
      <c r="A86" t="s">
        <v>297</v>
      </c>
      <c r="B86" t="s">
        <v>828</v>
      </c>
      <c r="C86">
        <v>0.29139759999999998</v>
      </c>
      <c r="D86">
        <v>85</v>
      </c>
      <c r="E86" s="60"/>
      <c r="F86" s="60"/>
    </row>
    <row r="87" spans="1:6" x14ac:dyDescent="0.55000000000000004">
      <c r="A87" t="s">
        <v>298</v>
      </c>
      <c r="B87" t="s">
        <v>827</v>
      </c>
      <c r="C87">
        <v>0.2838194</v>
      </c>
      <c r="D87">
        <v>86</v>
      </c>
      <c r="E87" s="60"/>
      <c r="F87" s="60"/>
    </row>
    <row r="88" spans="1:6" x14ac:dyDescent="0.55000000000000004">
      <c r="A88" t="s">
        <v>299</v>
      </c>
      <c r="B88" t="s">
        <v>829</v>
      </c>
      <c r="C88">
        <v>0.26834930000000001</v>
      </c>
      <c r="D88">
        <v>87</v>
      </c>
      <c r="E88" s="60"/>
      <c r="F88" s="60"/>
    </row>
    <row r="89" spans="1:6" x14ac:dyDescent="0.55000000000000004">
      <c r="A89" t="s">
        <v>300</v>
      </c>
      <c r="B89" t="s">
        <v>1131</v>
      </c>
      <c r="C89">
        <v>0.2682388</v>
      </c>
      <c r="D89">
        <v>88</v>
      </c>
      <c r="E89" s="60"/>
      <c r="F89" s="60"/>
    </row>
    <row r="90" spans="1:6" x14ac:dyDescent="0.55000000000000004">
      <c r="A90" t="s">
        <v>301</v>
      </c>
      <c r="B90" t="s">
        <v>1272</v>
      </c>
      <c r="C90">
        <v>0.26717239999999998</v>
      </c>
      <c r="D90">
        <v>89</v>
      </c>
      <c r="E90" s="60"/>
      <c r="F90" s="60"/>
    </row>
    <row r="91" spans="1:6" x14ac:dyDescent="0.55000000000000004">
      <c r="A91" t="s">
        <v>302</v>
      </c>
      <c r="B91" t="s">
        <v>1340</v>
      </c>
      <c r="C91">
        <v>0.26589810000000003</v>
      </c>
      <c r="D91">
        <v>90</v>
      </c>
      <c r="E91" s="60"/>
      <c r="F91" s="60"/>
    </row>
    <row r="92" spans="1:6" x14ac:dyDescent="0.55000000000000004">
      <c r="A92" t="s">
        <v>303</v>
      </c>
      <c r="B92" t="s">
        <v>1087</v>
      </c>
      <c r="C92">
        <v>0.26501340000000001</v>
      </c>
      <c r="D92">
        <v>91</v>
      </c>
      <c r="E92" s="60"/>
      <c r="F92" s="60"/>
    </row>
    <row r="93" spans="1:6" x14ac:dyDescent="0.55000000000000004">
      <c r="A93" t="s">
        <v>304</v>
      </c>
      <c r="B93" t="s">
        <v>1143</v>
      </c>
      <c r="C93">
        <v>0.26135639999999999</v>
      </c>
      <c r="D93">
        <v>92</v>
      </c>
      <c r="E93" s="60"/>
      <c r="F93" s="60"/>
    </row>
    <row r="94" spans="1:6" x14ac:dyDescent="0.55000000000000004">
      <c r="A94" t="s">
        <v>305</v>
      </c>
      <c r="B94" t="s">
        <v>1130</v>
      </c>
      <c r="C94">
        <v>0.26056410000000002</v>
      </c>
      <c r="D94">
        <v>93</v>
      </c>
      <c r="E94" s="60"/>
      <c r="F94" s="60"/>
    </row>
    <row r="95" spans="1:6" x14ac:dyDescent="0.55000000000000004">
      <c r="A95" t="s">
        <v>306</v>
      </c>
      <c r="B95" t="s">
        <v>1239</v>
      </c>
      <c r="C95">
        <v>0.25455139999999998</v>
      </c>
      <c r="D95">
        <v>94</v>
      </c>
      <c r="E95" s="60"/>
      <c r="F95" s="60"/>
    </row>
    <row r="96" spans="1:6" x14ac:dyDescent="0.55000000000000004">
      <c r="A96" t="s">
        <v>307</v>
      </c>
      <c r="B96" t="s">
        <v>921</v>
      </c>
      <c r="C96">
        <v>0.24966150000000001</v>
      </c>
      <c r="D96">
        <v>95</v>
      </c>
      <c r="E96" s="60"/>
      <c r="F96" s="60"/>
    </row>
    <row r="97" spans="1:6" x14ac:dyDescent="0.55000000000000004">
      <c r="A97" t="s">
        <v>308</v>
      </c>
      <c r="B97" t="s">
        <v>1362</v>
      </c>
      <c r="C97">
        <v>0.24941430000000001</v>
      </c>
      <c r="D97">
        <v>96</v>
      </c>
      <c r="E97" s="60"/>
      <c r="F97" s="60"/>
    </row>
    <row r="98" spans="1:6" x14ac:dyDescent="0.55000000000000004">
      <c r="A98" t="s">
        <v>309</v>
      </c>
      <c r="B98" t="s">
        <v>1010</v>
      </c>
      <c r="C98">
        <v>0.2484442</v>
      </c>
      <c r="D98">
        <v>97</v>
      </c>
      <c r="E98" s="60"/>
      <c r="F98" s="60"/>
    </row>
    <row r="99" spans="1:6" x14ac:dyDescent="0.55000000000000004">
      <c r="A99" t="s">
        <v>310</v>
      </c>
      <c r="B99" t="s">
        <v>965</v>
      </c>
      <c r="C99">
        <v>0.24746889999999999</v>
      </c>
      <c r="D99">
        <v>98</v>
      </c>
      <c r="E99" s="60"/>
      <c r="F99" s="60"/>
    </row>
    <row r="100" spans="1:6" x14ac:dyDescent="0.55000000000000004">
      <c r="A100" t="s">
        <v>311</v>
      </c>
      <c r="B100" t="s">
        <v>983</v>
      </c>
      <c r="C100">
        <v>0.24288609999999999</v>
      </c>
      <c r="D100">
        <v>99</v>
      </c>
      <c r="E100" s="60"/>
      <c r="F100" s="60"/>
    </row>
    <row r="101" spans="1:6" x14ac:dyDescent="0.55000000000000004">
      <c r="A101" t="s">
        <v>312</v>
      </c>
      <c r="B101" t="s">
        <v>1064</v>
      </c>
      <c r="C101">
        <v>0.24124570000000001</v>
      </c>
      <c r="D101">
        <v>100</v>
      </c>
      <c r="E101" s="60"/>
      <c r="F101" s="60"/>
    </row>
    <row r="102" spans="1:6" x14ac:dyDescent="0.55000000000000004">
      <c r="A102" t="s">
        <v>313</v>
      </c>
      <c r="B102" t="s">
        <v>830</v>
      </c>
      <c r="C102">
        <v>0.23899200000000001</v>
      </c>
      <c r="D102">
        <v>101</v>
      </c>
      <c r="E102" s="60"/>
      <c r="F102" s="60"/>
    </row>
    <row r="103" spans="1:6" x14ac:dyDescent="0.55000000000000004">
      <c r="A103" t="s">
        <v>314</v>
      </c>
      <c r="B103" t="s">
        <v>942</v>
      </c>
      <c r="C103">
        <v>0.237237</v>
      </c>
      <c r="D103">
        <v>102</v>
      </c>
      <c r="E103" s="60"/>
      <c r="F103" s="60"/>
    </row>
    <row r="104" spans="1:6" x14ac:dyDescent="0.55000000000000004">
      <c r="A104" t="s">
        <v>315</v>
      </c>
      <c r="B104" t="s">
        <v>831</v>
      </c>
      <c r="C104">
        <v>0.2331531</v>
      </c>
      <c r="D104">
        <v>103</v>
      </c>
      <c r="E104" s="60"/>
      <c r="F104" s="60"/>
    </row>
    <row r="105" spans="1:6" x14ac:dyDescent="0.55000000000000004">
      <c r="A105" t="s">
        <v>316</v>
      </c>
      <c r="B105" t="s">
        <v>832</v>
      </c>
      <c r="C105">
        <v>0.22950010000000001</v>
      </c>
      <c r="D105">
        <v>104</v>
      </c>
      <c r="E105" s="60"/>
      <c r="F105" s="60"/>
    </row>
    <row r="106" spans="1:6" x14ac:dyDescent="0.55000000000000004">
      <c r="A106" t="s">
        <v>317</v>
      </c>
      <c r="B106" t="s">
        <v>833</v>
      </c>
      <c r="C106">
        <v>0.22755629999999999</v>
      </c>
      <c r="D106">
        <v>105</v>
      </c>
      <c r="E106" s="60"/>
      <c r="F106" s="60"/>
    </row>
    <row r="107" spans="1:6" x14ac:dyDescent="0.55000000000000004">
      <c r="A107" t="s">
        <v>318</v>
      </c>
      <c r="B107" t="s">
        <v>1261</v>
      </c>
      <c r="C107">
        <v>0.22636429999999999</v>
      </c>
      <c r="D107">
        <v>106</v>
      </c>
      <c r="E107" s="60"/>
      <c r="F107" s="60"/>
    </row>
    <row r="108" spans="1:6" x14ac:dyDescent="0.55000000000000004">
      <c r="A108" t="s">
        <v>319</v>
      </c>
      <c r="B108" t="s">
        <v>1327</v>
      </c>
      <c r="C108">
        <v>0.2229237</v>
      </c>
      <c r="D108">
        <v>107</v>
      </c>
      <c r="E108" s="60"/>
      <c r="F108" s="60"/>
    </row>
    <row r="109" spans="1:6" x14ac:dyDescent="0.55000000000000004">
      <c r="A109" t="s">
        <v>320</v>
      </c>
      <c r="B109" t="s">
        <v>1265</v>
      </c>
      <c r="C109">
        <v>0.21904660000000001</v>
      </c>
      <c r="D109">
        <v>108</v>
      </c>
      <c r="E109" s="60"/>
      <c r="F109" s="60"/>
    </row>
    <row r="110" spans="1:6" x14ac:dyDescent="0.55000000000000004">
      <c r="A110" t="s">
        <v>321</v>
      </c>
      <c r="B110" t="s">
        <v>1385</v>
      </c>
      <c r="C110">
        <v>0.2180916</v>
      </c>
      <c r="D110">
        <v>109</v>
      </c>
      <c r="E110" s="60"/>
      <c r="F110" s="60"/>
    </row>
    <row r="111" spans="1:6" x14ac:dyDescent="0.55000000000000004">
      <c r="A111" t="s">
        <v>322</v>
      </c>
      <c r="B111" t="s">
        <v>834</v>
      </c>
      <c r="C111">
        <v>0.2136961</v>
      </c>
      <c r="D111">
        <v>110</v>
      </c>
      <c r="E111" s="60"/>
      <c r="F111" s="60"/>
    </row>
    <row r="112" spans="1:6" x14ac:dyDescent="0.55000000000000004">
      <c r="A112" t="s">
        <v>323</v>
      </c>
      <c r="B112" t="s">
        <v>1007</v>
      </c>
      <c r="C112">
        <v>0.21347079999999999</v>
      </c>
      <c r="D112">
        <v>111</v>
      </c>
      <c r="E112" s="60"/>
      <c r="F112" s="60"/>
    </row>
    <row r="113" spans="1:6" x14ac:dyDescent="0.55000000000000004">
      <c r="A113" t="s">
        <v>324</v>
      </c>
      <c r="B113" t="s">
        <v>964</v>
      </c>
      <c r="C113">
        <v>0.21112880000000001</v>
      </c>
      <c r="D113">
        <v>112</v>
      </c>
      <c r="E113" s="60"/>
      <c r="F113" s="60"/>
    </row>
    <row r="114" spans="1:6" x14ac:dyDescent="0.55000000000000004">
      <c r="A114" t="s">
        <v>325</v>
      </c>
      <c r="B114" t="s">
        <v>1166</v>
      </c>
      <c r="C114">
        <v>0.20420730000000001</v>
      </c>
      <c r="D114">
        <v>113</v>
      </c>
      <c r="E114" s="60"/>
      <c r="F114" s="60"/>
    </row>
    <row r="115" spans="1:6" x14ac:dyDescent="0.55000000000000004">
      <c r="A115" t="s">
        <v>326</v>
      </c>
      <c r="B115" t="s">
        <v>1014</v>
      </c>
      <c r="C115">
        <v>0.20281959999999999</v>
      </c>
      <c r="D115">
        <v>114</v>
      </c>
      <c r="E115" s="60"/>
      <c r="F115" s="60"/>
    </row>
    <row r="116" spans="1:6" x14ac:dyDescent="0.55000000000000004">
      <c r="A116" t="s">
        <v>327</v>
      </c>
      <c r="B116" t="s">
        <v>1060</v>
      </c>
      <c r="C116">
        <v>0.20277500000000001</v>
      </c>
      <c r="D116">
        <v>115</v>
      </c>
      <c r="E116" s="60"/>
      <c r="F116" s="60"/>
    </row>
    <row r="117" spans="1:6" x14ac:dyDescent="0.55000000000000004">
      <c r="A117" t="s">
        <v>328</v>
      </c>
      <c r="B117" t="s">
        <v>1408</v>
      </c>
      <c r="C117">
        <v>0.1988386</v>
      </c>
      <c r="D117">
        <v>116</v>
      </c>
      <c r="E117" s="60"/>
      <c r="F117" s="60"/>
    </row>
    <row r="118" spans="1:6" x14ac:dyDescent="0.55000000000000004">
      <c r="A118" t="s">
        <v>329</v>
      </c>
      <c r="B118" t="s">
        <v>1018</v>
      </c>
      <c r="C118">
        <v>0.19804640000000001</v>
      </c>
      <c r="D118">
        <v>117</v>
      </c>
      <c r="E118" s="60"/>
      <c r="F118" s="60"/>
    </row>
    <row r="119" spans="1:6" x14ac:dyDescent="0.55000000000000004">
      <c r="A119" t="s">
        <v>330</v>
      </c>
      <c r="B119" t="s">
        <v>1006</v>
      </c>
      <c r="C119">
        <v>0.19653609999999999</v>
      </c>
      <c r="D119">
        <v>118</v>
      </c>
      <c r="E119" s="60"/>
      <c r="F119" s="60"/>
    </row>
    <row r="120" spans="1:6" x14ac:dyDescent="0.55000000000000004">
      <c r="A120" t="s">
        <v>331</v>
      </c>
      <c r="B120" t="s">
        <v>835</v>
      </c>
      <c r="C120">
        <v>0.1955665</v>
      </c>
      <c r="D120">
        <v>119</v>
      </c>
      <c r="E120" s="60"/>
      <c r="F120" s="60"/>
    </row>
    <row r="121" spans="1:6" x14ac:dyDescent="0.55000000000000004">
      <c r="A121" t="s">
        <v>332</v>
      </c>
      <c r="B121" t="s">
        <v>1369</v>
      </c>
      <c r="C121">
        <v>0.19482749999999999</v>
      </c>
      <c r="D121">
        <v>120</v>
      </c>
      <c r="E121" s="60"/>
      <c r="F121" s="60"/>
    </row>
    <row r="122" spans="1:6" x14ac:dyDescent="0.55000000000000004">
      <c r="A122" t="s">
        <v>333</v>
      </c>
      <c r="B122" t="s">
        <v>836</v>
      </c>
      <c r="C122">
        <v>0.1932971</v>
      </c>
      <c r="D122">
        <v>121</v>
      </c>
      <c r="E122" s="60"/>
      <c r="F122" s="60"/>
    </row>
    <row r="123" spans="1:6" x14ac:dyDescent="0.55000000000000004">
      <c r="A123" t="s">
        <v>334</v>
      </c>
      <c r="B123" t="s">
        <v>1378</v>
      </c>
      <c r="C123">
        <v>0.1919274</v>
      </c>
      <c r="D123">
        <v>122</v>
      </c>
      <c r="E123" s="60"/>
      <c r="F123" s="60"/>
    </row>
    <row r="124" spans="1:6" x14ac:dyDescent="0.55000000000000004">
      <c r="A124" t="s">
        <v>335</v>
      </c>
      <c r="B124" t="s">
        <v>1324</v>
      </c>
      <c r="C124">
        <v>0.19167600000000001</v>
      </c>
      <c r="D124">
        <v>123</v>
      </c>
      <c r="E124" s="60"/>
      <c r="F124" s="60"/>
    </row>
    <row r="125" spans="1:6" x14ac:dyDescent="0.55000000000000004">
      <c r="A125" t="s">
        <v>336</v>
      </c>
      <c r="B125" t="s">
        <v>973</v>
      </c>
      <c r="C125">
        <v>0.19147</v>
      </c>
      <c r="D125">
        <v>124</v>
      </c>
      <c r="E125" s="60"/>
      <c r="F125" s="60"/>
    </row>
    <row r="126" spans="1:6" x14ac:dyDescent="0.55000000000000004">
      <c r="A126" t="s">
        <v>337</v>
      </c>
      <c r="B126" t="s">
        <v>1126</v>
      </c>
      <c r="C126">
        <v>0.1908879</v>
      </c>
      <c r="D126">
        <v>125</v>
      </c>
      <c r="E126" s="60"/>
      <c r="F126" s="60"/>
    </row>
    <row r="127" spans="1:6" x14ac:dyDescent="0.55000000000000004">
      <c r="A127" t="s">
        <v>338</v>
      </c>
      <c r="B127" t="s">
        <v>896</v>
      </c>
      <c r="C127">
        <v>0.18999869999999999</v>
      </c>
      <c r="D127">
        <v>126</v>
      </c>
      <c r="E127" s="60"/>
      <c r="F127" s="60"/>
    </row>
    <row r="128" spans="1:6" x14ac:dyDescent="0.55000000000000004">
      <c r="A128" t="s">
        <v>339</v>
      </c>
      <c r="B128" t="s">
        <v>1177</v>
      </c>
      <c r="C128">
        <v>0.18804499999999999</v>
      </c>
      <c r="D128">
        <v>127</v>
      </c>
      <c r="E128" s="60"/>
      <c r="F128" s="60"/>
    </row>
    <row r="129" spans="1:6" x14ac:dyDescent="0.55000000000000004">
      <c r="A129" t="s">
        <v>340</v>
      </c>
      <c r="B129" t="s">
        <v>1027</v>
      </c>
      <c r="C129">
        <v>0.187246</v>
      </c>
      <c r="D129">
        <v>128</v>
      </c>
      <c r="E129" s="60"/>
      <c r="F129" s="60"/>
    </row>
    <row r="130" spans="1:6" x14ac:dyDescent="0.55000000000000004">
      <c r="A130" t="s">
        <v>341</v>
      </c>
      <c r="B130" t="s">
        <v>1119</v>
      </c>
      <c r="C130">
        <v>0.18541279999999999</v>
      </c>
      <c r="D130">
        <v>129</v>
      </c>
      <c r="E130" s="60"/>
      <c r="F130" s="60"/>
    </row>
    <row r="131" spans="1:6" x14ac:dyDescent="0.55000000000000004">
      <c r="A131" t="s">
        <v>342</v>
      </c>
      <c r="B131" t="s">
        <v>1069</v>
      </c>
      <c r="C131">
        <v>0.18522359999999999</v>
      </c>
      <c r="D131">
        <v>130</v>
      </c>
      <c r="E131" s="60"/>
      <c r="F131" s="60"/>
    </row>
    <row r="132" spans="1:6" x14ac:dyDescent="0.55000000000000004">
      <c r="A132" t="s">
        <v>343</v>
      </c>
      <c r="B132" t="s">
        <v>1167</v>
      </c>
      <c r="C132">
        <v>0.1806479</v>
      </c>
      <c r="D132">
        <v>131</v>
      </c>
      <c r="E132" s="60"/>
      <c r="F132" s="60"/>
    </row>
    <row r="133" spans="1:6" x14ac:dyDescent="0.55000000000000004">
      <c r="A133" t="s">
        <v>344</v>
      </c>
      <c r="B133" t="s">
        <v>1298</v>
      </c>
      <c r="C133">
        <v>0.1787792</v>
      </c>
      <c r="D133">
        <v>132</v>
      </c>
      <c r="E133" s="60"/>
      <c r="F133" s="60"/>
    </row>
    <row r="134" spans="1:6" x14ac:dyDescent="0.55000000000000004">
      <c r="A134" t="s">
        <v>345</v>
      </c>
      <c r="B134" t="s">
        <v>1259</v>
      </c>
      <c r="C134">
        <v>0.17734340000000001</v>
      </c>
      <c r="D134">
        <v>133</v>
      </c>
      <c r="E134" s="60"/>
      <c r="F134" s="60"/>
    </row>
    <row r="135" spans="1:6" x14ac:dyDescent="0.55000000000000004">
      <c r="A135" t="s">
        <v>346</v>
      </c>
      <c r="B135" t="s">
        <v>1374</v>
      </c>
      <c r="C135">
        <v>0.17719289999999999</v>
      </c>
      <c r="D135">
        <v>134</v>
      </c>
      <c r="E135" s="60"/>
      <c r="F135" s="60"/>
    </row>
    <row r="136" spans="1:6" x14ac:dyDescent="0.55000000000000004">
      <c r="A136" t="s">
        <v>347</v>
      </c>
      <c r="B136" t="s">
        <v>1217</v>
      </c>
      <c r="C136">
        <v>0.17624629999999999</v>
      </c>
      <c r="D136">
        <v>135</v>
      </c>
      <c r="E136" s="60"/>
      <c r="F136" s="60"/>
    </row>
    <row r="137" spans="1:6" x14ac:dyDescent="0.55000000000000004">
      <c r="A137" t="s">
        <v>348</v>
      </c>
      <c r="B137" t="s">
        <v>1351</v>
      </c>
      <c r="C137">
        <v>0.17459749999999999</v>
      </c>
      <c r="D137">
        <v>136</v>
      </c>
      <c r="E137" s="60"/>
      <c r="F137" s="60"/>
    </row>
    <row r="138" spans="1:6" x14ac:dyDescent="0.55000000000000004">
      <c r="A138" t="s">
        <v>349</v>
      </c>
      <c r="B138" t="s">
        <v>886</v>
      </c>
      <c r="C138">
        <v>0.17388310000000001</v>
      </c>
      <c r="D138">
        <v>137</v>
      </c>
      <c r="E138" s="60"/>
      <c r="F138" s="60"/>
    </row>
    <row r="139" spans="1:6" x14ac:dyDescent="0.55000000000000004">
      <c r="A139" t="s">
        <v>350</v>
      </c>
      <c r="B139" t="s">
        <v>1318</v>
      </c>
      <c r="C139">
        <v>0.173286</v>
      </c>
      <c r="D139">
        <v>138</v>
      </c>
      <c r="E139" s="60"/>
      <c r="F139" s="60"/>
    </row>
    <row r="140" spans="1:6" x14ac:dyDescent="0.55000000000000004">
      <c r="A140" t="s">
        <v>351</v>
      </c>
      <c r="B140" t="s">
        <v>1231</v>
      </c>
      <c r="C140">
        <v>0.1728982</v>
      </c>
      <c r="D140">
        <v>139</v>
      </c>
      <c r="E140" s="60"/>
      <c r="F140" s="60"/>
    </row>
    <row r="141" spans="1:6" x14ac:dyDescent="0.55000000000000004">
      <c r="A141" t="s">
        <v>352</v>
      </c>
      <c r="B141" t="s">
        <v>1333</v>
      </c>
      <c r="C141">
        <v>0.17117399999999999</v>
      </c>
      <c r="D141">
        <v>140</v>
      </c>
      <c r="E141" s="60"/>
      <c r="F141" s="60"/>
    </row>
    <row r="142" spans="1:6" x14ac:dyDescent="0.55000000000000004">
      <c r="A142" t="s">
        <v>353</v>
      </c>
      <c r="B142" t="s">
        <v>838</v>
      </c>
      <c r="C142">
        <v>0.1703749</v>
      </c>
      <c r="D142">
        <v>141</v>
      </c>
      <c r="E142" s="60"/>
      <c r="F142" s="60"/>
    </row>
    <row r="143" spans="1:6" x14ac:dyDescent="0.55000000000000004">
      <c r="A143" t="s">
        <v>354</v>
      </c>
      <c r="B143" t="s">
        <v>1112</v>
      </c>
      <c r="C143">
        <v>0.16771949999999999</v>
      </c>
      <c r="D143">
        <v>142</v>
      </c>
      <c r="E143" s="60"/>
      <c r="F143" s="60"/>
    </row>
    <row r="144" spans="1:6" x14ac:dyDescent="0.55000000000000004">
      <c r="A144" t="s">
        <v>355</v>
      </c>
      <c r="B144" t="s">
        <v>1154</v>
      </c>
      <c r="C144">
        <v>0.1652421</v>
      </c>
      <c r="D144">
        <v>143</v>
      </c>
      <c r="E144" s="60"/>
      <c r="F144" s="60"/>
    </row>
    <row r="145" spans="1:6" x14ac:dyDescent="0.55000000000000004">
      <c r="A145" t="s">
        <v>356</v>
      </c>
      <c r="B145" t="s">
        <v>837</v>
      </c>
      <c r="C145">
        <v>0.16205510000000001</v>
      </c>
      <c r="D145">
        <v>144</v>
      </c>
      <c r="E145" s="60"/>
      <c r="F145" s="60"/>
    </row>
    <row r="146" spans="1:6" x14ac:dyDescent="0.55000000000000004">
      <c r="A146" t="s">
        <v>357</v>
      </c>
      <c r="B146" t="s">
        <v>1080</v>
      </c>
      <c r="C146">
        <v>0.16161719999999999</v>
      </c>
      <c r="D146">
        <v>145</v>
      </c>
      <c r="E146" s="60"/>
      <c r="F146" s="60"/>
    </row>
    <row r="147" spans="1:6" x14ac:dyDescent="0.55000000000000004">
      <c r="A147" t="s">
        <v>358</v>
      </c>
      <c r="B147" t="s">
        <v>993</v>
      </c>
      <c r="C147">
        <v>0.15770709999999999</v>
      </c>
      <c r="D147">
        <v>146</v>
      </c>
      <c r="E147" s="60"/>
      <c r="F147" s="60"/>
    </row>
    <row r="148" spans="1:6" x14ac:dyDescent="0.55000000000000004">
      <c r="A148" t="s">
        <v>359</v>
      </c>
      <c r="B148" t="s">
        <v>839</v>
      </c>
      <c r="C148">
        <v>0.15680810000000001</v>
      </c>
      <c r="D148">
        <v>147</v>
      </c>
      <c r="E148" s="60"/>
      <c r="F148" s="60"/>
    </row>
    <row r="149" spans="1:6" x14ac:dyDescent="0.55000000000000004">
      <c r="A149" t="s">
        <v>360</v>
      </c>
      <c r="B149" t="s">
        <v>996</v>
      </c>
      <c r="C149">
        <v>0.1558427</v>
      </c>
      <c r="D149">
        <v>148</v>
      </c>
      <c r="E149" s="60"/>
      <c r="F149" s="60"/>
    </row>
    <row r="150" spans="1:6" x14ac:dyDescent="0.55000000000000004">
      <c r="A150" t="s">
        <v>361</v>
      </c>
      <c r="B150" t="s">
        <v>1038</v>
      </c>
      <c r="C150">
        <v>0.15577759999999999</v>
      </c>
      <c r="D150">
        <v>149</v>
      </c>
      <c r="E150" s="60"/>
      <c r="F150" s="60"/>
    </row>
    <row r="151" spans="1:6" x14ac:dyDescent="0.55000000000000004">
      <c r="A151" t="s">
        <v>362</v>
      </c>
      <c r="B151" t="s">
        <v>1201</v>
      </c>
      <c r="C151">
        <v>0.15529180000000001</v>
      </c>
      <c r="D151">
        <v>150</v>
      </c>
      <c r="E151" s="60"/>
      <c r="F151" s="60"/>
    </row>
    <row r="152" spans="1:6" x14ac:dyDescent="0.55000000000000004">
      <c r="A152" t="s">
        <v>363</v>
      </c>
      <c r="B152" t="s">
        <v>1139</v>
      </c>
      <c r="C152">
        <v>0.1552675</v>
      </c>
      <c r="D152">
        <v>151</v>
      </c>
      <c r="E152" s="60"/>
      <c r="F152" s="60"/>
    </row>
    <row r="153" spans="1:6" x14ac:dyDescent="0.55000000000000004">
      <c r="A153" t="s">
        <v>364</v>
      </c>
      <c r="B153" t="s">
        <v>841</v>
      </c>
      <c r="C153">
        <v>0.1545328</v>
      </c>
      <c r="D153">
        <v>152</v>
      </c>
      <c r="E153" s="60"/>
      <c r="F153" s="60"/>
    </row>
    <row r="154" spans="1:6" x14ac:dyDescent="0.55000000000000004">
      <c r="A154" t="s">
        <v>365</v>
      </c>
      <c r="B154" t="s">
        <v>1125</v>
      </c>
      <c r="C154">
        <v>0.1509925</v>
      </c>
      <c r="D154">
        <v>153</v>
      </c>
      <c r="E154" s="60"/>
      <c r="F154" s="60"/>
    </row>
    <row r="155" spans="1:6" x14ac:dyDescent="0.55000000000000004">
      <c r="A155" t="s">
        <v>366</v>
      </c>
      <c r="B155" t="s">
        <v>1171</v>
      </c>
      <c r="C155">
        <v>0.1503256</v>
      </c>
      <c r="D155">
        <v>154</v>
      </c>
      <c r="E155" s="60"/>
      <c r="F155" s="60"/>
    </row>
    <row r="156" spans="1:6" x14ac:dyDescent="0.55000000000000004">
      <c r="A156" t="s">
        <v>367</v>
      </c>
      <c r="B156" t="s">
        <v>1081</v>
      </c>
      <c r="C156">
        <v>0.14938070000000001</v>
      </c>
      <c r="D156">
        <v>155</v>
      </c>
      <c r="E156" s="60"/>
      <c r="F156" s="60"/>
    </row>
    <row r="157" spans="1:6" x14ac:dyDescent="0.55000000000000004">
      <c r="A157" t="s">
        <v>368</v>
      </c>
      <c r="B157" t="s">
        <v>1348</v>
      </c>
      <c r="C157">
        <v>0.1473873</v>
      </c>
      <c r="D157">
        <v>156</v>
      </c>
      <c r="E157" s="60"/>
      <c r="F157" s="60"/>
    </row>
    <row r="158" spans="1:6" x14ac:dyDescent="0.55000000000000004">
      <c r="A158" t="s">
        <v>369</v>
      </c>
      <c r="B158" t="s">
        <v>891</v>
      </c>
      <c r="C158">
        <v>0.1462994</v>
      </c>
      <c r="D158">
        <v>157</v>
      </c>
      <c r="E158" s="60"/>
      <c r="F158" s="60"/>
    </row>
    <row r="159" spans="1:6" x14ac:dyDescent="0.55000000000000004">
      <c r="A159" t="s">
        <v>370</v>
      </c>
      <c r="B159" t="s">
        <v>1252</v>
      </c>
      <c r="C159">
        <v>0.1435826</v>
      </c>
      <c r="D159">
        <v>158</v>
      </c>
      <c r="E159" s="60"/>
      <c r="F159" s="60"/>
    </row>
    <row r="160" spans="1:6" x14ac:dyDescent="0.55000000000000004">
      <c r="A160" t="s">
        <v>371</v>
      </c>
      <c r="B160" t="s">
        <v>1235</v>
      </c>
      <c r="C160">
        <v>0.14252919999999999</v>
      </c>
      <c r="D160">
        <v>159</v>
      </c>
      <c r="E160" s="60"/>
      <c r="F160" s="60"/>
    </row>
    <row r="161" spans="1:6" x14ac:dyDescent="0.55000000000000004">
      <c r="A161" t="s">
        <v>372</v>
      </c>
      <c r="B161" t="s">
        <v>1085</v>
      </c>
      <c r="C161">
        <v>0.1413392</v>
      </c>
      <c r="D161">
        <v>160</v>
      </c>
      <c r="E161" s="60"/>
      <c r="F161" s="60"/>
    </row>
    <row r="162" spans="1:6" x14ac:dyDescent="0.55000000000000004">
      <c r="A162" t="s">
        <v>373</v>
      </c>
      <c r="B162" t="s">
        <v>1198</v>
      </c>
      <c r="C162">
        <v>0.14081659999999999</v>
      </c>
      <c r="D162">
        <v>161</v>
      </c>
      <c r="E162" s="60"/>
      <c r="F162" s="60"/>
    </row>
    <row r="163" spans="1:6" x14ac:dyDescent="0.55000000000000004">
      <c r="A163" t="s">
        <v>374</v>
      </c>
      <c r="B163" t="s">
        <v>1041</v>
      </c>
      <c r="C163">
        <v>0.14069010000000001</v>
      </c>
      <c r="D163">
        <v>162</v>
      </c>
      <c r="E163" s="60"/>
      <c r="F163" s="60"/>
    </row>
    <row r="164" spans="1:6" x14ac:dyDescent="0.55000000000000004">
      <c r="A164" t="s">
        <v>375</v>
      </c>
      <c r="B164" t="s">
        <v>840</v>
      </c>
      <c r="C164">
        <v>0.1400091</v>
      </c>
      <c r="D164">
        <v>163</v>
      </c>
      <c r="E164" s="60"/>
      <c r="F164" s="60"/>
    </row>
    <row r="165" spans="1:6" x14ac:dyDescent="0.55000000000000004">
      <c r="A165" t="s">
        <v>376</v>
      </c>
      <c r="B165" t="s">
        <v>1223</v>
      </c>
      <c r="C165">
        <v>0.1383596</v>
      </c>
      <c r="D165">
        <v>164</v>
      </c>
      <c r="E165" s="60"/>
      <c r="F165" s="60"/>
    </row>
    <row r="166" spans="1:6" x14ac:dyDescent="0.55000000000000004">
      <c r="A166" t="s">
        <v>377</v>
      </c>
      <c r="B166" t="s">
        <v>916</v>
      </c>
      <c r="C166">
        <v>0.13803770000000001</v>
      </c>
      <c r="D166">
        <v>165</v>
      </c>
      <c r="E166" s="60"/>
      <c r="F166" s="60"/>
    </row>
    <row r="167" spans="1:6" x14ac:dyDescent="0.55000000000000004">
      <c r="A167" t="s">
        <v>378</v>
      </c>
      <c r="B167" t="s">
        <v>1022</v>
      </c>
      <c r="C167">
        <v>0.13691639999999999</v>
      </c>
      <c r="D167">
        <v>166</v>
      </c>
      <c r="E167" s="60"/>
      <c r="F167" s="60"/>
    </row>
    <row r="168" spans="1:6" x14ac:dyDescent="0.55000000000000004">
      <c r="A168" t="s">
        <v>379</v>
      </c>
      <c r="B168" t="s">
        <v>1116</v>
      </c>
      <c r="C168">
        <v>0.1367901</v>
      </c>
      <c r="D168">
        <v>167</v>
      </c>
      <c r="E168" s="60"/>
      <c r="F168" s="60"/>
    </row>
    <row r="169" spans="1:6" x14ac:dyDescent="0.55000000000000004">
      <c r="A169" t="s">
        <v>380</v>
      </c>
      <c r="B169" t="s">
        <v>970</v>
      </c>
      <c r="C169">
        <v>0.13639290000000001</v>
      </c>
      <c r="D169">
        <v>168</v>
      </c>
      <c r="E169" s="60"/>
      <c r="F169" s="60"/>
    </row>
    <row r="170" spans="1:6" x14ac:dyDescent="0.55000000000000004">
      <c r="A170" t="s">
        <v>381</v>
      </c>
      <c r="B170" t="s">
        <v>1026</v>
      </c>
      <c r="C170">
        <v>0.13618749999999999</v>
      </c>
      <c r="D170">
        <v>169</v>
      </c>
      <c r="E170" s="60"/>
      <c r="F170" s="60"/>
    </row>
    <row r="171" spans="1:6" x14ac:dyDescent="0.55000000000000004">
      <c r="A171" t="s">
        <v>382</v>
      </c>
      <c r="B171" t="s">
        <v>897</v>
      </c>
      <c r="C171">
        <v>0.13440669999999999</v>
      </c>
      <c r="D171">
        <v>170</v>
      </c>
      <c r="E171" s="60"/>
      <c r="F171" s="60"/>
    </row>
    <row r="172" spans="1:6" x14ac:dyDescent="0.55000000000000004">
      <c r="A172" t="s">
        <v>383</v>
      </c>
      <c r="B172" t="s">
        <v>997</v>
      </c>
      <c r="C172">
        <v>0.13424449999999999</v>
      </c>
      <c r="D172">
        <v>171</v>
      </c>
      <c r="E172" s="60"/>
      <c r="F172" s="60"/>
    </row>
    <row r="173" spans="1:6" x14ac:dyDescent="0.55000000000000004">
      <c r="A173" t="s">
        <v>384</v>
      </c>
      <c r="B173" t="s">
        <v>1290</v>
      </c>
      <c r="C173">
        <v>0.132794</v>
      </c>
      <c r="D173">
        <v>172</v>
      </c>
      <c r="E173" s="60"/>
      <c r="F173" s="60"/>
    </row>
    <row r="174" spans="1:6" x14ac:dyDescent="0.55000000000000004">
      <c r="A174" t="s">
        <v>385</v>
      </c>
      <c r="B174" t="s">
        <v>1104</v>
      </c>
      <c r="C174">
        <v>0.13255810000000001</v>
      </c>
      <c r="D174">
        <v>173</v>
      </c>
      <c r="E174" s="60"/>
      <c r="F174" s="60"/>
    </row>
    <row r="175" spans="1:6" x14ac:dyDescent="0.55000000000000004">
      <c r="A175" t="s">
        <v>386</v>
      </c>
      <c r="B175" t="s">
        <v>855</v>
      </c>
      <c r="C175">
        <v>0.13251540000000001</v>
      </c>
      <c r="D175">
        <v>174</v>
      </c>
      <c r="E175" s="60"/>
      <c r="F175" s="60"/>
    </row>
    <row r="176" spans="1:6" x14ac:dyDescent="0.55000000000000004">
      <c r="A176" t="s">
        <v>387</v>
      </c>
      <c r="B176" t="s">
        <v>1047</v>
      </c>
      <c r="C176">
        <v>0.13077569999999999</v>
      </c>
      <c r="D176">
        <v>175</v>
      </c>
      <c r="E176" s="60"/>
      <c r="F176" s="60"/>
    </row>
    <row r="177" spans="1:6" x14ac:dyDescent="0.55000000000000004">
      <c r="A177" t="s">
        <v>388</v>
      </c>
      <c r="B177" t="s">
        <v>966</v>
      </c>
      <c r="C177">
        <v>0.12921469999999999</v>
      </c>
      <c r="D177">
        <v>176</v>
      </c>
      <c r="E177" s="60"/>
      <c r="F177" s="60"/>
    </row>
    <row r="178" spans="1:6" x14ac:dyDescent="0.55000000000000004">
      <c r="A178" t="s">
        <v>389</v>
      </c>
      <c r="B178" t="s">
        <v>854</v>
      </c>
      <c r="C178">
        <v>0.1266612</v>
      </c>
      <c r="D178">
        <v>177</v>
      </c>
      <c r="E178" s="60"/>
      <c r="F178" s="60"/>
    </row>
    <row r="179" spans="1:6" x14ac:dyDescent="0.55000000000000004">
      <c r="A179" t="s">
        <v>390</v>
      </c>
      <c r="B179" t="s">
        <v>894</v>
      </c>
      <c r="C179">
        <v>0.12496400000000001</v>
      </c>
      <c r="D179">
        <v>178</v>
      </c>
      <c r="E179" s="60"/>
      <c r="F179" s="60"/>
    </row>
    <row r="180" spans="1:6" x14ac:dyDescent="0.55000000000000004">
      <c r="A180" t="s">
        <v>391</v>
      </c>
      <c r="B180" t="s">
        <v>1194</v>
      </c>
      <c r="C180">
        <v>0.1243568</v>
      </c>
      <c r="D180">
        <v>179</v>
      </c>
      <c r="E180" s="60"/>
      <c r="F180" s="60"/>
    </row>
    <row r="181" spans="1:6" x14ac:dyDescent="0.55000000000000004">
      <c r="A181" t="s">
        <v>392</v>
      </c>
      <c r="B181" t="s">
        <v>1211</v>
      </c>
      <c r="C181">
        <v>0.12335550000000001</v>
      </c>
      <c r="D181">
        <v>180</v>
      </c>
      <c r="E181" s="60"/>
      <c r="F181" s="60"/>
    </row>
    <row r="182" spans="1:6" x14ac:dyDescent="0.55000000000000004">
      <c r="A182" t="s">
        <v>393</v>
      </c>
      <c r="B182" t="s">
        <v>1013</v>
      </c>
      <c r="C182">
        <v>0.1227632</v>
      </c>
      <c r="D182">
        <v>181</v>
      </c>
      <c r="E182" s="60"/>
      <c r="F182" s="60"/>
    </row>
    <row r="183" spans="1:6" x14ac:dyDescent="0.55000000000000004">
      <c r="A183" t="s">
        <v>394</v>
      </c>
      <c r="B183" t="s">
        <v>1008</v>
      </c>
      <c r="C183">
        <v>0.12199019999999999</v>
      </c>
      <c r="D183">
        <v>182</v>
      </c>
      <c r="E183" s="60"/>
      <c r="F183" s="60"/>
    </row>
    <row r="184" spans="1:6" x14ac:dyDescent="0.55000000000000004">
      <c r="A184" t="s">
        <v>395</v>
      </c>
      <c r="B184" t="s">
        <v>906</v>
      </c>
      <c r="C184">
        <v>0.1198905</v>
      </c>
      <c r="D184">
        <v>183</v>
      </c>
      <c r="E184" s="60"/>
      <c r="F184" s="60"/>
    </row>
    <row r="185" spans="1:6" x14ac:dyDescent="0.55000000000000004">
      <c r="A185" t="s">
        <v>396</v>
      </c>
      <c r="B185" t="s">
        <v>1115</v>
      </c>
      <c r="C185">
        <v>0.11659799999999999</v>
      </c>
      <c r="D185">
        <v>184</v>
      </c>
      <c r="E185" s="60"/>
      <c r="F185" s="60"/>
    </row>
    <row r="186" spans="1:6" x14ac:dyDescent="0.55000000000000004">
      <c r="A186" t="s">
        <v>397</v>
      </c>
      <c r="B186" t="s">
        <v>1195</v>
      </c>
      <c r="C186">
        <v>0.1164573</v>
      </c>
      <c r="D186">
        <v>185</v>
      </c>
      <c r="E186" s="60"/>
      <c r="F186" s="60"/>
    </row>
    <row r="187" spans="1:6" x14ac:dyDescent="0.55000000000000004">
      <c r="A187" t="s">
        <v>398</v>
      </c>
      <c r="B187" t="s">
        <v>920</v>
      </c>
      <c r="C187">
        <v>0.11623559999999999</v>
      </c>
      <c r="D187">
        <v>186</v>
      </c>
      <c r="E187" s="60"/>
      <c r="F187" s="60"/>
    </row>
    <row r="188" spans="1:6" x14ac:dyDescent="0.55000000000000004">
      <c r="A188" t="s">
        <v>399</v>
      </c>
      <c r="B188" t="s">
        <v>1017</v>
      </c>
      <c r="C188">
        <v>0.11575820000000001</v>
      </c>
      <c r="D188">
        <v>187</v>
      </c>
      <c r="E188" s="60"/>
      <c r="F188" s="60"/>
    </row>
    <row r="189" spans="1:6" x14ac:dyDescent="0.55000000000000004">
      <c r="A189" t="s">
        <v>400</v>
      </c>
      <c r="B189" t="s">
        <v>881</v>
      </c>
      <c r="C189">
        <v>0.11560289999999999</v>
      </c>
      <c r="D189">
        <v>188</v>
      </c>
      <c r="E189" s="60"/>
      <c r="F189" s="60"/>
    </row>
    <row r="190" spans="1:6" x14ac:dyDescent="0.55000000000000004">
      <c r="A190" t="s">
        <v>401</v>
      </c>
      <c r="B190" t="s">
        <v>1056</v>
      </c>
      <c r="C190">
        <v>0.1138019</v>
      </c>
      <c r="D190">
        <v>189</v>
      </c>
      <c r="E190" s="60"/>
      <c r="F190" s="60"/>
    </row>
    <row r="191" spans="1:6" x14ac:dyDescent="0.55000000000000004">
      <c r="A191" t="s">
        <v>402</v>
      </c>
      <c r="B191" t="s">
        <v>1303</v>
      </c>
      <c r="C191">
        <v>0.11081100000000001</v>
      </c>
      <c r="D191">
        <v>190</v>
      </c>
      <c r="E191" s="60"/>
      <c r="F191" s="60"/>
    </row>
    <row r="192" spans="1:6" x14ac:dyDescent="0.55000000000000004">
      <c r="A192" t="s">
        <v>403</v>
      </c>
      <c r="B192" t="s">
        <v>1343</v>
      </c>
      <c r="C192">
        <v>0.10980379999999999</v>
      </c>
      <c r="D192">
        <v>191</v>
      </c>
      <c r="E192" s="60"/>
      <c r="F192" s="60"/>
    </row>
    <row r="193" spans="1:6" x14ac:dyDescent="0.55000000000000004">
      <c r="A193" t="s">
        <v>404</v>
      </c>
      <c r="B193" t="s">
        <v>940</v>
      </c>
      <c r="C193">
        <v>0.10891960000000001</v>
      </c>
      <c r="D193">
        <v>192</v>
      </c>
      <c r="E193" s="60"/>
      <c r="F193" s="60"/>
    </row>
    <row r="194" spans="1:6" x14ac:dyDescent="0.55000000000000004">
      <c r="A194" t="s">
        <v>405</v>
      </c>
      <c r="B194" t="s">
        <v>1082</v>
      </c>
      <c r="C194">
        <v>0.1087591</v>
      </c>
      <c r="D194">
        <v>193</v>
      </c>
      <c r="E194" s="60"/>
      <c r="F194" s="60"/>
    </row>
    <row r="195" spans="1:6" x14ac:dyDescent="0.55000000000000004">
      <c r="A195" t="s">
        <v>406</v>
      </c>
      <c r="B195" t="s">
        <v>1347</v>
      </c>
      <c r="C195">
        <v>0.1065849</v>
      </c>
      <c r="D195">
        <v>194</v>
      </c>
      <c r="E195" s="60"/>
      <c r="F195" s="60"/>
    </row>
    <row r="196" spans="1:6" x14ac:dyDescent="0.55000000000000004">
      <c r="A196" t="s">
        <v>407</v>
      </c>
      <c r="B196" t="s">
        <v>1310</v>
      </c>
      <c r="C196">
        <v>0.1057675</v>
      </c>
      <c r="D196">
        <v>195</v>
      </c>
      <c r="E196" s="60"/>
      <c r="F196" s="60"/>
    </row>
    <row r="197" spans="1:6" x14ac:dyDescent="0.55000000000000004">
      <c r="A197" t="s">
        <v>408</v>
      </c>
      <c r="B197" t="s">
        <v>986</v>
      </c>
      <c r="C197">
        <v>0.105435</v>
      </c>
      <c r="D197">
        <v>196</v>
      </c>
      <c r="E197" s="60"/>
      <c r="F197" s="60"/>
    </row>
    <row r="198" spans="1:6" x14ac:dyDescent="0.55000000000000004">
      <c r="A198" t="s">
        <v>409</v>
      </c>
      <c r="B198" t="s">
        <v>1179</v>
      </c>
      <c r="C198">
        <v>0.10505589999999999</v>
      </c>
      <c r="D198">
        <v>197</v>
      </c>
      <c r="E198" s="60"/>
      <c r="F198" s="60"/>
    </row>
    <row r="199" spans="1:6" x14ac:dyDescent="0.55000000000000004">
      <c r="A199" t="s">
        <v>410</v>
      </c>
      <c r="B199" t="s">
        <v>1243</v>
      </c>
      <c r="C199">
        <v>0.1026821</v>
      </c>
      <c r="D199">
        <v>198</v>
      </c>
      <c r="E199" s="60"/>
      <c r="F199" s="60"/>
    </row>
    <row r="200" spans="1:6" x14ac:dyDescent="0.55000000000000004">
      <c r="A200" t="s">
        <v>411</v>
      </c>
      <c r="B200" t="s">
        <v>892</v>
      </c>
      <c r="C200">
        <v>9.8775920000000003E-2</v>
      </c>
      <c r="D200">
        <v>199</v>
      </c>
      <c r="E200" s="60"/>
      <c r="F200" s="60"/>
    </row>
    <row r="201" spans="1:6" x14ac:dyDescent="0.55000000000000004">
      <c r="A201" t="s">
        <v>412</v>
      </c>
      <c r="B201" t="s">
        <v>1283</v>
      </c>
      <c r="C201">
        <v>9.8060610000000006E-2</v>
      </c>
      <c r="D201">
        <v>200</v>
      </c>
      <c r="E201" s="60"/>
      <c r="F201" s="60"/>
    </row>
    <row r="202" spans="1:6" x14ac:dyDescent="0.55000000000000004">
      <c r="A202" t="s">
        <v>413</v>
      </c>
      <c r="B202" t="s">
        <v>870</v>
      </c>
      <c r="C202">
        <v>9.7632910000000003E-2</v>
      </c>
      <c r="D202">
        <v>201</v>
      </c>
      <c r="E202" s="60"/>
      <c r="F202" s="60"/>
    </row>
    <row r="203" spans="1:6" x14ac:dyDescent="0.55000000000000004">
      <c r="A203" t="s">
        <v>414</v>
      </c>
      <c r="B203" t="s">
        <v>1170</v>
      </c>
      <c r="C203">
        <v>9.7618040000000003E-2</v>
      </c>
      <c r="D203">
        <v>202</v>
      </c>
      <c r="E203" s="60"/>
      <c r="F203" s="60"/>
    </row>
    <row r="204" spans="1:6" x14ac:dyDescent="0.55000000000000004">
      <c r="A204" t="s">
        <v>415</v>
      </c>
      <c r="B204" t="s">
        <v>991</v>
      </c>
      <c r="C204">
        <v>9.7229819999999995E-2</v>
      </c>
      <c r="D204">
        <v>203</v>
      </c>
      <c r="E204" s="60"/>
      <c r="F204" s="60"/>
    </row>
    <row r="205" spans="1:6" x14ac:dyDescent="0.55000000000000004">
      <c r="A205" t="s">
        <v>416</v>
      </c>
      <c r="B205" t="s">
        <v>924</v>
      </c>
      <c r="C205">
        <v>9.7157019999999997E-2</v>
      </c>
      <c r="D205">
        <v>204</v>
      </c>
      <c r="E205" s="60"/>
      <c r="F205" s="60"/>
    </row>
    <row r="206" spans="1:6" x14ac:dyDescent="0.55000000000000004">
      <c r="A206" t="s">
        <v>417</v>
      </c>
      <c r="B206" t="s">
        <v>1382</v>
      </c>
      <c r="C206">
        <v>9.6163760000000001E-2</v>
      </c>
      <c r="D206">
        <v>205</v>
      </c>
      <c r="E206" s="60"/>
      <c r="F206" s="60"/>
    </row>
    <row r="207" spans="1:6" x14ac:dyDescent="0.55000000000000004">
      <c r="A207" t="s">
        <v>418</v>
      </c>
      <c r="B207" t="s">
        <v>1089</v>
      </c>
      <c r="C207">
        <v>9.0798589999999998E-2</v>
      </c>
      <c r="D207">
        <v>206</v>
      </c>
      <c r="E207" s="60"/>
      <c r="F207" s="60"/>
    </row>
    <row r="208" spans="1:6" x14ac:dyDescent="0.55000000000000004">
      <c r="A208" t="s">
        <v>419</v>
      </c>
      <c r="B208" t="s">
        <v>1255</v>
      </c>
      <c r="C208">
        <v>9.0609750000000003E-2</v>
      </c>
      <c r="D208">
        <v>207</v>
      </c>
      <c r="E208" s="60"/>
      <c r="F208" s="60"/>
    </row>
    <row r="209" spans="1:6" x14ac:dyDescent="0.55000000000000004">
      <c r="A209" t="s">
        <v>420</v>
      </c>
      <c r="B209" t="s">
        <v>1059</v>
      </c>
      <c r="C209">
        <v>9.0482010000000002E-2</v>
      </c>
      <c r="D209">
        <v>208</v>
      </c>
      <c r="E209" s="60"/>
      <c r="F209" s="60"/>
    </row>
    <row r="210" spans="1:6" x14ac:dyDescent="0.55000000000000004">
      <c r="A210" t="s">
        <v>421</v>
      </c>
      <c r="B210" t="s">
        <v>1405</v>
      </c>
      <c r="C210">
        <v>8.9456579999999994E-2</v>
      </c>
      <c r="D210">
        <v>209</v>
      </c>
      <c r="E210" s="60"/>
      <c r="F210" s="60"/>
    </row>
    <row r="211" spans="1:6" x14ac:dyDescent="0.55000000000000004">
      <c r="A211" t="s">
        <v>422</v>
      </c>
      <c r="B211" t="s">
        <v>1066</v>
      </c>
      <c r="C211">
        <v>8.8838440000000005E-2</v>
      </c>
      <c r="D211">
        <v>210</v>
      </c>
      <c r="E211" s="60"/>
      <c r="F211" s="60"/>
    </row>
    <row r="212" spans="1:6" x14ac:dyDescent="0.55000000000000004">
      <c r="A212" t="s">
        <v>423</v>
      </c>
      <c r="B212" t="s">
        <v>1120</v>
      </c>
      <c r="C212">
        <v>8.8778339999999997E-2</v>
      </c>
      <c r="D212">
        <v>211</v>
      </c>
      <c r="E212" s="60"/>
      <c r="F212" s="60"/>
    </row>
    <row r="213" spans="1:6" x14ac:dyDescent="0.55000000000000004">
      <c r="A213" t="s">
        <v>424</v>
      </c>
      <c r="B213" t="s">
        <v>1124</v>
      </c>
      <c r="C213">
        <v>8.7808999999999998E-2</v>
      </c>
      <c r="D213">
        <v>212</v>
      </c>
      <c r="E213" s="60"/>
      <c r="F213" s="60"/>
    </row>
    <row r="214" spans="1:6" x14ac:dyDescent="0.55000000000000004">
      <c r="A214" t="s">
        <v>425</v>
      </c>
      <c r="B214" t="s">
        <v>1123</v>
      </c>
      <c r="C214">
        <v>8.7428370000000005E-2</v>
      </c>
      <c r="D214">
        <v>213</v>
      </c>
      <c r="E214" s="60"/>
      <c r="F214" s="60"/>
    </row>
    <row r="215" spans="1:6" x14ac:dyDescent="0.55000000000000004">
      <c r="A215" t="s">
        <v>426</v>
      </c>
      <c r="B215" t="s">
        <v>842</v>
      </c>
      <c r="C215">
        <v>8.7141709999999997E-2</v>
      </c>
      <c r="D215">
        <v>214</v>
      </c>
      <c r="E215" s="60"/>
      <c r="F215" s="60"/>
    </row>
    <row r="216" spans="1:6" x14ac:dyDescent="0.55000000000000004">
      <c r="A216" t="s">
        <v>427</v>
      </c>
      <c r="B216" t="s">
        <v>1030</v>
      </c>
      <c r="C216">
        <v>8.6946460000000003E-2</v>
      </c>
      <c r="D216">
        <v>215</v>
      </c>
      <c r="E216" s="60"/>
      <c r="F216" s="60"/>
    </row>
    <row r="217" spans="1:6" x14ac:dyDescent="0.55000000000000004">
      <c r="A217" t="s">
        <v>428</v>
      </c>
      <c r="B217" t="s">
        <v>843</v>
      </c>
      <c r="C217">
        <v>8.6830710000000005E-2</v>
      </c>
      <c r="D217">
        <v>216</v>
      </c>
      <c r="E217" s="60"/>
      <c r="F217" s="60"/>
    </row>
    <row r="218" spans="1:6" x14ac:dyDescent="0.55000000000000004">
      <c r="A218" t="s">
        <v>429</v>
      </c>
      <c r="B218" t="s">
        <v>1111</v>
      </c>
      <c r="C218">
        <v>8.5224930000000004E-2</v>
      </c>
      <c r="D218">
        <v>217</v>
      </c>
      <c r="E218" s="60"/>
      <c r="F218" s="60"/>
    </row>
    <row r="219" spans="1:6" x14ac:dyDescent="0.55000000000000004">
      <c r="A219" t="s">
        <v>430</v>
      </c>
      <c r="B219" t="s">
        <v>1398</v>
      </c>
      <c r="C219">
        <v>8.4986500000000006E-2</v>
      </c>
      <c r="D219">
        <v>218</v>
      </c>
      <c r="E219" s="60"/>
      <c r="F219" s="60"/>
    </row>
    <row r="220" spans="1:6" x14ac:dyDescent="0.55000000000000004">
      <c r="A220" t="s">
        <v>431</v>
      </c>
      <c r="B220" t="s">
        <v>905</v>
      </c>
      <c r="C220">
        <v>8.4651660000000004E-2</v>
      </c>
      <c r="D220">
        <v>219</v>
      </c>
      <c r="E220" s="60"/>
      <c r="F220" s="60"/>
    </row>
    <row r="221" spans="1:6" x14ac:dyDescent="0.55000000000000004">
      <c r="A221" t="s">
        <v>432</v>
      </c>
      <c r="B221" t="s">
        <v>1182</v>
      </c>
      <c r="C221">
        <v>8.3372909999999995E-2</v>
      </c>
      <c r="D221">
        <v>220</v>
      </c>
      <c r="E221" s="60"/>
      <c r="F221" s="60"/>
    </row>
    <row r="222" spans="1:6" x14ac:dyDescent="0.55000000000000004">
      <c r="A222" t="s">
        <v>433</v>
      </c>
      <c r="B222" t="s">
        <v>1314</v>
      </c>
      <c r="C222">
        <v>8.3350549999999995E-2</v>
      </c>
      <c r="D222">
        <v>221</v>
      </c>
      <c r="E222" s="60"/>
      <c r="F222" s="60"/>
    </row>
    <row r="223" spans="1:6" x14ac:dyDescent="0.55000000000000004">
      <c r="A223" t="s">
        <v>434</v>
      </c>
      <c r="B223" t="s">
        <v>1248</v>
      </c>
      <c r="C223">
        <v>8.2931119999999997E-2</v>
      </c>
      <c r="D223">
        <v>222</v>
      </c>
      <c r="E223" s="60"/>
      <c r="F223" s="60"/>
    </row>
    <row r="224" spans="1:6" x14ac:dyDescent="0.55000000000000004">
      <c r="A224" t="s">
        <v>435</v>
      </c>
      <c r="B224" t="s">
        <v>1393</v>
      </c>
      <c r="C224">
        <v>8.2925830000000006E-2</v>
      </c>
      <c r="D224">
        <v>223</v>
      </c>
      <c r="E224" s="60"/>
      <c r="F224" s="60"/>
    </row>
    <row r="225" spans="1:6" x14ac:dyDescent="0.55000000000000004">
      <c r="A225" t="s">
        <v>436</v>
      </c>
      <c r="B225" t="s">
        <v>1254</v>
      </c>
      <c r="C225">
        <v>8.2353179999999998E-2</v>
      </c>
      <c r="D225">
        <v>224</v>
      </c>
      <c r="E225" s="60"/>
      <c r="F225" s="60"/>
    </row>
    <row r="226" spans="1:6" x14ac:dyDescent="0.55000000000000004">
      <c r="A226" t="s">
        <v>437</v>
      </c>
      <c r="B226" t="s">
        <v>1232</v>
      </c>
      <c r="C226">
        <v>8.1656590000000001E-2</v>
      </c>
      <c r="D226">
        <v>225</v>
      </c>
      <c r="E226" s="60"/>
      <c r="F226" s="60"/>
    </row>
    <row r="227" spans="1:6" x14ac:dyDescent="0.55000000000000004">
      <c r="A227" t="s">
        <v>438</v>
      </c>
      <c r="B227" t="s">
        <v>1363</v>
      </c>
      <c r="C227">
        <v>8.1323179999999995E-2</v>
      </c>
      <c r="D227">
        <v>226</v>
      </c>
      <c r="E227" s="60"/>
      <c r="F227" s="60"/>
    </row>
    <row r="228" spans="1:6" x14ac:dyDescent="0.55000000000000004">
      <c r="A228" t="s">
        <v>439</v>
      </c>
      <c r="B228" t="s">
        <v>1163</v>
      </c>
      <c r="C228">
        <v>8.0702570000000001E-2</v>
      </c>
      <c r="D228">
        <v>227</v>
      </c>
      <c r="E228" s="60"/>
      <c r="F228" s="60"/>
    </row>
    <row r="229" spans="1:6" x14ac:dyDescent="0.55000000000000004">
      <c r="A229" t="s">
        <v>440</v>
      </c>
      <c r="B229" t="s">
        <v>1355</v>
      </c>
      <c r="C229">
        <v>8.0580219999999994E-2</v>
      </c>
      <c r="D229">
        <v>228</v>
      </c>
      <c r="E229" s="60"/>
      <c r="F229" s="60"/>
    </row>
    <row r="230" spans="1:6" x14ac:dyDescent="0.55000000000000004">
      <c r="A230" t="s">
        <v>441</v>
      </c>
      <c r="B230" t="s">
        <v>1296</v>
      </c>
      <c r="C230">
        <v>7.9662079999999996E-2</v>
      </c>
      <c r="D230">
        <v>229</v>
      </c>
      <c r="E230" s="60"/>
      <c r="F230" s="60"/>
    </row>
    <row r="231" spans="1:6" x14ac:dyDescent="0.55000000000000004">
      <c r="A231" t="s">
        <v>442</v>
      </c>
      <c r="B231" t="s">
        <v>850</v>
      </c>
      <c r="C231">
        <v>7.8620019999999999E-2</v>
      </c>
      <c r="D231">
        <v>230</v>
      </c>
      <c r="E231" s="60"/>
      <c r="F231" s="60"/>
    </row>
    <row r="232" spans="1:6" x14ac:dyDescent="0.55000000000000004">
      <c r="A232" t="s">
        <v>443</v>
      </c>
      <c r="B232" t="s">
        <v>1341</v>
      </c>
      <c r="C232">
        <v>7.8187309999999996E-2</v>
      </c>
      <c r="D232">
        <v>231</v>
      </c>
      <c r="E232" s="60"/>
      <c r="F232" s="60"/>
    </row>
    <row r="233" spans="1:6" x14ac:dyDescent="0.55000000000000004">
      <c r="A233" t="s">
        <v>444</v>
      </c>
      <c r="B233" t="s">
        <v>984</v>
      </c>
      <c r="C233">
        <v>7.7909569999999997E-2</v>
      </c>
      <c r="D233">
        <v>232</v>
      </c>
      <c r="E233" s="60"/>
      <c r="F233" s="60"/>
    </row>
    <row r="234" spans="1:6" x14ac:dyDescent="0.55000000000000004">
      <c r="A234" t="s">
        <v>445</v>
      </c>
      <c r="B234" t="s">
        <v>844</v>
      </c>
      <c r="C234">
        <v>7.7905669999999996E-2</v>
      </c>
      <c r="D234">
        <v>233</v>
      </c>
      <c r="E234" s="60"/>
      <c r="F234" s="60"/>
    </row>
    <row r="235" spans="1:6" x14ac:dyDescent="0.55000000000000004">
      <c r="A235" t="s">
        <v>446</v>
      </c>
      <c r="B235" t="s">
        <v>846</v>
      </c>
      <c r="C235">
        <v>7.7241969999999993E-2</v>
      </c>
      <c r="D235">
        <v>234</v>
      </c>
      <c r="E235" s="60"/>
      <c r="F235" s="60"/>
    </row>
    <row r="236" spans="1:6" x14ac:dyDescent="0.55000000000000004">
      <c r="A236" t="s">
        <v>447</v>
      </c>
      <c r="B236" t="s">
        <v>1360</v>
      </c>
      <c r="C236">
        <v>7.7206940000000002E-2</v>
      </c>
      <c r="D236">
        <v>235</v>
      </c>
      <c r="E236" s="60"/>
      <c r="F236" s="60"/>
    </row>
    <row r="237" spans="1:6" x14ac:dyDescent="0.55000000000000004">
      <c r="A237" t="s">
        <v>448</v>
      </c>
      <c r="B237" t="s">
        <v>1039</v>
      </c>
      <c r="C237">
        <v>7.7137269999999994E-2</v>
      </c>
      <c r="D237">
        <v>236</v>
      </c>
      <c r="E237" s="60"/>
      <c r="F237" s="60"/>
    </row>
    <row r="238" spans="1:6" x14ac:dyDescent="0.55000000000000004">
      <c r="A238" t="s">
        <v>449</v>
      </c>
      <c r="B238" t="s">
        <v>1302</v>
      </c>
      <c r="C238">
        <v>7.6924190000000003E-2</v>
      </c>
      <c r="D238">
        <v>237</v>
      </c>
      <c r="E238" s="60"/>
      <c r="F238" s="60"/>
    </row>
    <row r="239" spans="1:6" x14ac:dyDescent="0.55000000000000004">
      <c r="A239" t="s">
        <v>450</v>
      </c>
      <c r="B239" t="s">
        <v>893</v>
      </c>
      <c r="C239">
        <v>7.6235800000000006E-2</v>
      </c>
      <c r="D239">
        <v>238</v>
      </c>
      <c r="E239" s="60"/>
      <c r="F239" s="60"/>
    </row>
    <row r="240" spans="1:6" x14ac:dyDescent="0.55000000000000004">
      <c r="A240" t="s">
        <v>451</v>
      </c>
      <c r="B240" t="s">
        <v>1067</v>
      </c>
      <c r="C240">
        <v>7.5818410000000003E-2</v>
      </c>
      <c r="D240">
        <v>239</v>
      </c>
      <c r="E240" s="60"/>
      <c r="F240" s="60"/>
    </row>
    <row r="241" spans="1:6" x14ac:dyDescent="0.55000000000000004">
      <c r="A241" t="s">
        <v>452</v>
      </c>
      <c r="B241" t="s">
        <v>888</v>
      </c>
      <c r="C241">
        <v>7.5745149999999997E-2</v>
      </c>
      <c r="D241">
        <v>240</v>
      </c>
      <c r="E241" s="60"/>
      <c r="F241" s="60"/>
    </row>
    <row r="242" spans="1:6" x14ac:dyDescent="0.55000000000000004">
      <c r="A242" t="s">
        <v>453</v>
      </c>
      <c r="B242" t="s">
        <v>865</v>
      </c>
      <c r="C242">
        <v>7.5687889999999994E-2</v>
      </c>
      <c r="D242">
        <v>241</v>
      </c>
      <c r="E242" s="60"/>
      <c r="F242" s="60"/>
    </row>
    <row r="243" spans="1:6" x14ac:dyDescent="0.55000000000000004">
      <c r="A243" t="s">
        <v>454</v>
      </c>
      <c r="B243" t="s">
        <v>922</v>
      </c>
      <c r="C243">
        <v>7.5314190000000003E-2</v>
      </c>
      <c r="D243">
        <v>242</v>
      </c>
      <c r="E243" s="60"/>
      <c r="F243" s="60"/>
    </row>
    <row r="244" spans="1:6" x14ac:dyDescent="0.55000000000000004">
      <c r="A244" t="s">
        <v>455</v>
      </c>
      <c r="B244" t="s">
        <v>878</v>
      </c>
      <c r="C244">
        <v>7.5197349999999996E-2</v>
      </c>
      <c r="D244">
        <v>243</v>
      </c>
      <c r="E244" s="60"/>
      <c r="F244" s="60"/>
    </row>
    <row r="245" spans="1:6" x14ac:dyDescent="0.55000000000000004">
      <c r="A245" t="s">
        <v>456</v>
      </c>
      <c r="B245" t="s">
        <v>1076</v>
      </c>
      <c r="C245">
        <v>7.4213009999999996E-2</v>
      </c>
      <c r="D245">
        <v>244</v>
      </c>
      <c r="E245" s="60"/>
      <c r="F245" s="60"/>
    </row>
    <row r="246" spans="1:6" x14ac:dyDescent="0.55000000000000004">
      <c r="A246" t="s">
        <v>457</v>
      </c>
      <c r="B246" t="s">
        <v>1096</v>
      </c>
      <c r="C246">
        <v>7.3973220000000006E-2</v>
      </c>
      <c r="D246">
        <v>245</v>
      </c>
      <c r="E246" s="60"/>
      <c r="F246" s="60"/>
    </row>
    <row r="247" spans="1:6" x14ac:dyDescent="0.55000000000000004">
      <c r="A247" t="s">
        <v>458</v>
      </c>
      <c r="B247" t="s">
        <v>1004</v>
      </c>
      <c r="C247">
        <v>7.3835319999999996E-2</v>
      </c>
      <c r="D247">
        <v>246</v>
      </c>
      <c r="E247" s="60"/>
      <c r="F247" s="60"/>
    </row>
    <row r="248" spans="1:6" x14ac:dyDescent="0.55000000000000004">
      <c r="A248" t="s">
        <v>459</v>
      </c>
      <c r="B248" t="s">
        <v>1109</v>
      </c>
      <c r="C248">
        <v>7.3791709999999996E-2</v>
      </c>
      <c r="D248">
        <v>247</v>
      </c>
      <c r="E248" s="60"/>
      <c r="F248" s="60"/>
    </row>
    <row r="249" spans="1:6" x14ac:dyDescent="0.55000000000000004">
      <c r="A249" t="s">
        <v>460</v>
      </c>
      <c r="B249" t="s">
        <v>1106</v>
      </c>
      <c r="C249">
        <v>7.3786980000000002E-2</v>
      </c>
      <c r="D249">
        <v>248</v>
      </c>
      <c r="E249" s="60"/>
      <c r="F249" s="60"/>
    </row>
    <row r="250" spans="1:6" x14ac:dyDescent="0.55000000000000004">
      <c r="A250" t="s">
        <v>461</v>
      </c>
      <c r="B250" t="s">
        <v>877</v>
      </c>
      <c r="C250">
        <v>7.2814009999999998E-2</v>
      </c>
      <c r="D250">
        <v>249</v>
      </c>
      <c r="E250" s="60"/>
      <c r="F250" s="60"/>
    </row>
    <row r="251" spans="1:6" x14ac:dyDescent="0.55000000000000004">
      <c r="A251" t="s">
        <v>462</v>
      </c>
      <c r="B251" t="s">
        <v>1219</v>
      </c>
      <c r="C251">
        <v>7.1765140000000005E-2</v>
      </c>
      <c r="D251">
        <v>250</v>
      </c>
      <c r="E251" s="60"/>
      <c r="F251" s="60"/>
    </row>
    <row r="252" spans="1:6" x14ac:dyDescent="0.55000000000000004">
      <c r="A252" t="s">
        <v>463</v>
      </c>
      <c r="B252" t="s">
        <v>988</v>
      </c>
      <c r="C252">
        <v>7.1756449999999999E-2</v>
      </c>
      <c r="D252">
        <v>251</v>
      </c>
      <c r="E252" s="60"/>
      <c r="F252" s="60"/>
    </row>
    <row r="253" spans="1:6" x14ac:dyDescent="0.55000000000000004">
      <c r="A253" t="s">
        <v>464</v>
      </c>
      <c r="B253" t="s">
        <v>1316</v>
      </c>
      <c r="C253">
        <v>7.1625999999999995E-2</v>
      </c>
      <c r="D253">
        <v>252</v>
      </c>
      <c r="E253" s="60"/>
      <c r="F253" s="60"/>
    </row>
    <row r="254" spans="1:6" x14ac:dyDescent="0.55000000000000004">
      <c r="A254" t="s">
        <v>465</v>
      </c>
      <c r="B254" t="s">
        <v>1346</v>
      </c>
      <c r="C254">
        <v>7.0917350000000004E-2</v>
      </c>
      <c r="D254">
        <v>253</v>
      </c>
      <c r="E254" s="60"/>
      <c r="F254" s="60"/>
    </row>
    <row r="255" spans="1:6" x14ac:dyDescent="0.55000000000000004">
      <c r="A255" t="s">
        <v>466</v>
      </c>
      <c r="B255" t="s">
        <v>1016</v>
      </c>
      <c r="C255">
        <v>7.0783929999999995E-2</v>
      </c>
      <c r="D255">
        <v>254</v>
      </c>
      <c r="E255" s="60"/>
      <c r="F255" s="60"/>
    </row>
    <row r="256" spans="1:6" x14ac:dyDescent="0.55000000000000004">
      <c r="A256" t="s">
        <v>467</v>
      </c>
      <c r="B256" t="s">
        <v>848</v>
      </c>
      <c r="C256">
        <v>6.9738949999999994E-2</v>
      </c>
      <c r="D256">
        <v>255</v>
      </c>
      <c r="E256" s="60"/>
      <c r="F256" s="60"/>
    </row>
    <row r="257" spans="1:6" x14ac:dyDescent="0.55000000000000004">
      <c r="A257" t="s">
        <v>468</v>
      </c>
      <c r="B257" t="s">
        <v>923</v>
      </c>
      <c r="C257">
        <v>6.9564070000000006E-2</v>
      </c>
      <c r="D257">
        <v>256</v>
      </c>
      <c r="E257" s="60"/>
      <c r="F257" s="60"/>
    </row>
    <row r="258" spans="1:6" x14ac:dyDescent="0.55000000000000004">
      <c r="A258" t="s">
        <v>469</v>
      </c>
      <c r="B258" t="s">
        <v>868</v>
      </c>
      <c r="C258">
        <v>6.8362590000000001E-2</v>
      </c>
      <c r="D258">
        <v>257</v>
      </c>
      <c r="E258" s="60"/>
      <c r="F258" s="60"/>
    </row>
    <row r="259" spans="1:6" x14ac:dyDescent="0.55000000000000004">
      <c r="A259" t="s">
        <v>470</v>
      </c>
      <c r="B259" t="s">
        <v>1397</v>
      </c>
      <c r="C259">
        <v>6.8330650000000007E-2</v>
      </c>
      <c r="D259">
        <v>258</v>
      </c>
      <c r="E259" s="60"/>
      <c r="F259" s="60"/>
    </row>
    <row r="260" spans="1:6" x14ac:dyDescent="0.55000000000000004">
      <c r="A260" t="s">
        <v>471</v>
      </c>
      <c r="B260" t="s">
        <v>1387</v>
      </c>
      <c r="C260">
        <v>6.7619990000000005E-2</v>
      </c>
      <c r="D260">
        <v>259</v>
      </c>
      <c r="E260" s="60"/>
      <c r="F260" s="60"/>
    </row>
    <row r="261" spans="1:6" x14ac:dyDescent="0.55000000000000004">
      <c r="A261" t="s">
        <v>472</v>
      </c>
      <c r="B261" t="s">
        <v>845</v>
      </c>
      <c r="C261">
        <v>6.7033010000000004E-2</v>
      </c>
      <c r="D261">
        <v>260</v>
      </c>
      <c r="E261" s="60"/>
      <c r="F261" s="60"/>
    </row>
    <row r="262" spans="1:6" x14ac:dyDescent="0.55000000000000004">
      <c r="A262" t="s">
        <v>473</v>
      </c>
      <c r="B262" t="s">
        <v>882</v>
      </c>
      <c r="C262">
        <v>6.7013160000000002E-2</v>
      </c>
      <c r="D262">
        <v>261</v>
      </c>
      <c r="E262" s="60"/>
      <c r="F262" s="60"/>
    </row>
    <row r="263" spans="1:6" x14ac:dyDescent="0.55000000000000004">
      <c r="A263" t="s">
        <v>474</v>
      </c>
      <c r="B263" t="s">
        <v>1212</v>
      </c>
      <c r="C263">
        <v>6.6877510000000001E-2</v>
      </c>
      <c r="D263">
        <v>262</v>
      </c>
      <c r="E263" s="60"/>
      <c r="F263" s="60"/>
    </row>
    <row r="264" spans="1:6" x14ac:dyDescent="0.55000000000000004">
      <c r="A264" t="s">
        <v>475</v>
      </c>
      <c r="B264" t="s">
        <v>1002</v>
      </c>
      <c r="C264">
        <v>6.6686930000000005E-2</v>
      </c>
      <c r="D264">
        <v>263</v>
      </c>
      <c r="E264" s="60"/>
      <c r="F264" s="60"/>
    </row>
    <row r="265" spans="1:6" x14ac:dyDescent="0.55000000000000004">
      <c r="A265" t="s">
        <v>476</v>
      </c>
      <c r="B265" t="s">
        <v>1306</v>
      </c>
      <c r="C265">
        <v>6.6250379999999998E-2</v>
      </c>
      <c r="D265">
        <v>264</v>
      </c>
      <c r="E265" s="60"/>
      <c r="F265" s="60"/>
    </row>
    <row r="266" spans="1:6" x14ac:dyDescent="0.55000000000000004">
      <c r="A266" t="s">
        <v>477</v>
      </c>
      <c r="B266" t="s">
        <v>1043</v>
      </c>
      <c r="C266">
        <v>6.5919930000000002E-2</v>
      </c>
      <c r="D266">
        <v>265</v>
      </c>
      <c r="E266" s="60"/>
      <c r="F266" s="60"/>
    </row>
    <row r="267" spans="1:6" x14ac:dyDescent="0.55000000000000004">
      <c r="A267" t="s">
        <v>478</v>
      </c>
      <c r="B267" t="s">
        <v>1057</v>
      </c>
      <c r="C267">
        <v>6.5738469999999993E-2</v>
      </c>
      <c r="D267">
        <v>266</v>
      </c>
      <c r="E267" s="60"/>
      <c r="F267" s="60"/>
    </row>
    <row r="268" spans="1:6" x14ac:dyDescent="0.55000000000000004">
      <c r="A268" t="s">
        <v>479</v>
      </c>
      <c r="B268" t="s">
        <v>847</v>
      </c>
      <c r="C268">
        <v>6.5637940000000006E-2</v>
      </c>
      <c r="D268">
        <v>267</v>
      </c>
      <c r="E268" s="60"/>
      <c r="F268" s="60"/>
    </row>
    <row r="269" spans="1:6" x14ac:dyDescent="0.55000000000000004">
      <c r="A269" t="s">
        <v>480</v>
      </c>
      <c r="B269" t="s">
        <v>1187</v>
      </c>
      <c r="C269">
        <v>6.5410700000000002E-2</v>
      </c>
      <c r="D269">
        <v>268</v>
      </c>
      <c r="E269" s="60"/>
      <c r="F269" s="60"/>
    </row>
    <row r="270" spans="1:6" x14ac:dyDescent="0.55000000000000004">
      <c r="A270" t="s">
        <v>481</v>
      </c>
      <c r="B270" t="s">
        <v>1033</v>
      </c>
      <c r="C270">
        <v>6.5000829999999996E-2</v>
      </c>
      <c r="D270">
        <v>269</v>
      </c>
      <c r="E270" s="60"/>
      <c r="F270" s="60"/>
    </row>
    <row r="271" spans="1:6" x14ac:dyDescent="0.55000000000000004">
      <c r="A271" t="s">
        <v>482</v>
      </c>
      <c r="B271" t="s">
        <v>1005</v>
      </c>
      <c r="C271">
        <v>6.3924949999999994E-2</v>
      </c>
      <c r="D271">
        <v>270</v>
      </c>
      <c r="E271" s="60"/>
      <c r="F271" s="60"/>
    </row>
    <row r="272" spans="1:6" x14ac:dyDescent="0.55000000000000004">
      <c r="A272" t="s">
        <v>483</v>
      </c>
      <c r="B272" t="s">
        <v>1032</v>
      </c>
      <c r="C272">
        <v>6.3375260000000003E-2</v>
      </c>
      <c r="D272">
        <v>271</v>
      </c>
      <c r="E272" s="60"/>
      <c r="F272" s="60"/>
    </row>
    <row r="273" spans="1:6" x14ac:dyDescent="0.55000000000000004">
      <c r="A273" t="s">
        <v>484</v>
      </c>
      <c r="B273" t="s">
        <v>946</v>
      </c>
      <c r="C273">
        <v>6.3325290000000006E-2</v>
      </c>
      <c r="D273">
        <v>272</v>
      </c>
      <c r="E273" s="60"/>
      <c r="F273" s="60"/>
    </row>
    <row r="274" spans="1:6" x14ac:dyDescent="0.55000000000000004">
      <c r="A274" t="s">
        <v>485</v>
      </c>
      <c r="B274" t="s">
        <v>1044</v>
      </c>
      <c r="C274">
        <v>6.3008700000000001E-2</v>
      </c>
      <c r="D274">
        <v>273</v>
      </c>
      <c r="E274" s="60"/>
      <c r="F274" s="60"/>
    </row>
    <row r="275" spans="1:6" x14ac:dyDescent="0.55000000000000004">
      <c r="A275" t="s">
        <v>486</v>
      </c>
      <c r="B275" t="s">
        <v>1307</v>
      </c>
      <c r="C275">
        <v>6.225957E-2</v>
      </c>
      <c r="D275">
        <v>274</v>
      </c>
      <c r="E275" s="60"/>
      <c r="F275" s="60"/>
    </row>
    <row r="276" spans="1:6" x14ac:dyDescent="0.55000000000000004">
      <c r="A276" t="s">
        <v>487</v>
      </c>
      <c r="B276" t="s">
        <v>919</v>
      </c>
      <c r="C276">
        <v>6.2249249999999999E-2</v>
      </c>
      <c r="D276">
        <v>275</v>
      </c>
      <c r="E276" s="60"/>
      <c r="F276" s="60"/>
    </row>
    <row r="277" spans="1:6" x14ac:dyDescent="0.55000000000000004">
      <c r="A277" t="s">
        <v>488</v>
      </c>
      <c r="B277" t="s">
        <v>907</v>
      </c>
      <c r="C277">
        <v>6.1905509999999997E-2</v>
      </c>
      <c r="D277">
        <v>276</v>
      </c>
      <c r="E277" s="60"/>
      <c r="F277" s="60"/>
    </row>
    <row r="278" spans="1:6" x14ac:dyDescent="0.55000000000000004">
      <c r="A278" t="s">
        <v>489</v>
      </c>
      <c r="B278" t="s">
        <v>1388</v>
      </c>
      <c r="C278">
        <v>6.1562499999999999E-2</v>
      </c>
      <c r="D278">
        <v>277</v>
      </c>
      <c r="E278" s="60"/>
      <c r="F278" s="60"/>
    </row>
    <row r="279" spans="1:6" x14ac:dyDescent="0.55000000000000004">
      <c r="A279" t="s">
        <v>490</v>
      </c>
      <c r="B279" t="s">
        <v>948</v>
      </c>
      <c r="C279">
        <v>6.1352879999999999E-2</v>
      </c>
      <c r="D279">
        <v>278</v>
      </c>
      <c r="E279" s="60"/>
      <c r="F279" s="60"/>
    </row>
    <row r="280" spans="1:6" x14ac:dyDescent="0.55000000000000004">
      <c r="A280" t="s">
        <v>491</v>
      </c>
      <c r="B280" t="s">
        <v>1345</v>
      </c>
      <c r="C280">
        <v>6.0914049999999997E-2</v>
      </c>
      <c r="D280">
        <v>279</v>
      </c>
      <c r="E280" s="60"/>
      <c r="F280" s="60"/>
    </row>
    <row r="281" spans="1:6" x14ac:dyDescent="0.55000000000000004">
      <c r="A281" t="s">
        <v>492</v>
      </c>
      <c r="B281" t="s">
        <v>849</v>
      </c>
      <c r="C281">
        <v>6.0877599999999997E-2</v>
      </c>
      <c r="D281">
        <v>280</v>
      </c>
      <c r="E281" s="60"/>
      <c r="F281" s="60"/>
    </row>
    <row r="282" spans="1:6" x14ac:dyDescent="0.55000000000000004">
      <c r="A282" t="s">
        <v>493</v>
      </c>
      <c r="B282" t="s">
        <v>1407</v>
      </c>
      <c r="C282">
        <v>6.0762879999999998E-2</v>
      </c>
      <c r="D282">
        <v>281</v>
      </c>
      <c r="E282" s="60"/>
      <c r="F282" s="60"/>
    </row>
    <row r="283" spans="1:6" x14ac:dyDescent="0.55000000000000004">
      <c r="A283" t="s">
        <v>494</v>
      </c>
      <c r="B283" t="s">
        <v>1146</v>
      </c>
      <c r="C283">
        <v>6.0540549999999999E-2</v>
      </c>
      <c r="D283">
        <v>282</v>
      </c>
      <c r="E283" s="60"/>
      <c r="F283" s="60"/>
    </row>
    <row r="284" spans="1:6" x14ac:dyDescent="0.55000000000000004">
      <c r="A284" t="s">
        <v>495</v>
      </c>
      <c r="B284" t="s">
        <v>1270</v>
      </c>
      <c r="C284">
        <v>6.0517370000000001E-2</v>
      </c>
      <c r="D284">
        <v>283</v>
      </c>
      <c r="E284" s="60"/>
      <c r="F284" s="60"/>
    </row>
    <row r="285" spans="1:6" x14ac:dyDescent="0.55000000000000004">
      <c r="A285" t="s">
        <v>496</v>
      </c>
      <c r="B285" t="s">
        <v>1208</v>
      </c>
      <c r="C285">
        <v>6.0284619999999997E-2</v>
      </c>
      <c r="D285">
        <v>284</v>
      </c>
      <c r="E285" s="60"/>
      <c r="F285" s="60"/>
    </row>
    <row r="286" spans="1:6" x14ac:dyDescent="0.55000000000000004">
      <c r="A286" t="s">
        <v>497</v>
      </c>
      <c r="B286" t="s">
        <v>867</v>
      </c>
      <c r="C286">
        <v>5.9725029999999998E-2</v>
      </c>
      <c r="D286">
        <v>285</v>
      </c>
      <c r="E286" s="60"/>
      <c r="F286" s="60"/>
    </row>
    <row r="287" spans="1:6" x14ac:dyDescent="0.55000000000000004">
      <c r="A287" t="s">
        <v>498</v>
      </c>
      <c r="B287" t="s">
        <v>939</v>
      </c>
      <c r="C287">
        <v>5.9609599999999999E-2</v>
      </c>
      <c r="D287">
        <v>286</v>
      </c>
      <c r="E287" s="60"/>
      <c r="F287" s="60"/>
    </row>
    <row r="288" spans="1:6" x14ac:dyDescent="0.55000000000000004">
      <c r="A288" t="s">
        <v>499</v>
      </c>
      <c r="B288" t="s">
        <v>1256</v>
      </c>
      <c r="C288">
        <v>5.9596339999999998E-2</v>
      </c>
      <c r="D288">
        <v>287</v>
      </c>
      <c r="E288" s="60"/>
      <c r="F288" s="60"/>
    </row>
    <row r="289" spans="1:6" x14ac:dyDescent="0.55000000000000004">
      <c r="A289" t="s">
        <v>500</v>
      </c>
      <c r="B289" t="s">
        <v>1144</v>
      </c>
      <c r="C289">
        <v>5.9576190000000001E-2</v>
      </c>
      <c r="D289">
        <v>288</v>
      </c>
      <c r="E289" s="60"/>
      <c r="F289" s="60"/>
    </row>
    <row r="290" spans="1:6" x14ac:dyDescent="0.55000000000000004">
      <c r="A290" t="s">
        <v>501</v>
      </c>
      <c r="B290" t="s">
        <v>1237</v>
      </c>
      <c r="C290">
        <v>5.9403539999999998E-2</v>
      </c>
      <c r="D290">
        <v>289</v>
      </c>
      <c r="E290" s="60"/>
      <c r="F290" s="60"/>
    </row>
    <row r="291" spans="1:6" x14ac:dyDescent="0.55000000000000004">
      <c r="A291" t="s">
        <v>502</v>
      </c>
      <c r="B291" t="s">
        <v>1024</v>
      </c>
      <c r="C291">
        <v>5.9388000000000003E-2</v>
      </c>
      <c r="D291">
        <v>290</v>
      </c>
      <c r="E291" s="60"/>
      <c r="F291" s="60"/>
    </row>
    <row r="292" spans="1:6" x14ac:dyDescent="0.55000000000000004">
      <c r="A292" t="s">
        <v>503</v>
      </c>
      <c r="B292" t="s">
        <v>1042</v>
      </c>
      <c r="C292">
        <v>5.8551449999999998E-2</v>
      </c>
      <c r="D292">
        <v>291</v>
      </c>
      <c r="E292" s="60"/>
      <c r="F292" s="60"/>
    </row>
    <row r="293" spans="1:6" x14ac:dyDescent="0.55000000000000004">
      <c r="A293" t="s">
        <v>504</v>
      </c>
      <c r="B293" t="s">
        <v>1090</v>
      </c>
      <c r="C293">
        <v>5.8433770000000003E-2</v>
      </c>
      <c r="D293">
        <v>292</v>
      </c>
      <c r="E293" s="60"/>
      <c r="F293" s="60"/>
    </row>
    <row r="294" spans="1:6" x14ac:dyDescent="0.55000000000000004">
      <c r="A294" t="s">
        <v>505</v>
      </c>
      <c r="B294" t="s">
        <v>1114</v>
      </c>
      <c r="C294">
        <v>5.8326410000000002E-2</v>
      </c>
      <c r="D294">
        <v>293</v>
      </c>
      <c r="E294" s="60"/>
      <c r="F294" s="60"/>
    </row>
    <row r="295" spans="1:6" x14ac:dyDescent="0.55000000000000004">
      <c r="A295" t="s">
        <v>506</v>
      </c>
      <c r="B295" t="s">
        <v>1288</v>
      </c>
      <c r="C295">
        <v>5.8282239999999999E-2</v>
      </c>
      <c r="D295">
        <v>294</v>
      </c>
      <c r="E295" s="60"/>
      <c r="F295" s="60"/>
    </row>
    <row r="296" spans="1:6" x14ac:dyDescent="0.55000000000000004">
      <c r="A296" t="s">
        <v>507</v>
      </c>
      <c r="B296" t="s">
        <v>1102</v>
      </c>
      <c r="C296">
        <v>5.8163899999999998E-2</v>
      </c>
      <c r="D296">
        <v>295</v>
      </c>
      <c r="E296" s="60"/>
      <c r="F296" s="60"/>
    </row>
    <row r="297" spans="1:6" x14ac:dyDescent="0.55000000000000004">
      <c r="A297" t="s">
        <v>508</v>
      </c>
      <c r="B297" t="s">
        <v>1156</v>
      </c>
      <c r="C297">
        <v>5.7989359999999997E-2</v>
      </c>
      <c r="D297">
        <v>296</v>
      </c>
      <c r="E297" s="60"/>
      <c r="F297" s="60"/>
    </row>
    <row r="298" spans="1:6" x14ac:dyDescent="0.55000000000000004">
      <c r="A298" t="s">
        <v>509</v>
      </c>
      <c r="B298" t="s">
        <v>1135</v>
      </c>
      <c r="C298">
        <v>5.7907920000000002E-2</v>
      </c>
      <c r="D298">
        <v>297</v>
      </c>
      <c r="E298" s="60"/>
      <c r="F298" s="60"/>
    </row>
    <row r="299" spans="1:6" x14ac:dyDescent="0.55000000000000004">
      <c r="A299" t="s">
        <v>510</v>
      </c>
      <c r="B299" t="s">
        <v>1227</v>
      </c>
      <c r="C299">
        <v>5.7754600000000003E-2</v>
      </c>
      <c r="D299">
        <v>298</v>
      </c>
      <c r="E299" s="60"/>
      <c r="F299" s="60"/>
    </row>
    <row r="300" spans="1:6" x14ac:dyDescent="0.55000000000000004">
      <c r="A300" t="s">
        <v>511</v>
      </c>
      <c r="B300" t="s">
        <v>1189</v>
      </c>
      <c r="C300">
        <v>5.7737570000000002E-2</v>
      </c>
      <c r="D300">
        <v>299</v>
      </c>
      <c r="E300" s="60"/>
      <c r="F300" s="60"/>
    </row>
    <row r="301" spans="1:6" x14ac:dyDescent="0.55000000000000004">
      <c r="A301" t="s">
        <v>512</v>
      </c>
      <c r="B301" t="s">
        <v>876</v>
      </c>
      <c r="C301">
        <v>5.7498979999999998E-2</v>
      </c>
      <c r="D301">
        <v>300</v>
      </c>
      <c r="E301" s="60"/>
      <c r="F301" s="60"/>
    </row>
    <row r="302" spans="1:6" x14ac:dyDescent="0.55000000000000004">
      <c r="A302" t="s">
        <v>513</v>
      </c>
      <c r="B302" t="s">
        <v>904</v>
      </c>
      <c r="C302">
        <v>5.722787E-2</v>
      </c>
      <c r="D302">
        <v>301</v>
      </c>
      <c r="E302" s="60"/>
      <c r="F302" s="60"/>
    </row>
    <row r="303" spans="1:6" x14ac:dyDescent="0.55000000000000004">
      <c r="A303" t="s">
        <v>514</v>
      </c>
      <c r="B303" t="s">
        <v>1191</v>
      </c>
      <c r="C303">
        <v>5.6824270000000003E-2</v>
      </c>
      <c r="D303">
        <v>302</v>
      </c>
      <c r="E303" s="60"/>
      <c r="F303" s="60"/>
    </row>
    <row r="304" spans="1:6" x14ac:dyDescent="0.55000000000000004">
      <c r="A304" t="s">
        <v>515</v>
      </c>
      <c r="B304" t="s">
        <v>1168</v>
      </c>
      <c r="C304">
        <v>5.6807290000000003E-2</v>
      </c>
      <c r="D304">
        <v>303</v>
      </c>
      <c r="E304" s="60"/>
      <c r="F304" s="60"/>
    </row>
    <row r="305" spans="1:6" x14ac:dyDescent="0.55000000000000004">
      <c r="A305" t="s">
        <v>516</v>
      </c>
      <c r="B305" t="s">
        <v>895</v>
      </c>
      <c r="C305">
        <v>5.6410889999999998E-2</v>
      </c>
      <c r="D305">
        <v>304</v>
      </c>
      <c r="E305" s="60"/>
      <c r="F305" s="60"/>
    </row>
    <row r="306" spans="1:6" x14ac:dyDescent="0.55000000000000004">
      <c r="A306" t="s">
        <v>517</v>
      </c>
      <c r="B306" t="s">
        <v>979</v>
      </c>
      <c r="C306">
        <v>5.6355740000000001E-2</v>
      </c>
      <c r="D306">
        <v>305</v>
      </c>
      <c r="E306" s="60"/>
      <c r="F306" s="60"/>
    </row>
    <row r="307" spans="1:6" x14ac:dyDescent="0.55000000000000004">
      <c r="A307" t="s">
        <v>518</v>
      </c>
      <c r="B307" t="s">
        <v>1285</v>
      </c>
      <c r="C307">
        <v>5.6280829999999997E-2</v>
      </c>
      <c r="D307">
        <v>306</v>
      </c>
      <c r="E307" s="60"/>
      <c r="F307" s="60"/>
    </row>
    <row r="308" spans="1:6" x14ac:dyDescent="0.55000000000000004">
      <c r="A308" t="s">
        <v>519</v>
      </c>
      <c r="B308" t="s">
        <v>1299</v>
      </c>
      <c r="C308">
        <v>5.6120669999999998E-2</v>
      </c>
      <c r="D308">
        <v>307</v>
      </c>
      <c r="E308" s="60"/>
      <c r="F308" s="60"/>
    </row>
    <row r="309" spans="1:6" x14ac:dyDescent="0.55000000000000004">
      <c r="A309" t="s">
        <v>520</v>
      </c>
      <c r="B309" t="s">
        <v>1011</v>
      </c>
      <c r="C309">
        <v>5.6007469999999997E-2</v>
      </c>
      <c r="D309">
        <v>308</v>
      </c>
      <c r="E309" s="60"/>
      <c r="F309" s="60"/>
    </row>
    <row r="310" spans="1:6" x14ac:dyDescent="0.55000000000000004">
      <c r="A310" t="s">
        <v>521</v>
      </c>
      <c r="B310" t="s">
        <v>1399</v>
      </c>
      <c r="C310">
        <v>5.5910710000000002E-2</v>
      </c>
      <c r="D310">
        <v>309</v>
      </c>
      <c r="E310" s="60"/>
      <c r="F310" s="60"/>
    </row>
    <row r="311" spans="1:6" x14ac:dyDescent="0.55000000000000004">
      <c r="A311" t="s">
        <v>522</v>
      </c>
      <c r="B311" t="s">
        <v>949</v>
      </c>
      <c r="C311">
        <v>5.5692720000000001E-2</v>
      </c>
      <c r="D311">
        <v>310</v>
      </c>
      <c r="E311" s="60"/>
      <c r="F311" s="60"/>
    </row>
    <row r="312" spans="1:6" x14ac:dyDescent="0.55000000000000004">
      <c r="A312" t="s">
        <v>523</v>
      </c>
      <c r="B312" t="s">
        <v>1277</v>
      </c>
      <c r="C312">
        <v>5.5600999999999998E-2</v>
      </c>
      <c r="D312">
        <v>311</v>
      </c>
      <c r="E312" s="60"/>
      <c r="F312" s="60"/>
    </row>
    <row r="313" spans="1:6" x14ac:dyDescent="0.55000000000000004">
      <c r="A313" t="s">
        <v>524</v>
      </c>
      <c r="B313" t="s">
        <v>853</v>
      </c>
      <c r="C313">
        <v>5.5139720000000003E-2</v>
      </c>
      <c r="D313">
        <v>312</v>
      </c>
      <c r="E313" s="60"/>
      <c r="F313" s="60"/>
    </row>
    <row r="314" spans="1:6" x14ac:dyDescent="0.55000000000000004">
      <c r="A314" t="s">
        <v>525</v>
      </c>
      <c r="B314" t="s">
        <v>1404</v>
      </c>
      <c r="C314">
        <v>5.5040289999999999E-2</v>
      </c>
      <c r="D314">
        <v>313</v>
      </c>
      <c r="E314" s="60"/>
      <c r="F314" s="60"/>
    </row>
    <row r="315" spans="1:6" x14ac:dyDescent="0.55000000000000004">
      <c r="A315" t="s">
        <v>526</v>
      </c>
      <c r="B315" t="s">
        <v>1197</v>
      </c>
      <c r="C315">
        <v>5.495771E-2</v>
      </c>
      <c r="D315">
        <v>314</v>
      </c>
      <c r="E315" s="60"/>
      <c r="F315" s="60"/>
    </row>
    <row r="316" spans="1:6" x14ac:dyDescent="0.55000000000000004">
      <c r="A316" t="s">
        <v>527</v>
      </c>
      <c r="B316" t="s">
        <v>1354</v>
      </c>
      <c r="C316">
        <v>5.4719719999999999E-2</v>
      </c>
      <c r="D316">
        <v>315</v>
      </c>
      <c r="E316" s="60"/>
      <c r="F316" s="60"/>
    </row>
    <row r="317" spans="1:6" x14ac:dyDescent="0.55000000000000004">
      <c r="A317" t="s">
        <v>528</v>
      </c>
      <c r="B317" t="s">
        <v>956</v>
      </c>
      <c r="C317">
        <v>5.4517219999999998E-2</v>
      </c>
      <c r="D317">
        <v>316</v>
      </c>
      <c r="E317" s="60"/>
      <c r="F317" s="60"/>
    </row>
    <row r="318" spans="1:6" x14ac:dyDescent="0.55000000000000004">
      <c r="A318" t="s">
        <v>529</v>
      </c>
      <c r="B318" t="s">
        <v>1234</v>
      </c>
      <c r="C318">
        <v>5.4406919999999998E-2</v>
      </c>
      <c r="D318">
        <v>317</v>
      </c>
      <c r="E318" s="60"/>
      <c r="F318" s="60"/>
    </row>
    <row r="319" spans="1:6" x14ac:dyDescent="0.55000000000000004">
      <c r="A319" t="s">
        <v>530</v>
      </c>
      <c r="B319" t="s">
        <v>1054</v>
      </c>
      <c r="C319">
        <v>5.4389600000000003E-2</v>
      </c>
      <c r="D319">
        <v>318</v>
      </c>
      <c r="E319" s="60"/>
      <c r="F319" s="60"/>
    </row>
    <row r="320" spans="1:6" x14ac:dyDescent="0.55000000000000004">
      <c r="A320" t="s">
        <v>531</v>
      </c>
      <c r="B320" t="s">
        <v>852</v>
      </c>
      <c r="C320">
        <v>5.3656700000000002E-2</v>
      </c>
      <c r="D320">
        <v>319</v>
      </c>
      <c r="E320" s="60"/>
      <c r="F320" s="60"/>
    </row>
    <row r="321" spans="1:6" x14ac:dyDescent="0.55000000000000004">
      <c r="A321" t="s">
        <v>532</v>
      </c>
      <c r="B321" t="s">
        <v>1053</v>
      </c>
      <c r="C321">
        <v>5.3397989999999999E-2</v>
      </c>
      <c r="D321">
        <v>320</v>
      </c>
      <c r="E321" s="60"/>
      <c r="F321" s="60"/>
    </row>
    <row r="322" spans="1:6" x14ac:dyDescent="0.55000000000000004">
      <c r="A322" t="s">
        <v>533</v>
      </c>
      <c r="B322" t="s">
        <v>1366</v>
      </c>
      <c r="C322">
        <v>5.3303740000000002E-2</v>
      </c>
      <c r="D322">
        <v>321</v>
      </c>
      <c r="E322" s="60"/>
      <c r="F322" s="60"/>
    </row>
    <row r="323" spans="1:6" x14ac:dyDescent="0.55000000000000004">
      <c r="A323" t="s">
        <v>534</v>
      </c>
      <c r="B323" t="s">
        <v>1367</v>
      </c>
      <c r="C323">
        <v>5.2990700000000002E-2</v>
      </c>
      <c r="D323">
        <v>322</v>
      </c>
      <c r="E323" s="60"/>
      <c r="F323" s="60"/>
    </row>
    <row r="324" spans="1:6" x14ac:dyDescent="0.55000000000000004">
      <c r="A324" t="s">
        <v>535</v>
      </c>
      <c r="B324" t="s">
        <v>1175</v>
      </c>
      <c r="C324">
        <v>5.2802960000000003E-2</v>
      </c>
      <c r="D324">
        <v>323</v>
      </c>
      <c r="E324" s="60"/>
      <c r="F324" s="60"/>
    </row>
    <row r="325" spans="1:6" x14ac:dyDescent="0.55000000000000004">
      <c r="A325" t="s">
        <v>536</v>
      </c>
      <c r="B325" t="s">
        <v>873</v>
      </c>
      <c r="C325">
        <v>5.252449E-2</v>
      </c>
      <c r="D325">
        <v>324</v>
      </c>
      <c r="E325" s="60"/>
      <c r="F325" s="60"/>
    </row>
    <row r="326" spans="1:6" x14ac:dyDescent="0.55000000000000004">
      <c r="A326" t="s">
        <v>537</v>
      </c>
      <c r="B326" t="s">
        <v>1258</v>
      </c>
      <c r="C326">
        <v>5.2264610000000003E-2</v>
      </c>
      <c r="D326">
        <v>325</v>
      </c>
      <c r="E326" s="60"/>
      <c r="F326" s="60"/>
    </row>
    <row r="327" spans="1:6" x14ac:dyDescent="0.55000000000000004">
      <c r="A327" t="s">
        <v>538</v>
      </c>
      <c r="B327" t="s">
        <v>1148</v>
      </c>
      <c r="C327">
        <v>5.149782E-2</v>
      </c>
      <c r="D327">
        <v>326</v>
      </c>
      <c r="E327" s="60"/>
      <c r="F327" s="60"/>
    </row>
    <row r="328" spans="1:6" x14ac:dyDescent="0.55000000000000004">
      <c r="A328" t="s">
        <v>539</v>
      </c>
      <c r="B328" t="s">
        <v>926</v>
      </c>
      <c r="C328">
        <v>5.1494070000000003E-2</v>
      </c>
      <c r="D328">
        <v>327</v>
      </c>
      <c r="E328" s="60"/>
      <c r="F328" s="60"/>
    </row>
    <row r="329" spans="1:6" x14ac:dyDescent="0.55000000000000004">
      <c r="A329" t="s">
        <v>540</v>
      </c>
      <c r="B329" t="s">
        <v>1350</v>
      </c>
      <c r="C329">
        <v>5.1478179999999998E-2</v>
      </c>
      <c r="D329">
        <v>328</v>
      </c>
      <c r="E329" s="60"/>
      <c r="F329" s="60"/>
    </row>
    <row r="330" spans="1:6" x14ac:dyDescent="0.55000000000000004">
      <c r="A330" t="s">
        <v>541</v>
      </c>
      <c r="B330" t="s">
        <v>994</v>
      </c>
      <c r="C330">
        <v>5.1369860000000003E-2</v>
      </c>
      <c r="D330">
        <v>329</v>
      </c>
      <c r="E330" s="60"/>
      <c r="F330" s="60"/>
    </row>
    <row r="331" spans="1:6" x14ac:dyDescent="0.55000000000000004">
      <c r="A331" t="s">
        <v>542</v>
      </c>
      <c r="B331" t="s">
        <v>969</v>
      </c>
      <c r="C331">
        <v>5.1360700000000002E-2</v>
      </c>
      <c r="D331">
        <v>330</v>
      </c>
      <c r="E331" s="60"/>
      <c r="F331" s="60"/>
    </row>
    <row r="332" spans="1:6" x14ac:dyDescent="0.55000000000000004">
      <c r="A332" t="s">
        <v>543</v>
      </c>
      <c r="B332" t="s">
        <v>866</v>
      </c>
      <c r="C332">
        <v>5.1154140000000001E-2</v>
      </c>
      <c r="D332">
        <v>331</v>
      </c>
      <c r="E332" s="60"/>
      <c r="F332" s="60"/>
    </row>
    <row r="333" spans="1:6" x14ac:dyDescent="0.55000000000000004">
      <c r="A333" t="s">
        <v>544</v>
      </c>
      <c r="B333" t="s">
        <v>1055</v>
      </c>
      <c r="C333">
        <v>5.0969269999999997E-2</v>
      </c>
      <c r="D333">
        <v>332</v>
      </c>
      <c r="E333" s="60"/>
      <c r="F333" s="60"/>
    </row>
    <row r="334" spans="1:6" x14ac:dyDescent="0.55000000000000004">
      <c r="A334" t="s">
        <v>545</v>
      </c>
      <c r="B334" t="s">
        <v>1300</v>
      </c>
      <c r="C334">
        <v>5.0906760000000002E-2</v>
      </c>
      <c r="D334">
        <v>333</v>
      </c>
      <c r="E334" s="60"/>
      <c r="F334" s="60"/>
    </row>
    <row r="335" spans="1:6" x14ac:dyDescent="0.55000000000000004">
      <c r="A335" t="s">
        <v>546</v>
      </c>
      <c r="B335" t="s">
        <v>1342</v>
      </c>
      <c r="C335">
        <v>5.0259930000000001E-2</v>
      </c>
      <c r="D335">
        <v>334</v>
      </c>
      <c r="E335" s="60"/>
      <c r="F335" s="60"/>
    </row>
    <row r="336" spans="1:6" x14ac:dyDescent="0.55000000000000004">
      <c r="A336" t="s">
        <v>547</v>
      </c>
      <c r="B336" t="s">
        <v>1325</v>
      </c>
      <c r="C336">
        <v>4.9856919999999999E-2</v>
      </c>
      <c r="D336">
        <v>335</v>
      </c>
      <c r="E336" s="60"/>
      <c r="F336" s="60"/>
    </row>
    <row r="337" spans="1:6" x14ac:dyDescent="0.55000000000000004">
      <c r="A337" t="s">
        <v>548</v>
      </c>
      <c r="B337" t="s">
        <v>1233</v>
      </c>
      <c r="C337">
        <v>4.9640780000000002E-2</v>
      </c>
      <c r="D337">
        <v>336</v>
      </c>
      <c r="E337" s="60"/>
      <c r="F337" s="60"/>
    </row>
    <row r="338" spans="1:6" x14ac:dyDescent="0.55000000000000004">
      <c r="A338" t="s">
        <v>549</v>
      </c>
      <c r="B338" t="s">
        <v>1319</v>
      </c>
      <c r="C338">
        <v>4.9372640000000002E-2</v>
      </c>
      <c r="D338">
        <v>337</v>
      </c>
      <c r="E338" s="60"/>
      <c r="F338" s="60"/>
    </row>
    <row r="339" spans="1:6" x14ac:dyDescent="0.55000000000000004">
      <c r="A339" t="s">
        <v>550</v>
      </c>
      <c r="B339" t="s">
        <v>1172</v>
      </c>
      <c r="C339">
        <v>4.9324470000000002E-2</v>
      </c>
      <c r="D339">
        <v>338</v>
      </c>
      <c r="E339" s="60"/>
      <c r="F339" s="60"/>
    </row>
    <row r="340" spans="1:6" x14ac:dyDescent="0.55000000000000004">
      <c r="A340" t="s">
        <v>551</v>
      </c>
      <c r="B340" t="s">
        <v>1229</v>
      </c>
      <c r="C340">
        <v>4.930408E-2</v>
      </c>
      <c r="D340">
        <v>339</v>
      </c>
      <c r="E340" s="60"/>
      <c r="F340" s="60"/>
    </row>
    <row r="341" spans="1:6" x14ac:dyDescent="0.55000000000000004">
      <c r="A341" t="s">
        <v>552</v>
      </c>
      <c r="B341" t="s">
        <v>851</v>
      </c>
      <c r="C341">
        <v>4.9191579999999999E-2</v>
      </c>
      <c r="D341">
        <v>340</v>
      </c>
      <c r="E341" s="60"/>
      <c r="F341" s="60"/>
    </row>
    <row r="342" spans="1:6" x14ac:dyDescent="0.55000000000000004">
      <c r="A342" t="s">
        <v>553</v>
      </c>
      <c r="B342" t="s">
        <v>1099</v>
      </c>
      <c r="C342">
        <v>4.8939589999999998E-2</v>
      </c>
      <c r="D342">
        <v>341</v>
      </c>
      <c r="E342" s="60"/>
      <c r="F342" s="60"/>
    </row>
    <row r="343" spans="1:6" x14ac:dyDescent="0.55000000000000004">
      <c r="A343" t="s">
        <v>554</v>
      </c>
      <c r="B343" t="s">
        <v>947</v>
      </c>
      <c r="C343">
        <v>4.8763059999999997E-2</v>
      </c>
      <c r="D343">
        <v>342</v>
      </c>
      <c r="E343" s="60"/>
      <c r="F343" s="60"/>
    </row>
    <row r="344" spans="1:6" x14ac:dyDescent="0.55000000000000004">
      <c r="A344" t="s">
        <v>555</v>
      </c>
      <c r="B344" t="s">
        <v>900</v>
      </c>
      <c r="C344">
        <v>4.8694269999999998E-2</v>
      </c>
      <c r="D344">
        <v>343</v>
      </c>
      <c r="E344" s="60"/>
      <c r="F344" s="60"/>
    </row>
    <row r="345" spans="1:6" x14ac:dyDescent="0.55000000000000004">
      <c r="A345" t="s">
        <v>556</v>
      </c>
      <c r="B345" t="s">
        <v>1190</v>
      </c>
      <c r="C345">
        <v>4.8682000000000003E-2</v>
      </c>
      <c r="D345">
        <v>344</v>
      </c>
      <c r="E345" s="60"/>
      <c r="F345" s="60"/>
    </row>
    <row r="346" spans="1:6" x14ac:dyDescent="0.55000000000000004">
      <c r="A346" t="s">
        <v>557</v>
      </c>
      <c r="B346" t="s">
        <v>1193</v>
      </c>
      <c r="C346">
        <v>4.8557629999999997E-2</v>
      </c>
      <c r="D346">
        <v>345</v>
      </c>
      <c r="E346" s="60"/>
      <c r="F346" s="60"/>
    </row>
    <row r="347" spans="1:6" x14ac:dyDescent="0.55000000000000004">
      <c r="A347" t="s">
        <v>558</v>
      </c>
      <c r="B347" t="s">
        <v>1376</v>
      </c>
      <c r="C347">
        <v>4.8489089999999999E-2</v>
      </c>
      <c r="D347">
        <v>346</v>
      </c>
      <c r="E347" s="60"/>
      <c r="F347" s="60"/>
    </row>
    <row r="348" spans="1:6" x14ac:dyDescent="0.55000000000000004">
      <c r="A348" t="s">
        <v>559</v>
      </c>
      <c r="B348" t="s">
        <v>944</v>
      </c>
      <c r="C348">
        <v>4.7975660000000003E-2</v>
      </c>
      <c r="D348">
        <v>347</v>
      </c>
      <c r="E348" s="60"/>
      <c r="F348" s="60"/>
    </row>
    <row r="349" spans="1:6" x14ac:dyDescent="0.55000000000000004">
      <c r="A349" t="s">
        <v>560</v>
      </c>
      <c r="B349" t="s">
        <v>859</v>
      </c>
      <c r="C349">
        <v>4.7953679999999999E-2</v>
      </c>
      <c r="D349">
        <v>348</v>
      </c>
      <c r="E349" s="60"/>
      <c r="F349" s="60"/>
    </row>
    <row r="350" spans="1:6" x14ac:dyDescent="0.55000000000000004">
      <c r="A350" t="s">
        <v>561</v>
      </c>
      <c r="B350" t="s">
        <v>1313</v>
      </c>
      <c r="C350">
        <v>4.7883990000000001E-2</v>
      </c>
      <c r="D350">
        <v>349</v>
      </c>
      <c r="E350" s="60"/>
      <c r="F350" s="60"/>
    </row>
    <row r="351" spans="1:6" x14ac:dyDescent="0.55000000000000004">
      <c r="A351" t="s">
        <v>562</v>
      </c>
      <c r="B351" t="s">
        <v>1063</v>
      </c>
      <c r="C351">
        <v>4.7835519999999999E-2</v>
      </c>
      <c r="D351">
        <v>350</v>
      </c>
      <c r="E351" s="60"/>
      <c r="F351" s="60"/>
    </row>
    <row r="352" spans="1:6" x14ac:dyDescent="0.55000000000000004">
      <c r="A352" t="s">
        <v>563</v>
      </c>
      <c r="B352" t="s">
        <v>1071</v>
      </c>
      <c r="C352">
        <v>4.7716109999999999E-2</v>
      </c>
      <c r="D352">
        <v>351</v>
      </c>
      <c r="E352" s="60"/>
      <c r="F352" s="60"/>
    </row>
    <row r="353" spans="1:6" x14ac:dyDescent="0.55000000000000004">
      <c r="A353" t="s">
        <v>564</v>
      </c>
      <c r="B353" t="s">
        <v>889</v>
      </c>
      <c r="C353">
        <v>4.7415560000000002E-2</v>
      </c>
      <c r="D353">
        <v>352</v>
      </c>
      <c r="E353" s="60"/>
      <c r="F353" s="60"/>
    </row>
    <row r="354" spans="1:6" x14ac:dyDescent="0.55000000000000004">
      <c r="A354" t="s">
        <v>565</v>
      </c>
      <c r="B354" t="s">
        <v>1281</v>
      </c>
      <c r="C354">
        <v>4.6730269999999997E-2</v>
      </c>
      <c r="D354">
        <v>353</v>
      </c>
      <c r="E354" s="60"/>
      <c r="F354" s="60"/>
    </row>
    <row r="355" spans="1:6" x14ac:dyDescent="0.55000000000000004">
      <c r="A355" t="s">
        <v>566</v>
      </c>
      <c r="B355" t="s">
        <v>1031</v>
      </c>
      <c r="C355">
        <v>4.6597550000000001E-2</v>
      </c>
      <c r="D355">
        <v>354</v>
      </c>
      <c r="E355" s="60"/>
      <c r="F355" s="60"/>
    </row>
    <row r="356" spans="1:6" x14ac:dyDescent="0.55000000000000004">
      <c r="A356" t="s">
        <v>567</v>
      </c>
      <c r="B356" t="s">
        <v>962</v>
      </c>
      <c r="C356">
        <v>4.6522830000000001E-2</v>
      </c>
      <c r="D356">
        <v>355</v>
      </c>
      <c r="E356" s="60"/>
      <c r="F356" s="60"/>
    </row>
    <row r="357" spans="1:6" x14ac:dyDescent="0.55000000000000004">
      <c r="A357" t="s">
        <v>568</v>
      </c>
      <c r="B357" t="s">
        <v>1260</v>
      </c>
      <c r="C357">
        <v>4.6492659999999998E-2</v>
      </c>
      <c r="D357">
        <v>356</v>
      </c>
      <c r="E357" s="60"/>
      <c r="F357" s="60"/>
    </row>
    <row r="358" spans="1:6" x14ac:dyDescent="0.55000000000000004">
      <c r="A358" t="s">
        <v>569</v>
      </c>
      <c r="B358" t="s">
        <v>1204</v>
      </c>
      <c r="C358">
        <v>4.6486489999999998E-2</v>
      </c>
      <c r="D358">
        <v>357</v>
      </c>
      <c r="E358" s="60"/>
      <c r="F358" s="60"/>
    </row>
    <row r="359" spans="1:6" x14ac:dyDescent="0.55000000000000004">
      <c r="A359" t="s">
        <v>570</v>
      </c>
      <c r="B359" t="s">
        <v>1162</v>
      </c>
      <c r="C359">
        <v>4.6412769999999999E-2</v>
      </c>
      <c r="D359">
        <v>358</v>
      </c>
      <c r="E359" s="60"/>
      <c r="F359" s="60"/>
    </row>
    <row r="360" spans="1:6" x14ac:dyDescent="0.55000000000000004">
      <c r="A360" t="s">
        <v>571</v>
      </c>
      <c r="B360" t="s">
        <v>1380</v>
      </c>
      <c r="C360">
        <v>4.6366280000000003E-2</v>
      </c>
      <c r="D360">
        <v>359</v>
      </c>
      <c r="E360" s="60"/>
      <c r="F360" s="60"/>
    </row>
    <row r="361" spans="1:6" x14ac:dyDescent="0.55000000000000004">
      <c r="A361" t="s">
        <v>572</v>
      </c>
      <c r="B361" t="s">
        <v>1309</v>
      </c>
      <c r="C361">
        <v>4.6269659999999997E-2</v>
      </c>
      <c r="D361">
        <v>360</v>
      </c>
      <c r="E361" s="60"/>
      <c r="F361" s="60"/>
    </row>
    <row r="362" spans="1:6" x14ac:dyDescent="0.55000000000000004">
      <c r="A362" t="s">
        <v>573</v>
      </c>
      <c r="B362" t="s">
        <v>1091</v>
      </c>
      <c r="C362">
        <v>4.6130810000000001E-2</v>
      </c>
      <c r="D362">
        <v>361</v>
      </c>
      <c r="E362" s="60"/>
      <c r="F362" s="60"/>
    </row>
    <row r="363" spans="1:6" x14ac:dyDescent="0.55000000000000004">
      <c r="A363" t="s">
        <v>574</v>
      </c>
      <c r="B363" t="s">
        <v>1157</v>
      </c>
      <c r="C363">
        <v>4.5641939999999999E-2</v>
      </c>
      <c r="D363">
        <v>362</v>
      </c>
      <c r="E363" s="60"/>
      <c r="F363" s="60"/>
    </row>
    <row r="364" spans="1:6" x14ac:dyDescent="0.55000000000000004">
      <c r="A364" t="s">
        <v>575</v>
      </c>
      <c r="B364" t="s">
        <v>1250</v>
      </c>
      <c r="C364">
        <v>4.5258989999999999E-2</v>
      </c>
      <c r="D364">
        <v>363</v>
      </c>
      <c r="E364" s="60"/>
      <c r="F364" s="60"/>
    </row>
    <row r="365" spans="1:6" x14ac:dyDescent="0.55000000000000004">
      <c r="A365" t="s">
        <v>576</v>
      </c>
      <c r="B365" t="s">
        <v>1192</v>
      </c>
      <c r="C365">
        <v>4.5132510000000001E-2</v>
      </c>
      <c r="D365">
        <v>364</v>
      </c>
      <c r="E365" s="60"/>
      <c r="F365" s="60"/>
    </row>
    <row r="366" spans="1:6" x14ac:dyDescent="0.55000000000000004">
      <c r="A366" t="s">
        <v>577</v>
      </c>
      <c r="B366" t="s">
        <v>1228</v>
      </c>
      <c r="C366">
        <v>4.5086950000000001E-2</v>
      </c>
      <c r="D366">
        <v>365</v>
      </c>
      <c r="E366" s="60"/>
      <c r="F366" s="60"/>
    </row>
    <row r="367" spans="1:6" x14ac:dyDescent="0.55000000000000004">
      <c r="A367" t="s">
        <v>578</v>
      </c>
      <c r="B367" t="s">
        <v>1293</v>
      </c>
      <c r="C367">
        <v>4.488338E-2</v>
      </c>
      <c r="D367">
        <v>366</v>
      </c>
      <c r="E367" s="60"/>
      <c r="F367" s="60"/>
    </row>
    <row r="368" spans="1:6" x14ac:dyDescent="0.55000000000000004">
      <c r="A368" t="s">
        <v>579</v>
      </c>
      <c r="B368" t="s">
        <v>1253</v>
      </c>
      <c r="C368">
        <v>4.484722E-2</v>
      </c>
      <c r="D368">
        <v>367</v>
      </c>
      <c r="E368" s="60"/>
      <c r="F368" s="60"/>
    </row>
    <row r="369" spans="1:6" x14ac:dyDescent="0.55000000000000004">
      <c r="A369" t="s">
        <v>580</v>
      </c>
      <c r="B369" t="s">
        <v>989</v>
      </c>
      <c r="C369">
        <v>4.4724069999999998E-2</v>
      </c>
      <c r="D369">
        <v>368</v>
      </c>
      <c r="E369" s="60"/>
      <c r="F369" s="60"/>
    </row>
    <row r="370" spans="1:6" x14ac:dyDescent="0.55000000000000004">
      <c r="A370" t="s">
        <v>581</v>
      </c>
      <c r="B370" t="s">
        <v>1183</v>
      </c>
      <c r="C370">
        <v>4.4579559999999997E-2</v>
      </c>
      <c r="D370">
        <v>369</v>
      </c>
      <c r="E370" s="60"/>
      <c r="F370" s="60"/>
    </row>
    <row r="371" spans="1:6" x14ac:dyDescent="0.55000000000000004">
      <c r="A371" t="s">
        <v>582</v>
      </c>
      <c r="B371" t="s">
        <v>1322</v>
      </c>
      <c r="C371">
        <v>4.3870329999999999E-2</v>
      </c>
      <c r="D371">
        <v>370</v>
      </c>
      <c r="E371" s="60"/>
      <c r="F371" s="60"/>
    </row>
    <row r="372" spans="1:6" x14ac:dyDescent="0.55000000000000004">
      <c r="A372" t="s">
        <v>583</v>
      </c>
      <c r="B372" t="s">
        <v>1077</v>
      </c>
      <c r="C372">
        <v>4.3737669999999999E-2</v>
      </c>
      <c r="D372">
        <v>371</v>
      </c>
      <c r="E372" s="60"/>
      <c r="F372" s="60"/>
    </row>
    <row r="373" spans="1:6" x14ac:dyDescent="0.55000000000000004">
      <c r="A373" t="s">
        <v>584</v>
      </c>
      <c r="B373" t="s">
        <v>1247</v>
      </c>
      <c r="C373">
        <v>4.3689110000000003E-2</v>
      </c>
      <c r="D373">
        <v>372</v>
      </c>
      <c r="E373" s="60"/>
      <c r="F373" s="60"/>
    </row>
    <row r="374" spans="1:6" x14ac:dyDescent="0.55000000000000004">
      <c r="A374" t="s">
        <v>585</v>
      </c>
      <c r="B374" t="s">
        <v>1377</v>
      </c>
      <c r="C374">
        <v>4.3525750000000002E-2</v>
      </c>
      <c r="D374">
        <v>373</v>
      </c>
      <c r="E374" s="60"/>
      <c r="F374" s="60"/>
    </row>
    <row r="375" spans="1:6" x14ac:dyDescent="0.55000000000000004">
      <c r="A375" t="s">
        <v>586</v>
      </c>
      <c r="B375" t="s">
        <v>950</v>
      </c>
      <c r="C375">
        <v>4.3436660000000002E-2</v>
      </c>
      <c r="D375">
        <v>374</v>
      </c>
      <c r="E375" s="60"/>
      <c r="F375" s="60"/>
    </row>
    <row r="376" spans="1:6" x14ac:dyDescent="0.55000000000000004">
      <c r="A376" t="s">
        <v>587</v>
      </c>
      <c r="B376" t="s">
        <v>1249</v>
      </c>
      <c r="C376">
        <v>4.330825E-2</v>
      </c>
      <c r="D376">
        <v>375</v>
      </c>
      <c r="E376" s="60"/>
      <c r="F376" s="60"/>
    </row>
    <row r="377" spans="1:6" x14ac:dyDescent="0.55000000000000004">
      <c r="A377" t="s">
        <v>588</v>
      </c>
      <c r="B377" t="s">
        <v>890</v>
      </c>
      <c r="C377">
        <v>4.3258820000000003E-2</v>
      </c>
      <c r="D377">
        <v>376</v>
      </c>
      <c r="E377" s="60"/>
      <c r="F377" s="60"/>
    </row>
    <row r="378" spans="1:6" x14ac:dyDescent="0.55000000000000004">
      <c r="A378" t="s">
        <v>589</v>
      </c>
      <c r="B378" t="s">
        <v>1070</v>
      </c>
      <c r="C378">
        <v>4.3227700000000001E-2</v>
      </c>
      <c r="D378">
        <v>377</v>
      </c>
      <c r="E378" s="60"/>
      <c r="F378" s="60"/>
    </row>
    <row r="379" spans="1:6" x14ac:dyDescent="0.55000000000000004">
      <c r="A379" t="s">
        <v>590</v>
      </c>
      <c r="B379" t="s">
        <v>957</v>
      </c>
      <c r="C379">
        <v>4.3226199999999999E-2</v>
      </c>
      <c r="D379">
        <v>378</v>
      </c>
      <c r="E379" s="60"/>
      <c r="F379" s="60"/>
    </row>
    <row r="380" spans="1:6" x14ac:dyDescent="0.55000000000000004">
      <c r="A380" t="s">
        <v>591</v>
      </c>
      <c r="B380" t="s">
        <v>1173</v>
      </c>
      <c r="C380">
        <v>4.278328E-2</v>
      </c>
      <c r="D380">
        <v>379</v>
      </c>
      <c r="E380" s="60"/>
      <c r="F380" s="60"/>
    </row>
    <row r="381" spans="1:6" x14ac:dyDescent="0.55000000000000004">
      <c r="A381" t="s">
        <v>592</v>
      </c>
      <c r="B381" t="s">
        <v>1117</v>
      </c>
      <c r="C381">
        <v>4.265973E-2</v>
      </c>
      <c r="D381">
        <v>380</v>
      </c>
      <c r="E381" s="60"/>
      <c r="F381" s="60"/>
    </row>
    <row r="382" spans="1:6" x14ac:dyDescent="0.55000000000000004">
      <c r="A382" t="s">
        <v>593</v>
      </c>
      <c r="B382" t="s">
        <v>1093</v>
      </c>
      <c r="C382">
        <v>4.259611E-2</v>
      </c>
      <c r="D382">
        <v>381</v>
      </c>
      <c r="E382" s="60"/>
      <c r="F382" s="60"/>
    </row>
    <row r="383" spans="1:6" x14ac:dyDescent="0.55000000000000004">
      <c r="A383" t="s">
        <v>594</v>
      </c>
      <c r="B383" t="s">
        <v>1406</v>
      </c>
      <c r="C383">
        <v>4.2240489999999999E-2</v>
      </c>
      <c r="D383">
        <v>382</v>
      </c>
      <c r="E383" s="60"/>
      <c r="F383" s="60"/>
    </row>
    <row r="384" spans="1:6" x14ac:dyDescent="0.55000000000000004">
      <c r="A384" t="s">
        <v>595</v>
      </c>
      <c r="B384" t="s">
        <v>1317</v>
      </c>
      <c r="C384">
        <v>4.2223370000000003E-2</v>
      </c>
      <c r="D384">
        <v>383</v>
      </c>
      <c r="E384" s="60"/>
      <c r="F384" s="60"/>
    </row>
    <row r="385" spans="1:6" x14ac:dyDescent="0.55000000000000004">
      <c r="A385" t="s">
        <v>596</v>
      </c>
      <c r="B385" t="s">
        <v>1331</v>
      </c>
      <c r="C385">
        <v>4.2099820000000003E-2</v>
      </c>
      <c r="D385">
        <v>384</v>
      </c>
      <c r="E385" s="60"/>
      <c r="F385" s="60"/>
    </row>
    <row r="386" spans="1:6" x14ac:dyDescent="0.55000000000000004">
      <c r="A386" t="s">
        <v>597</v>
      </c>
      <c r="B386" t="s">
        <v>954</v>
      </c>
      <c r="C386">
        <v>4.1672140000000003E-2</v>
      </c>
      <c r="D386">
        <v>385</v>
      </c>
      <c r="E386" s="60"/>
      <c r="F386" s="60"/>
    </row>
    <row r="387" spans="1:6" x14ac:dyDescent="0.55000000000000004">
      <c r="A387" t="s">
        <v>598</v>
      </c>
      <c r="B387" t="s">
        <v>1034</v>
      </c>
      <c r="C387">
        <v>4.1647040000000003E-2</v>
      </c>
      <c r="D387">
        <v>386</v>
      </c>
      <c r="E387" s="60"/>
      <c r="F387" s="60"/>
    </row>
    <row r="388" spans="1:6" x14ac:dyDescent="0.55000000000000004">
      <c r="A388" t="s">
        <v>599</v>
      </c>
      <c r="B388" t="s">
        <v>1236</v>
      </c>
      <c r="C388">
        <v>4.1633999999999997E-2</v>
      </c>
      <c r="D388">
        <v>387</v>
      </c>
      <c r="E388" s="60"/>
      <c r="F388" s="60"/>
    </row>
    <row r="389" spans="1:6" x14ac:dyDescent="0.55000000000000004">
      <c r="A389" t="s">
        <v>600</v>
      </c>
      <c r="B389" t="s">
        <v>1389</v>
      </c>
      <c r="C389">
        <v>4.1520099999999997E-2</v>
      </c>
      <c r="D389">
        <v>388</v>
      </c>
      <c r="E389" s="60"/>
      <c r="F389" s="60"/>
    </row>
    <row r="390" spans="1:6" x14ac:dyDescent="0.55000000000000004">
      <c r="A390" t="s">
        <v>601</v>
      </c>
      <c r="B390" t="s">
        <v>903</v>
      </c>
      <c r="C390">
        <v>4.1377709999999998E-2</v>
      </c>
      <c r="D390">
        <v>389</v>
      </c>
      <c r="E390" s="60"/>
      <c r="F390" s="60"/>
    </row>
    <row r="391" spans="1:6" x14ac:dyDescent="0.55000000000000004">
      <c r="A391" t="s">
        <v>602</v>
      </c>
      <c r="B391" t="s">
        <v>1353</v>
      </c>
      <c r="C391">
        <v>4.1340490000000001E-2</v>
      </c>
      <c r="D391">
        <v>390</v>
      </c>
      <c r="E391" s="60"/>
      <c r="F391" s="60"/>
    </row>
    <row r="392" spans="1:6" x14ac:dyDescent="0.55000000000000004">
      <c r="A392" t="s">
        <v>603</v>
      </c>
      <c r="B392" t="s">
        <v>1149</v>
      </c>
      <c r="C392">
        <v>4.1264660000000002E-2</v>
      </c>
      <c r="D392">
        <v>391</v>
      </c>
      <c r="E392" s="60"/>
      <c r="F392" s="60"/>
    </row>
    <row r="393" spans="1:6" x14ac:dyDescent="0.55000000000000004">
      <c r="A393" t="s">
        <v>604</v>
      </c>
      <c r="B393" t="s">
        <v>1381</v>
      </c>
      <c r="C393">
        <v>4.0301770000000001E-2</v>
      </c>
      <c r="D393">
        <v>392</v>
      </c>
      <c r="E393" s="60"/>
      <c r="F393" s="60"/>
    </row>
    <row r="394" spans="1:6" x14ac:dyDescent="0.55000000000000004">
      <c r="A394" t="s">
        <v>605</v>
      </c>
      <c r="B394" t="s">
        <v>1028</v>
      </c>
      <c r="C394">
        <v>3.9983060000000001E-2</v>
      </c>
      <c r="D394">
        <v>393</v>
      </c>
      <c r="E394" s="60"/>
      <c r="F394" s="60"/>
    </row>
    <row r="395" spans="1:6" x14ac:dyDescent="0.55000000000000004">
      <c r="A395" t="s">
        <v>606</v>
      </c>
      <c r="B395" t="s">
        <v>1075</v>
      </c>
      <c r="C395">
        <v>3.9917340000000003E-2</v>
      </c>
      <c r="D395">
        <v>394</v>
      </c>
      <c r="E395" s="60"/>
      <c r="F395" s="60"/>
    </row>
    <row r="396" spans="1:6" x14ac:dyDescent="0.55000000000000004">
      <c r="A396" t="s">
        <v>607</v>
      </c>
      <c r="B396" t="s">
        <v>1364</v>
      </c>
      <c r="C396">
        <v>3.9735720000000002E-2</v>
      </c>
      <c r="D396">
        <v>395</v>
      </c>
      <c r="E396" s="60"/>
      <c r="F396" s="60"/>
    </row>
    <row r="397" spans="1:6" x14ac:dyDescent="0.55000000000000004">
      <c r="A397" t="s">
        <v>608</v>
      </c>
      <c r="B397" t="s">
        <v>972</v>
      </c>
      <c r="C397">
        <v>3.9359560000000002E-2</v>
      </c>
      <c r="D397">
        <v>396</v>
      </c>
      <c r="E397" s="60"/>
      <c r="F397" s="60"/>
    </row>
    <row r="398" spans="1:6" x14ac:dyDescent="0.55000000000000004">
      <c r="A398" t="s">
        <v>609</v>
      </c>
      <c r="B398" t="s">
        <v>1361</v>
      </c>
      <c r="C398">
        <v>3.8911359999999999E-2</v>
      </c>
      <c r="D398">
        <v>397</v>
      </c>
      <c r="E398" s="60"/>
      <c r="F398" s="60"/>
    </row>
    <row r="399" spans="1:6" x14ac:dyDescent="0.55000000000000004">
      <c r="A399" t="s">
        <v>610</v>
      </c>
      <c r="B399" t="s">
        <v>1127</v>
      </c>
      <c r="C399">
        <v>3.8745599999999998E-2</v>
      </c>
      <c r="D399">
        <v>398</v>
      </c>
      <c r="E399" s="60"/>
      <c r="F399" s="60"/>
    </row>
    <row r="400" spans="1:6" x14ac:dyDescent="0.55000000000000004">
      <c r="A400" t="s">
        <v>611</v>
      </c>
      <c r="B400" t="s">
        <v>1158</v>
      </c>
      <c r="C400">
        <v>3.863743E-2</v>
      </c>
      <c r="D400">
        <v>399</v>
      </c>
      <c r="E400" s="60"/>
      <c r="F400" s="60"/>
    </row>
    <row r="401" spans="1:6" x14ac:dyDescent="0.55000000000000004">
      <c r="A401" t="s">
        <v>612</v>
      </c>
      <c r="B401" t="s">
        <v>1015</v>
      </c>
      <c r="C401">
        <v>3.8474729999999999E-2</v>
      </c>
      <c r="D401">
        <v>400</v>
      </c>
      <c r="E401" s="60"/>
      <c r="F401" s="60"/>
    </row>
    <row r="402" spans="1:6" x14ac:dyDescent="0.55000000000000004">
      <c r="A402" t="s">
        <v>613</v>
      </c>
      <c r="B402" t="s">
        <v>1375</v>
      </c>
      <c r="C402">
        <v>3.8462780000000002E-2</v>
      </c>
      <c r="D402">
        <v>401</v>
      </c>
      <c r="E402" s="60"/>
      <c r="F402" s="60"/>
    </row>
    <row r="403" spans="1:6" x14ac:dyDescent="0.55000000000000004">
      <c r="A403" t="s">
        <v>614</v>
      </c>
      <c r="B403" t="s">
        <v>1078</v>
      </c>
      <c r="C403">
        <v>3.8327409999999999E-2</v>
      </c>
      <c r="D403">
        <v>402</v>
      </c>
      <c r="E403" s="60"/>
      <c r="F403" s="60"/>
    </row>
    <row r="404" spans="1:6" x14ac:dyDescent="0.55000000000000004">
      <c r="A404" t="s">
        <v>615</v>
      </c>
      <c r="B404" t="s">
        <v>1137</v>
      </c>
      <c r="C404">
        <v>3.7668939999999998E-2</v>
      </c>
      <c r="D404">
        <v>403</v>
      </c>
      <c r="E404" s="60"/>
      <c r="F404" s="60"/>
    </row>
    <row r="405" spans="1:6" x14ac:dyDescent="0.55000000000000004">
      <c r="A405" t="s">
        <v>616</v>
      </c>
      <c r="B405" t="s">
        <v>1207</v>
      </c>
      <c r="C405">
        <v>3.7441870000000002E-2</v>
      </c>
      <c r="D405">
        <v>404</v>
      </c>
      <c r="E405" s="60"/>
      <c r="F405" s="60"/>
    </row>
    <row r="406" spans="1:6" x14ac:dyDescent="0.55000000000000004">
      <c r="A406" t="s">
        <v>617</v>
      </c>
      <c r="B406" t="s">
        <v>938</v>
      </c>
      <c r="C406">
        <v>3.7422509999999999E-2</v>
      </c>
      <c r="D406">
        <v>405</v>
      </c>
      <c r="E406" s="60"/>
      <c r="F406" s="60"/>
    </row>
    <row r="407" spans="1:6" x14ac:dyDescent="0.55000000000000004">
      <c r="A407" t="s">
        <v>618</v>
      </c>
      <c r="B407" t="s">
        <v>1180</v>
      </c>
      <c r="C407">
        <v>3.736387E-2</v>
      </c>
      <c r="D407">
        <v>406</v>
      </c>
      <c r="E407" s="60"/>
      <c r="F407" s="60"/>
    </row>
    <row r="408" spans="1:6" x14ac:dyDescent="0.55000000000000004">
      <c r="A408" t="s">
        <v>619</v>
      </c>
      <c r="B408" t="s">
        <v>910</v>
      </c>
      <c r="C408">
        <v>3.7080780000000001E-2</v>
      </c>
      <c r="D408">
        <v>407</v>
      </c>
      <c r="E408" s="60"/>
      <c r="F408" s="60"/>
    </row>
    <row r="409" spans="1:6" x14ac:dyDescent="0.55000000000000004">
      <c r="A409" t="s">
        <v>620</v>
      </c>
      <c r="B409" t="s">
        <v>1140</v>
      </c>
      <c r="C409">
        <v>3.7037710000000001E-2</v>
      </c>
      <c r="D409">
        <v>408</v>
      </c>
      <c r="E409" s="60"/>
      <c r="F409" s="60"/>
    </row>
    <row r="410" spans="1:6" x14ac:dyDescent="0.55000000000000004">
      <c r="A410" t="s">
        <v>621</v>
      </c>
      <c r="B410" t="s">
        <v>981</v>
      </c>
      <c r="C410">
        <v>3.7037580000000001E-2</v>
      </c>
      <c r="D410">
        <v>409</v>
      </c>
      <c r="E410" s="60"/>
      <c r="F410" s="60"/>
    </row>
    <row r="411" spans="1:6" x14ac:dyDescent="0.55000000000000004">
      <c r="A411" t="s">
        <v>622</v>
      </c>
      <c r="B411" t="s">
        <v>1132</v>
      </c>
      <c r="C411">
        <v>3.6961819999999999E-2</v>
      </c>
      <c r="D411">
        <v>410</v>
      </c>
      <c r="E411" s="60"/>
      <c r="F411" s="60"/>
    </row>
    <row r="412" spans="1:6" x14ac:dyDescent="0.55000000000000004">
      <c r="A412" t="s">
        <v>623</v>
      </c>
      <c r="B412" t="s">
        <v>1052</v>
      </c>
      <c r="C412">
        <v>3.69593E-2</v>
      </c>
      <c r="D412">
        <v>411</v>
      </c>
      <c r="E412" s="60"/>
      <c r="F412" s="60"/>
    </row>
    <row r="413" spans="1:6" x14ac:dyDescent="0.55000000000000004">
      <c r="A413" t="s">
        <v>624</v>
      </c>
      <c r="B413" t="s">
        <v>1320</v>
      </c>
      <c r="C413">
        <v>3.6941090000000003E-2</v>
      </c>
      <c r="D413">
        <v>412</v>
      </c>
      <c r="E413" s="60"/>
      <c r="F413" s="60"/>
    </row>
    <row r="414" spans="1:6" x14ac:dyDescent="0.55000000000000004">
      <c r="A414" t="s">
        <v>625</v>
      </c>
      <c r="B414" t="s">
        <v>908</v>
      </c>
      <c r="C414">
        <v>3.6812379999999999E-2</v>
      </c>
      <c r="D414">
        <v>413</v>
      </c>
      <c r="E414" s="60"/>
      <c r="F414" s="60"/>
    </row>
    <row r="415" spans="1:6" x14ac:dyDescent="0.55000000000000004">
      <c r="A415" t="s">
        <v>626</v>
      </c>
      <c r="B415" t="s">
        <v>918</v>
      </c>
      <c r="C415">
        <v>3.663628E-2</v>
      </c>
      <c r="D415">
        <v>414</v>
      </c>
      <c r="E415" s="60"/>
      <c r="F415" s="60"/>
    </row>
    <row r="416" spans="1:6" x14ac:dyDescent="0.55000000000000004">
      <c r="A416" t="s">
        <v>627</v>
      </c>
      <c r="B416" t="s">
        <v>1339</v>
      </c>
      <c r="C416">
        <v>3.61888E-2</v>
      </c>
      <c r="D416">
        <v>415</v>
      </c>
      <c r="E416" s="60"/>
      <c r="F416" s="60"/>
    </row>
    <row r="417" spans="1:6" x14ac:dyDescent="0.55000000000000004">
      <c r="A417" t="s">
        <v>628</v>
      </c>
      <c r="B417" t="s">
        <v>1150</v>
      </c>
      <c r="C417">
        <v>3.5893510000000003E-2</v>
      </c>
      <c r="D417">
        <v>416</v>
      </c>
      <c r="E417" s="60"/>
      <c r="F417" s="60"/>
    </row>
    <row r="418" spans="1:6" x14ac:dyDescent="0.55000000000000004">
      <c r="A418" t="s">
        <v>629</v>
      </c>
      <c r="B418" t="s">
        <v>884</v>
      </c>
      <c r="C418">
        <v>3.5869900000000003E-2</v>
      </c>
      <c r="D418">
        <v>417</v>
      </c>
      <c r="E418" s="60"/>
      <c r="F418" s="60"/>
    </row>
    <row r="419" spans="1:6" x14ac:dyDescent="0.55000000000000004">
      <c r="A419" t="s">
        <v>630</v>
      </c>
      <c r="B419" t="s">
        <v>1311</v>
      </c>
      <c r="C419">
        <v>3.5776540000000003E-2</v>
      </c>
      <c r="D419">
        <v>418</v>
      </c>
      <c r="E419" s="60"/>
      <c r="F419" s="60"/>
    </row>
    <row r="420" spans="1:6" x14ac:dyDescent="0.55000000000000004">
      <c r="A420" t="s">
        <v>631</v>
      </c>
      <c r="B420" t="s">
        <v>1370</v>
      </c>
      <c r="C420">
        <v>3.5655819999999998E-2</v>
      </c>
      <c r="D420">
        <v>419</v>
      </c>
      <c r="E420" s="60"/>
      <c r="F420" s="60"/>
    </row>
    <row r="421" spans="1:6" x14ac:dyDescent="0.55000000000000004">
      <c r="A421" t="s">
        <v>632</v>
      </c>
      <c r="B421" t="s">
        <v>1371</v>
      </c>
      <c r="C421">
        <v>3.5573460000000001E-2</v>
      </c>
      <c r="D421">
        <v>420</v>
      </c>
      <c r="E421" s="60"/>
      <c r="F421" s="60"/>
    </row>
    <row r="422" spans="1:6" x14ac:dyDescent="0.55000000000000004">
      <c r="A422" t="s">
        <v>633</v>
      </c>
      <c r="B422" t="s">
        <v>1409</v>
      </c>
      <c r="C422">
        <v>3.55327E-2</v>
      </c>
      <c r="D422">
        <v>421</v>
      </c>
      <c r="E422" s="60"/>
      <c r="F422" s="60"/>
    </row>
    <row r="423" spans="1:6" x14ac:dyDescent="0.55000000000000004">
      <c r="A423" t="s">
        <v>634</v>
      </c>
      <c r="B423" t="s">
        <v>963</v>
      </c>
      <c r="C423">
        <v>3.5400260000000003E-2</v>
      </c>
      <c r="D423">
        <v>422</v>
      </c>
      <c r="E423" s="60"/>
      <c r="F423" s="60"/>
    </row>
    <row r="424" spans="1:6" x14ac:dyDescent="0.55000000000000004">
      <c r="A424" t="s">
        <v>635</v>
      </c>
      <c r="B424" t="s">
        <v>1359</v>
      </c>
      <c r="C424">
        <v>3.5323109999999998E-2</v>
      </c>
      <c r="D424">
        <v>423</v>
      </c>
      <c r="E424" s="60"/>
      <c r="F424" s="60"/>
    </row>
    <row r="425" spans="1:6" x14ac:dyDescent="0.55000000000000004">
      <c r="A425" t="s">
        <v>636</v>
      </c>
      <c r="B425" t="s">
        <v>1244</v>
      </c>
      <c r="C425">
        <v>3.5135310000000003E-2</v>
      </c>
      <c r="D425">
        <v>424</v>
      </c>
      <c r="E425" s="60"/>
      <c r="F425" s="60"/>
    </row>
    <row r="426" spans="1:6" x14ac:dyDescent="0.55000000000000004">
      <c r="A426" t="s">
        <v>637</v>
      </c>
      <c r="B426" t="s">
        <v>1358</v>
      </c>
      <c r="C426">
        <v>3.5030480000000003E-2</v>
      </c>
      <c r="D426">
        <v>425</v>
      </c>
      <c r="E426" s="60"/>
      <c r="F426" s="60"/>
    </row>
    <row r="427" spans="1:6" x14ac:dyDescent="0.55000000000000004">
      <c r="A427" t="s">
        <v>638</v>
      </c>
      <c r="B427" t="s">
        <v>1264</v>
      </c>
      <c r="C427">
        <v>3.4976699999999999E-2</v>
      </c>
      <c r="D427">
        <v>426</v>
      </c>
      <c r="E427" s="60"/>
      <c r="F427" s="60"/>
    </row>
    <row r="428" spans="1:6" x14ac:dyDescent="0.55000000000000004">
      <c r="A428" t="s">
        <v>639</v>
      </c>
      <c r="B428" t="s">
        <v>1386</v>
      </c>
      <c r="C428">
        <v>3.4728849999999999E-2</v>
      </c>
      <c r="D428">
        <v>427</v>
      </c>
      <c r="E428" s="60"/>
      <c r="F428" s="60"/>
    </row>
    <row r="429" spans="1:6" x14ac:dyDescent="0.55000000000000004">
      <c r="A429" t="s">
        <v>640</v>
      </c>
      <c r="B429" t="s">
        <v>1297</v>
      </c>
      <c r="C429">
        <v>3.4484960000000002E-2</v>
      </c>
      <c r="D429">
        <v>428</v>
      </c>
      <c r="E429" s="60"/>
      <c r="F429" s="60"/>
    </row>
    <row r="430" spans="1:6" x14ac:dyDescent="0.55000000000000004">
      <c r="A430" t="s">
        <v>641</v>
      </c>
      <c r="B430" t="s">
        <v>999</v>
      </c>
      <c r="C430">
        <v>3.4402439999999999E-2</v>
      </c>
      <c r="D430">
        <v>429</v>
      </c>
      <c r="E430" s="60"/>
      <c r="F430" s="60"/>
    </row>
    <row r="431" spans="1:6" x14ac:dyDescent="0.55000000000000004">
      <c r="A431" t="s">
        <v>642</v>
      </c>
      <c r="B431" t="s">
        <v>1181</v>
      </c>
      <c r="C431">
        <v>3.4165010000000003E-2</v>
      </c>
      <c r="D431">
        <v>430</v>
      </c>
      <c r="E431" s="60"/>
      <c r="F431" s="60"/>
    </row>
    <row r="432" spans="1:6" x14ac:dyDescent="0.55000000000000004">
      <c r="A432" t="s">
        <v>643</v>
      </c>
      <c r="B432" t="s">
        <v>1210</v>
      </c>
      <c r="C432">
        <v>3.4031110000000003E-2</v>
      </c>
      <c r="D432">
        <v>431</v>
      </c>
      <c r="E432" s="60"/>
      <c r="F432" s="60"/>
    </row>
    <row r="433" spans="1:6" x14ac:dyDescent="0.55000000000000004">
      <c r="A433" t="s">
        <v>644</v>
      </c>
      <c r="B433" t="s">
        <v>1352</v>
      </c>
      <c r="C433">
        <v>3.374717E-2</v>
      </c>
      <c r="D433">
        <v>432</v>
      </c>
      <c r="E433" s="60"/>
      <c r="F433" s="60"/>
    </row>
    <row r="434" spans="1:6" x14ac:dyDescent="0.55000000000000004">
      <c r="A434" t="s">
        <v>645</v>
      </c>
      <c r="B434" t="s">
        <v>1073</v>
      </c>
      <c r="C434">
        <v>3.3615899999999997E-2</v>
      </c>
      <c r="D434">
        <v>433</v>
      </c>
      <c r="E434" s="60"/>
      <c r="F434" s="60"/>
    </row>
    <row r="435" spans="1:6" x14ac:dyDescent="0.55000000000000004">
      <c r="A435" t="s">
        <v>646</v>
      </c>
      <c r="B435" t="s">
        <v>1122</v>
      </c>
      <c r="C435">
        <v>3.361335E-2</v>
      </c>
      <c r="D435">
        <v>434</v>
      </c>
      <c r="E435" s="60"/>
      <c r="F435" s="60"/>
    </row>
    <row r="436" spans="1:6" x14ac:dyDescent="0.55000000000000004">
      <c r="A436" t="s">
        <v>647</v>
      </c>
      <c r="B436" t="s">
        <v>1136</v>
      </c>
      <c r="C436">
        <v>3.3598790000000003E-2</v>
      </c>
      <c r="D436">
        <v>435</v>
      </c>
      <c r="E436" s="60"/>
      <c r="F436" s="60"/>
    </row>
    <row r="437" spans="1:6" x14ac:dyDescent="0.55000000000000004">
      <c r="A437" t="s">
        <v>648</v>
      </c>
      <c r="B437" t="s">
        <v>1095</v>
      </c>
      <c r="C437">
        <v>3.3351720000000001E-2</v>
      </c>
      <c r="D437">
        <v>436</v>
      </c>
      <c r="E437" s="60"/>
      <c r="F437" s="60"/>
    </row>
    <row r="438" spans="1:6" x14ac:dyDescent="0.55000000000000004">
      <c r="A438" t="s">
        <v>649</v>
      </c>
      <c r="B438" t="s">
        <v>977</v>
      </c>
      <c r="C438">
        <v>3.3351569999999997E-2</v>
      </c>
      <c r="D438">
        <v>437</v>
      </c>
      <c r="E438" s="60"/>
      <c r="F438" s="60"/>
    </row>
    <row r="439" spans="1:6" x14ac:dyDescent="0.55000000000000004">
      <c r="A439" t="s">
        <v>650</v>
      </c>
      <c r="B439" t="s">
        <v>1379</v>
      </c>
      <c r="C439">
        <v>3.3205289999999998E-2</v>
      </c>
      <c r="D439">
        <v>438</v>
      </c>
      <c r="E439" s="60"/>
      <c r="F439" s="60"/>
    </row>
    <row r="440" spans="1:6" x14ac:dyDescent="0.55000000000000004">
      <c r="A440" t="s">
        <v>651</v>
      </c>
      <c r="B440" t="s">
        <v>909</v>
      </c>
      <c r="C440">
        <v>3.2893550000000001E-2</v>
      </c>
      <c r="D440">
        <v>439</v>
      </c>
      <c r="E440" s="60"/>
      <c r="F440" s="60"/>
    </row>
    <row r="441" spans="1:6" x14ac:dyDescent="0.55000000000000004">
      <c r="A441" t="s">
        <v>652</v>
      </c>
      <c r="B441" t="s">
        <v>967</v>
      </c>
      <c r="C441">
        <v>3.2735640000000003E-2</v>
      </c>
      <c r="D441">
        <v>440</v>
      </c>
      <c r="E441" s="60"/>
      <c r="F441" s="60"/>
    </row>
    <row r="442" spans="1:6" x14ac:dyDescent="0.55000000000000004">
      <c r="A442" t="s">
        <v>653</v>
      </c>
      <c r="B442" t="s">
        <v>1216</v>
      </c>
      <c r="C442">
        <v>3.266028E-2</v>
      </c>
      <c r="D442">
        <v>441</v>
      </c>
      <c r="E442" s="60"/>
      <c r="F442" s="60"/>
    </row>
    <row r="443" spans="1:6" x14ac:dyDescent="0.55000000000000004">
      <c r="A443" t="s">
        <v>654</v>
      </c>
      <c r="B443" t="s">
        <v>880</v>
      </c>
      <c r="C443">
        <v>3.2515420000000003E-2</v>
      </c>
      <c r="D443">
        <v>442</v>
      </c>
      <c r="E443" s="60"/>
      <c r="F443" s="60"/>
    </row>
    <row r="444" spans="1:6" x14ac:dyDescent="0.55000000000000004">
      <c r="A444" t="s">
        <v>655</v>
      </c>
      <c r="B444" t="s">
        <v>1100</v>
      </c>
      <c r="C444">
        <v>3.2278010000000003E-2</v>
      </c>
      <c r="D444">
        <v>443</v>
      </c>
      <c r="E444" s="60"/>
      <c r="F444" s="60"/>
    </row>
    <row r="445" spans="1:6" x14ac:dyDescent="0.55000000000000004">
      <c r="A445" t="s">
        <v>656</v>
      </c>
      <c r="B445" t="s">
        <v>1036</v>
      </c>
      <c r="C445">
        <v>3.1747699999999997E-2</v>
      </c>
      <c r="D445">
        <v>444</v>
      </c>
      <c r="E445" s="60"/>
      <c r="F445" s="60"/>
    </row>
    <row r="446" spans="1:6" x14ac:dyDescent="0.55000000000000004">
      <c r="A446" t="s">
        <v>657</v>
      </c>
      <c r="B446" t="s">
        <v>1286</v>
      </c>
      <c r="C446">
        <v>3.1743630000000002E-2</v>
      </c>
      <c r="D446">
        <v>445</v>
      </c>
      <c r="E446" s="60"/>
      <c r="F446" s="60"/>
    </row>
    <row r="447" spans="1:6" x14ac:dyDescent="0.55000000000000004">
      <c r="A447" t="s">
        <v>658</v>
      </c>
      <c r="B447" t="s">
        <v>1155</v>
      </c>
      <c r="C447">
        <v>3.1721949999999999E-2</v>
      </c>
      <c r="D447">
        <v>446</v>
      </c>
      <c r="E447" s="60"/>
      <c r="F447" s="60"/>
    </row>
    <row r="448" spans="1:6" x14ac:dyDescent="0.55000000000000004">
      <c r="A448" t="s">
        <v>659</v>
      </c>
      <c r="B448" t="s">
        <v>1391</v>
      </c>
      <c r="C448">
        <v>3.1718160000000002E-2</v>
      </c>
      <c r="D448">
        <v>447</v>
      </c>
      <c r="E448" s="60"/>
      <c r="F448" s="60"/>
    </row>
    <row r="449" spans="1:6" x14ac:dyDescent="0.55000000000000004">
      <c r="A449" t="s">
        <v>660</v>
      </c>
      <c r="B449" t="s">
        <v>1103</v>
      </c>
      <c r="C449">
        <v>3.1564630000000003E-2</v>
      </c>
      <c r="D449">
        <v>448</v>
      </c>
      <c r="E449" s="60"/>
      <c r="F449" s="60"/>
    </row>
    <row r="450" spans="1:6" x14ac:dyDescent="0.55000000000000004">
      <c r="A450" t="s">
        <v>661</v>
      </c>
      <c r="B450" t="s">
        <v>1276</v>
      </c>
      <c r="C450">
        <v>3.1482200000000002E-2</v>
      </c>
      <c r="D450">
        <v>449</v>
      </c>
      <c r="E450" s="60"/>
      <c r="F450" s="60"/>
    </row>
    <row r="451" spans="1:6" x14ac:dyDescent="0.55000000000000004">
      <c r="A451" t="s">
        <v>662</v>
      </c>
      <c r="B451" t="s">
        <v>975</v>
      </c>
      <c r="C451">
        <v>3.1462070000000002E-2</v>
      </c>
      <c r="D451">
        <v>450</v>
      </c>
      <c r="E451" s="60"/>
      <c r="F451" s="60"/>
    </row>
    <row r="452" spans="1:6" x14ac:dyDescent="0.55000000000000004">
      <c r="A452" t="s">
        <v>663</v>
      </c>
      <c r="B452" t="s">
        <v>1065</v>
      </c>
      <c r="C452">
        <v>3.119626E-2</v>
      </c>
      <c r="D452">
        <v>451</v>
      </c>
      <c r="E452" s="60"/>
      <c r="F452" s="60"/>
    </row>
    <row r="453" spans="1:6" x14ac:dyDescent="0.55000000000000004">
      <c r="A453" t="s">
        <v>664</v>
      </c>
      <c r="B453" t="s">
        <v>1395</v>
      </c>
      <c r="C453">
        <v>3.0976070000000001E-2</v>
      </c>
      <c r="D453">
        <v>452</v>
      </c>
      <c r="E453" s="60"/>
      <c r="F453" s="60"/>
    </row>
    <row r="454" spans="1:6" x14ac:dyDescent="0.55000000000000004">
      <c r="A454" t="s">
        <v>665</v>
      </c>
      <c r="B454" t="s">
        <v>1086</v>
      </c>
      <c r="C454">
        <v>3.0616460000000002E-2</v>
      </c>
      <c r="D454">
        <v>453</v>
      </c>
      <c r="E454" s="60"/>
      <c r="F454" s="60"/>
    </row>
    <row r="455" spans="1:6" x14ac:dyDescent="0.55000000000000004">
      <c r="A455" t="s">
        <v>666</v>
      </c>
      <c r="B455" t="s">
        <v>861</v>
      </c>
      <c r="C455">
        <v>3.0391459999999999E-2</v>
      </c>
      <c r="D455">
        <v>454</v>
      </c>
      <c r="E455" s="60"/>
      <c r="F455" s="60"/>
    </row>
    <row r="456" spans="1:6" x14ac:dyDescent="0.55000000000000004">
      <c r="A456" t="s">
        <v>667</v>
      </c>
      <c r="B456" t="s">
        <v>885</v>
      </c>
      <c r="C456">
        <v>2.9911529999999999E-2</v>
      </c>
      <c r="D456">
        <v>455</v>
      </c>
      <c r="E456" s="60"/>
      <c r="F456" s="60"/>
    </row>
    <row r="457" spans="1:6" x14ac:dyDescent="0.55000000000000004">
      <c r="A457" t="s">
        <v>668</v>
      </c>
      <c r="B457" t="s">
        <v>1159</v>
      </c>
      <c r="C457">
        <v>2.969693E-2</v>
      </c>
      <c r="D457">
        <v>456</v>
      </c>
      <c r="E457" s="60"/>
      <c r="F457" s="60"/>
    </row>
    <row r="458" spans="1:6" x14ac:dyDescent="0.55000000000000004">
      <c r="A458" t="s">
        <v>669</v>
      </c>
      <c r="B458" t="s">
        <v>1019</v>
      </c>
      <c r="C458">
        <v>2.964955E-2</v>
      </c>
      <c r="D458">
        <v>457</v>
      </c>
      <c r="E458" s="60"/>
      <c r="F458" s="60"/>
    </row>
    <row r="459" spans="1:6" x14ac:dyDescent="0.55000000000000004">
      <c r="A459" t="s">
        <v>670</v>
      </c>
      <c r="B459" t="s">
        <v>1084</v>
      </c>
      <c r="C459">
        <v>2.9567400000000001E-2</v>
      </c>
      <c r="D459">
        <v>458</v>
      </c>
      <c r="E459" s="60"/>
      <c r="F459" s="60"/>
    </row>
    <row r="460" spans="1:6" x14ac:dyDescent="0.55000000000000004">
      <c r="A460" t="s">
        <v>671</v>
      </c>
      <c r="B460" t="s">
        <v>915</v>
      </c>
      <c r="C460">
        <v>2.9271889999999998E-2</v>
      </c>
      <c r="D460">
        <v>459</v>
      </c>
      <c r="E460" s="60"/>
      <c r="F460" s="60"/>
    </row>
    <row r="461" spans="1:6" x14ac:dyDescent="0.55000000000000004">
      <c r="A461" t="s">
        <v>672</v>
      </c>
      <c r="B461" t="s">
        <v>1373</v>
      </c>
      <c r="C461">
        <v>2.9241980000000001E-2</v>
      </c>
      <c r="D461">
        <v>460</v>
      </c>
      <c r="E461" s="60"/>
      <c r="F461" s="60"/>
    </row>
    <row r="462" spans="1:6" x14ac:dyDescent="0.55000000000000004">
      <c r="A462" t="s">
        <v>673</v>
      </c>
      <c r="B462" t="s">
        <v>1023</v>
      </c>
      <c r="C462">
        <v>2.9178140000000002E-2</v>
      </c>
      <c r="D462">
        <v>461</v>
      </c>
      <c r="E462" s="60"/>
      <c r="F462" s="60"/>
    </row>
    <row r="463" spans="1:6" x14ac:dyDescent="0.55000000000000004">
      <c r="A463" t="s">
        <v>674</v>
      </c>
      <c r="B463" t="s">
        <v>883</v>
      </c>
      <c r="C463">
        <v>2.90283E-2</v>
      </c>
      <c r="D463">
        <v>462</v>
      </c>
      <c r="E463" s="60"/>
      <c r="F463" s="60"/>
    </row>
    <row r="464" spans="1:6" x14ac:dyDescent="0.55000000000000004">
      <c r="A464" t="s">
        <v>675</v>
      </c>
      <c r="B464" t="s">
        <v>917</v>
      </c>
      <c r="C464">
        <v>2.901165E-2</v>
      </c>
      <c r="D464">
        <v>463</v>
      </c>
      <c r="E464" s="60"/>
      <c r="F464" s="60"/>
    </row>
    <row r="465" spans="1:6" x14ac:dyDescent="0.55000000000000004">
      <c r="A465" t="s">
        <v>676</v>
      </c>
      <c r="B465" t="s">
        <v>968</v>
      </c>
      <c r="C465">
        <v>2.8891739999999999E-2</v>
      </c>
      <c r="D465">
        <v>464</v>
      </c>
      <c r="E465" s="60"/>
      <c r="F465" s="60"/>
    </row>
    <row r="466" spans="1:6" x14ac:dyDescent="0.55000000000000004">
      <c r="A466" t="s">
        <v>677</v>
      </c>
      <c r="B466" t="s">
        <v>1338</v>
      </c>
      <c r="C466">
        <v>2.8871580000000001E-2</v>
      </c>
      <c r="D466">
        <v>465</v>
      </c>
      <c r="E466" s="60"/>
      <c r="F466" s="60"/>
    </row>
    <row r="467" spans="1:6" x14ac:dyDescent="0.55000000000000004">
      <c r="A467" t="s">
        <v>678</v>
      </c>
      <c r="B467" t="s">
        <v>1152</v>
      </c>
      <c r="C467">
        <v>2.8751809999999999E-2</v>
      </c>
      <c r="D467">
        <v>466</v>
      </c>
      <c r="E467" s="60"/>
      <c r="F467" s="60"/>
    </row>
    <row r="468" spans="1:6" x14ac:dyDescent="0.55000000000000004">
      <c r="A468" t="s">
        <v>679</v>
      </c>
      <c r="B468" t="s">
        <v>1278</v>
      </c>
      <c r="C468">
        <v>2.8661099999999998E-2</v>
      </c>
      <c r="D468">
        <v>467</v>
      </c>
      <c r="E468" s="60"/>
      <c r="F468" s="60"/>
    </row>
    <row r="469" spans="1:6" x14ac:dyDescent="0.55000000000000004">
      <c r="A469" t="s">
        <v>680</v>
      </c>
      <c r="B469" t="s">
        <v>871</v>
      </c>
      <c r="C469">
        <v>2.8555779999999999E-2</v>
      </c>
      <c r="D469">
        <v>468</v>
      </c>
      <c r="E469" s="60"/>
      <c r="F469" s="60"/>
    </row>
    <row r="470" spans="1:6" x14ac:dyDescent="0.55000000000000004">
      <c r="A470" t="s">
        <v>681</v>
      </c>
      <c r="B470" t="s">
        <v>1284</v>
      </c>
      <c r="C470">
        <v>2.8547949999999999E-2</v>
      </c>
      <c r="D470">
        <v>469</v>
      </c>
      <c r="E470" s="60"/>
      <c r="F470" s="60"/>
    </row>
    <row r="471" spans="1:6" x14ac:dyDescent="0.55000000000000004">
      <c r="A471" t="s">
        <v>682</v>
      </c>
      <c r="B471" t="s">
        <v>1372</v>
      </c>
      <c r="C471">
        <v>2.8415900000000001E-2</v>
      </c>
      <c r="D471">
        <v>470</v>
      </c>
      <c r="E471" s="60"/>
      <c r="F471" s="60"/>
    </row>
    <row r="472" spans="1:6" x14ac:dyDescent="0.55000000000000004">
      <c r="A472" t="s">
        <v>683</v>
      </c>
      <c r="B472" t="s">
        <v>1083</v>
      </c>
      <c r="C472">
        <v>2.835006E-2</v>
      </c>
      <c r="D472">
        <v>471</v>
      </c>
      <c r="E472" s="60"/>
      <c r="F472" s="60"/>
    </row>
    <row r="473" spans="1:6" x14ac:dyDescent="0.55000000000000004">
      <c r="A473" t="s">
        <v>684</v>
      </c>
      <c r="B473" t="s">
        <v>1394</v>
      </c>
      <c r="C473">
        <v>2.818758E-2</v>
      </c>
      <c r="D473">
        <v>472</v>
      </c>
      <c r="E473" s="60"/>
      <c r="F473" s="60"/>
    </row>
    <row r="474" spans="1:6" x14ac:dyDescent="0.55000000000000004">
      <c r="A474" t="s">
        <v>685</v>
      </c>
      <c r="B474" t="s">
        <v>1335</v>
      </c>
      <c r="C474">
        <v>2.7993000000000001E-2</v>
      </c>
      <c r="D474">
        <v>473</v>
      </c>
      <c r="E474" s="60"/>
      <c r="F474" s="60"/>
    </row>
    <row r="475" spans="1:6" x14ac:dyDescent="0.55000000000000004">
      <c r="A475" t="s">
        <v>686</v>
      </c>
      <c r="B475" t="s">
        <v>978</v>
      </c>
      <c r="C475">
        <v>2.7978019999999999E-2</v>
      </c>
      <c r="D475">
        <v>474</v>
      </c>
      <c r="E475" s="60"/>
      <c r="F475" s="60"/>
    </row>
    <row r="476" spans="1:6" x14ac:dyDescent="0.55000000000000004">
      <c r="A476" t="s">
        <v>687</v>
      </c>
      <c r="B476" t="s">
        <v>1403</v>
      </c>
      <c r="C476">
        <v>2.7864400000000001E-2</v>
      </c>
      <c r="D476">
        <v>475</v>
      </c>
      <c r="E476" s="60"/>
      <c r="F476" s="60"/>
    </row>
    <row r="477" spans="1:6" x14ac:dyDescent="0.55000000000000004">
      <c r="A477" t="s">
        <v>688</v>
      </c>
      <c r="B477" t="s">
        <v>1305</v>
      </c>
      <c r="C477">
        <v>2.7841390000000001E-2</v>
      </c>
      <c r="D477">
        <v>476</v>
      </c>
      <c r="E477" s="60"/>
      <c r="F477" s="60"/>
    </row>
    <row r="478" spans="1:6" x14ac:dyDescent="0.55000000000000004">
      <c r="A478" t="s">
        <v>689</v>
      </c>
      <c r="B478" t="s">
        <v>1245</v>
      </c>
      <c r="C478">
        <v>2.774194E-2</v>
      </c>
      <c r="D478">
        <v>477</v>
      </c>
      <c r="E478" s="60"/>
      <c r="F478" s="60"/>
    </row>
    <row r="479" spans="1:6" x14ac:dyDescent="0.55000000000000004">
      <c r="A479" t="s">
        <v>690</v>
      </c>
      <c r="B479" t="s">
        <v>1368</v>
      </c>
      <c r="C479">
        <v>2.7683579999999999E-2</v>
      </c>
      <c r="D479">
        <v>478</v>
      </c>
      <c r="E479" s="60"/>
      <c r="F479" s="60"/>
    </row>
    <row r="480" spans="1:6" x14ac:dyDescent="0.55000000000000004">
      <c r="A480" t="s">
        <v>691</v>
      </c>
      <c r="B480" t="s">
        <v>1312</v>
      </c>
      <c r="C480">
        <v>2.754823E-2</v>
      </c>
      <c r="D480">
        <v>479</v>
      </c>
      <c r="E480" s="60"/>
      <c r="F480" s="60"/>
    </row>
    <row r="481" spans="1:6" x14ac:dyDescent="0.55000000000000004">
      <c r="A481" t="s">
        <v>692</v>
      </c>
      <c r="B481" t="s">
        <v>1218</v>
      </c>
      <c r="C481">
        <v>2.740824E-2</v>
      </c>
      <c r="D481">
        <v>480</v>
      </c>
      <c r="E481" s="60"/>
      <c r="F481" s="60"/>
    </row>
    <row r="482" spans="1:6" x14ac:dyDescent="0.55000000000000004">
      <c r="A482" t="s">
        <v>693</v>
      </c>
      <c r="B482" t="s">
        <v>1037</v>
      </c>
      <c r="C482">
        <v>2.7384269999999999E-2</v>
      </c>
      <c r="D482">
        <v>481</v>
      </c>
      <c r="E482" s="60"/>
      <c r="F482" s="60"/>
    </row>
    <row r="483" spans="1:6" x14ac:dyDescent="0.55000000000000004">
      <c r="A483" t="s">
        <v>694</v>
      </c>
      <c r="B483" t="s">
        <v>961</v>
      </c>
      <c r="C483">
        <v>2.7138220000000001E-2</v>
      </c>
      <c r="D483">
        <v>482</v>
      </c>
      <c r="E483" s="60"/>
      <c r="F483" s="60"/>
    </row>
    <row r="484" spans="1:6" x14ac:dyDescent="0.55000000000000004">
      <c r="A484" t="s">
        <v>695</v>
      </c>
      <c r="B484" t="s">
        <v>1329</v>
      </c>
      <c r="C484">
        <v>2.7134419999999999E-2</v>
      </c>
      <c r="D484">
        <v>483</v>
      </c>
      <c r="E484" s="60"/>
      <c r="F484" s="60"/>
    </row>
    <row r="485" spans="1:6" x14ac:dyDescent="0.55000000000000004">
      <c r="A485" t="s">
        <v>696</v>
      </c>
      <c r="B485" t="s">
        <v>936</v>
      </c>
      <c r="C485">
        <v>2.6974080000000001E-2</v>
      </c>
      <c r="D485">
        <v>484</v>
      </c>
      <c r="E485" s="60"/>
      <c r="F485" s="60"/>
    </row>
    <row r="486" spans="1:6" x14ac:dyDescent="0.55000000000000004">
      <c r="A486" t="s">
        <v>697</v>
      </c>
      <c r="B486" t="s">
        <v>1107</v>
      </c>
      <c r="C486">
        <v>2.6952159999999999E-2</v>
      </c>
      <c r="D486">
        <v>485</v>
      </c>
      <c r="E486" s="60"/>
      <c r="F486" s="60"/>
    </row>
    <row r="487" spans="1:6" x14ac:dyDescent="0.55000000000000004">
      <c r="A487" t="s">
        <v>698</v>
      </c>
      <c r="B487" t="s">
        <v>857</v>
      </c>
      <c r="C487">
        <v>2.6924170000000001E-2</v>
      </c>
      <c r="D487">
        <v>486</v>
      </c>
      <c r="E487" s="60"/>
      <c r="F487" s="60"/>
    </row>
    <row r="488" spans="1:6" x14ac:dyDescent="0.55000000000000004">
      <c r="A488" t="s">
        <v>699</v>
      </c>
      <c r="B488" t="s">
        <v>1145</v>
      </c>
      <c r="C488">
        <v>2.677349E-2</v>
      </c>
      <c r="D488">
        <v>487</v>
      </c>
      <c r="E488" s="60"/>
      <c r="F488" s="60"/>
    </row>
    <row r="489" spans="1:6" x14ac:dyDescent="0.55000000000000004">
      <c r="A489" t="s">
        <v>700</v>
      </c>
      <c r="B489" t="s">
        <v>1048</v>
      </c>
      <c r="C489">
        <v>2.6715610000000001E-2</v>
      </c>
      <c r="D489">
        <v>488</v>
      </c>
      <c r="E489" s="60"/>
      <c r="F489" s="60"/>
    </row>
    <row r="490" spans="1:6" x14ac:dyDescent="0.55000000000000004">
      <c r="A490" t="s">
        <v>701</v>
      </c>
      <c r="B490" t="s">
        <v>1308</v>
      </c>
      <c r="C490">
        <v>2.6683780000000001E-2</v>
      </c>
      <c r="D490">
        <v>489</v>
      </c>
      <c r="E490" s="60"/>
      <c r="F490" s="60"/>
    </row>
    <row r="491" spans="1:6" x14ac:dyDescent="0.55000000000000004">
      <c r="A491" t="s">
        <v>702</v>
      </c>
      <c r="B491" t="s">
        <v>913</v>
      </c>
      <c r="C491">
        <v>2.6610350000000001E-2</v>
      </c>
      <c r="D491">
        <v>490</v>
      </c>
      <c r="E491" s="60"/>
      <c r="F491" s="60"/>
    </row>
    <row r="492" spans="1:6" x14ac:dyDescent="0.55000000000000004">
      <c r="A492" t="s">
        <v>703</v>
      </c>
      <c r="B492" t="s">
        <v>1186</v>
      </c>
      <c r="C492">
        <v>2.6465909999999999E-2</v>
      </c>
      <c r="D492">
        <v>491</v>
      </c>
      <c r="E492" s="60"/>
      <c r="F492" s="60"/>
    </row>
    <row r="493" spans="1:6" x14ac:dyDescent="0.55000000000000004">
      <c r="A493" t="s">
        <v>704</v>
      </c>
      <c r="B493" t="s">
        <v>1188</v>
      </c>
      <c r="C493">
        <v>2.6365610000000001E-2</v>
      </c>
      <c r="D493">
        <v>492</v>
      </c>
      <c r="E493" s="60"/>
      <c r="F493" s="60"/>
    </row>
    <row r="494" spans="1:6" x14ac:dyDescent="0.55000000000000004">
      <c r="A494" t="s">
        <v>705</v>
      </c>
      <c r="B494" t="s">
        <v>1251</v>
      </c>
      <c r="C494">
        <v>2.635581E-2</v>
      </c>
      <c r="D494">
        <v>493</v>
      </c>
      <c r="E494" s="60"/>
      <c r="F494" s="60"/>
    </row>
    <row r="495" spans="1:6" x14ac:dyDescent="0.55000000000000004">
      <c r="A495" t="s">
        <v>706</v>
      </c>
      <c r="B495" t="s">
        <v>1357</v>
      </c>
      <c r="C495">
        <v>2.6344659999999999E-2</v>
      </c>
      <c r="D495">
        <v>494</v>
      </c>
      <c r="E495" s="60"/>
      <c r="F495" s="60"/>
    </row>
    <row r="496" spans="1:6" x14ac:dyDescent="0.55000000000000004">
      <c r="A496" t="s">
        <v>707</v>
      </c>
      <c r="B496" t="s">
        <v>1160</v>
      </c>
      <c r="C496">
        <v>2.632236E-2</v>
      </c>
      <c r="D496">
        <v>495</v>
      </c>
      <c r="E496" s="60"/>
      <c r="F496" s="60"/>
    </row>
    <row r="497" spans="1:6" x14ac:dyDescent="0.55000000000000004">
      <c r="A497" t="s">
        <v>708</v>
      </c>
      <c r="B497" t="s">
        <v>1321</v>
      </c>
      <c r="C497">
        <v>2.6313030000000001E-2</v>
      </c>
      <c r="D497">
        <v>496</v>
      </c>
      <c r="E497" s="60"/>
      <c r="F497" s="60"/>
    </row>
    <row r="498" spans="1:6" x14ac:dyDescent="0.55000000000000004">
      <c r="A498" t="s">
        <v>709</v>
      </c>
      <c r="B498" t="s">
        <v>955</v>
      </c>
      <c r="C498">
        <v>2.627554E-2</v>
      </c>
      <c r="D498">
        <v>497</v>
      </c>
      <c r="E498" s="60"/>
      <c r="F498" s="60"/>
    </row>
    <row r="499" spans="1:6" x14ac:dyDescent="0.55000000000000004">
      <c r="A499" t="s">
        <v>710</v>
      </c>
      <c r="B499" t="s">
        <v>1349</v>
      </c>
      <c r="C499">
        <v>2.6250039999999999E-2</v>
      </c>
      <c r="D499">
        <v>498</v>
      </c>
      <c r="E499" s="60"/>
      <c r="F499" s="60"/>
    </row>
    <row r="500" spans="1:6" x14ac:dyDescent="0.55000000000000004">
      <c r="A500" t="s">
        <v>711</v>
      </c>
      <c r="B500" t="s">
        <v>872</v>
      </c>
      <c r="C500">
        <v>2.59934E-2</v>
      </c>
      <c r="D500">
        <v>499</v>
      </c>
      <c r="E500" s="60"/>
      <c r="F500" s="60"/>
    </row>
    <row r="501" spans="1:6" x14ac:dyDescent="0.55000000000000004">
      <c r="A501" t="s">
        <v>712</v>
      </c>
      <c r="B501" t="s">
        <v>1390</v>
      </c>
      <c r="C501">
        <v>2.598431E-2</v>
      </c>
      <c r="D501">
        <v>500</v>
      </c>
      <c r="E501" s="60"/>
      <c r="F501" s="60"/>
    </row>
    <row r="502" spans="1:6" x14ac:dyDescent="0.55000000000000004">
      <c r="A502" t="s">
        <v>713</v>
      </c>
      <c r="B502" t="s">
        <v>1396</v>
      </c>
      <c r="C502">
        <v>2.594925E-2</v>
      </c>
      <c r="D502">
        <v>501</v>
      </c>
      <c r="E502" s="60"/>
      <c r="F502" s="60"/>
    </row>
    <row r="503" spans="1:6" x14ac:dyDescent="0.55000000000000004">
      <c r="A503" t="s">
        <v>714</v>
      </c>
      <c r="B503" t="s">
        <v>914</v>
      </c>
      <c r="C503">
        <v>2.5915799999999999E-2</v>
      </c>
      <c r="D503">
        <v>502</v>
      </c>
      <c r="E503" s="60"/>
      <c r="F503" s="60"/>
    </row>
    <row r="504" spans="1:6" x14ac:dyDescent="0.55000000000000004">
      <c r="A504" t="s">
        <v>715</v>
      </c>
      <c r="B504" t="s">
        <v>899</v>
      </c>
      <c r="C504">
        <v>2.591429E-2</v>
      </c>
      <c r="D504">
        <v>503</v>
      </c>
      <c r="E504" s="60"/>
      <c r="F504" s="60"/>
    </row>
    <row r="505" spans="1:6" x14ac:dyDescent="0.55000000000000004">
      <c r="A505" t="s">
        <v>716</v>
      </c>
      <c r="B505" t="s">
        <v>1035</v>
      </c>
      <c r="C505">
        <v>2.5794879999999999E-2</v>
      </c>
      <c r="D505">
        <v>504</v>
      </c>
      <c r="E505" s="60"/>
      <c r="F505" s="60"/>
    </row>
    <row r="506" spans="1:6" x14ac:dyDescent="0.55000000000000004">
      <c r="A506" t="s">
        <v>717</v>
      </c>
      <c r="B506" t="s">
        <v>1400</v>
      </c>
      <c r="C506">
        <v>2.5503609999999999E-2</v>
      </c>
      <c r="D506">
        <v>505</v>
      </c>
      <c r="E506" s="60"/>
      <c r="F506" s="60"/>
    </row>
    <row r="507" spans="1:6" x14ac:dyDescent="0.55000000000000004">
      <c r="A507" t="s">
        <v>718</v>
      </c>
      <c r="B507" t="s">
        <v>1012</v>
      </c>
      <c r="C507">
        <v>2.5336790000000001E-2</v>
      </c>
      <c r="D507">
        <v>506</v>
      </c>
      <c r="E507" s="60"/>
      <c r="F507" s="60"/>
    </row>
    <row r="508" spans="1:6" x14ac:dyDescent="0.55000000000000004">
      <c r="A508" t="s">
        <v>719</v>
      </c>
      <c r="B508" t="s">
        <v>959</v>
      </c>
      <c r="C508">
        <v>2.529313E-2</v>
      </c>
      <c r="D508">
        <v>507</v>
      </c>
      <c r="E508" s="60"/>
      <c r="F508" s="60"/>
    </row>
    <row r="509" spans="1:6" x14ac:dyDescent="0.55000000000000004">
      <c r="A509" t="s">
        <v>720</v>
      </c>
      <c r="B509" t="s">
        <v>1334</v>
      </c>
      <c r="C509">
        <v>2.5291399999999999E-2</v>
      </c>
      <c r="D509">
        <v>508</v>
      </c>
      <c r="E509" s="60"/>
      <c r="F509" s="60"/>
    </row>
    <row r="510" spans="1:6" x14ac:dyDescent="0.55000000000000004">
      <c r="A510" t="s">
        <v>721</v>
      </c>
      <c r="B510" t="s">
        <v>992</v>
      </c>
      <c r="C510">
        <v>2.5253390000000001E-2</v>
      </c>
      <c r="D510">
        <v>509</v>
      </c>
      <c r="E510" s="60"/>
      <c r="F510" s="60"/>
    </row>
    <row r="511" spans="1:6" x14ac:dyDescent="0.55000000000000004">
      <c r="A511" t="s">
        <v>722</v>
      </c>
      <c r="B511" t="s">
        <v>1269</v>
      </c>
      <c r="C511">
        <v>2.5205769999999999E-2</v>
      </c>
      <c r="D511">
        <v>510</v>
      </c>
      <c r="E511" s="60"/>
      <c r="F511" s="60"/>
    </row>
    <row r="512" spans="1:6" x14ac:dyDescent="0.55000000000000004">
      <c r="A512" t="s">
        <v>723</v>
      </c>
      <c r="B512" t="s">
        <v>1040</v>
      </c>
      <c r="C512">
        <v>2.5047529999999998E-2</v>
      </c>
      <c r="D512">
        <v>511</v>
      </c>
      <c r="E512" s="60"/>
      <c r="F512" s="60"/>
    </row>
    <row r="513" spans="1:6" x14ac:dyDescent="0.55000000000000004">
      <c r="A513" t="s">
        <v>724</v>
      </c>
      <c r="B513" t="s">
        <v>1101</v>
      </c>
      <c r="C513">
        <v>2.502942E-2</v>
      </c>
      <c r="D513">
        <v>512</v>
      </c>
      <c r="E513" s="60"/>
      <c r="F513" s="60"/>
    </row>
    <row r="514" spans="1:6" x14ac:dyDescent="0.55000000000000004">
      <c r="A514" t="s">
        <v>725</v>
      </c>
      <c r="B514" t="s">
        <v>1238</v>
      </c>
      <c r="C514">
        <v>2.492724E-2</v>
      </c>
      <c r="D514">
        <v>513</v>
      </c>
      <c r="E514" s="60"/>
      <c r="F514" s="60"/>
    </row>
    <row r="515" spans="1:6" x14ac:dyDescent="0.55000000000000004">
      <c r="A515" t="s">
        <v>726</v>
      </c>
      <c r="B515" t="s">
        <v>1330</v>
      </c>
      <c r="C515">
        <v>2.4815029999999998E-2</v>
      </c>
      <c r="D515">
        <v>514</v>
      </c>
      <c r="E515" s="60"/>
      <c r="F515" s="60"/>
    </row>
    <row r="516" spans="1:6" x14ac:dyDescent="0.55000000000000004">
      <c r="A516" t="s">
        <v>727</v>
      </c>
      <c r="B516" t="s">
        <v>874</v>
      </c>
      <c r="C516">
        <v>2.4557800000000001E-2</v>
      </c>
      <c r="D516">
        <v>515</v>
      </c>
      <c r="E516" s="60"/>
      <c r="F516" s="60"/>
    </row>
    <row r="517" spans="1:6" x14ac:dyDescent="0.55000000000000004">
      <c r="A517" t="s">
        <v>728</v>
      </c>
      <c r="B517" t="s">
        <v>1242</v>
      </c>
      <c r="C517">
        <v>2.423208E-2</v>
      </c>
      <c r="D517">
        <v>516</v>
      </c>
      <c r="E517" s="60"/>
      <c r="F517" s="60"/>
    </row>
    <row r="518" spans="1:6" x14ac:dyDescent="0.55000000000000004">
      <c r="A518" t="s">
        <v>729</v>
      </c>
      <c r="B518" t="s">
        <v>1051</v>
      </c>
      <c r="C518">
        <v>2.420572E-2</v>
      </c>
      <c r="D518">
        <v>517</v>
      </c>
      <c r="E518" s="60"/>
      <c r="F518" s="60"/>
    </row>
    <row r="519" spans="1:6" x14ac:dyDescent="0.55000000000000004">
      <c r="A519" t="s">
        <v>730</v>
      </c>
      <c r="B519" t="s">
        <v>1226</v>
      </c>
      <c r="C519">
        <v>2.413156E-2</v>
      </c>
      <c r="D519">
        <v>518</v>
      </c>
      <c r="E519" s="60"/>
      <c r="F519" s="60"/>
    </row>
    <row r="520" spans="1:6" x14ac:dyDescent="0.55000000000000004">
      <c r="A520" t="s">
        <v>731</v>
      </c>
      <c r="B520" t="s">
        <v>1263</v>
      </c>
      <c r="C520">
        <v>2.364395E-2</v>
      </c>
      <c r="D520">
        <v>519</v>
      </c>
      <c r="E520" s="60"/>
      <c r="F520" s="60"/>
    </row>
    <row r="521" spans="1:6" x14ac:dyDescent="0.55000000000000004">
      <c r="A521" t="s">
        <v>732</v>
      </c>
      <c r="B521" t="s">
        <v>1176</v>
      </c>
      <c r="C521">
        <v>2.3536660000000001E-2</v>
      </c>
      <c r="D521">
        <v>520</v>
      </c>
      <c r="E521" s="60"/>
      <c r="F521" s="60"/>
    </row>
    <row r="522" spans="1:6" x14ac:dyDescent="0.55000000000000004">
      <c r="A522" t="s">
        <v>733</v>
      </c>
      <c r="B522" t="s">
        <v>1356</v>
      </c>
      <c r="C522">
        <v>2.3536310000000001E-2</v>
      </c>
      <c r="D522">
        <v>521</v>
      </c>
      <c r="E522" s="60"/>
      <c r="F522" s="60"/>
    </row>
    <row r="523" spans="1:6" x14ac:dyDescent="0.55000000000000004">
      <c r="A523" t="s">
        <v>734</v>
      </c>
      <c r="B523" t="s">
        <v>869</v>
      </c>
      <c r="C523">
        <v>2.3461180000000002E-2</v>
      </c>
      <c r="D523">
        <v>522</v>
      </c>
      <c r="E523" s="60"/>
      <c r="F523" s="60"/>
    </row>
    <row r="524" spans="1:6" x14ac:dyDescent="0.55000000000000004">
      <c r="A524" t="s">
        <v>735</v>
      </c>
      <c r="B524" t="s">
        <v>1291</v>
      </c>
      <c r="C524">
        <v>2.3432999999999999E-2</v>
      </c>
      <c r="D524">
        <v>523</v>
      </c>
      <c r="E524" s="60"/>
      <c r="F524" s="60"/>
    </row>
    <row r="525" spans="1:6" x14ac:dyDescent="0.55000000000000004">
      <c r="A525" t="s">
        <v>736</v>
      </c>
      <c r="B525" t="s">
        <v>974</v>
      </c>
      <c r="C525">
        <v>2.3376520000000001E-2</v>
      </c>
      <c r="D525">
        <v>524</v>
      </c>
      <c r="E525" s="60"/>
      <c r="F525" s="60"/>
    </row>
    <row r="526" spans="1:6" x14ac:dyDescent="0.55000000000000004">
      <c r="A526" t="s">
        <v>737</v>
      </c>
      <c r="B526" t="s">
        <v>971</v>
      </c>
      <c r="C526">
        <v>2.3362310000000001E-2</v>
      </c>
      <c r="D526">
        <v>525</v>
      </c>
      <c r="E526" s="60"/>
      <c r="F526" s="60"/>
    </row>
    <row r="527" spans="1:6" x14ac:dyDescent="0.55000000000000004">
      <c r="A527" t="s">
        <v>738</v>
      </c>
      <c r="B527" t="s">
        <v>930</v>
      </c>
      <c r="C527">
        <v>2.329784E-2</v>
      </c>
      <c r="D527">
        <v>526</v>
      </c>
      <c r="E527" s="60"/>
      <c r="F527" s="60"/>
    </row>
    <row r="528" spans="1:6" x14ac:dyDescent="0.55000000000000004">
      <c r="A528" t="s">
        <v>739</v>
      </c>
      <c r="B528" t="s">
        <v>1401</v>
      </c>
      <c r="C528">
        <v>2.3193979999999999E-2</v>
      </c>
      <c r="D528">
        <v>527</v>
      </c>
      <c r="E528" s="60"/>
      <c r="F528" s="60"/>
    </row>
    <row r="529" spans="1:6" x14ac:dyDescent="0.55000000000000004">
      <c r="A529" t="s">
        <v>740</v>
      </c>
      <c r="B529" t="s">
        <v>1092</v>
      </c>
      <c r="C529">
        <v>2.3167009999999998E-2</v>
      </c>
      <c r="D529">
        <v>528</v>
      </c>
      <c r="E529" s="60"/>
      <c r="F529" s="60"/>
    </row>
    <row r="530" spans="1:6" x14ac:dyDescent="0.55000000000000004">
      <c r="A530" t="s">
        <v>741</v>
      </c>
      <c r="B530" t="s">
        <v>1178</v>
      </c>
      <c r="C530">
        <v>2.292195E-2</v>
      </c>
      <c r="D530">
        <v>529</v>
      </c>
      <c r="E530" s="60"/>
      <c r="F530" s="60"/>
    </row>
    <row r="531" spans="1:6" x14ac:dyDescent="0.55000000000000004">
      <c r="A531" t="s">
        <v>742</v>
      </c>
      <c r="B531" t="s">
        <v>1215</v>
      </c>
      <c r="C531">
        <v>2.2846680000000001E-2</v>
      </c>
      <c r="D531">
        <v>530</v>
      </c>
      <c r="E531" s="60"/>
      <c r="F531" s="60"/>
    </row>
    <row r="532" spans="1:6" x14ac:dyDescent="0.55000000000000004">
      <c r="A532" t="s">
        <v>743</v>
      </c>
      <c r="B532" t="s">
        <v>1058</v>
      </c>
      <c r="C532">
        <v>2.2796230000000001E-2</v>
      </c>
      <c r="D532">
        <v>531</v>
      </c>
      <c r="E532" s="60"/>
      <c r="F532" s="60"/>
    </row>
    <row r="533" spans="1:6" x14ac:dyDescent="0.55000000000000004">
      <c r="A533" t="s">
        <v>744</v>
      </c>
      <c r="B533" t="s">
        <v>1280</v>
      </c>
      <c r="C533">
        <v>2.2721910000000001E-2</v>
      </c>
      <c r="D533">
        <v>532</v>
      </c>
      <c r="E533" s="60"/>
      <c r="F533" s="60"/>
    </row>
    <row r="534" spans="1:6" x14ac:dyDescent="0.55000000000000004">
      <c r="A534" t="s">
        <v>745</v>
      </c>
      <c r="B534" t="s">
        <v>982</v>
      </c>
      <c r="C534">
        <v>2.259071E-2</v>
      </c>
      <c r="D534">
        <v>533</v>
      </c>
      <c r="E534" s="60"/>
      <c r="F534" s="60"/>
    </row>
    <row r="535" spans="1:6" x14ac:dyDescent="0.55000000000000004">
      <c r="A535" t="s">
        <v>746</v>
      </c>
      <c r="B535" t="s">
        <v>1199</v>
      </c>
      <c r="C535">
        <v>2.2412979999999999E-2</v>
      </c>
      <c r="D535">
        <v>534</v>
      </c>
      <c r="E535" s="60"/>
      <c r="F535" s="60"/>
    </row>
    <row r="536" spans="1:6" x14ac:dyDescent="0.55000000000000004">
      <c r="A536" t="s">
        <v>747</v>
      </c>
      <c r="B536" t="s">
        <v>1164</v>
      </c>
      <c r="C536">
        <v>2.2412669999999999E-2</v>
      </c>
      <c r="D536">
        <v>535</v>
      </c>
      <c r="E536" s="60"/>
      <c r="F536" s="60"/>
    </row>
    <row r="537" spans="1:6" x14ac:dyDescent="0.55000000000000004">
      <c r="A537" t="s">
        <v>748</v>
      </c>
      <c r="B537" t="s">
        <v>1074</v>
      </c>
      <c r="C537">
        <v>2.2226650000000001E-2</v>
      </c>
      <c r="D537">
        <v>536</v>
      </c>
      <c r="E537" s="60"/>
      <c r="F537" s="60"/>
    </row>
    <row r="538" spans="1:6" x14ac:dyDescent="0.55000000000000004">
      <c r="A538" t="s">
        <v>749</v>
      </c>
      <c r="B538" t="s">
        <v>1246</v>
      </c>
      <c r="C538">
        <v>2.2161230000000001E-2</v>
      </c>
      <c r="D538">
        <v>537</v>
      </c>
      <c r="E538" s="60"/>
      <c r="F538" s="60"/>
    </row>
    <row r="539" spans="1:6" x14ac:dyDescent="0.55000000000000004">
      <c r="A539" t="s">
        <v>750</v>
      </c>
      <c r="B539" t="s">
        <v>1326</v>
      </c>
      <c r="C539">
        <v>2.2113230000000001E-2</v>
      </c>
      <c r="D539">
        <v>538</v>
      </c>
      <c r="E539" s="60"/>
      <c r="F539" s="60"/>
    </row>
    <row r="540" spans="1:6" x14ac:dyDescent="0.55000000000000004">
      <c r="A540" t="s">
        <v>751</v>
      </c>
      <c r="B540" t="s">
        <v>1072</v>
      </c>
      <c r="C540">
        <v>2.206089E-2</v>
      </c>
      <c r="D540">
        <v>539</v>
      </c>
      <c r="E540" s="60"/>
      <c r="F540" s="60"/>
    </row>
    <row r="541" spans="1:6" x14ac:dyDescent="0.55000000000000004">
      <c r="A541" t="s">
        <v>752</v>
      </c>
      <c r="B541" t="s">
        <v>901</v>
      </c>
      <c r="C541">
        <v>2.2047979999999998E-2</v>
      </c>
      <c r="D541">
        <v>540</v>
      </c>
      <c r="E541" s="60"/>
      <c r="F541" s="60"/>
    </row>
    <row r="542" spans="1:6" x14ac:dyDescent="0.55000000000000004">
      <c r="A542" t="s">
        <v>753</v>
      </c>
      <c r="B542" t="s">
        <v>1206</v>
      </c>
      <c r="C542">
        <v>2.1995009999999999E-2</v>
      </c>
      <c r="D542">
        <v>541</v>
      </c>
      <c r="E542" s="60"/>
      <c r="F542" s="60"/>
    </row>
    <row r="543" spans="1:6" x14ac:dyDescent="0.55000000000000004">
      <c r="A543" t="s">
        <v>754</v>
      </c>
      <c r="B543" t="s">
        <v>1275</v>
      </c>
      <c r="C543">
        <v>2.1941430000000001E-2</v>
      </c>
      <c r="D543">
        <v>542</v>
      </c>
      <c r="E543" s="60"/>
      <c r="F543" s="60"/>
    </row>
    <row r="544" spans="1:6" x14ac:dyDescent="0.55000000000000004">
      <c r="A544" t="s">
        <v>755</v>
      </c>
      <c r="B544" t="s">
        <v>1003</v>
      </c>
      <c r="C544">
        <v>2.1911110000000001E-2</v>
      </c>
      <c r="D544">
        <v>543</v>
      </c>
      <c r="E544" s="60"/>
      <c r="F544" s="60"/>
    </row>
    <row r="545" spans="1:6" x14ac:dyDescent="0.55000000000000004">
      <c r="A545" t="s">
        <v>756</v>
      </c>
      <c r="B545" t="s">
        <v>958</v>
      </c>
      <c r="C545">
        <v>2.185175E-2</v>
      </c>
      <c r="D545">
        <v>544</v>
      </c>
      <c r="E545" s="60"/>
      <c r="F545" s="60"/>
    </row>
    <row r="546" spans="1:6" x14ac:dyDescent="0.55000000000000004">
      <c r="A546" t="s">
        <v>757</v>
      </c>
      <c r="B546" t="s">
        <v>1113</v>
      </c>
      <c r="C546">
        <v>2.1835710000000001E-2</v>
      </c>
      <c r="D546">
        <v>545</v>
      </c>
      <c r="E546" s="60"/>
      <c r="F546" s="60"/>
    </row>
    <row r="547" spans="1:6" x14ac:dyDescent="0.55000000000000004">
      <c r="A547" t="s">
        <v>758</v>
      </c>
      <c r="B547" t="s">
        <v>856</v>
      </c>
      <c r="C547">
        <v>2.1800770000000001E-2</v>
      </c>
      <c r="D547">
        <v>546</v>
      </c>
      <c r="E547" s="60"/>
      <c r="F547" s="60"/>
    </row>
    <row r="548" spans="1:6" x14ac:dyDescent="0.55000000000000004">
      <c r="A548" t="s">
        <v>759</v>
      </c>
      <c r="B548" t="s">
        <v>902</v>
      </c>
      <c r="C548">
        <v>2.1798950000000001E-2</v>
      </c>
      <c r="D548">
        <v>547</v>
      </c>
      <c r="E548" s="60"/>
      <c r="F548" s="60"/>
    </row>
    <row r="549" spans="1:6" x14ac:dyDescent="0.55000000000000004">
      <c r="A549" t="s">
        <v>760</v>
      </c>
      <c r="B549" t="s">
        <v>1383</v>
      </c>
      <c r="C549">
        <v>2.1653599999999999E-2</v>
      </c>
      <c r="D549">
        <v>548</v>
      </c>
      <c r="E549" s="60"/>
      <c r="F549" s="60"/>
    </row>
    <row r="550" spans="1:6" x14ac:dyDescent="0.55000000000000004">
      <c r="A550" t="s">
        <v>761</v>
      </c>
      <c r="B550" t="s">
        <v>862</v>
      </c>
      <c r="C550">
        <v>2.1624999999999998E-2</v>
      </c>
      <c r="D550">
        <v>549</v>
      </c>
      <c r="E550" s="60"/>
      <c r="F550" s="60"/>
    </row>
    <row r="551" spans="1:6" x14ac:dyDescent="0.55000000000000004">
      <c r="A551" t="s">
        <v>762</v>
      </c>
      <c r="B551" t="s">
        <v>1224</v>
      </c>
      <c r="C551">
        <v>2.1506440000000002E-2</v>
      </c>
      <c r="D551">
        <v>550</v>
      </c>
      <c r="E551" s="60"/>
      <c r="F551" s="60"/>
    </row>
    <row r="552" spans="1:6" x14ac:dyDescent="0.55000000000000004">
      <c r="A552" t="s">
        <v>763</v>
      </c>
      <c r="B552" t="s">
        <v>928</v>
      </c>
      <c r="C552">
        <v>2.1443839999999999E-2</v>
      </c>
      <c r="D552">
        <v>551</v>
      </c>
      <c r="E552" s="60"/>
      <c r="F552" s="60"/>
    </row>
    <row r="553" spans="1:6" x14ac:dyDescent="0.55000000000000004">
      <c r="A553" t="s">
        <v>764</v>
      </c>
      <c r="B553" t="s">
        <v>990</v>
      </c>
      <c r="C553">
        <v>2.1143539999999999E-2</v>
      </c>
      <c r="D553">
        <v>552</v>
      </c>
      <c r="E553" s="60"/>
      <c r="F553" s="60"/>
    </row>
    <row r="554" spans="1:6" x14ac:dyDescent="0.55000000000000004">
      <c r="A554" t="s">
        <v>765</v>
      </c>
      <c r="B554" t="s">
        <v>1138</v>
      </c>
      <c r="C554">
        <v>2.1131009999999999E-2</v>
      </c>
      <c r="D554">
        <v>553</v>
      </c>
      <c r="E554" s="60"/>
      <c r="F554" s="60"/>
    </row>
    <row r="555" spans="1:6" x14ac:dyDescent="0.55000000000000004">
      <c r="A555" t="s">
        <v>766</v>
      </c>
      <c r="B555" t="s">
        <v>1097</v>
      </c>
      <c r="C555">
        <v>2.1127400000000001E-2</v>
      </c>
      <c r="D555">
        <v>554</v>
      </c>
      <c r="E555" s="60"/>
      <c r="F555" s="60"/>
    </row>
    <row r="556" spans="1:6" x14ac:dyDescent="0.55000000000000004">
      <c r="A556" t="s">
        <v>767</v>
      </c>
      <c r="B556" t="s">
        <v>1196</v>
      </c>
      <c r="C556">
        <v>2.1122490000000001E-2</v>
      </c>
      <c r="D556">
        <v>555</v>
      </c>
      <c r="E556" s="60"/>
      <c r="F556" s="60"/>
    </row>
    <row r="557" spans="1:6" x14ac:dyDescent="0.55000000000000004">
      <c r="A557" t="s">
        <v>768</v>
      </c>
      <c r="B557" t="s">
        <v>1240</v>
      </c>
      <c r="C557">
        <v>2.1120799999999999E-2</v>
      </c>
      <c r="D557">
        <v>556</v>
      </c>
      <c r="E557" s="60"/>
      <c r="F557" s="60"/>
    </row>
    <row r="558" spans="1:6" x14ac:dyDescent="0.55000000000000004">
      <c r="A558" t="s">
        <v>769</v>
      </c>
      <c r="B558" t="s">
        <v>1001</v>
      </c>
      <c r="C558">
        <v>2.1114500000000001E-2</v>
      </c>
      <c r="D558">
        <v>557</v>
      </c>
      <c r="E558" s="60"/>
      <c r="F558" s="60"/>
    </row>
    <row r="559" spans="1:6" x14ac:dyDescent="0.55000000000000004">
      <c r="A559" t="s">
        <v>770</v>
      </c>
      <c r="B559" t="s">
        <v>1021</v>
      </c>
      <c r="C559">
        <v>2.1031419999999999E-2</v>
      </c>
      <c r="D559">
        <v>558</v>
      </c>
      <c r="E559" s="60"/>
      <c r="F559" s="60"/>
    </row>
    <row r="560" spans="1:6" x14ac:dyDescent="0.55000000000000004">
      <c r="A560" t="s">
        <v>771</v>
      </c>
      <c r="B560" t="s">
        <v>1200</v>
      </c>
      <c r="C560">
        <v>2.093414E-2</v>
      </c>
      <c r="D560">
        <v>559</v>
      </c>
      <c r="E560" s="60"/>
      <c r="F560" s="60"/>
    </row>
    <row r="561" spans="1:6" x14ac:dyDescent="0.55000000000000004">
      <c r="A561" t="s">
        <v>772</v>
      </c>
      <c r="B561" t="s">
        <v>1222</v>
      </c>
      <c r="C561">
        <v>2.0913709999999999E-2</v>
      </c>
      <c r="D561">
        <v>560</v>
      </c>
      <c r="E561" s="60"/>
      <c r="F561" s="60"/>
    </row>
    <row r="562" spans="1:6" x14ac:dyDescent="0.55000000000000004">
      <c r="A562" t="s">
        <v>773</v>
      </c>
      <c r="B562" t="s">
        <v>911</v>
      </c>
      <c r="C562">
        <v>2.0873240000000001E-2</v>
      </c>
      <c r="D562">
        <v>561</v>
      </c>
      <c r="E562" s="60"/>
      <c r="F562" s="60"/>
    </row>
    <row r="563" spans="1:6" x14ac:dyDescent="0.55000000000000004">
      <c r="A563" t="s">
        <v>774</v>
      </c>
      <c r="B563" t="s">
        <v>1392</v>
      </c>
      <c r="C563">
        <v>2.0655759999999999E-2</v>
      </c>
      <c r="D563">
        <v>562</v>
      </c>
      <c r="E563" s="60"/>
      <c r="F563" s="60"/>
    </row>
    <row r="564" spans="1:6" x14ac:dyDescent="0.55000000000000004">
      <c r="A564" t="s">
        <v>775</v>
      </c>
      <c r="B564" t="s">
        <v>1266</v>
      </c>
      <c r="C564">
        <v>2.0521299999999999E-2</v>
      </c>
      <c r="D564">
        <v>563</v>
      </c>
      <c r="E564" s="60"/>
      <c r="F564" s="60"/>
    </row>
    <row r="565" spans="1:6" x14ac:dyDescent="0.55000000000000004">
      <c r="A565" t="s">
        <v>776</v>
      </c>
      <c r="B565" t="s">
        <v>1328</v>
      </c>
      <c r="C565">
        <v>2.048034E-2</v>
      </c>
      <c r="D565">
        <v>564</v>
      </c>
      <c r="E565" s="60"/>
      <c r="F565" s="60"/>
    </row>
    <row r="566" spans="1:6" x14ac:dyDescent="0.55000000000000004">
      <c r="A566" t="s">
        <v>777</v>
      </c>
      <c r="B566" t="s">
        <v>1153</v>
      </c>
      <c r="C566">
        <v>2.0344020000000001E-2</v>
      </c>
      <c r="D566">
        <v>565</v>
      </c>
      <c r="E566" s="60"/>
      <c r="F566" s="60"/>
    </row>
    <row r="567" spans="1:6" x14ac:dyDescent="0.55000000000000004">
      <c r="A567" t="s">
        <v>778</v>
      </c>
      <c r="B567" t="s">
        <v>952</v>
      </c>
      <c r="C567">
        <v>2.0332090000000001E-2</v>
      </c>
      <c r="D567">
        <v>566</v>
      </c>
      <c r="E567" s="60"/>
      <c r="F567" s="60"/>
    </row>
    <row r="568" spans="1:6" x14ac:dyDescent="0.55000000000000004">
      <c r="A568" t="s">
        <v>779</v>
      </c>
      <c r="B568" t="s">
        <v>1061</v>
      </c>
      <c r="C568">
        <v>2.0309130000000002E-2</v>
      </c>
      <c r="D568">
        <v>567</v>
      </c>
      <c r="E568" s="60"/>
      <c r="F568" s="60"/>
    </row>
    <row r="569" spans="1:6" x14ac:dyDescent="0.55000000000000004">
      <c r="A569" t="s">
        <v>780</v>
      </c>
      <c r="B569" t="s">
        <v>864</v>
      </c>
      <c r="C569">
        <v>2.024461E-2</v>
      </c>
      <c r="D569">
        <v>568</v>
      </c>
      <c r="E569" s="60"/>
      <c r="F569" s="60"/>
    </row>
    <row r="570" spans="1:6" x14ac:dyDescent="0.55000000000000004">
      <c r="A570" t="s">
        <v>781</v>
      </c>
      <c r="B570" t="s">
        <v>1079</v>
      </c>
      <c r="C570">
        <v>2.0132339999999999E-2</v>
      </c>
      <c r="D570">
        <v>569</v>
      </c>
      <c r="E570" s="60"/>
      <c r="F570" s="60"/>
    </row>
    <row r="571" spans="1:6" x14ac:dyDescent="0.55000000000000004">
      <c r="A571" t="s">
        <v>782</v>
      </c>
      <c r="B571" t="s">
        <v>1202</v>
      </c>
      <c r="C571">
        <v>1.974656E-2</v>
      </c>
      <c r="D571">
        <v>570</v>
      </c>
      <c r="E571" s="60"/>
      <c r="F571" s="60"/>
    </row>
    <row r="572" spans="1:6" x14ac:dyDescent="0.55000000000000004">
      <c r="A572" t="s">
        <v>783</v>
      </c>
      <c r="B572" t="s">
        <v>951</v>
      </c>
      <c r="C572">
        <v>1.9707369999999998E-2</v>
      </c>
      <c r="D572">
        <v>571</v>
      </c>
      <c r="E572" s="60"/>
      <c r="F572" s="60"/>
    </row>
    <row r="573" spans="1:6" x14ac:dyDescent="0.55000000000000004">
      <c r="A573" t="s">
        <v>784</v>
      </c>
      <c r="B573" t="s">
        <v>879</v>
      </c>
      <c r="C573">
        <v>1.9068390000000001E-2</v>
      </c>
      <c r="D573">
        <v>572</v>
      </c>
      <c r="E573" s="60"/>
      <c r="F573" s="60"/>
    </row>
    <row r="574" spans="1:6" x14ac:dyDescent="0.55000000000000004">
      <c r="A574" t="s">
        <v>785</v>
      </c>
      <c r="B574" t="s">
        <v>1344</v>
      </c>
      <c r="C574">
        <v>1.8906599999999999E-2</v>
      </c>
      <c r="D574">
        <v>573</v>
      </c>
      <c r="E574" s="60"/>
      <c r="F574" s="60"/>
    </row>
    <row r="575" spans="1:6" x14ac:dyDescent="0.55000000000000004">
      <c r="A575" t="s">
        <v>786</v>
      </c>
      <c r="B575" t="s">
        <v>1108</v>
      </c>
      <c r="C575">
        <v>1.873762E-2</v>
      </c>
      <c r="D575">
        <v>574</v>
      </c>
      <c r="E575" s="60"/>
      <c r="F575" s="60"/>
    </row>
    <row r="576" spans="1:6" x14ac:dyDescent="0.55000000000000004">
      <c r="A576" t="s">
        <v>787</v>
      </c>
      <c r="B576" t="s">
        <v>912</v>
      </c>
      <c r="C576">
        <v>1.8700999999999999E-2</v>
      </c>
      <c r="D576">
        <v>575</v>
      </c>
      <c r="E576" s="60"/>
      <c r="F576" s="60"/>
    </row>
    <row r="577" spans="1:6" x14ac:dyDescent="0.55000000000000004">
      <c r="A577" t="s">
        <v>788</v>
      </c>
      <c r="B577" t="s">
        <v>1230</v>
      </c>
      <c r="C577">
        <v>1.860647E-2</v>
      </c>
      <c r="D577">
        <v>576</v>
      </c>
      <c r="E577" s="60"/>
      <c r="F577" s="60"/>
    </row>
    <row r="578" spans="1:6" x14ac:dyDescent="0.55000000000000004">
      <c r="A578" t="s">
        <v>789</v>
      </c>
      <c r="B578" t="s">
        <v>1279</v>
      </c>
      <c r="C578">
        <v>1.855824E-2</v>
      </c>
      <c r="D578">
        <v>577</v>
      </c>
      <c r="E578" s="60"/>
      <c r="F578" s="60"/>
    </row>
    <row r="579" spans="1:6" x14ac:dyDescent="0.55000000000000004">
      <c r="A579" t="s">
        <v>790</v>
      </c>
      <c r="B579" t="s">
        <v>1185</v>
      </c>
      <c r="C579">
        <v>1.8556550000000002E-2</v>
      </c>
      <c r="D579">
        <v>578</v>
      </c>
      <c r="E579" s="60"/>
      <c r="F579" s="60"/>
    </row>
    <row r="580" spans="1:6" x14ac:dyDescent="0.55000000000000004">
      <c r="A580" t="s">
        <v>791</v>
      </c>
      <c r="B580" t="s">
        <v>1020</v>
      </c>
      <c r="C580">
        <v>1.8488299999999999E-2</v>
      </c>
      <c r="D580">
        <v>579</v>
      </c>
      <c r="E580" s="60"/>
      <c r="F580" s="60"/>
    </row>
    <row r="581" spans="1:6" x14ac:dyDescent="0.55000000000000004">
      <c r="A581" t="s">
        <v>792</v>
      </c>
      <c r="B581" t="s">
        <v>953</v>
      </c>
      <c r="C581">
        <v>1.8462119999999999E-2</v>
      </c>
      <c r="D581">
        <v>580</v>
      </c>
      <c r="E581" s="60"/>
      <c r="F581" s="60"/>
    </row>
    <row r="582" spans="1:6" x14ac:dyDescent="0.55000000000000004">
      <c r="A582" t="s">
        <v>793</v>
      </c>
      <c r="B582" t="s">
        <v>1049</v>
      </c>
      <c r="C582">
        <v>1.8229680000000002E-2</v>
      </c>
      <c r="D582">
        <v>581</v>
      </c>
      <c r="E582" s="60"/>
      <c r="F582" s="60"/>
    </row>
    <row r="583" spans="1:6" x14ac:dyDescent="0.55000000000000004">
      <c r="A583" t="s">
        <v>794</v>
      </c>
      <c r="B583" t="s">
        <v>1332</v>
      </c>
      <c r="C583">
        <v>1.805791E-2</v>
      </c>
      <c r="D583">
        <v>582</v>
      </c>
      <c r="E583" s="60"/>
      <c r="F583" s="60"/>
    </row>
    <row r="584" spans="1:6" x14ac:dyDescent="0.55000000000000004">
      <c r="A584" t="s">
        <v>795</v>
      </c>
      <c r="B584" t="s">
        <v>1029</v>
      </c>
      <c r="C584">
        <v>1.7976590000000001E-2</v>
      </c>
      <c r="D584">
        <v>583</v>
      </c>
      <c r="E584" s="60"/>
      <c r="F584" s="60"/>
    </row>
    <row r="585" spans="1:6" x14ac:dyDescent="0.55000000000000004">
      <c r="A585" t="s">
        <v>796</v>
      </c>
      <c r="B585" t="s">
        <v>1294</v>
      </c>
      <c r="C585">
        <v>1.7937649999999999E-2</v>
      </c>
      <c r="D585">
        <v>584</v>
      </c>
      <c r="E585" s="60"/>
      <c r="F585" s="60"/>
    </row>
    <row r="586" spans="1:6" x14ac:dyDescent="0.55000000000000004">
      <c r="A586" t="s">
        <v>797</v>
      </c>
      <c r="B586" t="s">
        <v>1128</v>
      </c>
      <c r="C586">
        <v>1.7891170000000001E-2</v>
      </c>
      <c r="D586">
        <v>585</v>
      </c>
      <c r="E586" s="60"/>
      <c r="F586" s="60"/>
    </row>
    <row r="587" spans="1:6" x14ac:dyDescent="0.55000000000000004">
      <c r="A587" t="s">
        <v>798</v>
      </c>
      <c r="B587" t="s">
        <v>925</v>
      </c>
      <c r="C587">
        <v>1.6821249999999999E-2</v>
      </c>
      <c r="D587">
        <v>586</v>
      </c>
      <c r="E587" s="60"/>
      <c r="F587" s="60"/>
    </row>
    <row r="588" spans="1:6" x14ac:dyDescent="0.55000000000000004">
      <c r="A588" t="s">
        <v>799</v>
      </c>
      <c r="B588" t="s">
        <v>1225</v>
      </c>
      <c r="C588">
        <v>1.6748409999999998E-2</v>
      </c>
      <c r="D588">
        <v>587</v>
      </c>
      <c r="E588" s="60"/>
      <c r="F588" s="60"/>
    </row>
    <row r="589" spans="1:6" x14ac:dyDescent="0.55000000000000004">
      <c r="A589" t="s">
        <v>800</v>
      </c>
      <c r="B589" t="s">
        <v>1337</v>
      </c>
      <c r="C589">
        <v>1.629775E-2</v>
      </c>
      <c r="D589">
        <v>588</v>
      </c>
      <c r="E589" s="60"/>
      <c r="F589" s="60"/>
    </row>
    <row r="590" spans="1:6" x14ac:dyDescent="0.55000000000000004">
      <c r="A590" t="s">
        <v>801</v>
      </c>
      <c r="B590" t="s">
        <v>875</v>
      </c>
      <c r="C590">
        <v>1.6224010000000001E-2</v>
      </c>
      <c r="D590">
        <v>589</v>
      </c>
      <c r="E590" s="60"/>
      <c r="F590" s="60"/>
    </row>
    <row r="591" spans="1:6" x14ac:dyDescent="0.55000000000000004">
      <c r="A591" t="s">
        <v>802</v>
      </c>
      <c r="B591" t="s">
        <v>980</v>
      </c>
      <c r="C591">
        <v>1.5783620000000002E-2</v>
      </c>
      <c r="D591">
        <v>590</v>
      </c>
      <c r="E591" s="60"/>
      <c r="F591" s="60"/>
    </row>
    <row r="592" spans="1:6" x14ac:dyDescent="0.55000000000000004">
      <c r="A592" t="s">
        <v>803</v>
      </c>
      <c r="B592" t="s">
        <v>1301</v>
      </c>
      <c r="C592">
        <v>1.5221760000000001E-2</v>
      </c>
      <c r="D592">
        <v>591</v>
      </c>
      <c r="E592" s="60"/>
      <c r="F592" s="60"/>
    </row>
    <row r="593" spans="1:6" x14ac:dyDescent="0.55000000000000004">
      <c r="A593" t="s">
        <v>804</v>
      </c>
      <c r="B593" t="s">
        <v>1267</v>
      </c>
      <c r="C593">
        <v>1.5056720000000001E-2</v>
      </c>
      <c r="D593">
        <v>592</v>
      </c>
      <c r="E593" s="60"/>
      <c r="F593" s="60"/>
    </row>
    <row r="594" spans="1:6" x14ac:dyDescent="0.55000000000000004">
      <c r="A594" t="s">
        <v>805</v>
      </c>
      <c r="B594" t="s">
        <v>932</v>
      </c>
      <c r="C594">
        <v>1.503091E-2</v>
      </c>
      <c r="D594">
        <v>593</v>
      </c>
      <c r="E594" s="60"/>
      <c r="F594" s="60"/>
    </row>
    <row r="595" spans="1:6" x14ac:dyDescent="0.55000000000000004">
      <c r="A595" t="s">
        <v>806</v>
      </c>
      <c r="B595" t="s">
        <v>1094</v>
      </c>
      <c r="C595">
        <v>1.4629E-2</v>
      </c>
      <c r="D595">
        <v>594</v>
      </c>
      <c r="E595" s="60"/>
      <c r="F595" s="60"/>
    </row>
    <row r="596" spans="1:6" x14ac:dyDescent="0.55000000000000004">
      <c r="A596" t="s">
        <v>807</v>
      </c>
      <c r="B596" t="s">
        <v>1062</v>
      </c>
      <c r="C596">
        <v>1.4175729999999999E-2</v>
      </c>
      <c r="D596">
        <v>595</v>
      </c>
      <c r="E596" s="60"/>
      <c r="F596" s="60"/>
    </row>
    <row r="597" spans="1:6" x14ac:dyDescent="0.55000000000000004">
      <c r="A597" t="s">
        <v>808</v>
      </c>
      <c r="B597" t="s">
        <v>929</v>
      </c>
      <c r="C597">
        <v>1.4109470000000001E-2</v>
      </c>
      <c r="D597">
        <v>596</v>
      </c>
      <c r="E597" s="60"/>
      <c r="F597" s="60"/>
    </row>
    <row r="598" spans="1:6" x14ac:dyDescent="0.55000000000000004">
      <c r="A598" t="s">
        <v>809</v>
      </c>
      <c r="B598" t="s">
        <v>1384</v>
      </c>
      <c r="C598">
        <v>1.2952689999999999E-2</v>
      </c>
      <c r="D598">
        <v>597</v>
      </c>
      <c r="E598" s="60"/>
      <c r="F598" s="60"/>
    </row>
    <row r="599" spans="1:6" x14ac:dyDescent="0.55000000000000004">
      <c r="A599" t="s">
        <v>810</v>
      </c>
      <c r="C599" s="61">
        <v>1.2854394329371766E-2</v>
      </c>
      <c r="D599">
        <v>598</v>
      </c>
      <c r="E599" s="60"/>
      <c r="F599" s="60"/>
    </row>
    <row r="600" spans="1:6" x14ac:dyDescent="0.55000000000000004">
      <c r="A600" t="s">
        <v>810</v>
      </c>
      <c r="B600" t="s">
        <v>933</v>
      </c>
      <c r="C600">
        <v>1.285439E-2</v>
      </c>
      <c r="D600">
        <v>599</v>
      </c>
      <c r="E600" s="60"/>
      <c r="F600" s="60"/>
    </row>
    <row r="601" spans="1:6" x14ac:dyDescent="0.55000000000000004">
      <c r="E601" s="60"/>
      <c r="F601" s="60"/>
    </row>
    <row r="602" spans="1:6" x14ac:dyDescent="0.55000000000000004">
      <c r="E602" s="60"/>
      <c r="F602" s="60"/>
    </row>
    <row r="603" spans="1:6" x14ac:dyDescent="0.55000000000000004">
      <c r="E603" s="60"/>
      <c r="F603" s="60"/>
    </row>
    <row r="604" spans="1:6" x14ac:dyDescent="0.55000000000000004">
      <c r="E604" s="60"/>
      <c r="F604" s="60"/>
    </row>
    <row r="605" spans="1:6" x14ac:dyDescent="0.55000000000000004">
      <c r="E605" s="60"/>
      <c r="F605" s="60"/>
    </row>
    <row r="606" spans="1:6" x14ac:dyDescent="0.55000000000000004">
      <c r="E606" s="60"/>
      <c r="F606" s="60"/>
    </row>
    <row r="607" spans="1:6" x14ac:dyDescent="0.55000000000000004">
      <c r="E607" s="60"/>
      <c r="F607" s="60"/>
    </row>
    <row r="608" spans="1:6" x14ac:dyDescent="0.55000000000000004">
      <c r="E608" s="60"/>
      <c r="F608" s="60"/>
    </row>
    <row r="609" spans="5:6" x14ac:dyDescent="0.55000000000000004">
      <c r="E609" s="60"/>
      <c r="F609" s="60"/>
    </row>
    <row r="610" spans="5:6" x14ac:dyDescent="0.55000000000000004">
      <c r="E610" s="60"/>
      <c r="F610" s="60"/>
    </row>
    <row r="611" spans="5:6" x14ac:dyDescent="0.55000000000000004">
      <c r="E611" s="60"/>
      <c r="F611" s="60"/>
    </row>
    <row r="612" spans="5:6" x14ac:dyDescent="0.55000000000000004">
      <c r="E612" s="60"/>
      <c r="F612" s="60"/>
    </row>
    <row r="613" spans="5:6" x14ac:dyDescent="0.55000000000000004">
      <c r="E613" s="60"/>
      <c r="F613" s="60"/>
    </row>
    <row r="614" spans="5:6" x14ac:dyDescent="0.55000000000000004">
      <c r="E614" s="60"/>
      <c r="F614" s="60"/>
    </row>
    <row r="615" spans="5:6" x14ac:dyDescent="0.55000000000000004">
      <c r="E615" s="60"/>
      <c r="F615" s="60"/>
    </row>
    <row r="616" spans="5:6" x14ac:dyDescent="0.55000000000000004">
      <c r="E616" s="60"/>
      <c r="F616" s="60"/>
    </row>
    <row r="617" spans="5:6" x14ac:dyDescent="0.55000000000000004">
      <c r="E617" s="60"/>
      <c r="F617" s="60"/>
    </row>
    <row r="618" spans="5:6" x14ac:dyDescent="0.55000000000000004">
      <c r="E618" s="60"/>
      <c r="F618" s="60"/>
    </row>
    <row r="619" spans="5:6" x14ac:dyDescent="0.55000000000000004">
      <c r="E619" s="60"/>
      <c r="F619" s="60"/>
    </row>
    <row r="620" spans="5:6" x14ac:dyDescent="0.55000000000000004">
      <c r="E620" s="60"/>
      <c r="F620" s="60"/>
    </row>
    <row r="621" spans="5:6" x14ac:dyDescent="0.55000000000000004">
      <c r="E621" s="60"/>
      <c r="F621" s="60"/>
    </row>
    <row r="622" spans="5:6" x14ac:dyDescent="0.55000000000000004">
      <c r="E622" s="60"/>
      <c r="F622" s="60"/>
    </row>
    <row r="623" spans="5:6" x14ac:dyDescent="0.55000000000000004">
      <c r="E623" s="60"/>
      <c r="F623" s="60"/>
    </row>
    <row r="624" spans="5:6" x14ac:dyDescent="0.55000000000000004">
      <c r="E624" s="60"/>
      <c r="F624" s="60"/>
    </row>
    <row r="625" spans="5:6" x14ac:dyDescent="0.55000000000000004">
      <c r="E625" s="60"/>
      <c r="F625" s="60"/>
    </row>
    <row r="626" spans="5:6" x14ac:dyDescent="0.55000000000000004">
      <c r="E626" s="60"/>
      <c r="F626" s="60"/>
    </row>
    <row r="627" spans="5:6" x14ac:dyDescent="0.55000000000000004">
      <c r="E627" s="60"/>
      <c r="F627" s="60"/>
    </row>
    <row r="628" spans="5:6" x14ac:dyDescent="0.55000000000000004">
      <c r="E628" s="60"/>
      <c r="F628" s="60"/>
    </row>
    <row r="629" spans="5:6" x14ac:dyDescent="0.55000000000000004">
      <c r="E629" s="60"/>
      <c r="F629" s="60"/>
    </row>
    <row r="630" spans="5:6" x14ac:dyDescent="0.55000000000000004">
      <c r="E630" s="60"/>
      <c r="F630" s="60"/>
    </row>
    <row r="631" spans="5:6" x14ac:dyDescent="0.55000000000000004">
      <c r="E631" s="60"/>
      <c r="F631" s="60"/>
    </row>
    <row r="632" spans="5:6" x14ac:dyDescent="0.55000000000000004">
      <c r="E632" s="60"/>
      <c r="F632" s="60"/>
    </row>
    <row r="633" spans="5:6" x14ac:dyDescent="0.55000000000000004">
      <c r="E633" s="60"/>
      <c r="F633" s="60"/>
    </row>
    <row r="634" spans="5:6" x14ac:dyDescent="0.55000000000000004">
      <c r="E634" s="60"/>
      <c r="F634" s="60"/>
    </row>
    <row r="635" spans="5:6" x14ac:dyDescent="0.55000000000000004">
      <c r="E635" s="60"/>
      <c r="F635" s="60"/>
    </row>
    <row r="636" spans="5:6" x14ac:dyDescent="0.55000000000000004">
      <c r="E636" s="60"/>
      <c r="F636" s="60"/>
    </row>
    <row r="637" spans="5:6" x14ac:dyDescent="0.55000000000000004">
      <c r="E637" s="60"/>
      <c r="F637" s="60"/>
    </row>
    <row r="638" spans="5:6" x14ac:dyDescent="0.55000000000000004">
      <c r="E638" s="60"/>
      <c r="F638" s="60"/>
    </row>
    <row r="639" spans="5:6" x14ac:dyDescent="0.55000000000000004">
      <c r="E639" s="60"/>
      <c r="F639" s="60"/>
    </row>
    <row r="640" spans="5:6" x14ac:dyDescent="0.55000000000000004">
      <c r="E640" s="60"/>
      <c r="F640" s="60"/>
    </row>
    <row r="641" spans="5:6" x14ac:dyDescent="0.55000000000000004">
      <c r="E641" s="60"/>
      <c r="F641" s="60"/>
    </row>
    <row r="642" spans="5:6" x14ac:dyDescent="0.55000000000000004">
      <c r="E642" s="60"/>
      <c r="F642" s="60"/>
    </row>
    <row r="643" spans="5:6" x14ac:dyDescent="0.55000000000000004">
      <c r="E643" s="60"/>
      <c r="F643" s="60"/>
    </row>
    <row r="644" spans="5:6" x14ac:dyDescent="0.55000000000000004">
      <c r="E644" s="60"/>
      <c r="F644" s="60"/>
    </row>
    <row r="645" spans="5:6" x14ac:dyDescent="0.55000000000000004">
      <c r="E645" s="60"/>
      <c r="F645" s="60"/>
    </row>
    <row r="646" spans="5:6" x14ac:dyDescent="0.55000000000000004">
      <c r="E646" s="60"/>
      <c r="F646" s="60"/>
    </row>
    <row r="647" spans="5:6" x14ac:dyDescent="0.55000000000000004">
      <c r="E647" s="60"/>
      <c r="F647" s="60"/>
    </row>
    <row r="648" spans="5:6" x14ac:dyDescent="0.55000000000000004">
      <c r="E648" s="60"/>
      <c r="F648" s="60"/>
    </row>
    <row r="649" spans="5:6" x14ac:dyDescent="0.55000000000000004">
      <c r="E649" s="60"/>
      <c r="F649" s="60"/>
    </row>
    <row r="650" spans="5:6" x14ac:dyDescent="0.55000000000000004">
      <c r="E650" s="60"/>
      <c r="F650" s="60"/>
    </row>
    <row r="651" spans="5:6" x14ac:dyDescent="0.55000000000000004">
      <c r="E651" s="60"/>
      <c r="F651" s="60"/>
    </row>
    <row r="652" spans="5:6" x14ac:dyDescent="0.55000000000000004">
      <c r="E652" s="60"/>
      <c r="F652" s="60"/>
    </row>
    <row r="653" spans="5:6" x14ac:dyDescent="0.55000000000000004">
      <c r="E653" s="60"/>
      <c r="F653" s="60"/>
    </row>
    <row r="654" spans="5:6" x14ac:dyDescent="0.55000000000000004">
      <c r="E654" s="60"/>
      <c r="F654" s="60"/>
    </row>
    <row r="655" spans="5:6" x14ac:dyDescent="0.55000000000000004">
      <c r="E655" s="60"/>
      <c r="F655" s="60"/>
    </row>
    <row r="656" spans="5:6" x14ac:dyDescent="0.55000000000000004">
      <c r="E656" s="60"/>
      <c r="F656" s="60"/>
    </row>
    <row r="657" spans="5:6" x14ac:dyDescent="0.55000000000000004">
      <c r="E657" s="60"/>
      <c r="F657" s="60"/>
    </row>
    <row r="658" spans="5:6" x14ac:dyDescent="0.55000000000000004">
      <c r="E658" s="60"/>
      <c r="F658" s="60"/>
    </row>
    <row r="659" spans="5:6" x14ac:dyDescent="0.55000000000000004">
      <c r="E659" s="60"/>
      <c r="F659" s="60"/>
    </row>
    <row r="660" spans="5:6" x14ac:dyDescent="0.55000000000000004">
      <c r="E660" s="60"/>
      <c r="F660" s="60"/>
    </row>
    <row r="661" spans="5:6" x14ac:dyDescent="0.55000000000000004">
      <c r="E661" s="60"/>
      <c r="F661" s="60"/>
    </row>
    <row r="662" spans="5:6" x14ac:dyDescent="0.55000000000000004">
      <c r="E662" s="60"/>
      <c r="F662" s="60"/>
    </row>
    <row r="663" spans="5:6" x14ac:dyDescent="0.55000000000000004">
      <c r="E663" s="60"/>
      <c r="F663" s="60"/>
    </row>
    <row r="664" spans="5:6" x14ac:dyDescent="0.55000000000000004">
      <c r="E664" s="60"/>
      <c r="F664" s="60"/>
    </row>
    <row r="665" spans="5:6" x14ac:dyDescent="0.55000000000000004">
      <c r="E665" s="60"/>
      <c r="F665" s="60"/>
    </row>
    <row r="666" spans="5:6" x14ac:dyDescent="0.55000000000000004">
      <c r="E666" s="60"/>
      <c r="F666" s="60"/>
    </row>
    <row r="667" spans="5:6" x14ac:dyDescent="0.55000000000000004">
      <c r="E667" s="60"/>
      <c r="F667" s="60"/>
    </row>
  </sheetData>
  <autoFilter ref="A1:D600" xr:uid="{E5098FF4-46AC-4297-BF72-E5DE7CAD3CCD}">
    <sortState xmlns:xlrd2="http://schemas.microsoft.com/office/spreadsheetml/2017/richdata2" ref="A2:D600">
      <sortCondition descending="1" ref="C1:C600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F28A-F334-4295-AF44-78C741A1982D}">
  <sheetPr codeName="Feuil3"/>
  <dimension ref="A1:AC1892"/>
  <sheetViews>
    <sheetView zoomScale="85" zoomScaleNormal="85" workbookViewId="0">
      <pane xSplit="2" topLeftCell="C1" activePane="topRight" state="frozen"/>
      <selection activeCell="A563" sqref="A563"/>
      <selection pane="topRight" activeCell="B101" sqref="B101"/>
    </sheetView>
  </sheetViews>
  <sheetFormatPr baseColWidth="10" defaultColWidth="11" defaultRowHeight="14.4" x14ac:dyDescent="0.55000000000000004"/>
  <cols>
    <col min="1" max="1" width="14.15625" style="21" bestFit="1" customWidth="1"/>
    <col min="2" max="2" width="44.68359375" style="73" bestFit="1" customWidth="1"/>
    <col min="3" max="3" width="17" style="21" bestFit="1" customWidth="1"/>
    <col min="4" max="4" width="12.26171875" style="21" bestFit="1" customWidth="1"/>
    <col min="5" max="5" width="18" style="21" customWidth="1"/>
    <col min="6" max="6" width="18" style="74" customWidth="1"/>
    <col min="7" max="12" width="18" style="24" customWidth="1"/>
    <col min="13" max="13" width="13.68359375" style="24" bestFit="1" customWidth="1"/>
    <col min="14" max="14" width="17.83984375" style="24" bestFit="1" customWidth="1"/>
    <col min="15" max="15" width="16.41796875" style="24" bestFit="1" customWidth="1"/>
    <col min="16" max="17" width="11.15625" style="24" bestFit="1" customWidth="1"/>
    <col min="18" max="18" width="13.41796875" style="24" customWidth="1"/>
    <col min="19" max="19" width="10.15625" style="24" customWidth="1"/>
    <col min="20" max="20" width="11.41796875" style="21" customWidth="1"/>
    <col min="21" max="21" width="22.26171875" style="21" customWidth="1"/>
    <col min="22" max="22" width="6.83984375" style="70" bestFit="1" customWidth="1"/>
    <col min="23" max="23" width="6.15625" style="70" bestFit="1" customWidth="1"/>
    <col min="24" max="24" width="5.41796875" style="24" bestFit="1" customWidth="1"/>
    <col min="25" max="25" width="11" style="21"/>
    <col min="26" max="26" width="25" style="24" customWidth="1"/>
    <col min="27" max="27" width="11" style="21"/>
    <col min="28" max="28" width="12.68359375" style="24" bestFit="1" customWidth="1"/>
    <col min="29" max="29" width="8.41796875" style="25" bestFit="1" customWidth="1"/>
    <col min="30" max="16384" width="11" style="21"/>
  </cols>
  <sheetData>
    <row r="1" spans="1:29" s="3" customFormat="1" ht="36.75" customHeight="1" x14ac:dyDescent="0.55000000000000004">
      <c r="A1" s="22" t="s">
        <v>114</v>
      </c>
      <c r="B1" s="22" t="s">
        <v>115</v>
      </c>
      <c r="C1" s="22" t="s">
        <v>116</v>
      </c>
      <c r="D1" s="22" t="s">
        <v>70</v>
      </c>
      <c r="E1" s="22" t="s">
        <v>117</v>
      </c>
      <c r="F1" s="69" t="s">
        <v>118</v>
      </c>
      <c r="G1" s="72" t="s">
        <v>119</v>
      </c>
      <c r="H1" s="72" t="s">
        <v>120</v>
      </c>
      <c r="I1" s="72" t="s">
        <v>121</v>
      </c>
      <c r="J1" s="72" t="s">
        <v>122</v>
      </c>
      <c r="K1" s="72" t="s">
        <v>123</v>
      </c>
      <c r="L1" s="71" t="s">
        <v>182</v>
      </c>
      <c r="M1" s="71" t="s">
        <v>124</v>
      </c>
      <c r="N1" s="71" t="s">
        <v>162</v>
      </c>
      <c r="O1" s="71" t="s">
        <v>163</v>
      </c>
      <c r="P1" s="71" t="s">
        <v>164</v>
      </c>
      <c r="Q1" s="71" t="s">
        <v>165</v>
      </c>
      <c r="R1" s="71" t="s">
        <v>166</v>
      </c>
      <c r="S1" s="71" t="s">
        <v>167</v>
      </c>
      <c r="T1" s="23" t="s">
        <v>168</v>
      </c>
      <c r="U1" s="23" t="s">
        <v>169</v>
      </c>
      <c r="V1" s="69" t="s">
        <v>170</v>
      </c>
      <c r="W1" s="69" t="s">
        <v>171</v>
      </c>
      <c r="X1" s="23" t="s">
        <v>172</v>
      </c>
      <c r="Y1" s="23" t="s">
        <v>186</v>
      </c>
      <c r="Z1" s="71" t="s">
        <v>1417</v>
      </c>
      <c r="AA1" s="23" t="s">
        <v>1410</v>
      </c>
      <c r="AB1" s="71" t="s">
        <v>811</v>
      </c>
      <c r="AC1" s="59"/>
    </row>
    <row r="2" spans="1:29" customFormat="1" x14ac:dyDescent="0.55000000000000004">
      <c r="A2" s="24" t="s">
        <v>213</v>
      </c>
      <c r="B2" s="24" t="s">
        <v>1147</v>
      </c>
      <c r="C2" s="24" t="s">
        <v>127</v>
      </c>
      <c r="D2" s="24" t="s">
        <v>72</v>
      </c>
      <c r="E2" s="24" t="s">
        <v>88</v>
      </c>
      <c r="F2" s="70">
        <v>3.7538388032928222E-2</v>
      </c>
      <c r="G2" s="24">
        <v>8.0158749999999994</v>
      </c>
      <c r="H2" s="24">
        <v>5.6710459999999996</v>
      </c>
      <c r="I2" s="24">
        <v>5.4531970000000003</v>
      </c>
      <c r="J2" s="24">
        <v>6.0528719999999998</v>
      </c>
      <c r="K2" s="24">
        <v>1.4071229999999999</v>
      </c>
      <c r="L2" s="24">
        <v>3.2833519999999998</v>
      </c>
      <c r="M2" s="24">
        <v>11.078799999999999</v>
      </c>
      <c r="N2" s="24">
        <v>10</v>
      </c>
      <c r="O2" s="24">
        <v>7.8</v>
      </c>
      <c r="P2" s="24">
        <v>10</v>
      </c>
      <c r="Q2" s="24">
        <v>0.6293794370667336</v>
      </c>
      <c r="R2" s="24">
        <v>6.18</v>
      </c>
      <c r="S2" s="24">
        <v>4.7987742594511555</v>
      </c>
      <c r="T2" s="21">
        <v>1</v>
      </c>
      <c r="U2" s="21" t="s">
        <v>2044</v>
      </c>
      <c r="V2" s="70">
        <v>1.33711765117496E-3</v>
      </c>
      <c r="W2" s="70">
        <v>6.1337117651174958E-2</v>
      </c>
      <c r="X2" s="24">
        <v>0.8861827516770806</v>
      </c>
      <c r="Y2" s="24" t="s">
        <v>1440</v>
      </c>
      <c r="Z2" s="75">
        <v>325934.3</v>
      </c>
      <c r="AA2" t="s">
        <v>1415</v>
      </c>
      <c r="AB2" s="24">
        <v>0</v>
      </c>
    </row>
    <row r="3" spans="1:29" customFormat="1" x14ac:dyDescent="0.55000000000000004">
      <c r="A3" s="24" t="s">
        <v>238</v>
      </c>
      <c r="B3" s="24" t="s">
        <v>1050</v>
      </c>
      <c r="C3" s="24" t="s">
        <v>110</v>
      </c>
      <c r="D3" s="24" t="s">
        <v>72</v>
      </c>
      <c r="E3" s="24" t="s">
        <v>90</v>
      </c>
      <c r="F3" s="70">
        <v>3.7225278996724995E-2</v>
      </c>
      <c r="G3" s="24">
        <v>5.2592230000000004</v>
      </c>
      <c r="H3" s="24">
        <v>5.8012699999999997</v>
      </c>
      <c r="I3" s="24">
        <v>2.9022559999999999</v>
      </c>
      <c r="J3" s="24">
        <v>4.6240009999999998</v>
      </c>
      <c r="K3" s="24">
        <v>5.1732009999999997</v>
      </c>
      <c r="L3" s="24">
        <v>7.667154</v>
      </c>
      <c r="M3" s="24">
        <v>0.70515000000000005</v>
      </c>
      <c r="N3" s="24">
        <v>6.3714489629444966</v>
      </c>
      <c r="O3" s="24">
        <v>2.9</v>
      </c>
      <c r="P3" s="24">
        <v>6.747312553474468</v>
      </c>
      <c r="Q3" s="24">
        <v>3.1432192648922692</v>
      </c>
      <c r="R3" s="24">
        <v>5.29</v>
      </c>
      <c r="S3" s="24">
        <v>4.8484369779024972</v>
      </c>
      <c r="T3" s="21">
        <v>1</v>
      </c>
      <c r="U3" s="21" t="s">
        <v>141</v>
      </c>
      <c r="V3" s="70">
        <v>-2.2762920170577926E-2</v>
      </c>
      <c r="W3" s="70">
        <v>3.7237079829422072E-2</v>
      </c>
      <c r="X3" s="24">
        <v>0.53291413395879339</v>
      </c>
      <c r="Y3" s="24" t="s">
        <v>1535</v>
      </c>
      <c r="Z3" s="75">
        <v>77964.12</v>
      </c>
      <c r="AA3" t="s">
        <v>1415</v>
      </c>
      <c r="AB3" s="24">
        <v>0.27350427350427353</v>
      </c>
    </row>
    <row r="4" spans="1:29" customFormat="1" x14ac:dyDescent="0.55000000000000004">
      <c r="A4" s="24" t="s">
        <v>237</v>
      </c>
      <c r="B4" s="24" t="s">
        <v>1184</v>
      </c>
      <c r="C4" s="24" t="s">
        <v>106</v>
      </c>
      <c r="D4" s="24" t="s">
        <v>72</v>
      </c>
      <c r="E4" s="24" t="s">
        <v>91</v>
      </c>
      <c r="F4" s="70">
        <v>3.6050509068751124E-2</v>
      </c>
      <c r="G4" s="24">
        <v>8.6428320000000003</v>
      </c>
      <c r="H4" s="24">
        <v>6.9004500000000002</v>
      </c>
      <c r="I4" s="24">
        <v>6.5819380000000001</v>
      </c>
      <c r="J4" s="24">
        <v>7.501849</v>
      </c>
      <c r="K4" s="24">
        <v>1.788192</v>
      </c>
      <c r="L4" s="24">
        <v>4.0876469999999996</v>
      </c>
      <c r="M4" s="24">
        <v>5.6430999999999996</v>
      </c>
      <c r="N4" s="24">
        <v>5.284043918746316</v>
      </c>
      <c r="O4" s="24">
        <v>6.6</v>
      </c>
      <c r="P4" s="24">
        <v>7.0186335403726723</v>
      </c>
      <c r="Q4" s="24">
        <v>0.85123720020642635</v>
      </c>
      <c r="R4" s="24">
        <v>4.37</v>
      </c>
      <c r="S4" s="24">
        <v>4.3305253388884912</v>
      </c>
      <c r="T4" s="21">
        <v>1</v>
      </c>
      <c r="U4" s="21" t="s">
        <v>141</v>
      </c>
      <c r="V4" s="70">
        <v>-2.260605983936062E-2</v>
      </c>
      <c r="W4" s="70">
        <v>3.7393940160639377E-2</v>
      </c>
      <c r="X4" s="24">
        <v>0.5888376315377174</v>
      </c>
      <c r="Y4" s="24" t="s">
        <v>1816</v>
      </c>
      <c r="Z4" s="75">
        <v>78805.399999999994</v>
      </c>
      <c r="AA4" t="s">
        <v>1415</v>
      </c>
      <c r="AB4" s="24">
        <v>0.274442538593482</v>
      </c>
    </row>
    <row r="5" spans="1:29" customFormat="1" x14ac:dyDescent="0.55000000000000004">
      <c r="A5" s="24" t="s">
        <v>214</v>
      </c>
      <c r="B5" s="24" t="s">
        <v>1046</v>
      </c>
      <c r="C5" s="24" t="s">
        <v>125</v>
      </c>
      <c r="D5" s="24" t="s">
        <v>72</v>
      </c>
      <c r="E5" s="24" t="s">
        <v>96</v>
      </c>
      <c r="F5" s="70">
        <v>3.4878086975496436E-2</v>
      </c>
      <c r="G5" s="24">
        <v>8.6471599999999995</v>
      </c>
      <c r="H5" s="24">
        <v>7.2372120000000004</v>
      </c>
      <c r="I5" s="24">
        <v>9.1862619999999993</v>
      </c>
      <c r="J5" s="24">
        <v>8.3859060000000003</v>
      </c>
      <c r="K5" s="24">
        <v>0.90880139999999998</v>
      </c>
      <c r="L5" s="24">
        <v>2.755547</v>
      </c>
      <c r="M5" s="24">
        <v>9.9080999999999992</v>
      </c>
      <c r="N5" s="24">
        <v>6.8750003826531403</v>
      </c>
      <c r="O5" s="24">
        <v>7.2</v>
      </c>
      <c r="P5" s="24">
        <v>7.3755656108597298</v>
      </c>
      <c r="Q5" s="24">
        <v>1.7854782245635923</v>
      </c>
      <c r="R5" s="24">
        <v>5.26</v>
      </c>
      <c r="S5" s="24">
        <v>3.3599176646378677</v>
      </c>
      <c r="T5" s="21">
        <v>1</v>
      </c>
      <c r="U5" s="21" t="s">
        <v>2044</v>
      </c>
      <c r="V5" s="70">
        <v>-2.4401626328578625E-3</v>
      </c>
      <c r="W5" s="70">
        <v>5.7559837367142139E-2</v>
      </c>
      <c r="X5" s="24">
        <v>1.9913768480085625</v>
      </c>
      <c r="Y5" s="24" t="s">
        <v>1492</v>
      </c>
      <c r="Z5" s="75">
        <v>293269.7</v>
      </c>
      <c r="AA5" t="s">
        <v>1415</v>
      </c>
      <c r="AB5" s="24">
        <v>0</v>
      </c>
    </row>
    <row r="6" spans="1:29" customFormat="1" x14ac:dyDescent="0.55000000000000004">
      <c r="A6" s="24" t="s">
        <v>215</v>
      </c>
      <c r="B6" s="24" t="s">
        <v>1295</v>
      </c>
      <c r="C6" s="24" t="s">
        <v>110</v>
      </c>
      <c r="D6" s="24" t="s">
        <v>72</v>
      </c>
      <c r="E6" s="24" t="s">
        <v>87</v>
      </c>
      <c r="F6" s="70">
        <v>3.3467509089663353E-2</v>
      </c>
      <c r="G6" s="24">
        <v>5.8251400000000002</v>
      </c>
      <c r="H6" s="24">
        <v>4.7902909999999999</v>
      </c>
      <c r="I6" s="24">
        <v>7.4553839999999996</v>
      </c>
      <c r="J6" s="24">
        <v>6.0037580000000004</v>
      </c>
      <c r="K6" s="24">
        <v>3.6381320000000001</v>
      </c>
      <c r="L6" s="24">
        <v>4.8509440000000001</v>
      </c>
      <c r="M6" s="24">
        <v>70.783600000000007</v>
      </c>
      <c r="N6" s="24">
        <v>1.5271140026131724</v>
      </c>
      <c r="O6" s="24">
        <v>1.8</v>
      </c>
      <c r="P6" s="24">
        <v>6.6527196652719667</v>
      </c>
      <c r="Q6" s="24">
        <v>2.9018513235061025</v>
      </c>
      <c r="R6" s="24">
        <v>6.6900009999999996</v>
      </c>
      <c r="S6" s="24">
        <v>3.4189459298229257</v>
      </c>
      <c r="T6" s="21">
        <v>1</v>
      </c>
      <c r="U6" s="21" t="s">
        <v>2044</v>
      </c>
      <c r="V6" s="70">
        <v>-8.3473354332887564E-3</v>
      </c>
      <c r="W6" s="70">
        <v>5.1652664566711241E-2</v>
      </c>
      <c r="X6" s="24">
        <v>0.52451595784426219</v>
      </c>
      <c r="Y6" s="24" t="s">
        <v>1427</v>
      </c>
      <c r="Z6" s="75">
        <v>232045.9</v>
      </c>
      <c r="AA6" t="s">
        <v>1415</v>
      </c>
      <c r="AB6" s="24">
        <v>0</v>
      </c>
    </row>
    <row r="7" spans="1:29" customFormat="1" x14ac:dyDescent="0.55000000000000004">
      <c r="A7" s="24" t="s">
        <v>221</v>
      </c>
      <c r="B7" s="24" t="s">
        <v>812</v>
      </c>
      <c r="C7" s="24" t="s">
        <v>107</v>
      </c>
      <c r="D7" s="24" t="s">
        <v>72</v>
      </c>
      <c r="E7" s="24" t="s">
        <v>93</v>
      </c>
      <c r="F7" s="70">
        <v>3.3098891016467798E-2</v>
      </c>
      <c r="G7" s="24">
        <v>7.2046109999999999</v>
      </c>
      <c r="H7" s="24">
        <v>7.491606</v>
      </c>
      <c r="I7" s="24">
        <v>6.4579079999999998</v>
      </c>
      <c r="J7" s="24">
        <v>7.0513750000000002</v>
      </c>
      <c r="K7" s="24">
        <v>1.939195</v>
      </c>
      <c r="L7" s="24">
        <v>4.0106840000000004</v>
      </c>
      <c r="M7" s="24">
        <v>8.6640999999999995</v>
      </c>
      <c r="N7" s="24">
        <v>6.1173759885040599</v>
      </c>
      <c r="O7" s="24">
        <v>1.9</v>
      </c>
      <c r="P7" s="24">
        <v>6.8944099378881996</v>
      </c>
      <c r="Q7" s="24">
        <v>2.3425776136024119</v>
      </c>
      <c r="R7" s="24">
        <v>4.12</v>
      </c>
      <c r="S7" s="24">
        <v>3.2550955553849534</v>
      </c>
      <c r="T7" s="21">
        <v>1</v>
      </c>
      <c r="U7" s="21" t="s">
        <v>141</v>
      </c>
      <c r="V7" s="70">
        <v>-1.4129045589706939E-2</v>
      </c>
      <c r="W7" s="70">
        <v>4.5870954410293055E-2</v>
      </c>
      <c r="X7" s="24">
        <v>1.6968464479270775</v>
      </c>
      <c r="Y7" s="24" t="s">
        <v>1715</v>
      </c>
      <c r="Z7" s="75">
        <v>169451</v>
      </c>
      <c r="AA7" t="s">
        <v>1415</v>
      </c>
      <c r="AB7" s="24">
        <v>0</v>
      </c>
    </row>
    <row r="8" spans="1:29" customFormat="1" x14ac:dyDescent="0.55000000000000004">
      <c r="A8" s="24" t="s">
        <v>219</v>
      </c>
      <c r="B8" s="24" t="s">
        <v>1009</v>
      </c>
      <c r="C8" s="24" t="s">
        <v>106</v>
      </c>
      <c r="D8" s="24" t="s">
        <v>72</v>
      </c>
      <c r="E8" s="24" t="s">
        <v>92</v>
      </c>
      <c r="F8" s="70">
        <v>3.1106614391536662E-2</v>
      </c>
      <c r="G8" s="24">
        <v>6.1710779999999996</v>
      </c>
      <c r="H8" s="24">
        <v>4.0047959999999998</v>
      </c>
      <c r="I8" s="24">
        <v>6.6688739999999997</v>
      </c>
      <c r="J8" s="24">
        <v>5.8871599999999997</v>
      </c>
      <c r="K8" s="24">
        <v>4.2632209999999997</v>
      </c>
      <c r="L8" s="24">
        <v>12.365959999999999</v>
      </c>
      <c r="M8" s="24">
        <v>300.07769999999999</v>
      </c>
      <c r="N8" s="24">
        <v>7.2212386678675511</v>
      </c>
      <c r="O8" s="24">
        <v>6.3</v>
      </c>
      <c r="P8" s="24">
        <v>3.4146341463414638</v>
      </c>
      <c r="Q8" s="24">
        <v>5.7904824471836323</v>
      </c>
      <c r="R8" s="24">
        <v>3.04</v>
      </c>
      <c r="S8" s="24">
        <v>6.9066273092645769</v>
      </c>
      <c r="T8" s="21">
        <v>1</v>
      </c>
      <c r="U8" s="21" t="s">
        <v>117</v>
      </c>
      <c r="V8" s="70">
        <v>-1.3212485729996615E-2</v>
      </c>
      <c r="W8" s="70">
        <v>4.6787514270003383E-2</v>
      </c>
      <c r="X8" s="24">
        <v>0.63160193957546173</v>
      </c>
      <c r="Y8" s="24" t="s">
        <v>1850</v>
      </c>
      <c r="Z8" s="75">
        <v>183392.6</v>
      </c>
      <c r="AA8" t="s">
        <v>1415</v>
      </c>
      <c r="AB8" s="24">
        <v>0</v>
      </c>
    </row>
    <row r="9" spans="1:29" customFormat="1" x14ac:dyDescent="0.55000000000000004">
      <c r="A9" s="24" t="s">
        <v>266</v>
      </c>
      <c r="B9" s="24" t="s">
        <v>1110</v>
      </c>
      <c r="C9" s="24" t="s">
        <v>105</v>
      </c>
      <c r="D9" s="24" t="s">
        <v>72</v>
      </c>
      <c r="E9" s="24" t="s">
        <v>86</v>
      </c>
      <c r="F9" s="70">
        <v>2.8688688283319028E-2</v>
      </c>
      <c r="G9" s="24" t="e">
        <v>#N/A</v>
      </c>
      <c r="H9" s="24" t="e">
        <v>#N/A</v>
      </c>
      <c r="I9" s="24" t="e">
        <v>#N/A</v>
      </c>
      <c r="J9" s="24" t="e">
        <v>#N/A</v>
      </c>
      <c r="K9" s="24">
        <v>1.6469370000000001</v>
      </c>
      <c r="L9" s="24">
        <v>5.904293</v>
      </c>
      <c r="M9" s="24" t="e">
        <v>#N/A</v>
      </c>
      <c r="N9" s="24">
        <v>0.16498625870697778</v>
      </c>
      <c r="O9" s="24">
        <v>4.0999999999999996</v>
      </c>
      <c r="P9" s="24">
        <v>9.7311838420627801</v>
      </c>
      <c r="Q9" s="24">
        <v>3.2009576116040002</v>
      </c>
      <c r="R9" s="24">
        <v>2.0099999999999998</v>
      </c>
      <c r="S9" s="24">
        <v>3.5417116136723439</v>
      </c>
      <c r="T9" s="21">
        <v>1</v>
      </c>
      <c r="U9" s="21" t="s">
        <v>141</v>
      </c>
      <c r="V9" s="70">
        <v>-2.5407645884422313E-2</v>
      </c>
      <c r="W9" s="70">
        <v>3.4592354115577685E-2</v>
      </c>
      <c r="X9" s="24">
        <v>1.3845761969783488</v>
      </c>
      <c r="Y9" s="24" t="s">
        <v>1999</v>
      </c>
      <c r="Z9" s="75">
        <v>48476.93</v>
      </c>
      <c r="AA9" t="s">
        <v>1415</v>
      </c>
      <c r="AB9" s="24">
        <v>0.75213675213675213</v>
      </c>
    </row>
    <row r="10" spans="1:29" customFormat="1" x14ac:dyDescent="0.55000000000000004">
      <c r="A10" s="24" t="s">
        <v>247</v>
      </c>
      <c r="B10" s="24" t="s">
        <v>823</v>
      </c>
      <c r="C10" s="24" t="s">
        <v>107</v>
      </c>
      <c r="D10" s="24" t="s">
        <v>72</v>
      </c>
      <c r="E10" s="24" t="s">
        <v>90</v>
      </c>
      <c r="F10" s="70">
        <v>2.8301754617631965E-2</v>
      </c>
      <c r="G10" s="24">
        <v>6.6529179999999997</v>
      </c>
      <c r="H10" s="24">
        <v>5.8369010000000001</v>
      </c>
      <c r="I10" s="24">
        <v>6.5143550000000001</v>
      </c>
      <c r="J10" s="24">
        <v>6.3188149999999998</v>
      </c>
      <c r="K10" s="24">
        <v>6.2571919999999999</v>
      </c>
      <c r="L10" s="24">
        <v>12.024570000000001</v>
      </c>
      <c r="M10" s="24">
        <v>0.62907000000000002</v>
      </c>
      <c r="N10" s="24">
        <v>4.5119163387679349</v>
      </c>
      <c r="O10" s="24">
        <v>5.0999999999999996</v>
      </c>
      <c r="P10" s="24">
        <v>5.8064522372529295</v>
      </c>
      <c r="Q10" s="24">
        <v>4.8936769469088865</v>
      </c>
      <c r="R10" s="24">
        <v>6.3</v>
      </c>
      <c r="S10" s="24">
        <v>5.3085193961536099</v>
      </c>
      <c r="T10" s="21">
        <v>1</v>
      </c>
      <c r="U10" s="21" t="s">
        <v>141</v>
      </c>
      <c r="V10" s="70">
        <v>-2.4193265370457268E-2</v>
      </c>
      <c r="W10" s="70">
        <v>3.580673462954273E-2</v>
      </c>
      <c r="X10" s="24">
        <v>0.90539646324605383</v>
      </c>
      <c r="Y10" s="24" t="s">
        <v>1712</v>
      </c>
      <c r="Z10" s="75">
        <v>61926.06</v>
      </c>
      <c r="AA10" t="s">
        <v>1415</v>
      </c>
      <c r="AB10" s="24">
        <v>0.42735042735042739</v>
      </c>
    </row>
    <row r="11" spans="1:29" customFormat="1" x14ac:dyDescent="0.55000000000000004">
      <c r="A11" s="24" t="s">
        <v>268</v>
      </c>
      <c r="B11" s="24" t="s">
        <v>976</v>
      </c>
      <c r="C11" s="24" t="s">
        <v>106</v>
      </c>
      <c r="D11" s="24" t="s">
        <v>72</v>
      </c>
      <c r="E11" s="24" t="s">
        <v>83</v>
      </c>
      <c r="F11" s="70">
        <v>2.8125952000458289E-2</v>
      </c>
      <c r="G11" s="24">
        <v>5.9916919999999996</v>
      </c>
      <c r="H11" s="24">
        <v>4.7464139999999997</v>
      </c>
      <c r="I11" s="24">
        <v>4.546322</v>
      </c>
      <c r="J11" s="24">
        <v>5.0948099999999998</v>
      </c>
      <c r="K11" s="24">
        <v>2.5246390000000001</v>
      </c>
      <c r="L11" s="24">
        <v>5.528816</v>
      </c>
      <c r="M11" s="24">
        <v>133.32050000000001</v>
      </c>
      <c r="N11" s="24">
        <v>6.3759335883327042</v>
      </c>
      <c r="O11" s="24">
        <v>0.6</v>
      </c>
      <c r="P11" s="24">
        <v>4.6268656716417915</v>
      </c>
      <c r="Q11" s="24">
        <v>6.4117337480526544</v>
      </c>
      <c r="R11" s="24">
        <v>2.5099999999999998</v>
      </c>
      <c r="S11" s="24">
        <v>4.4913988283127022</v>
      </c>
      <c r="T11" s="21">
        <v>1</v>
      </c>
      <c r="U11" s="21" t="s">
        <v>141</v>
      </c>
      <c r="V11" s="70">
        <v>-2.5334791280314895E-2</v>
      </c>
      <c r="W11" s="70">
        <v>3.4665208719685106E-2</v>
      </c>
      <c r="X11" s="24">
        <v>1.4496528243530276</v>
      </c>
      <c r="Y11" s="24" t="s">
        <v>1893</v>
      </c>
      <c r="Z11" s="75">
        <v>62454.36</v>
      </c>
      <c r="AA11" t="s">
        <v>1415</v>
      </c>
      <c r="AB11" s="24">
        <v>0.67708333333333326</v>
      </c>
    </row>
    <row r="12" spans="1:29" customFormat="1" x14ac:dyDescent="0.55000000000000004">
      <c r="A12" s="24" t="s">
        <v>300</v>
      </c>
      <c r="B12" s="24" t="s">
        <v>1131</v>
      </c>
      <c r="C12" s="24" t="s">
        <v>106</v>
      </c>
      <c r="D12" s="24" t="s">
        <v>72</v>
      </c>
      <c r="E12" s="24" t="s">
        <v>95</v>
      </c>
      <c r="F12" s="70">
        <v>2.785471823876387E-2</v>
      </c>
      <c r="G12" s="24">
        <v>7.55335</v>
      </c>
      <c r="H12" s="24">
        <v>4.345631</v>
      </c>
      <c r="I12" s="24">
        <v>7.8842160000000003</v>
      </c>
      <c r="J12" s="24">
        <v>6.4026079999999999</v>
      </c>
      <c r="K12" s="24">
        <v>3.6414439999999999</v>
      </c>
      <c r="L12" s="24">
        <v>9.5336689999999997</v>
      </c>
      <c r="M12" s="24">
        <v>26.302900000000001</v>
      </c>
      <c r="N12" s="24">
        <v>4.5356333041498722</v>
      </c>
      <c r="O12" s="24">
        <v>8.8000000000000007</v>
      </c>
      <c r="P12" s="24">
        <v>4.8535564853556492</v>
      </c>
      <c r="Q12" s="24">
        <v>7.9066941406456381</v>
      </c>
      <c r="R12" s="24">
        <v>7.2</v>
      </c>
      <c r="S12" s="24">
        <v>7.5561907396332497</v>
      </c>
      <c r="T12" s="21">
        <v>1</v>
      </c>
      <c r="U12" s="21" t="s">
        <v>1410</v>
      </c>
      <c r="V12" s="70">
        <v>-2.7255486647483534E-2</v>
      </c>
      <c r="W12" s="70">
        <v>3.2744513352516463E-2</v>
      </c>
      <c r="X12" s="24">
        <v>0.41641217851346957</v>
      </c>
      <c r="Y12" s="24" t="s">
        <v>1474</v>
      </c>
      <c r="Z12" s="75">
        <v>29823</v>
      </c>
      <c r="AA12" t="s">
        <v>1415</v>
      </c>
      <c r="AB12" s="24">
        <v>1.5097690941385435</v>
      </c>
    </row>
    <row r="13" spans="1:29" customFormat="1" x14ac:dyDescent="0.55000000000000004">
      <c r="A13" s="24" t="s">
        <v>216</v>
      </c>
      <c r="B13" s="24" t="s">
        <v>998</v>
      </c>
      <c r="C13" s="24" t="s">
        <v>106</v>
      </c>
      <c r="D13" s="24" t="s">
        <v>72</v>
      </c>
      <c r="E13" s="24" t="s">
        <v>88</v>
      </c>
      <c r="F13" s="70">
        <v>2.7058968617761654E-2</v>
      </c>
      <c r="G13" s="24">
        <v>7.8589820000000001</v>
      </c>
      <c r="H13" s="24">
        <v>6.6279779999999997</v>
      </c>
      <c r="I13" s="24">
        <v>5.6537499999999996</v>
      </c>
      <c r="J13" s="24">
        <v>6.4844879999999998</v>
      </c>
      <c r="K13" s="24">
        <v>2.0035379999999998</v>
      </c>
      <c r="L13" s="24">
        <v>6.0049789999999996</v>
      </c>
      <c r="M13" s="24">
        <v>13.7652</v>
      </c>
      <c r="N13" s="24">
        <v>7.8723901474386384</v>
      </c>
      <c r="O13" s="24">
        <v>6.7</v>
      </c>
      <c r="P13" s="24">
        <v>5.89041095890411</v>
      </c>
      <c r="Q13" s="24">
        <v>3.6508065369303155</v>
      </c>
      <c r="R13" s="24">
        <v>5.95</v>
      </c>
      <c r="S13" s="24">
        <v>6.9025968412247156</v>
      </c>
      <c r="T13" s="21">
        <v>1</v>
      </c>
      <c r="U13" s="21" t="s">
        <v>141</v>
      </c>
      <c r="V13" s="70">
        <v>-1.0253655039300737E-2</v>
      </c>
      <c r="W13" s="70">
        <v>4.9746344960699261E-2</v>
      </c>
      <c r="X13" s="24">
        <v>0.71241825750248</v>
      </c>
      <c r="Y13" s="24" t="s">
        <v>1464</v>
      </c>
      <c r="Z13" s="75">
        <v>208589.7</v>
      </c>
      <c r="AA13" t="s">
        <v>1415</v>
      </c>
      <c r="AB13" s="24">
        <v>5.2083333333333329E-2</v>
      </c>
    </row>
    <row r="14" spans="1:29" customFormat="1" x14ac:dyDescent="0.55000000000000004">
      <c r="A14" s="24" t="s">
        <v>261</v>
      </c>
      <c r="B14" s="24" t="s">
        <v>1203</v>
      </c>
      <c r="C14" s="24" t="s">
        <v>113</v>
      </c>
      <c r="D14" s="24" t="s">
        <v>72</v>
      </c>
      <c r="E14" s="24" t="s">
        <v>100</v>
      </c>
      <c r="F14" s="70">
        <v>2.4768367673883216E-2</v>
      </c>
      <c r="G14" s="24">
        <v>6.1958929999999999</v>
      </c>
      <c r="H14" s="24">
        <v>7.9488649999999996</v>
      </c>
      <c r="I14" s="24">
        <v>6.1875390000000001</v>
      </c>
      <c r="J14" s="24">
        <v>6.7192790000000002</v>
      </c>
      <c r="K14" s="24">
        <v>0.60287840000000004</v>
      </c>
      <c r="L14" s="24">
        <v>2.629343</v>
      </c>
      <c r="M14" s="24">
        <v>23.985399999999998</v>
      </c>
      <c r="N14" s="24">
        <v>8.3980777143098031</v>
      </c>
      <c r="O14" s="24">
        <v>9.5</v>
      </c>
      <c r="P14" s="24">
        <v>7.8260869565217392</v>
      </c>
      <c r="Q14" s="24">
        <v>0</v>
      </c>
      <c r="R14" s="24">
        <v>3.55</v>
      </c>
      <c r="S14" s="24">
        <v>3.7488763756588037</v>
      </c>
      <c r="T14" s="21">
        <v>1</v>
      </c>
      <c r="U14" s="21" t="s">
        <v>141</v>
      </c>
      <c r="V14" s="70">
        <v>-2.5533705016436238E-2</v>
      </c>
      <c r="W14" s="70">
        <v>3.446629498356376E-2</v>
      </c>
      <c r="X14" s="24">
        <v>0.90473724087579588</v>
      </c>
      <c r="Y14" s="24" t="s">
        <v>1917</v>
      </c>
      <c r="Z14" s="75">
        <v>49206.59</v>
      </c>
      <c r="AA14" t="s">
        <v>1415</v>
      </c>
      <c r="AB14" s="24">
        <v>0.68610634648370494</v>
      </c>
    </row>
    <row r="15" spans="1:29" customFormat="1" x14ac:dyDescent="0.55000000000000004">
      <c r="A15" s="24" t="s">
        <v>251</v>
      </c>
      <c r="B15" s="24" t="s">
        <v>824</v>
      </c>
      <c r="C15" s="24" t="s">
        <v>107</v>
      </c>
      <c r="D15" s="24" t="s">
        <v>72</v>
      </c>
      <c r="E15" s="24" t="s">
        <v>85</v>
      </c>
      <c r="F15" s="70">
        <v>2.4760834628380791E-2</v>
      </c>
      <c r="G15" s="24">
        <v>5.4763489999999999</v>
      </c>
      <c r="H15" s="24">
        <v>4.1837419999999996</v>
      </c>
      <c r="I15" s="24">
        <v>6.3611040000000001</v>
      </c>
      <c r="J15" s="24">
        <v>5.353993</v>
      </c>
      <c r="K15" s="24">
        <v>4.5046559999999998</v>
      </c>
      <c r="L15" s="24">
        <v>7.4739230000000001</v>
      </c>
      <c r="M15" s="24">
        <v>45.8033</v>
      </c>
      <c r="N15" s="24">
        <v>6.8964764687064415</v>
      </c>
      <c r="O15" s="24">
        <v>2.2000000000000002</v>
      </c>
      <c r="P15" s="24">
        <v>4.7147147147147139</v>
      </c>
      <c r="Q15" s="24">
        <v>8.6103729526339094</v>
      </c>
      <c r="R15" s="24">
        <v>7.340001</v>
      </c>
      <c r="S15" s="24">
        <v>6.7398417777600699</v>
      </c>
      <c r="T15" s="21">
        <v>1</v>
      </c>
      <c r="U15" s="21" t="s">
        <v>141</v>
      </c>
      <c r="V15" s="70">
        <v>-2.4371309032267845E-2</v>
      </c>
      <c r="W15" s="70">
        <v>3.5628690967732156E-2</v>
      </c>
      <c r="X15" s="24">
        <v>1.0250353656659148</v>
      </c>
      <c r="Y15" s="24" t="s">
        <v>1727</v>
      </c>
      <c r="Z15" s="75">
        <v>51992.04</v>
      </c>
      <c r="AA15" t="s">
        <v>1415</v>
      </c>
      <c r="AB15" s="24">
        <v>0.44982698961937717</v>
      </c>
    </row>
    <row r="16" spans="1:29" customFormat="1" x14ac:dyDescent="0.55000000000000004">
      <c r="A16" s="24" t="s">
        <v>276</v>
      </c>
      <c r="B16" s="24" t="s">
        <v>1205</v>
      </c>
      <c r="C16" s="24" t="s">
        <v>106</v>
      </c>
      <c r="D16" s="24" t="s">
        <v>72</v>
      </c>
      <c r="E16" s="24" t="s">
        <v>82</v>
      </c>
      <c r="F16" s="70">
        <v>2.4603681977514225E-2</v>
      </c>
      <c r="G16" s="24">
        <v>7.1055820000000001</v>
      </c>
      <c r="H16" s="24">
        <v>6.6397009999999996</v>
      </c>
      <c r="I16" s="24">
        <v>7.5660949999999998</v>
      </c>
      <c r="J16" s="24">
        <v>7.1037030000000003</v>
      </c>
      <c r="K16" s="24">
        <v>3.8031139999999999</v>
      </c>
      <c r="L16" s="24">
        <v>22.141490000000001</v>
      </c>
      <c r="M16" s="24">
        <v>5.4353999999999996</v>
      </c>
      <c r="N16" s="24">
        <v>6.5937212004455166</v>
      </c>
      <c r="O16" s="24">
        <v>8.6999999999999993</v>
      </c>
      <c r="P16" s="24">
        <v>3.4408605850387728</v>
      </c>
      <c r="Q16" s="24">
        <v>9.0818194620475996</v>
      </c>
      <c r="R16" s="24">
        <v>2.84</v>
      </c>
      <c r="S16" s="24">
        <v>6.9108354976264375</v>
      </c>
      <c r="T16" s="21">
        <v>1</v>
      </c>
      <c r="U16" s="21" t="s">
        <v>141</v>
      </c>
      <c r="V16" s="70">
        <v>-2.6379628086486591E-2</v>
      </c>
      <c r="W16" s="70">
        <v>3.3620371913513407E-2</v>
      </c>
      <c r="X16" s="24">
        <v>1.5571087927716412</v>
      </c>
      <c r="Y16" s="24" t="s">
        <v>1796</v>
      </c>
      <c r="Z16" s="75">
        <v>39705.339999999997</v>
      </c>
      <c r="AA16" t="s">
        <v>1415</v>
      </c>
      <c r="AB16" s="24">
        <v>0.92307692307692313</v>
      </c>
    </row>
    <row r="17" spans="1:28" customFormat="1" x14ac:dyDescent="0.55000000000000004">
      <c r="A17" s="24" t="s">
        <v>227</v>
      </c>
      <c r="B17" s="24" t="s">
        <v>815</v>
      </c>
      <c r="C17" s="24" t="s">
        <v>107</v>
      </c>
      <c r="D17" s="24" t="s">
        <v>72</v>
      </c>
      <c r="E17" s="24" t="s">
        <v>88</v>
      </c>
      <c r="F17" s="70">
        <v>2.405781597785361E-2</v>
      </c>
      <c r="G17" s="24">
        <v>7.6535589999999996</v>
      </c>
      <c r="H17" s="24">
        <v>5.2358880000000001</v>
      </c>
      <c r="I17" s="24">
        <v>6.3652170000000003</v>
      </c>
      <c r="J17" s="24">
        <v>6.1711539999999996</v>
      </c>
      <c r="K17" s="24">
        <v>3.7522769999999999</v>
      </c>
      <c r="L17" s="24">
        <v>8.6137080000000008</v>
      </c>
      <c r="M17" s="24">
        <v>22.8447</v>
      </c>
      <c r="N17" s="24">
        <v>4.5283457719407325</v>
      </c>
      <c r="O17" s="24">
        <v>4.2</v>
      </c>
      <c r="P17" s="24">
        <v>4.6575342465753424</v>
      </c>
      <c r="Q17" s="24">
        <v>7.6184381525098139</v>
      </c>
      <c r="R17" s="24">
        <v>8.5</v>
      </c>
      <c r="S17" s="24">
        <v>7.5662027313780227</v>
      </c>
      <c r="T17" s="21">
        <v>1</v>
      </c>
      <c r="U17" s="21" t="s">
        <v>117</v>
      </c>
      <c r="V17" s="70">
        <v>-1.9207780625237019E-2</v>
      </c>
      <c r="W17" s="70">
        <v>4.0792219374762975E-2</v>
      </c>
      <c r="X17" s="24">
        <v>0.62435236758764412</v>
      </c>
      <c r="Y17" s="24" t="s">
        <v>1451</v>
      </c>
      <c r="Z17" s="75">
        <v>113112.6</v>
      </c>
      <c r="AA17" t="s">
        <v>1415</v>
      </c>
      <c r="AB17" s="24">
        <v>0.24305555555555555</v>
      </c>
    </row>
    <row r="18" spans="1:28" customFormat="1" x14ac:dyDescent="0.55000000000000004">
      <c r="A18" s="24" t="s">
        <v>218</v>
      </c>
      <c r="B18" s="24" t="s">
        <v>1142</v>
      </c>
      <c r="C18" s="24" t="s">
        <v>110</v>
      </c>
      <c r="D18" s="24" t="s">
        <v>72</v>
      </c>
      <c r="E18" s="24" t="s">
        <v>88</v>
      </c>
      <c r="F18" s="70">
        <v>2.2711775157979102E-2</v>
      </c>
      <c r="G18" s="24">
        <v>6.8718859999999999</v>
      </c>
      <c r="H18" s="24">
        <v>7.8329519999999997</v>
      </c>
      <c r="I18" s="24">
        <v>7.0892939999999998</v>
      </c>
      <c r="J18" s="24">
        <v>7.3432760000000004</v>
      </c>
      <c r="K18" s="24">
        <v>3.632558</v>
      </c>
      <c r="L18" s="24">
        <v>7.4947739999999996</v>
      </c>
      <c r="M18" s="24">
        <v>1.5907</v>
      </c>
      <c r="N18" s="24">
        <v>4.184072110184097</v>
      </c>
      <c r="O18" s="24">
        <v>8.3000000000000007</v>
      </c>
      <c r="P18" s="24">
        <v>8.712328767123287</v>
      </c>
      <c r="Q18" s="24">
        <v>6.0573323310782605</v>
      </c>
      <c r="R18" s="24">
        <v>8.0999990000000004</v>
      </c>
      <c r="S18" s="24">
        <v>7.296314390495148</v>
      </c>
      <c r="T18" s="21">
        <v>1</v>
      </c>
      <c r="U18" s="21" t="s">
        <v>117</v>
      </c>
      <c r="V18" s="70">
        <v>-1.1711747940243038E-2</v>
      </c>
      <c r="W18" s="70">
        <v>4.828825205975696E-2</v>
      </c>
      <c r="X18" s="24">
        <v>0.4377912395065201</v>
      </c>
      <c r="Y18" s="24" t="s">
        <v>1426</v>
      </c>
      <c r="Z18" s="75">
        <v>198605.1</v>
      </c>
      <c r="AA18" t="s">
        <v>1415</v>
      </c>
      <c r="AB18" s="24">
        <v>8.6805555555555552E-2</v>
      </c>
    </row>
    <row r="19" spans="1:28" customFormat="1" x14ac:dyDescent="0.55000000000000004">
      <c r="A19" s="24" t="s">
        <v>242</v>
      </c>
      <c r="B19" s="24" t="s">
        <v>820</v>
      </c>
      <c r="C19" s="24" t="s">
        <v>107</v>
      </c>
      <c r="D19" s="24" t="s">
        <v>72</v>
      </c>
      <c r="E19" s="24" t="s">
        <v>89</v>
      </c>
      <c r="F19" s="70">
        <v>2.2561638204924239E-2</v>
      </c>
      <c r="G19" s="24">
        <v>7.0540669999999999</v>
      </c>
      <c r="H19" s="24">
        <v>7.9818720000000001</v>
      </c>
      <c r="I19" s="24">
        <v>4.9638210000000003</v>
      </c>
      <c r="J19" s="24">
        <v>6.7053349999999998</v>
      </c>
      <c r="K19" s="24">
        <v>1.364379</v>
      </c>
      <c r="L19" s="24">
        <v>4.4044030000000003</v>
      </c>
      <c r="M19" s="24">
        <v>27.114899999999999</v>
      </c>
      <c r="N19" s="24">
        <v>6.2048854028577729</v>
      </c>
      <c r="O19" s="24">
        <v>7.8</v>
      </c>
      <c r="P19" s="24">
        <v>5.3153153153153143</v>
      </c>
      <c r="Q19" s="24">
        <v>2.1036221779548474</v>
      </c>
      <c r="R19" s="24">
        <v>3.67</v>
      </c>
      <c r="S19" s="24">
        <v>4.1113741958625951</v>
      </c>
      <c r="T19" s="21">
        <v>1</v>
      </c>
      <c r="U19" s="21" t="s">
        <v>141</v>
      </c>
      <c r="V19" s="70">
        <v>-2.2723702085317217E-2</v>
      </c>
      <c r="W19" s="70">
        <v>3.7276297914682781E-2</v>
      </c>
      <c r="X19" s="24">
        <v>1.0605526209098983</v>
      </c>
      <c r="Y19" s="24" t="s">
        <v>1705</v>
      </c>
      <c r="Z19" s="75">
        <v>71163.34</v>
      </c>
      <c r="AA19" t="s">
        <v>1415</v>
      </c>
      <c r="AB19" s="24">
        <v>0.29411764705882354</v>
      </c>
    </row>
    <row r="20" spans="1:28" customFormat="1" x14ac:dyDescent="0.55000000000000004">
      <c r="A20" s="24" t="s">
        <v>225</v>
      </c>
      <c r="B20" s="24" t="s">
        <v>814</v>
      </c>
      <c r="C20" s="24" t="s">
        <v>107</v>
      </c>
      <c r="D20" s="24" t="s">
        <v>72</v>
      </c>
      <c r="E20" s="24" t="s">
        <v>89</v>
      </c>
      <c r="F20" s="70">
        <v>2.2381907548752151E-2</v>
      </c>
      <c r="G20" s="24">
        <v>8.2668379999999999</v>
      </c>
      <c r="H20" s="24">
        <v>6.7470379999999999</v>
      </c>
      <c r="I20" s="24">
        <v>6.3593919999999997</v>
      </c>
      <c r="J20" s="24">
        <v>7.238664</v>
      </c>
      <c r="K20" s="24">
        <v>1.5880449999999999</v>
      </c>
      <c r="L20" s="24">
        <v>4.5186219999999997</v>
      </c>
      <c r="M20" s="24">
        <v>19.394200000000001</v>
      </c>
      <c r="N20" s="24">
        <v>7.7415168471356441</v>
      </c>
      <c r="O20" s="24">
        <v>5.3</v>
      </c>
      <c r="P20" s="24">
        <v>5.6756756756756745</v>
      </c>
      <c r="Q20" s="24">
        <v>2.4125719344842853</v>
      </c>
      <c r="R20" s="24">
        <v>4.53</v>
      </c>
      <c r="S20" s="24">
        <v>4.0274989967979593</v>
      </c>
      <c r="T20" s="21">
        <v>1</v>
      </c>
      <c r="U20" s="21" t="s">
        <v>141</v>
      </c>
      <c r="V20" s="70">
        <v>-1.7574814656423451E-2</v>
      </c>
      <c r="W20" s="70">
        <v>4.2425185343576546E-2</v>
      </c>
      <c r="X20" s="24">
        <v>1.6075267253514911</v>
      </c>
      <c r="Y20" s="24" t="s">
        <v>1723</v>
      </c>
      <c r="Z20" s="75">
        <v>125768.7</v>
      </c>
      <c r="AA20" t="s">
        <v>1415</v>
      </c>
      <c r="AB20" s="24">
        <v>0</v>
      </c>
    </row>
    <row r="21" spans="1:28" customFormat="1" x14ac:dyDescent="0.55000000000000004">
      <c r="A21" s="24" t="s">
        <v>253</v>
      </c>
      <c r="B21" s="24" t="s">
        <v>1165</v>
      </c>
      <c r="C21" s="24" t="s">
        <v>113</v>
      </c>
      <c r="D21" s="24" t="s">
        <v>72</v>
      </c>
      <c r="E21" s="24" t="s">
        <v>82</v>
      </c>
      <c r="F21" s="70">
        <v>2.177445480818303E-2</v>
      </c>
      <c r="G21" s="24">
        <v>7.460477</v>
      </c>
      <c r="H21" s="24">
        <v>6.7647760000000003</v>
      </c>
      <c r="I21" s="24">
        <v>6.7848839999999999</v>
      </c>
      <c r="J21" s="24">
        <v>6.980524</v>
      </c>
      <c r="K21" s="24">
        <v>8.8478359999999991</v>
      </c>
      <c r="L21" s="24">
        <v>18.208410000000001</v>
      </c>
      <c r="M21" s="24">
        <v>10.1189</v>
      </c>
      <c r="N21" s="24">
        <v>6.3290557437697395</v>
      </c>
      <c r="O21" s="24">
        <v>9.1999999999999993</v>
      </c>
      <c r="P21" s="24">
        <v>5.1881726008787741</v>
      </c>
      <c r="Q21" s="24">
        <v>6.0653429094493738</v>
      </c>
      <c r="R21" s="24">
        <v>7.71</v>
      </c>
      <c r="S21" s="24">
        <v>6.7818945025166437</v>
      </c>
      <c r="T21" s="21">
        <v>1</v>
      </c>
      <c r="U21" s="21" t="s">
        <v>141</v>
      </c>
      <c r="V21" s="70">
        <v>-2.4370014973567236E-2</v>
      </c>
      <c r="W21" s="70">
        <v>3.5629985026432762E-2</v>
      </c>
      <c r="X21" s="24">
        <v>1.1051229925874302</v>
      </c>
      <c r="Y21" s="24" t="s">
        <v>1871</v>
      </c>
      <c r="Z21" s="75">
        <v>61098.44</v>
      </c>
      <c r="AA21" t="s">
        <v>1415</v>
      </c>
      <c r="AB21" s="24">
        <v>0.52991452991452992</v>
      </c>
    </row>
    <row r="22" spans="1:28" customFormat="1" x14ac:dyDescent="0.55000000000000004">
      <c r="A22" s="24" t="s">
        <v>284</v>
      </c>
      <c r="B22" s="24" t="s">
        <v>1220</v>
      </c>
      <c r="C22" s="24" t="s">
        <v>112</v>
      </c>
      <c r="D22" s="24" t="s">
        <v>72</v>
      </c>
      <c r="E22" s="24" t="s">
        <v>93</v>
      </c>
      <c r="F22" s="70">
        <v>2.1479474264051834E-2</v>
      </c>
      <c r="G22" s="24">
        <v>5.6379330000000003</v>
      </c>
      <c r="H22" s="24">
        <v>6.8559340000000004</v>
      </c>
      <c r="I22" s="24">
        <v>5.0689659999999996</v>
      </c>
      <c r="J22" s="24">
        <v>5.8542779999999999</v>
      </c>
      <c r="K22" s="24">
        <v>0.57891269999999995</v>
      </c>
      <c r="L22" s="24">
        <v>1.917556</v>
      </c>
      <c r="M22" s="24">
        <v>12.930999999999999</v>
      </c>
      <c r="N22" s="24">
        <v>5.1294912891041191</v>
      </c>
      <c r="O22" s="24">
        <v>9.6999999999999993</v>
      </c>
      <c r="P22" s="24">
        <v>2.5776397515527956</v>
      </c>
      <c r="Q22" s="24">
        <v>1.3209473884346903</v>
      </c>
      <c r="R22" s="24">
        <v>2.5499999999999998</v>
      </c>
      <c r="S22" s="24">
        <v>2.0302292749056621</v>
      </c>
      <c r="T22" s="21">
        <v>1</v>
      </c>
      <c r="U22" s="21" t="s">
        <v>141</v>
      </c>
      <c r="V22" s="70">
        <v>-2.637428771740194E-2</v>
      </c>
      <c r="W22" s="70">
        <v>3.3625712282598058E-2</v>
      </c>
      <c r="X22" s="24">
        <v>1.2633311813083894</v>
      </c>
      <c r="Y22" s="24" t="s">
        <v>1621</v>
      </c>
      <c r="Z22" s="75">
        <v>39246.769999999997</v>
      </c>
      <c r="AA22" t="s">
        <v>1415</v>
      </c>
      <c r="AB22" s="24">
        <v>1.0806174957118353</v>
      </c>
    </row>
    <row r="23" spans="1:28" customFormat="1" x14ac:dyDescent="0.55000000000000004">
      <c r="A23" s="24" t="s">
        <v>314</v>
      </c>
      <c r="B23" s="24" t="s">
        <v>942</v>
      </c>
      <c r="C23" s="24" t="s">
        <v>112</v>
      </c>
      <c r="D23" s="24" t="s">
        <v>72</v>
      </c>
      <c r="E23" s="24" t="s">
        <v>99</v>
      </c>
      <c r="F23" s="70">
        <v>2.0677199472771021E-2</v>
      </c>
      <c r="G23" s="24">
        <v>7.275315</v>
      </c>
      <c r="H23" s="24">
        <v>7.7541399999999996</v>
      </c>
      <c r="I23" s="24">
        <v>7.5080710000000002</v>
      </c>
      <c r="J23" s="24">
        <v>7.4176310000000001</v>
      </c>
      <c r="K23" s="24">
        <v>4.1162919999999996</v>
      </c>
      <c r="L23" s="24">
        <v>9.1696629999999999</v>
      </c>
      <c r="M23" s="24">
        <v>97.466300000000004</v>
      </c>
      <c r="N23" s="24">
        <v>3.8731160054326756</v>
      </c>
      <c r="O23" s="24">
        <v>2.7</v>
      </c>
      <c r="P23" s="24">
        <v>4.1433021806853576</v>
      </c>
      <c r="Q23" s="24">
        <v>5.9565151522913791</v>
      </c>
      <c r="R23" s="24">
        <v>5.34</v>
      </c>
      <c r="S23" s="24">
        <v>6.2199813367676251</v>
      </c>
      <c r="T23" s="21">
        <v>1</v>
      </c>
      <c r="U23" s="21" t="s">
        <v>141</v>
      </c>
      <c r="V23" s="70">
        <v>-2.7458123429518463E-2</v>
      </c>
      <c r="W23" s="70">
        <v>3.2541876570481534E-2</v>
      </c>
      <c r="X23" s="24">
        <v>0.39410320423331241</v>
      </c>
      <c r="Y23" s="24" t="s">
        <v>1629</v>
      </c>
      <c r="Z23" s="75">
        <v>29578.77</v>
      </c>
      <c r="AA23" t="s">
        <v>1415</v>
      </c>
      <c r="AB23" s="24">
        <v>1.3105924596050269</v>
      </c>
    </row>
    <row r="24" spans="1:28" customFormat="1" x14ac:dyDescent="0.55000000000000004">
      <c r="A24" s="24" t="s">
        <v>278</v>
      </c>
      <c r="B24" s="24" t="s">
        <v>1282</v>
      </c>
      <c r="C24" s="24" t="s">
        <v>112</v>
      </c>
      <c r="D24" s="24" t="s">
        <v>72</v>
      </c>
      <c r="E24" s="24" t="s">
        <v>84</v>
      </c>
      <c r="F24" s="70">
        <v>2.0417548516323561E-2</v>
      </c>
      <c r="G24" s="24">
        <v>5</v>
      </c>
      <c r="H24" s="24">
        <v>5.5</v>
      </c>
      <c r="I24" s="24">
        <v>6</v>
      </c>
      <c r="J24" s="24">
        <v>5.5</v>
      </c>
      <c r="K24" s="24">
        <v>6.1092690000000003</v>
      </c>
      <c r="L24" s="24">
        <v>7.0986469999999997</v>
      </c>
      <c r="M24" s="24">
        <v>284.20569999999998</v>
      </c>
      <c r="N24" s="24">
        <v>4.6434083811451217</v>
      </c>
      <c r="O24" s="24">
        <v>4.4000000000000004</v>
      </c>
      <c r="P24" s="24">
        <v>3.9402985074626864</v>
      </c>
      <c r="Q24" s="24">
        <v>5.5961510610773857</v>
      </c>
      <c r="R24" s="24">
        <v>7.57</v>
      </c>
      <c r="S24" s="24">
        <v>5.6398676701931034</v>
      </c>
      <c r="T24" s="21">
        <v>1</v>
      </c>
      <c r="U24" s="21" t="s">
        <v>141</v>
      </c>
      <c r="V24" s="70">
        <v>-2.6141239054674491E-2</v>
      </c>
      <c r="W24" s="70">
        <v>3.3858760945325507E-2</v>
      </c>
      <c r="X24" s="24">
        <v>1.1332937790117386</v>
      </c>
      <c r="Y24" s="24" t="s">
        <v>1626</v>
      </c>
      <c r="Z24" s="75">
        <v>42263.93</v>
      </c>
      <c r="AA24" t="s">
        <v>1415</v>
      </c>
      <c r="AB24" s="24">
        <v>0.85069444444444442</v>
      </c>
    </row>
    <row r="25" spans="1:28" customFormat="1" x14ac:dyDescent="0.55000000000000004">
      <c r="A25" s="24" t="s">
        <v>286</v>
      </c>
      <c r="B25" s="24" t="s">
        <v>987</v>
      </c>
      <c r="C25" s="24" t="s">
        <v>177</v>
      </c>
      <c r="D25" s="24" t="s">
        <v>72</v>
      </c>
      <c r="E25" s="24" t="s">
        <v>82</v>
      </c>
      <c r="F25" s="70">
        <v>2.0414151816038263E-2</v>
      </c>
      <c r="G25" s="24">
        <v>7.3249950000000004</v>
      </c>
      <c r="H25" s="24">
        <v>5.9005669999999997</v>
      </c>
      <c r="I25" s="24">
        <v>7.0716299999999999</v>
      </c>
      <c r="J25" s="24">
        <v>6.7377669999999998</v>
      </c>
      <c r="K25" s="24">
        <v>9.0763149999999992</v>
      </c>
      <c r="L25" s="24">
        <v>12.780989999999999</v>
      </c>
      <c r="M25" s="24">
        <v>1.2385999999999999</v>
      </c>
      <c r="N25" s="24">
        <v>6.0861602239303494</v>
      </c>
      <c r="O25" s="24">
        <v>0.7</v>
      </c>
      <c r="P25" s="24">
        <v>6.9354846167187763</v>
      </c>
      <c r="Q25" s="24">
        <v>5.0232361639205756</v>
      </c>
      <c r="R25" s="24">
        <v>6.82</v>
      </c>
      <c r="S25" s="24">
        <v>6.2514600213000753</v>
      </c>
      <c r="T25" s="21">
        <v>1</v>
      </c>
      <c r="U25" s="21" t="s">
        <v>141</v>
      </c>
      <c r="V25" s="70">
        <v>-2.664841098425292E-2</v>
      </c>
      <c r="W25" s="70">
        <v>3.3351589015747078E-2</v>
      </c>
      <c r="X25" s="24">
        <v>1.0718289779429435</v>
      </c>
      <c r="Y25" s="24" t="s">
        <v>1696</v>
      </c>
      <c r="Z25" s="75">
        <v>35198.6</v>
      </c>
      <c r="AA25" t="s">
        <v>1415</v>
      </c>
      <c r="AB25" s="24">
        <v>1.0940170940170941</v>
      </c>
    </row>
    <row r="26" spans="1:28" customFormat="1" x14ac:dyDescent="0.55000000000000004">
      <c r="A26" s="24" t="s">
        <v>290</v>
      </c>
      <c r="B26" s="24" t="s">
        <v>1365</v>
      </c>
      <c r="C26" s="24" t="s">
        <v>110</v>
      </c>
      <c r="D26" s="24" t="s">
        <v>72</v>
      </c>
      <c r="E26" s="24" t="s">
        <v>84</v>
      </c>
      <c r="F26" s="70">
        <v>1.8771250373245518E-2</v>
      </c>
      <c r="G26" s="24">
        <v>6.9143530000000002</v>
      </c>
      <c r="H26" s="24">
        <v>5.2628050000000002</v>
      </c>
      <c r="I26" s="24">
        <v>7.1813960000000003</v>
      </c>
      <c r="J26" s="24">
        <v>6.4528509999999999</v>
      </c>
      <c r="K26" s="24">
        <v>1.58586</v>
      </c>
      <c r="L26" s="24">
        <v>3.514348</v>
      </c>
      <c r="M26" s="24">
        <v>41.120699999999999</v>
      </c>
      <c r="N26" s="24">
        <v>10</v>
      </c>
      <c r="O26" s="24">
        <v>9.8000000000000007</v>
      </c>
      <c r="P26" s="24">
        <v>6.8059701492537314</v>
      </c>
      <c r="Q26" s="24">
        <v>0</v>
      </c>
      <c r="R26" s="24">
        <v>4.24</v>
      </c>
      <c r="S26" s="24">
        <v>4.7132032146957519</v>
      </c>
      <c r="T26" s="21">
        <v>1</v>
      </c>
      <c r="U26" s="21" t="s">
        <v>141</v>
      </c>
      <c r="V26" s="70">
        <v>-2.6440911223698068E-2</v>
      </c>
      <c r="W26" s="70">
        <v>3.3559088776301933E-2</v>
      </c>
      <c r="X26" s="24">
        <v>0.33307320884655173</v>
      </c>
      <c r="Y26" s="24" t="s">
        <v>1532</v>
      </c>
      <c r="Z26" s="75">
        <v>39127.1</v>
      </c>
      <c r="AA26" t="s">
        <v>1415</v>
      </c>
      <c r="AB26" s="24">
        <v>1.0590277777777777</v>
      </c>
    </row>
    <row r="27" spans="1:28" customFormat="1" x14ac:dyDescent="0.55000000000000004">
      <c r="A27" s="24" t="s">
        <v>271</v>
      </c>
      <c r="B27" s="24" t="s">
        <v>931</v>
      </c>
      <c r="C27" s="24" t="s">
        <v>110</v>
      </c>
      <c r="D27" s="24" t="s">
        <v>72</v>
      </c>
      <c r="E27" s="24" t="s">
        <v>85</v>
      </c>
      <c r="F27" s="70">
        <v>1.7436338433928434E-2</v>
      </c>
      <c r="G27" s="24">
        <v>7.9595320000000003</v>
      </c>
      <c r="H27" s="24">
        <v>5.5364750000000003</v>
      </c>
      <c r="I27" s="24">
        <v>7.6212669999999996</v>
      </c>
      <c r="J27" s="24">
        <v>7.039091</v>
      </c>
      <c r="K27" s="24">
        <v>1.2968679999999999</v>
      </c>
      <c r="L27" s="24">
        <v>2.9265140000000001</v>
      </c>
      <c r="M27" s="24">
        <v>35.3611</v>
      </c>
      <c r="N27" s="24">
        <v>7.3114334423413236</v>
      </c>
      <c r="O27" s="24">
        <v>5.0999999999999996</v>
      </c>
      <c r="P27" s="24">
        <v>6.306306306306305</v>
      </c>
      <c r="Q27" s="24">
        <v>1.3968204957945995</v>
      </c>
      <c r="R27" s="24">
        <v>4.43</v>
      </c>
      <c r="S27" s="24">
        <v>3.4989665622567268</v>
      </c>
      <c r="T27" s="21">
        <v>1</v>
      </c>
      <c r="U27" s="21" t="s">
        <v>141</v>
      </c>
      <c r="V27" s="70">
        <v>-2.5873618107527963E-2</v>
      </c>
      <c r="W27" s="70">
        <v>3.4126381892472031E-2</v>
      </c>
      <c r="X27" s="24">
        <v>1.3487181533193329</v>
      </c>
      <c r="Y27" s="24" t="s">
        <v>1569</v>
      </c>
      <c r="Z27" s="75">
        <v>45101.75</v>
      </c>
      <c r="AA27" t="s">
        <v>1415</v>
      </c>
      <c r="AB27" s="24">
        <v>0.79584775086505188</v>
      </c>
    </row>
    <row r="28" spans="1:28" customFormat="1" x14ac:dyDescent="0.55000000000000004">
      <c r="A28" s="24" t="s">
        <v>231</v>
      </c>
      <c r="B28" s="24" t="s">
        <v>927</v>
      </c>
      <c r="C28" s="24" t="s">
        <v>112</v>
      </c>
      <c r="D28" s="24" t="s">
        <v>72</v>
      </c>
      <c r="E28" s="24" t="s">
        <v>97</v>
      </c>
      <c r="F28" s="70">
        <v>1.7090469047252196E-2</v>
      </c>
      <c r="G28" s="24">
        <v>7.7227880000000004</v>
      </c>
      <c r="H28" s="24">
        <v>6.6526620000000003</v>
      </c>
      <c r="I28" s="24">
        <v>6.0290270000000001</v>
      </c>
      <c r="J28" s="24">
        <v>6.8014919999999996</v>
      </c>
      <c r="K28" s="24">
        <v>3.2303630000000001</v>
      </c>
      <c r="L28" s="24">
        <v>8.2729429999999997</v>
      </c>
      <c r="M28" s="24">
        <v>43.461799999999997</v>
      </c>
      <c r="N28" s="24">
        <v>10</v>
      </c>
      <c r="O28" s="24">
        <v>4.5</v>
      </c>
      <c r="P28" s="24">
        <v>5.2631578947368407</v>
      </c>
      <c r="Q28" s="24">
        <v>6.6660793047325821</v>
      </c>
      <c r="R28" s="24">
        <v>3.78</v>
      </c>
      <c r="S28" s="24">
        <v>6.9522539682148885</v>
      </c>
      <c r="T28" s="21">
        <v>1</v>
      </c>
      <c r="U28" s="21" t="s">
        <v>117</v>
      </c>
      <c r="V28" s="70">
        <v>-2.1360688971440139E-2</v>
      </c>
      <c r="W28" s="70">
        <v>3.8639311028559858E-2</v>
      </c>
      <c r="X28" s="24">
        <v>0.30766542601646957</v>
      </c>
      <c r="Y28" s="24" t="s">
        <v>1430</v>
      </c>
      <c r="Z28" s="75">
        <v>88218.93</v>
      </c>
      <c r="AA28" t="s">
        <v>1415</v>
      </c>
      <c r="AB28" s="24">
        <v>0</v>
      </c>
    </row>
    <row r="29" spans="1:28" customFormat="1" x14ac:dyDescent="0.55000000000000004">
      <c r="A29" s="24" t="s">
        <v>264</v>
      </c>
      <c r="B29" s="24" t="s">
        <v>937</v>
      </c>
      <c r="C29" s="24" t="s">
        <v>106</v>
      </c>
      <c r="D29" s="24" t="s">
        <v>72</v>
      </c>
      <c r="E29" s="24" t="s">
        <v>89</v>
      </c>
      <c r="F29" s="70">
        <v>1.6666426817187427E-2</v>
      </c>
      <c r="G29" s="24">
        <v>4.9702859999999998</v>
      </c>
      <c r="H29" s="24">
        <v>6.18</v>
      </c>
      <c r="I29" s="24">
        <v>5.1481940000000002</v>
      </c>
      <c r="J29" s="24">
        <v>5.3865730000000003</v>
      </c>
      <c r="K29" s="24">
        <v>0.84488949999999996</v>
      </c>
      <c r="L29" s="24">
        <v>6.2575260000000004</v>
      </c>
      <c r="M29" s="24">
        <v>29.448699999999999</v>
      </c>
      <c r="N29" s="24">
        <v>8.2623731029879774</v>
      </c>
      <c r="O29" s="24">
        <v>9.8000000000000007</v>
      </c>
      <c r="P29" s="24">
        <v>5.9459459459459456</v>
      </c>
      <c r="Q29" s="24">
        <v>4.5747565294378045</v>
      </c>
      <c r="R29" s="24">
        <v>0</v>
      </c>
      <c r="S29" s="24">
        <v>5.5552356102721312</v>
      </c>
      <c r="T29" s="21">
        <v>1</v>
      </c>
      <c r="U29" s="21" t="s">
        <v>141</v>
      </c>
      <c r="V29" s="70">
        <v>-2.5051573573083061E-2</v>
      </c>
      <c r="W29" s="70">
        <v>3.4948426426916937E-2</v>
      </c>
      <c r="X29" s="24">
        <v>1.4047915889362041</v>
      </c>
      <c r="Y29" s="24" t="s">
        <v>1822</v>
      </c>
      <c r="Z29" s="75">
        <v>53878.94</v>
      </c>
      <c r="AA29" t="s">
        <v>1415</v>
      </c>
      <c r="AB29" s="24">
        <v>0.67474048442906587</v>
      </c>
    </row>
    <row r="30" spans="1:28" customFormat="1" x14ac:dyDescent="0.55000000000000004">
      <c r="A30" s="24" t="s">
        <v>303</v>
      </c>
      <c r="B30" s="24" t="s">
        <v>1087</v>
      </c>
      <c r="C30" s="24" t="s">
        <v>110</v>
      </c>
      <c r="D30" s="24" t="s">
        <v>72</v>
      </c>
      <c r="E30" s="24" t="s">
        <v>86</v>
      </c>
      <c r="F30" s="70">
        <v>1.6412439145352127E-2</v>
      </c>
      <c r="G30" s="24">
        <v>7.2912179999999998</v>
      </c>
      <c r="H30" s="24">
        <v>5.5927790000000002</v>
      </c>
      <c r="I30" s="24">
        <v>5.5509269999999997</v>
      </c>
      <c r="J30" s="24">
        <v>6.087663</v>
      </c>
      <c r="K30" s="24">
        <v>3.2360530000000001</v>
      </c>
      <c r="L30" s="24">
        <v>3.4274680000000002</v>
      </c>
      <c r="M30" s="24">
        <v>0.49591000000000002</v>
      </c>
      <c r="N30" s="24">
        <v>6.07470192826315</v>
      </c>
      <c r="O30" s="24">
        <v>2.1</v>
      </c>
      <c r="P30" s="24">
        <v>10</v>
      </c>
      <c r="Q30" s="24">
        <v>7.886213209407128E-2</v>
      </c>
      <c r="R30" s="24">
        <v>4.47</v>
      </c>
      <c r="S30" s="24">
        <v>2.8000037274365672</v>
      </c>
      <c r="T30" s="21">
        <v>1</v>
      </c>
      <c r="U30" s="21" t="s">
        <v>141</v>
      </c>
      <c r="V30" s="70">
        <v>-2.7191760511595962E-2</v>
      </c>
      <c r="W30" s="70">
        <v>3.2808239488404035E-2</v>
      </c>
      <c r="X30" s="24">
        <v>1.4612074077538217</v>
      </c>
      <c r="Y30" s="24" t="s">
        <v>1551</v>
      </c>
      <c r="Z30" s="75">
        <v>29779.59</v>
      </c>
      <c r="AA30" t="s">
        <v>1415</v>
      </c>
      <c r="AB30" s="24">
        <v>1.3846153846153846</v>
      </c>
    </row>
    <row r="31" spans="1:28" customFormat="1" x14ac:dyDescent="0.55000000000000004">
      <c r="A31" s="24" t="s">
        <v>256</v>
      </c>
      <c r="B31" s="24" t="s">
        <v>1271</v>
      </c>
      <c r="C31" s="24" t="s">
        <v>111</v>
      </c>
      <c r="D31" s="24" t="s">
        <v>72</v>
      </c>
      <c r="E31" s="24" t="s">
        <v>82</v>
      </c>
      <c r="F31" s="70">
        <v>1.6088747050347844E-2</v>
      </c>
      <c r="G31" s="24">
        <v>7.4303229999999996</v>
      </c>
      <c r="H31" s="24">
        <v>7.011736</v>
      </c>
      <c r="I31" s="24">
        <v>5.4516650000000002</v>
      </c>
      <c r="J31" s="24">
        <v>6.5912870000000003</v>
      </c>
      <c r="K31" s="24">
        <v>7.640898</v>
      </c>
      <c r="L31" s="24">
        <v>19.154150000000001</v>
      </c>
      <c r="M31" s="24">
        <v>16.8569</v>
      </c>
      <c r="N31" s="24">
        <v>9.2758931840464349</v>
      </c>
      <c r="O31" s="24">
        <v>5.3</v>
      </c>
      <c r="P31" s="24">
        <v>5.6989253439704672</v>
      </c>
      <c r="Q31" s="24">
        <v>7.6820166173778359</v>
      </c>
      <c r="R31" s="24">
        <v>6.87</v>
      </c>
      <c r="S31" s="24">
        <v>7.037650851699226</v>
      </c>
      <c r="T31" s="21">
        <v>1</v>
      </c>
      <c r="U31" s="21" t="s">
        <v>141</v>
      </c>
      <c r="V31" s="70">
        <v>-2.4893144958815599E-2</v>
      </c>
      <c r="W31" s="70">
        <v>3.5106855041184395E-2</v>
      </c>
      <c r="X31" s="24">
        <v>1.3388044995655717</v>
      </c>
      <c r="Y31" s="24" t="s">
        <v>1665</v>
      </c>
      <c r="Z31" s="75">
        <v>55189.32</v>
      </c>
      <c r="AA31" t="s">
        <v>1415</v>
      </c>
      <c r="AB31" s="24">
        <v>0.58119658119658124</v>
      </c>
    </row>
    <row r="32" spans="1:28" customFormat="1" x14ac:dyDescent="0.55000000000000004">
      <c r="A32" s="24" t="s">
        <v>305</v>
      </c>
      <c r="B32" s="24" t="s">
        <v>1130</v>
      </c>
      <c r="C32" s="24" t="s">
        <v>106</v>
      </c>
      <c r="D32" s="24" t="s">
        <v>72</v>
      </c>
      <c r="E32" s="24" t="s">
        <v>89</v>
      </c>
      <c r="F32" s="70">
        <v>1.5799162974609364E-2</v>
      </c>
      <c r="G32" s="24">
        <v>5.0813889999999997</v>
      </c>
      <c r="H32" s="24">
        <v>4.923832</v>
      </c>
      <c r="I32" s="24">
        <v>4.4691380000000001</v>
      </c>
      <c r="J32" s="24">
        <v>4.850447</v>
      </c>
      <c r="K32" s="24">
        <v>1.3980079999999999</v>
      </c>
      <c r="L32" s="24">
        <v>5.120025</v>
      </c>
      <c r="M32" s="24">
        <v>60.085500000000003</v>
      </c>
      <c r="N32" s="24">
        <v>3.8988548131033145</v>
      </c>
      <c r="O32" s="24">
        <v>2.6</v>
      </c>
      <c r="P32" s="24">
        <v>6.2462462462462458</v>
      </c>
      <c r="Q32" s="24">
        <v>4.1849269588313422</v>
      </c>
      <c r="R32" s="24">
        <v>2.4</v>
      </c>
      <c r="S32" s="24">
        <v>4.3016469840789782</v>
      </c>
      <c r="T32" s="21">
        <v>1</v>
      </c>
      <c r="U32" s="21" t="s">
        <v>141</v>
      </c>
      <c r="V32" s="70">
        <v>-2.7150851042573438E-2</v>
      </c>
      <c r="W32" s="70">
        <v>3.2849148957426556E-2</v>
      </c>
      <c r="X32" s="24">
        <v>1.656088967826143</v>
      </c>
      <c r="Y32" s="24" t="s">
        <v>1761</v>
      </c>
      <c r="Z32" s="75">
        <v>30353.42</v>
      </c>
      <c r="AA32" t="s">
        <v>1415</v>
      </c>
      <c r="AB32" s="24">
        <v>1.3840830449826991</v>
      </c>
    </row>
    <row r="33" spans="1:28" customFormat="1" x14ac:dyDescent="0.55000000000000004">
      <c r="A33" s="24" t="s">
        <v>257</v>
      </c>
      <c r="B33" s="24" t="s">
        <v>1118</v>
      </c>
      <c r="C33" s="24" t="s">
        <v>125</v>
      </c>
      <c r="D33" s="24" t="s">
        <v>72</v>
      </c>
      <c r="E33" s="24" t="s">
        <v>82</v>
      </c>
      <c r="F33" s="70">
        <v>1.5755878781406125E-2</v>
      </c>
      <c r="G33" s="24">
        <v>8.351718</v>
      </c>
      <c r="H33" s="24">
        <v>4.8727080000000003</v>
      </c>
      <c r="I33" s="24">
        <v>7.1767300000000001</v>
      </c>
      <c r="J33" s="24">
        <v>6.7228190000000003</v>
      </c>
      <c r="K33" s="24">
        <v>6.2859020000000001</v>
      </c>
      <c r="L33" s="24">
        <v>14.67853</v>
      </c>
      <c r="M33" s="24">
        <v>10.139699999999999</v>
      </c>
      <c r="N33" s="24">
        <v>4.5176441117160442</v>
      </c>
      <c r="O33" s="24">
        <v>5.7</v>
      </c>
      <c r="P33" s="24">
        <v>4.7580650277489278</v>
      </c>
      <c r="Q33" s="24">
        <v>6.0766100549218427</v>
      </c>
      <c r="R33" s="24">
        <v>4.92</v>
      </c>
      <c r="S33" s="24">
        <v>5.7397269397125426</v>
      </c>
      <c r="T33" s="21">
        <v>1</v>
      </c>
      <c r="U33" s="21" t="s">
        <v>141</v>
      </c>
      <c r="V33" s="70">
        <v>-2.5102431180917699E-2</v>
      </c>
      <c r="W33" s="70">
        <v>3.4897568819082299E-2</v>
      </c>
      <c r="X33" s="24">
        <v>0.96077676777805354</v>
      </c>
      <c r="Y33" s="24" t="s">
        <v>1918</v>
      </c>
      <c r="Z33" s="75">
        <v>52536.53</v>
      </c>
      <c r="AA33" t="s">
        <v>1415</v>
      </c>
      <c r="AB33" s="24">
        <v>0.59829059829059827</v>
      </c>
    </row>
    <row r="34" spans="1:28" customFormat="1" x14ac:dyDescent="0.55000000000000004">
      <c r="A34" s="24" t="s">
        <v>241</v>
      </c>
      <c r="B34" s="24" t="s">
        <v>860</v>
      </c>
      <c r="C34" s="24" t="s">
        <v>111</v>
      </c>
      <c r="D34" s="24" t="s">
        <v>72</v>
      </c>
      <c r="E34" s="24" t="s">
        <v>99</v>
      </c>
      <c r="F34" s="70">
        <v>1.524633517851561E-2</v>
      </c>
      <c r="G34" s="24">
        <v>5.3933270000000002</v>
      </c>
      <c r="H34" s="24">
        <v>7.5209169999999999</v>
      </c>
      <c r="I34" s="24">
        <v>6.7238819999999997</v>
      </c>
      <c r="J34" s="24">
        <v>6.084956</v>
      </c>
      <c r="K34" s="24">
        <v>4.2859959999999999</v>
      </c>
      <c r="L34" s="24">
        <v>6.9558150000000003</v>
      </c>
      <c r="M34" s="24">
        <v>392.21080000000001</v>
      </c>
      <c r="N34" s="24">
        <v>9.2641935962695712</v>
      </c>
      <c r="O34" s="24">
        <v>9.1</v>
      </c>
      <c r="P34" s="24">
        <v>6.1370716510903431</v>
      </c>
      <c r="Q34" s="24">
        <v>4.140560217980461</v>
      </c>
      <c r="R34" s="24">
        <v>5.4</v>
      </c>
      <c r="S34" s="24">
        <v>6.2647950593344461</v>
      </c>
      <c r="T34" s="21">
        <v>1</v>
      </c>
      <c r="U34" s="21" t="s">
        <v>141</v>
      </c>
      <c r="V34" s="70">
        <v>-2.2636925090966813E-2</v>
      </c>
      <c r="W34" s="70">
        <v>3.7363074909033185E-2</v>
      </c>
      <c r="X34" s="24">
        <v>0.4551563727144245</v>
      </c>
      <c r="Y34" s="24" t="s">
        <v>1675</v>
      </c>
      <c r="Z34" s="75">
        <v>83524.160000000003</v>
      </c>
      <c r="AA34" t="s">
        <v>1415</v>
      </c>
      <c r="AB34" s="24">
        <v>0</v>
      </c>
    </row>
    <row r="35" spans="1:28" customFormat="1" x14ac:dyDescent="0.55000000000000004">
      <c r="A35" s="24" t="s">
        <v>226</v>
      </c>
      <c r="B35" s="24" t="s">
        <v>945</v>
      </c>
      <c r="C35" s="24" t="s">
        <v>112</v>
      </c>
      <c r="D35" s="24" t="s">
        <v>72</v>
      </c>
      <c r="E35" s="24" t="s">
        <v>89</v>
      </c>
      <c r="F35" s="70">
        <v>1.5060365790610424E-2</v>
      </c>
      <c r="G35" s="24">
        <v>7.8793150000000001</v>
      </c>
      <c r="H35" s="24">
        <v>5.205203</v>
      </c>
      <c r="I35" s="24">
        <v>8.0613890000000001</v>
      </c>
      <c r="J35" s="24">
        <v>7.1317029999999999</v>
      </c>
      <c r="K35" s="24">
        <v>2.69929</v>
      </c>
      <c r="L35" s="24">
        <v>7.7725010000000001</v>
      </c>
      <c r="M35" s="24">
        <v>18.3249</v>
      </c>
      <c r="N35" s="24">
        <v>5.5186939477547456</v>
      </c>
      <c r="O35" s="24">
        <v>3</v>
      </c>
      <c r="P35" s="24">
        <v>4.1141141141141135</v>
      </c>
      <c r="Q35" s="24">
        <v>5.4199867197875173</v>
      </c>
      <c r="R35" s="24">
        <v>5.68</v>
      </c>
      <c r="S35" s="24">
        <v>5.5599376446211757</v>
      </c>
      <c r="T35" s="21">
        <v>1</v>
      </c>
      <c r="U35" s="21" t="s">
        <v>141</v>
      </c>
      <c r="V35" s="70">
        <v>-1.7562464552505798E-2</v>
      </c>
      <c r="W35" s="70">
        <v>4.24375354474942E-2</v>
      </c>
      <c r="X35" s="24">
        <v>1.4867118030512818</v>
      </c>
      <c r="Y35" s="24" t="s">
        <v>1608</v>
      </c>
      <c r="Z35" s="75">
        <v>134635.1</v>
      </c>
      <c r="AA35" t="s">
        <v>1415</v>
      </c>
      <c r="AB35" s="24">
        <v>1.7301038062283738E-2</v>
      </c>
    </row>
    <row r="36" spans="1:28" customFormat="1" x14ac:dyDescent="0.55000000000000004">
      <c r="A36" s="24" t="s">
        <v>304</v>
      </c>
      <c r="B36" s="24" t="s">
        <v>1143</v>
      </c>
      <c r="C36" s="24" t="s">
        <v>105</v>
      </c>
      <c r="D36" s="24" t="s">
        <v>72</v>
      </c>
      <c r="E36" s="24" t="s">
        <v>85</v>
      </c>
      <c r="F36" s="70">
        <v>1.440988878995427E-2</v>
      </c>
      <c r="G36" s="24">
        <v>7.9266550000000002</v>
      </c>
      <c r="H36" s="24">
        <v>3.5833300000000001</v>
      </c>
      <c r="I36" s="24">
        <v>4.1214120000000003</v>
      </c>
      <c r="J36" s="24">
        <v>5.4820849999999997</v>
      </c>
      <c r="K36" s="24">
        <v>1.690912</v>
      </c>
      <c r="L36" s="24">
        <v>4.7919119999999999</v>
      </c>
      <c r="M36" s="24">
        <v>26.972999999999999</v>
      </c>
      <c r="N36" s="24">
        <v>6.077370820083388</v>
      </c>
      <c r="O36" s="24">
        <v>4.8</v>
      </c>
      <c r="P36" s="24">
        <v>5.4954954954954953</v>
      </c>
      <c r="Q36" s="24">
        <v>4.3317474546259414</v>
      </c>
      <c r="R36" s="24">
        <v>3.89</v>
      </c>
      <c r="S36" s="24">
        <v>4.8042718566419085</v>
      </c>
      <c r="T36" s="21">
        <v>1</v>
      </c>
      <c r="U36" s="21" t="s">
        <v>141</v>
      </c>
      <c r="V36" s="70">
        <v>-2.7245713651960365E-2</v>
      </c>
      <c r="W36" s="70">
        <v>3.2754286348039632E-2</v>
      </c>
      <c r="X36" s="24">
        <v>1.3930613148640538</v>
      </c>
      <c r="Y36" s="24" t="s">
        <v>1983</v>
      </c>
      <c r="Z36" s="75">
        <v>29326.73</v>
      </c>
      <c r="AA36" t="s">
        <v>1415</v>
      </c>
      <c r="AB36" s="24">
        <v>1.3667820069204153</v>
      </c>
    </row>
    <row r="37" spans="1:28" customFormat="1" x14ac:dyDescent="0.55000000000000004">
      <c r="A37" s="24" t="s">
        <v>262</v>
      </c>
      <c r="B37" s="24" t="s">
        <v>1098</v>
      </c>
      <c r="C37" s="24" t="s">
        <v>106</v>
      </c>
      <c r="D37" s="24" t="s">
        <v>72</v>
      </c>
      <c r="E37" s="24" t="s">
        <v>98</v>
      </c>
      <c r="F37" s="70">
        <v>1.40212225754949E-2</v>
      </c>
      <c r="G37" s="24">
        <v>6.6855700000000002</v>
      </c>
      <c r="H37" s="24">
        <v>4.003514</v>
      </c>
      <c r="I37" s="24">
        <v>6.2565419999999996</v>
      </c>
      <c r="J37" s="24">
        <v>5.4411360000000002</v>
      </c>
      <c r="K37" s="24">
        <v>1.8630199999999999</v>
      </c>
      <c r="L37" s="24">
        <v>4.6791650000000002</v>
      </c>
      <c r="M37" s="24">
        <v>6.0837000000000003</v>
      </c>
      <c r="N37" s="24">
        <v>5.1691729928675052</v>
      </c>
      <c r="O37" s="24">
        <v>6.1</v>
      </c>
      <c r="P37" s="24">
        <v>6.3354037267080763</v>
      </c>
      <c r="Q37" s="24">
        <v>2.448506939728929</v>
      </c>
      <c r="R37" s="24">
        <v>3.98</v>
      </c>
      <c r="S37" s="24">
        <v>4.712964630708635</v>
      </c>
      <c r="T37" s="21">
        <v>1</v>
      </c>
      <c r="U37" s="21" t="s">
        <v>141</v>
      </c>
      <c r="V37" s="70">
        <v>-2.5313401781050057E-2</v>
      </c>
      <c r="W37" s="70">
        <v>3.4686598218949941E-2</v>
      </c>
      <c r="X37" s="24">
        <v>0.4096963658595853</v>
      </c>
      <c r="Y37" s="24" t="s">
        <v>1827</v>
      </c>
      <c r="Z37" s="75">
        <v>48972.02</v>
      </c>
      <c r="AA37" t="s">
        <v>1415</v>
      </c>
      <c r="AB37" s="24">
        <v>0.70325900514579764</v>
      </c>
    </row>
    <row r="38" spans="1:28" customFormat="1" x14ac:dyDescent="0.55000000000000004">
      <c r="A38" s="24" t="s">
        <v>255</v>
      </c>
      <c r="B38" s="24" t="s">
        <v>1025</v>
      </c>
      <c r="C38" s="24" t="s">
        <v>106</v>
      </c>
      <c r="D38" s="24" t="s">
        <v>72</v>
      </c>
      <c r="E38" s="24" t="s">
        <v>99</v>
      </c>
      <c r="F38" s="70">
        <v>1.3530373222885611E-2</v>
      </c>
      <c r="G38" s="24">
        <v>6.6645479999999999</v>
      </c>
      <c r="H38" s="24">
        <v>4.9034769999999996</v>
      </c>
      <c r="I38" s="24">
        <v>6.9140860000000002</v>
      </c>
      <c r="J38" s="24">
        <v>6.362241</v>
      </c>
      <c r="K38" s="24">
        <v>4.5031059999999998</v>
      </c>
      <c r="L38" s="24">
        <v>7.4723490000000004</v>
      </c>
      <c r="M38" s="24">
        <v>465.4264</v>
      </c>
      <c r="N38" s="24">
        <v>7.4681341288372947</v>
      </c>
      <c r="O38" s="24">
        <v>6.6</v>
      </c>
      <c r="P38" s="24">
        <v>3.4267912772585674</v>
      </c>
      <c r="Q38" s="24">
        <v>4.1003073126355343</v>
      </c>
      <c r="R38" s="24">
        <v>4.9800000000000004</v>
      </c>
      <c r="S38" s="24">
        <v>5.4587228932670175</v>
      </c>
      <c r="T38" s="21">
        <v>1</v>
      </c>
      <c r="U38" s="21" t="s">
        <v>141</v>
      </c>
      <c r="V38" s="70">
        <v>-2.4200364178162931E-2</v>
      </c>
      <c r="W38" s="70">
        <v>3.5799635821837067E-2</v>
      </c>
      <c r="X38" s="24">
        <v>0.49173010921373145</v>
      </c>
      <c r="Y38" s="24" t="s">
        <v>1828</v>
      </c>
      <c r="Z38" s="75">
        <v>60455.98</v>
      </c>
      <c r="AA38" t="s">
        <v>1415</v>
      </c>
      <c r="AB38" s="24">
        <v>0.25134649910233392</v>
      </c>
    </row>
    <row r="39" spans="1:28" customFormat="1" x14ac:dyDescent="0.55000000000000004">
      <c r="A39" s="24" t="s">
        <v>292</v>
      </c>
      <c r="B39" s="24" t="s">
        <v>1241</v>
      </c>
      <c r="C39" s="24" t="s">
        <v>113</v>
      </c>
      <c r="D39" s="24" t="s">
        <v>72</v>
      </c>
      <c r="E39" s="24" t="s">
        <v>92</v>
      </c>
      <c r="F39" s="70">
        <v>1.3499249983819196E-2</v>
      </c>
      <c r="G39" s="24">
        <v>5.7721419999999997</v>
      </c>
      <c r="H39" s="24">
        <v>7.5307170000000001</v>
      </c>
      <c r="I39" s="24">
        <v>6.9270680000000002</v>
      </c>
      <c r="J39" s="24">
        <v>6.4703350000000004</v>
      </c>
      <c r="K39" s="24">
        <v>7.267862</v>
      </c>
      <c r="L39" s="24">
        <v>12.295769999999999</v>
      </c>
      <c r="M39" s="24">
        <v>526.4896</v>
      </c>
      <c r="N39" s="24">
        <v>5.5553098328960537</v>
      </c>
      <c r="O39" s="24">
        <v>4.0999999999999996</v>
      </c>
      <c r="P39" s="24">
        <v>1.9999999999999998</v>
      </c>
      <c r="Q39" s="24">
        <v>7.7125640755043623</v>
      </c>
      <c r="R39" s="24">
        <v>5.87</v>
      </c>
      <c r="S39" s="24">
        <v>6.6036239846520273</v>
      </c>
      <c r="T39" s="21">
        <v>1</v>
      </c>
      <c r="U39" s="21" t="s">
        <v>141</v>
      </c>
      <c r="V39" s="70">
        <v>-2.7148892440193629E-2</v>
      </c>
      <c r="W39" s="70">
        <v>3.2851107559806372E-2</v>
      </c>
      <c r="X39" s="24">
        <v>0.71549034979486803</v>
      </c>
      <c r="Y39" s="24" t="s">
        <v>1484</v>
      </c>
      <c r="Z39" s="75">
        <v>30818.09</v>
      </c>
      <c r="AA39" t="s">
        <v>1415</v>
      </c>
      <c r="AB39" s="24">
        <v>1.4426877470355732</v>
      </c>
    </row>
    <row r="40" spans="1:28" customFormat="1" x14ac:dyDescent="0.55000000000000004">
      <c r="A40" s="24" t="s">
        <v>273</v>
      </c>
      <c r="B40" s="24" t="s">
        <v>898</v>
      </c>
      <c r="C40" s="24" t="s">
        <v>110</v>
      </c>
      <c r="D40" s="24" t="s">
        <v>72</v>
      </c>
      <c r="E40" s="24" t="s">
        <v>88</v>
      </c>
      <c r="F40" s="70">
        <v>1.2981911303418952E-2</v>
      </c>
      <c r="G40" s="24">
        <v>3.3283149999999999</v>
      </c>
      <c r="H40" s="24">
        <v>5.6086470000000004</v>
      </c>
      <c r="I40" s="24">
        <v>6.7849700000000004</v>
      </c>
      <c r="J40" s="24">
        <v>5.6231099999999996</v>
      </c>
      <c r="K40" s="24">
        <v>0.85566880000000001</v>
      </c>
      <c r="L40" s="24">
        <v>3.8108610000000001</v>
      </c>
      <c r="M40" s="24">
        <v>100.2436</v>
      </c>
      <c r="N40" s="24">
        <v>5.2605015516413935</v>
      </c>
      <c r="O40" s="24">
        <v>9.3000000000000007</v>
      </c>
      <c r="P40" s="24">
        <v>5.2328767123287676</v>
      </c>
      <c r="Q40" s="24">
        <v>1.7628553133439131</v>
      </c>
      <c r="R40" s="24">
        <v>5.29</v>
      </c>
      <c r="S40" s="24">
        <v>3.4099008186370119</v>
      </c>
      <c r="T40" s="21">
        <v>1</v>
      </c>
      <c r="U40" s="21" t="s">
        <v>141</v>
      </c>
      <c r="V40" s="70">
        <v>-2.6203429934532101E-2</v>
      </c>
      <c r="W40" s="70">
        <v>3.3796570065467893E-2</v>
      </c>
      <c r="X40" s="24">
        <v>1.1587296501901632</v>
      </c>
      <c r="Y40" s="24" t="s">
        <v>1545</v>
      </c>
      <c r="Z40" s="75">
        <v>39721.29</v>
      </c>
      <c r="AA40" t="s">
        <v>1415</v>
      </c>
      <c r="AB40" s="24">
        <v>1.0416666666666667</v>
      </c>
    </row>
    <row r="41" spans="1:28" customFormat="1" x14ac:dyDescent="0.55000000000000004">
      <c r="A41" s="24" t="s">
        <v>287</v>
      </c>
      <c r="B41" s="24" t="s">
        <v>1323</v>
      </c>
      <c r="C41" s="24" t="s">
        <v>112</v>
      </c>
      <c r="D41" s="24" t="s">
        <v>72</v>
      </c>
      <c r="E41" s="24" t="s">
        <v>89</v>
      </c>
      <c r="F41" s="70">
        <v>1.2524116971232542E-2</v>
      </c>
      <c r="G41" s="24">
        <v>6.8353190000000001</v>
      </c>
      <c r="H41" s="24">
        <v>6.7132949999999996</v>
      </c>
      <c r="I41" s="24">
        <v>6.3850249999999997</v>
      </c>
      <c r="J41" s="24">
        <v>6.6636230000000003</v>
      </c>
      <c r="K41" s="24">
        <v>4.6432479999999998</v>
      </c>
      <c r="L41" s="24">
        <v>6.5632590000000004</v>
      </c>
      <c r="M41" s="24">
        <v>134.94499999999999</v>
      </c>
      <c r="N41" s="24">
        <v>2.4573156491326706</v>
      </c>
      <c r="O41" s="24">
        <v>1.9</v>
      </c>
      <c r="P41" s="24">
        <v>5.2552552552552543</v>
      </c>
      <c r="Q41" s="24">
        <v>8.6990925188136341</v>
      </c>
      <c r="R41" s="24">
        <v>7.05</v>
      </c>
      <c r="S41" s="24">
        <v>5.5796508194990881</v>
      </c>
      <c r="T41" s="21">
        <v>1</v>
      </c>
      <c r="U41" s="21" t="s">
        <v>141</v>
      </c>
      <c r="V41" s="70">
        <v>-2.6360555482729808E-2</v>
      </c>
      <c r="W41" s="70">
        <v>3.3639444517270189E-2</v>
      </c>
      <c r="X41" s="24">
        <v>1.1799419854504447</v>
      </c>
      <c r="Y41" s="24" t="s">
        <v>1591</v>
      </c>
      <c r="Z41" s="75">
        <v>38916.17</v>
      </c>
      <c r="AA41" t="s">
        <v>1415</v>
      </c>
      <c r="AB41" s="24">
        <v>1.0726643598615917</v>
      </c>
    </row>
    <row r="42" spans="1:28" customFormat="1" x14ac:dyDescent="0.55000000000000004">
      <c r="A42" s="24" t="s">
        <v>260</v>
      </c>
      <c r="B42" s="24" t="s">
        <v>1134</v>
      </c>
      <c r="C42" s="24" t="s">
        <v>109</v>
      </c>
      <c r="D42" s="24" t="s">
        <v>72</v>
      </c>
      <c r="E42" s="24" t="s">
        <v>87</v>
      </c>
      <c r="F42" s="70">
        <v>1.204834476251085E-2</v>
      </c>
      <c r="G42" s="24">
        <v>5.7753839999999999</v>
      </c>
      <c r="H42" s="24">
        <v>4.55898</v>
      </c>
      <c r="I42" s="24">
        <v>5.2925589999999998</v>
      </c>
      <c r="J42" s="24">
        <v>5.2656150000000004</v>
      </c>
      <c r="K42" s="24">
        <v>1.586203</v>
      </c>
      <c r="L42" s="24">
        <v>5.1496430000000002</v>
      </c>
      <c r="M42" s="24">
        <v>128.92679999999999</v>
      </c>
      <c r="N42" s="24">
        <v>2.137959603658441</v>
      </c>
      <c r="O42" s="24">
        <v>4.3</v>
      </c>
      <c r="P42" s="24">
        <v>2.0502092050209209</v>
      </c>
      <c r="Q42" s="24">
        <v>5.8149733185396526</v>
      </c>
      <c r="R42" s="24">
        <v>2.98</v>
      </c>
      <c r="S42" s="24">
        <v>3.1865084921673628</v>
      </c>
      <c r="T42" s="21">
        <v>1</v>
      </c>
      <c r="U42" s="21" t="s">
        <v>141</v>
      </c>
      <c r="V42" s="70">
        <v>-2.4687732906264977E-2</v>
      </c>
      <c r="W42" s="70">
        <v>3.5312267093735021E-2</v>
      </c>
      <c r="X42" s="24">
        <v>0.69125417381648369</v>
      </c>
      <c r="Y42" s="24" t="s">
        <v>1519</v>
      </c>
      <c r="Z42" s="75">
        <v>53891.72</v>
      </c>
      <c r="AA42" t="s">
        <v>1415</v>
      </c>
      <c r="AB42" s="24">
        <v>0.79928952042628776</v>
      </c>
    </row>
    <row r="43" spans="1:28" customFormat="1" x14ac:dyDescent="0.55000000000000004">
      <c r="A43" s="24" t="s">
        <v>309</v>
      </c>
      <c r="B43" s="24" t="s">
        <v>1010</v>
      </c>
      <c r="C43" s="24" t="s">
        <v>111</v>
      </c>
      <c r="D43" s="24" t="s">
        <v>72</v>
      </c>
      <c r="E43" s="24" t="s">
        <v>96</v>
      </c>
      <c r="F43" s="70">
        <v>1.1539194136559934E-2</v>
      </c>
      <c r="G43" s="24">
        <v>9.8570770000000003</v>
      </c>
      <c r="H43" s="24">
        <v>7.4232360000000002</v>
      </c>
      <c r="I43" s="24">
        <v>4.7498259999999997</v>
      </c>
      <c r="J43" s="24">
        <v>6.8406399999999996</v>
      </c>
      <c r="K43" s="24">
        <v>2.0889899999999999</v>
      </c>
      <c r="L43" s="24">
        <v>4.3862160000000001</v>
      </c>
      <c r="M43" s="24">
        <v>19.1328</v>
      </c>
      <c r="N43" s="24">
        <v>10</v>
      </c>
      <c r="O43" s="24">
        <v>4.3</v>
      </c>
      <c r="P43" s="24">
        <v>4.02714932126697</v>
      </c>
      <c r="Q43" s="24">
        <v>6.9958581857792499</v>
      </c>
      <c r="R43" s="24">
        <v>7.83</v>
      </c>
      <c r="S43" s="24">
        <v>6.939715668077568</v>
      </c>
      <c r="T43" s="21">
        <v>1</v>
      </c>
      <c r="U43" s="21" t="s">
        <v>141</v>
      </c>
      <c r="V43" s="70">
        <v>-2.7305147276040578E-2</v>
      </c>
      <c r="W43" s="70">
        <v>3.2694852723959424E-2</v>
      </c>
      <c r="X43" s="24">
        <v>1.034468329766101</v>
      </c>
      <c r="Y43" s="24" t="s">
        <v>1664</v>
      </c>
      <c r="Z43" s="75">
        <v>28256.959999999999</v>
      </c>
      <c r="AA43" t="s">
        <v>1415</v>
      </c>
      <c r="AB43" s="24">
        <v>1.6464471403812824</v>
      </c>
    </row>
    <row r="44" spans="1:28" customFormat="1" x14ac:dyDescent="0.55000000000000004">
      <c r="A44" s="24" t="s">
        <v>283</v>
      </c>
      <c r="B44" s="24" t="s">
        <v>1169</v>
      </c>
      <c r="C44" s="24" t="s">
        <v>105</v>
      </c>
      <c r="D44" s="24" t="s">
        <v>72</v>
      </c>
      <c r="E44" s="24" t="s">
        <v>89</v>
      </c>
      <c r="F44" s="70">
        <v>1.1073215440834411E-2</v>
      </c>
      <c r="G44" s="24">
        <v>5.9929680000000003</v>
      </c>
      <c r="H44" s="24">
        <v>7.088133</v>
      </c>
      <c r="I44" s="24">
        <v>7.4159189999999997</v>
      </c>
      <c r="J44" s="24">
        <v>6.7484029999999997</v>
      </c>
      <c r="K44" s="24">
        <v>6.7741369999999996</v>
      </c>
      <c r="L44" s="24">
        <v>9.5183820000000008</v>
      </c>
      <c r="M44" s="24">
        <v>32.866</v>
      </c>
      <c r="N44" s="24">
        <v>4.5688344686045186</v>
      </c>
      <c r="O44" s="24">
        <v>5.7</v>
      </c>
      <c r="P44" s="24">
        <v>7.0870870870870846</v>
      </c>
      <c r="Q44" s="24">
        <v>7.8043393094289515</v>
      </c>
      <c r="R44" s="24">
        <v>6.33</v>
      </c>
      <c r="S44" s="24">
        <v>7.5347105040121667</v>
      </c>
      <c r="T44" s="21">
        <v>1</v>
      </c>
      <c r="U44" s="21" t="s">
        <v>117</v>
      </c>
      <c r="V44" s="70">
        <v>-2.6539641997723708E-2</v>
      </c>
      <c r="W44" s="70">
        <v>3.3460358002276286E-2</v>
      </c>
      <c r="X44" s="24">
        <v>1.3415846077155029</v>
      </c>
      <c r="Y44" s="24" t="s">
        <v>1500</v>
      </c>
      <c r="Z44" s="75">
        <v>37139.74</v>
      </c>
      <c r="AA44" t="s">
        <v>1415</v>
      </c>
      <c r="AB44" s="24">
        <v>1.0034602076124568</v>
      </c>
    </row>
    <row r="45" spans="1:28" customFormat="1" x14ac:dyDescent="0.55000000000000004">
      <c r="A45" s="24" t="s">
        <v>285</v>
      </c>
      <c r="B45" s="24" t="s">
        <v>1274</v>
      </c>
      <c r="C45" s="24" t="s">
        <v>106</v>
      </c>
      <c r="D45" s="24" t="s">
        <v>72</v>
      </c>
      <c r="E45" s="24" t="s">
        <v>93</v>
      </c>
      <c r="F45" s="70">
        <v>1.0972171816632527E-2</v>
      </c>
      <c r="G45" s="24">
        <v>4.6812579999999997</v>
      </c>
      <c r="H45" s="24">
        <v>7.117597</v>
      </c>
      <c r="I45" s="24">
        <v>7.3734719999999996</v>
      </c>
      <c r="J45" s="24">
        <v>6.219824</v>
      </c>
      <c r="K45" s="24">
        <v>4.3997809999999999</v>
      </c>
      <c r="L45" s="24">
        <v>6.065461</v>
      </c>
      <c r="M45" s="24">
        <v>23.808700000000002</v>
      </c>
      <c r="N45" s="24">
        <v>2.4226061740034828</v>
      </c>
      <c r="O45" s="24">
        <v>2.2999999999999998</v>
      </c>
      <c r="P45" s="24">
        <v>6.0669456066945617</v>
      </c>
      <c r="Q45" s="24">
        <v>4.9122069001954891</v>
      </c>
      <c r="R45" s="24">
        <v>7.48</v>
      </c>
      <c r="S45" s="24">
        <v>4.7914391866204298</v>
      </c>
      <c r="T45" s="21">
        <v>1</v>
      </c>
      <c r="U45" s="21" t="s">
        <v>141</v>
      </c>
      <c r="V45" s="70">
        <v>-2.652602385639409E-2</v>
      </c>
      <c r="W45" s="70">
        <v>3.3473976143605907E-2</v>
      </c>
      <c r="X45" s="24">
        <v>0.57123590933414758</v>
      </c>
      <c r="Y45" s="24" t="s">
        <v>1815</v>
      </c>
      <c r="Z45" s="75">
        <v>38380.629999999997</v>
      </c>
      <c r="AA45" t="s">
        <v>1415</v>
      </c>
      <c r="AB45" s="24">
        <v>1.2433392539964476</v>
      </c>
    </row>
    <row r="46" spans="1:28" customFormat="1" x14ac:dyDescent="0.55000000000000004">
      <c r="A46" s="24" t="s">
        <v>297</v>
      </c>
      <c r="B46" s="24" t="s">
        <v>828</v>
      </c>
      <c r="C46" s="24" t="s">
        <v>107</v>
      </c>
      <c r="D46" s="24" t="s">
        <v>72</v>
      </c>
      <c r="E46" s="24" t="s">
        <v>96</v>
      </c>
      <c r="F46" s="70">
        <v>1.0877716178522141E-2</v>
      </c>
      <c r="G46" s="24">
        <v>8.0769339999999996</v>
      </c>
      <c r="H46" s="24">
        <v>6.7147379999999997</v>
      </c>
      <c r="I46" s="24">
        <v>7.3348709999999997</v>
      </c>
      <c r="J46" s="24">
        <v>7.3755139999999999</v>
      </c>
      <c r="K46" s="24">
        <v>1.8310010000000001</v>
      </c>
      <c r="L46" s="24">
        <v>6.2039999999999997</v>
      </c>
      <c r="M46" s="24">
        <v>5.5373000000000001</v>
      </c>
      <c r="N46" s="24">
        <v>6.2346946397336005</v>
      </c>
      <c r="O46" s="24">
        <v>2.5</v>
      </c>
      <c r="P46" s="24">
        <v>2.0361990950226247</v>
      </c>
      <c r="Q46" s="24">
        <v>10</v>
      </c>
      <c r="R46" s="24">
        <v>6.78</v>
      </c>
      <c r="S46" s="24">
        <v>7.0372787166622768</v>
      </c>
      <c r="T46" s="21">
        <v>1</v>
      </c>
      <c r="U46" s="21" t="s">
        <v>141</v>
      </c>
      <c r="V46" s="70">
        <v>-2.6969344547735703E-2</v>
      </c>
      <c r="W46" s="70">
        <v>3.3030655452264295E-2</v>
      </c>
      <c r="X46" s="24">
        <v>0.94916516832639808</v>
      </c>
      <c r="Y46" s="24" t="s">
        <v>1726</v>
      </c>
      <c r="Z46" s="75">
        <v>31041.64</v>
      </c>
      <c r="AA46" t="s">
        <v>1415</v>
      </c>
      <c r="AB46" s="24">
        <v>1.4384748700173311</v>
      </c>
    </row>
    <row r="47" spans="1:28" customFormat="1" x14ac:dyDescent="0.55000000000000004">
      <c r="A47" s="24" t="s">
        <v>274</v>
      </c>
      <c r="B47" s="24" t="s">
        <v>1174</v>
      </c>
      <c r="C47" s="24" t="s">
        <v>112</v>
      </c>
      <c r="D47" s="24" t="s">
        <v>72</v>
      </c>
      <c r="E47" s="24" t="s">
        <v>96</v>
      </c>
      <c r="F47" s="70">
        <v>1.0399254990446593E-2</v>
      </c>
      <c r="G47" s="24">
        <v>7.0958129999999997</v>
      </c>
      <c r="H47" s="24">
        <v>6.533855</v>
      </c>
      <c r="I47" s="24">
        <v>6.522062</v>
      </c>
      <c r="J47" s="24">
        <v>6.7551009999999998</v>
      </c>
      <c r="K47" s="24">
        <v>1.109316</v>
      </c>
      <c r="L47" s="24">
        <v>5.8387149999999997</v>
      </c>
      <c r="M47" s="24">
        <v>110.5257</v>
      </c>
      <c r="N47" s="24">
        <v>3.6135206354123754</v>
      </c>
      <c r="O47" s="24">
        <v>1.1000000000000001</v>
      </c>
      <c r="P47" s="24">
        <v>0.67873303167420818</v>
      </c>
      <c r="Q47" s="24">
        <v>8.1452950637478292</v>
      </c>
      <c r="R47" s="24">
        <v>3.89</v>
      </c>
      <c r="S47" s="24">
        <v>5.4163619014761002</v>
      </c>
      <c r="T47" s="21">
        <v>1</v>
      </c>
      <c r="U47" s="21" t="s">
        <v>141</v>
      </c>
      <c r="V47" s="70">
        <v>-2.6263633188264877E-2</v>
      </c>
      <c r="W47" s="70">
        <v>3.373636681173512E-2</v>
      </c>
      <c r="X47" s="24">
        <v>1.8911123869251496</v>
      </c>
      <c r="Y47" s="24" t="s">
        <v>1597</v>
      </c>
      <c r="Z47" s="75">
        <v>40813.550000000003</v>
      </c>
      <c r="AA47" t="s">
        <v>1415</v>
      </c>
      <c r="AB47" s="24">
        <v>1.0398613518197573</v>
      </c>
    </row>
    <row r="48" spans="1:28" customFormat="1" x14ac:dyDescent="0.55000000000000004">
      <c r="A48" s="24" t="s">
        <v>248</v>
      </c>
      <c r="B48" s="24" t="s">
        <v>822</v>
      </c>
      <c r="C48" s="24" t="s">
        <v>107</v>
      </c>
      <c r="D48" s="24" t="s">
        <v>72</v>
      </c>
      <c r="E48" s="24" t="s">
        <v>88</v>
      </c>
      <c r="F48" s="70">
        <v>1.0242984501521984E-2</v>
      </c>
      <c r="G48" s="24">
        <v>5.5731020000000004</v>
      </c>
      <c r="H48" s="24">
        <v>6.6835579999999997</v>
      </c>
      <c r="I48" s="24">
        <v>4.7061210000000004</v>
      </c>
      <c r="J48" s="24">
        <v>5.6704920000000003</v>
      </c>
      <c r="K48" s="24">
        <v>1.8447450000000001</v>
      </c>
      <c r="L48" s="24">
        <v>3.8235450000000002</v>
      </c>
      <c r="M48" s="24">
        <v>36.6905</v>
      </c>
      <c r="N48" s="24">
        <v>7.9894431924358953</v>
      </c>
      <c r="O48" s="24">
        <v>5</v>
      </c>
      <c r="P48" s="24">
        <v>3.9999999999999996</v>
      </c>
      <c r="Q48" s="24">
        <v>4.3824527408892235</v>
      </c>
      <c r="R48" s="24">
        <v>6.87</v>
      </c>
      <c r="S48" s="24">
        <v>4.8136725216629133</v>
      </c>
      <c r="T48" s="21">
        <v>1</v>
      </c>
      <c r="U48" s="21" t="s">
        <v>141</v>
      </c>
      <c r="V48" s="70">
        <v>-2.4012737676400039E-2</v>
      </c>
      <c r="W48" s="70">
        <v>3.5987262323599958E-2</v>
      </c>
      <c r="X48" s="24">
        <v>0.93939077678449634</v>
      </c>
      <c r="Y48" s="24" t="s">
        <v>1721</v>
      </c>
      <c r="Z48" s="75">
        <v>64816.24</v>
      </c>
      <c r="AA48" t="s">
        <v>1415</v>
      </c>
      <c r="AB48" s="24">
        <v>0.60763888888888884</v>
      </c>
    </row>
    <row r="49" spans="1:28" customFormat="1" x14ac:dyDescent="0.55000000000000004">
      <c r="A49" s="24" t="s">
        <v>244</v>
      </c>
      <c r="B49" s="24" t="s">
        <v>1045</v>
      </c>
      <c r="C49" s="24" t="s">
        <v>106</v>
      </c>
      <c r="D49" s="24" t="s">
        <v>72</v>
      </c>
      <c r="E49" s="24" t="s">
        <v>87</v>
      </c>
      <c r="F49" s="70">
        <v>1.0217637514504326E-2</v>
      </c>
      <c r="G49" s="24">
        <v>7.7184280000000003</v>
      </c>
      <c r="H49" s="24">
        <v>6.0460459999999996</v>
      </c>
      <c r="I49" s="24">
        <v>5.706099</v>
      </c>
      <c r="J49" s="24">
        <v>6.6130149999999999</v>
      </c>
      <c r="K49" s="24">
        <v>8.7035990000000005</v>
      </c>
      <c r="L49" s="24">
        <v>16.454249999999998</v>
      </c>
      <c r="M49" s="24">
        <v>23.473700000000001</v>
      </c>
      <c r="N49" s="24">
        <v>0.28672344538859562</v>
      </c>
      <c r="O49" s="24">
        <v>5.3</v>
      </c>
      <c r="P49" s="24">
        <v>2.4267782426778246</v>
      </c>
      <c r="Q49" s="24">
        <v>7.9083679399799234</v>
      </c>
      <c r="R49" s="24">
        <v>6.31</v>
      </c>
      <c r="S49" s="24">
        <v>6.592505009905671</v>
      </c>
      <c r="T49" s="21">
        <v>1</v>
      </c>
      <c r="U49" s="21" t="s">
        <v>141</v>
      </c>
      <c r="V49" s="70">
        <v>-2.4070306775067073E-2</v>
      </c>
      <c r="W49" s="70">
        <v>3.5929693224932925E-2</v>
      </c>
      <c r="X49" s="24">
        <v>0.47357995053357532</v>
      </c>
      <c r="Y49" s="24" t="s">
        <v>1771</v>
      </c>
      <c r="Z49" s="75">
        <v>65375.9</v>
      </c>
      <c r="AA49" t="s">
        <v>1415</v>
      </c>
      <c r="AB49" s="24">
        <v>0.51509769094138536</v>
      </c>
    </row>
    <row r="50" spans="1:28" customFormat="1" x14ac:dyDescent="0.55000000000000004">
      <c r="A50" s="24" t="s">
        <v>294</v>
      </c>
      <c r="B50" s="24" t="s">
        <v>1141</v>
      </c>
      <c r="C50" s="24" t="s">
        <v>106</v>
      </c>
      <c r="D50" s="24" t="s">
        <v>72</v>
      </c>
      <c r="E50" s="24" t="s">
        <v>88</v>
      </c>
      <c r="F50" s="70">
        <v>1.0106909043761715E-2</v>
      </c>
      <c r="G50" s="24">
        <v>0</v>
      </c>
      <c r="H50" s="24">
        <v>5.1014039999999996</v>
      </c>
      <c r="I50" s="24">
        <v>0</v>
      </c>
      <c r="J50" s="24">
        <v>1.530421</v>
      </c>
      <c r="K50" s="24">
        <v>1.609923</v>
      </c>
      <c r="L50" s="24">
        <v>5.8562240000000001</v>
      </c>
      <c r="M50" s="24">
        <v>25.479600000000001</v>
      </c>
      <c r="N50" s="24">
        <v>4.4365390031074146</v>
      </c>
      <c r="O50" s="24">
        <v>4.4000000000000004</v>
      </c>
      <c r="P50" s="24">
        <v>3.6986301369863011</v>
      </c>
      <c r="Q50" s="24">
        <v>5.7692764275174717</v>
      </c>
      <c r="R50" s="24">
        <v>6.17</v>
      </c>
      <c r="S50" s="24">
        <v>6.4472030137658045</v>
      </c>
      <c r="T50" s="21">
        <v>1</v>
      </c>
      <c r="U50" s="21" t="s">
        <v>141</v>
      </c>
      <c r="V50" s="70">
        <v>-2.6790358114621202E-2</v>
      </c>
      <c r="W50" s="70">
        <v>3.3209641885378796E-2</v>
      </c>
      <c r="X50" s="24">
        <v>0.17712984356235775</v>
      </c>
      <c r="Y50" s="24" t="s">
        <v>1846</v>
      </c>
      <c r="Z50" s="75">
        <v>32583.9</v>
      </c>
      <c r="AA50" t="s">
        <v>1415</v>
      </c>
      <c r="AB50" s="24">
        <v>1.40625</v>
      </c>
    </row>
    <row r="51" spans="1:28" customFormat="1" x14ac:dyDescent="0.55000000000000004">
      <c r="A51" s="24" t="s">
        <v>222</v>
      </c>
      <c r="B51" s="24" t="s">
        <v>1133</v>
      </c>
      <c r="C51" s="24" t="s">
        <v>106</v>
      </c>
      <c r="D51" s="24" t="s">
        <v>72</v>
      </c>
      <c r="E51" s="24" t="s">
        <v>82</v>
      </c>
      <c r="F51" s="70">
        <v>9.7390021618275237E-3</v>
      </c>
      <c r="G51" s="24">
        <v>6.2225659999999996</v>
      </c>
      <c r="H51" s="24">
        <v>5.880986</v>
      </c>
      <c r="I51" s="24">
        <v>6.0196389999999997</v>
      </c>
      <c r="J51" s="24">
        <v>6.0319880000000001</v>
      </c>
      <c r="K51" s="24">
        <v>9.0972659999999994</v>
      </c>
      <c r="L51" s="24">
        <v>15.228960000000001</v>
      </c>
      <c r="M51" s="24">
        <v>9.1919000000000004</v>
      </c>
      <c r="N51" s="24">
        <v>4.742209658213091</v>
      </c>
      <c r="O51" s="24">
        <v>1.9</v>
      </c>
      <c r="P51" s="24">
        <v>4.4892477945427736</v>
      </c>
      <c r="Q51" s="24">
        <v>7.0398535417546837</v>
      </c>
      <c r="R51" s="24">
        <v>7.61</v>
      </c>
      <c r="S51" s="24">
        <v>6.3063279265833874</v>
      </c>
      <c r="T51" s="21">
        <v>1</v>
      </c>
      <c r="U51" s="21" t="s">
        <v>141</v>
      </c>
      <c r="V51" s="70">
        <v>-1.6445740934000461E-2</v>
      </c>
      <c r="W51" s="70">
        <v>4.3554259065999537E-2</v>
      </c>
      <c r="X51" s="24">
        <v>1.1993348903893366</v>
      </c>
      <c r="Y51" s="24" t="s">
        <v>1779</v>
      </c>
      <c r="Z51" s="75">
        <v>148917</v>
      </c>
      <c r="AA51" t="s">
        <v>1415</v>
      </c>
      <c r="AB51" s="24">
        <v>0</v>
      </c>
    </row>
    <row r="52" spans="1:28" customFormat="1" x14ac:dyDescent="0.55000000000000004">
      <c r="A52" s="24" t="s">
        <v>239</v>
      </c>
      <c r="B52" s="24" t="s">
        <v>1068</v>
      </c>
      <c r="C52" s="24" t="s">
        <v>110</v>
      </c>
      <c r="D52" s="24" t="s">
        <v>72</v>
      </c>
      <c r="E52" s="24" t="s">
        <v>93</v>
      </c>
      <c r="F52" s="70">
        <v>9.4345367079623835E-3</v>
      </c>
      <c r="G52" s="24">
        <v>7.1074529999999996</v>
      </c>
      <c r="H52" s="24">
        <v>5.6904579999999996</v>
      </c>
      <c r="I52" s="24">
        <v>4.0620440000000002</v>
      </c>
      <c r="J52" s="24">
        <v>5.6199849999999998</v>
      </c>
      <c r="K52" s="24">
        <v>2.3771520000000002</v>
      </c>
      <c r="L52" s="24">
        <v>4.7066210000000002</v>
      </c>
      <c r="M52" s="24">
        <v>4.2588999999999997</v>
      </c>
      <c r="N52" s="24">
        <v>4.4966579637010282</v>
      </c>
      <c r="O52" s="24">
        <v>3.4</v>
      </c>
      <c r="P52" s="24">
        <v>6.4285714285714288</v>
      </c>
      <c r="Q52" s="24">
        <v>2.6105690306108587</v>
      </c>
      <c r="R52" s="24">
        <v>5.8</v>
      </c>
      <c r="S52" s="24">
        <v>3.6848028557172601</v>
      </c>
      <c r="T52" s="21">
        <v>1</v>
      </c>
      <c r="U52" s="21" t="s">
        <v>141</v>
      </c>
      <c r="V52" s="70">
        <v>-2.3050575508342244E-2</v>
      </c>
      <c r="W52" s="70">
        <v>3.6949424491657751E-2</v>
      </c>
      <c r="X52" s="24">
        <v>1.5903637806463535</v>
      </c>
      <c r="Y52" s="24" t="s">
        <v>1561</v>
      </c>
      <c r="Z52" s="75">
        <v>75408.09</v>
      </c>
      <c r="AA52" t="s">
        <v>1415</v>
      </c>
      <c r="AB52" s="24">
        <v>0.30874785591766724</v>
      </c>
    </row>
    <row r="53" spans="1:28" customFormat="1" x14ac:dyDescent="0.55000000000000004">
      <c r="A53" s="24" t="s">
        <v>233</v>
      </c>
      <c r="B53" s="24" t="s">
        <v>935</v>
      </c>
      <c r="C53" s="24" t="s">
        <v>110</v>
      </c>
      <c r="D53" s="24" t="s">
        <v>72</v>
      </c>
      <c r="E53" s="24" t="s">
        <v>86</v>
      </c>
      <c r="F53" s="70">
        <v>7.5175703693915749E-3</v>
      </c>
      <c r="G53" s="24">
        <v>7.4029509999999998</v>
      </c>
      <c r="H53" s="24">
        <v>6.1333089999999997</v>
      </c>
      <c r="I53" s="24">
        <v>6.687665</v>
      </c>
      <c r="J53" s="24">
        <v>6.7082259999999998</v>
      </c>
      <c r="K53" s="24">
        <v>2.6794229999999999</v>
      </c>
      <c r="L53" s="24">
        <v>5.1212780000000002</v>
      </c>
      <c r="M53" s="24">
        <v>4.2816000000000001</v>
      </c>
      <c r="N53" s="24">
        <v>9.4408808176388987</v>
      </c>
      <c r="O53" s="24">
        <v>5.5</v>
      </c>
      <c r="P53" s="24">
        <v>1.4247313359926168</v>
      </c>
      <c r="Q53" s="24">
        <v>3.2234896493451632</v>
      </c>
      <c r="R53" s="24">
        <v>2.2200000000000002</v>
      </c>
      <c r="S53" s="24">
        <v>2.6898033645675481</v>
      </c>
      <c r="T53" s="21">
        <v>1</v>
      </c>
      <c r="U53" s="21" t="s">
        <v>141</v>
      </c>
      <c r="V53" s="70">
        <v>-2.1925333921081383E-2</v>
      </c>
      <c r="W53" s="70">
        <v>3.8074666078918615E-2</v>
      </c>
      <c r="X53" s="24">
        <v>1.4016906046404973</v>
      </c>
      <c r="Y53" s="24" t="s">
        <v>1564</v>
      </c>
      <c r="Z53" s="75">
        <v>88775.96</v>
      </c>
      <c r="AA53" t="s">
        <v>1415</v>
      </c>
      <c r="AB53" s="24">
        <v>0.18803418803418803</v>
      </c>
    </row>
    <row r="54" spans="1:28" customFormat="1" x14ac:dyDescent="0.55000000000000004">
      <c r="A54" s="24" t="s">
        <v>270</v>
      </c>
      <c r="B54" s="24" t="s">
        <v>1221</v>
      </c>
      <c r="C54" s="24" t="s">
        <v>106</v>
      </c>
      <c r="D54" s="24" t="s">
        <v>72</v>
      </c>
      <c r="E54" s="24" t="s">
        <v>82</v>
      </c>
      <c r="F54" s="70">
        <v>7.1555369534977336E-3</v>
      </c>
      <c r="G54" s="24">
        <v>6.8792499999999999</v>
      </c>
      <c r="H54" s="24">
        <v>5.9451879999999999</v>
      </c>
      <c r="I54" s="24">
        <v>4.9925449999999998</v>
      </c>
      <c r="J54" s="24">
        <v>5.8919810000000004</v>
      </c>
      <c r="K54" s="24">
        <v>5.2370130000000001</v>
      </c>
      <c r="L54" s="24">
        <v>14.228</v>
      </c>
      <c r="M54" s="24">
        <v>5.3159000000000001</v>
      </c>
      <c r="N54" s="24">
        <v>1.756416212484702</v>
      </c>
      <c r="O54" s="24">
        <v>6.2</v>
      </c>
      <c r="P54" s="24">
        <v>4.1935488380160049</v>
      </c>
      <c r="Q54" s="24">
        <v>5.8090409801436422</v>
      </c>
      <c r="R54" s="24">
        <v>4.63</v>
      </c>
      <c r="S54" s="24">
        <v>5.0061972783075985</v>
      </c>
      <c r="T54" s="21">
        <v>1</v>
      </c>
      <c r="U54" s="21" t="s">
        <v>141</v>
      </c>
      <c r="V54" s="70">
        <v>-2.5993514197408592E-2</v>
      </c>
      <c r="W54" s="70">
        <v>3.4006485802591406E-2</v>
      </c>
      <c r="X54" s="24">
        <v>1.2634946534453333</v>
      </c>
      <c r="Y54" s="24" t="s">
        <v>1791</v>
      </c>
      <c r="Z54" s="75">
        <v>44039.43</v>
      </c>
      <c r="AA54" t="s">
        <v>1415</v>
      </c>
      <c r="AB54" s="24">
        <v>0.82051282051282048</v>
      </c>
    </row>
    <row r="55" spans="1:28" customFormat="1" x14ac:dyDescent="0.55000000000000004">
      <c r="A55" s="24" t="s">
        <v>252</v>
      </c>
      <c r="B55" s="24" t="s">
        <v>941</v>
      </c>
      <c r="C55" s="24" t="s">
        <v>106</v>
      </c>
      <c r="D55" s="24" t="s">
        <v>72</v>
      </c>
      <c r="E55" s="24" t="s">
        <v>86</v>
      </c>
      <c r="F55" s="70">
        <v>6.9767028537309423E-3</v>
      </c>
      <c r="G55" s="24">
        <v>7.9991250000000003</v>
      </c>
      <c r="H55" s="24">
        <v>2.956013</v>
      </c>
      <c r="I55" s="24">
        <v>7.3372979999999997</v>
      </c>
      <c r="J55" s="24">
        <v>6.0023970000000002</v>
      </c>
      <c r="K55" s="24">
        <v>1.2225200000000001</v>
      </c>
      <c r="L55" s="24">
        <v>3.921408</v>
      </c>
      <c r="M55" s="24">
        <v>13.4041</v>
      </c>
      <c r="N55" s="24">
        <v>6.5719526384946194</v>
      </c>
      <c r="O55" s="24">
        <v>4.2</v>
      </c>
      <c r="P55" s="24">
        <v>2.9569895652676954</v>
      </c>
      <c r="Q55" s="24">
        <v>1.1439707083509367</v>
      </c>
      <c r="R55" s="24">
        <v>3.89</v>
      </c>
      <c r="S55" s="24">
        <v>3.2869816446426841</v>
      </c>
      <c r="T55" s="21">
        <v>1</v>
      </c>
      <c r="U55" s="21" t="s">
        <v>141</v>
      </c>
      <c r="V55" s="70">
        <v>-2.421199569418651E-2</v>
      </c>
      <c r="W55" s="70">
        <v>3.5788004305813491E-2</v>
      </c>
      <c r="X55" s="24">
        <v>0.33876664288941044</v>
      </c>
      <c r="Y55" s="24" t="s">
        <v>1807</v>
      </c>
      <c r="Z55" s="75">
        <v>61013.64</v>
      </c>
      <c r="AA55" t="s">
        <v>1415</v>
      </c>
      <c r="AB55" s="24">
        <v>0.51282051282051277</v>
      </c>
    </row>
    <row r="56" spans="1:28" customFormat="1" x14ac:dyDescent="0.55000000000000004">
      <c r="A56" s="24" t="s">
        <v>288</v>
      </c>
      <c r="B56" s="24" t="s">
        <v>858</v>
      </c>
      <c r="C56" s="24" t="s">
        <v>125</v>
      </c>
      <c r="D56" s="24" t="s">
        <v>72</v>
      </c>
      <c r="E56" s="24" t="s">
        <v>89</v>
      </c>
      <c r="F56" s="70">
        <v>6.0755099436588262E-3</v>
      </c>
      <c r="G56" s="24">
        <v>5.0316450000000001</v>
      </c>
      <c r="H56" s="24">
        <v>6.7865890000000002</v>
      </c>
      <c r="I56" s="24">
        <v>5.6041840000000001</v>
      </c>
      <c r="J56" s="24">
        <v>5.8462639999999997</v>
      </c>
      <c r="K56" s="24">
        <v>0</v>
      </c>
      <c r="L56" s="24">
        <v>2.4599440000000001</v>
      </c>
      <c r="M56" s="24">
        <v>2.0621999999999998</v>
      </c>
      <c r="N56" s="24">
        <v>8.0354442171841693</v>
      </c>
      <c r="O56" s="24">
        <v>9</v>
      </c>
      <c r="P56" s="24">
        <v>8.0180180180180169</v>
      </c>
      <c r="Q56" s="24">
        <v>0.28109783089862772</v>
      </c>
      <c r="R56" s="24">
        <v>0</v>
      </c>
      <c r="S56" s="24">
        <v>2.5656255212478887</v>
      </c>
      <c r="T56" s="21">
        <v>1</v>
      </c>
      <c r="U56" s="21" t="s">
        <v>141</v>
      </c>
      <c r="V56" s="70">
        <v>-2.6307189822997467E-2</v>
      </c>
      <c r="W56" s="70">
        <v>3.3692810177002527E-2</v>
      </c>
      <c r="X56" s="24">
        <v>2.3486816556712187</v>
      </c>
      <c r="Y56" s="24" t="s">
        <v>1924</v>
      </c>
      <c r="Z56" s="75">
        <v>41330.120000000003</v>
      </c>
      <c r="AA56" t="s">
        <v>1415</v>
      </c>
      <c r="AB56" s="24">
        <v>1.0899653979238755</v>
      </c>
    </row>
    <row r="57" spans="1:28" customFormat="1" x14ac:dyDescent="0.55000000000000004">
      <c r="A57" s="24" t="s">
        <v>230</v>
      </c>
      <c r="B57" s="24" t="s">
        <v>817</v>
      </c>
      <c r="C57" s="24" t="s">
        <v>107</v>
      </c>
      <c r="D57" s="24" t="s">
        <v>72</v>
      </c>
      <c r="E57" s="24" t="s">
        <v>93</v>
      </c>
      <c r="F57" s="70">
        <v>5.9698523183895702E-3</v>
      </c>
      <c r="G57" s="24">
        <v>7.4309919999999998</v>
      </c>
      <c r="H57" s="24">
        <v>8.2413290000000003</v>
      </c>
      <c r="I57" s="24">
        <v>5.4181609999999996</v>
      </c>
      <c r="J57" s="24">
        <v>7.0702439999999998</v>
      </c>
      <c r="K57" s="24">
        <v>1.727703</v>
      </c>
      <c r="L57" s="24">
        <v>2.837796</v>
      </c>
      <c r="M57" s="24">
        <v>5.8238000000000003</v>
      </c>
      <c r="N57" s="24">
        <v>7.6002506566384636</v>
      </c>
      <c r="O57" s="24">
        <v>3.1</v>
      </c>
      <c r="P57" s="24">
        <v>7.2981366459627335</v>
      </c>
      <c r="Q57" s="24">
        <v>1.0469804709780808</v>
      </c>
      <c r="R57" s="24">
        <v>4.28</v>
      </c>
      <c r="S57" s="24">
        <v>3.7006549699641371</v>
      </c>
      <c r="T57" s="21">
        <v>1</v>
      </c>
      <c r="U57" s="21" t="s">
        <v>141</v>
      </c>
      <c r="V57" s="70">
        <v>-2.129656250803498E-2</v>
      </c>
      <c r="W57" s="70">
        <v>3.8703437491965018E-2</v>
      </c>
      <c r="X57" s="24">
        <v>1.0222731872391322</v>
      </c>
      <c r="Y57" s="24" t="s">
        <v>1709</v>
      </c>
      <c r="Z57" s="75">
        <v>92727.25</v>
      </c>
      <c r="AA57" t="s">
        <v>1415</v>
      </c>
      <c r="AB57" s="24">
        <v>0.15437392795883362</v>
      </c>
    </row>
    <row r="58" spans="1:28" customFormat="1" x14ac:dyDescent="0.55000000000000004">
      <c r="A58" s="24" t="s">
        <v>275</v>
      </c>
      <c r="B58" s="24" t="s">
        <v>1088</v>
      </c>
      <c r="C58" s="24" t="s">
        <v>105</v>
      </c>
      <c r="D58" s="24" t="s">
        <v>72</v>
      </c>
      <c r="E58" s="24" t="s">
        <v>89</v>
      </c>
      <c r="F58" s="70">
        <v>5.6596136536072586E-3</v>
      </c>
      <c r="G58" s="24">
        <v>7.5987280000000004</v>
      </c>
      <c r="H58" s="24">
        <v>7.2691280000000003</v>
      </c>
      <c r="I58" s="24">
        <v>6.0960460000000003</v>
      </c>
      <c r="J58" s="24">
        <v>7.0490440000000003</v>
      </c>
      <c r="K58" s="24">
        <v>1.5243450000000001</v>
      </c>
      <c r="L58" s="24">
        <v>3.5151599999999998</v>
      </c>
      <c r="M58" s="24">
        <v>30.402000000000001</v>
      </c>
      <c r="N58" s="24">
        <v>5.4160365067630645</v>
      </c>
      <c r="O58" s="24">
        <v>3.6</v>
      </c>
      <c r="P58" s="24">
        <v>9.0690690690690676</v>
      </c>
      <c r="Q58" s="24">
        <v>1.3274679061531653</v>
      </c>
      <c r="R58" s="24">
        <v>3.95</v>
      </c>
      <c r="S58" s="24">
        <v>3.4547739615430131</v>
      </c>
      <c r="T58" s="21">
        <v>1</v>
      </c>
      <c r="U58" s="21" t="s">
        <v>141</v>
      </c>
      <c r="V58" s="70">
        <v>-2.5919682794158256E-2</v>
      </c>
      <c r="W58" s="70">
        <v>3.4080317205841745E-2</v>
      </c>
      <c r="X58" s="24">
        <v>1.4716570965972617</v>
      </c>
      <c r="Y58" s="24" t="s">
        <v>2006</v>
      </c>
      <c r="Z58" s="75">
        <v>43963.19</v>
      </c>
      <c r="AA58" t="s">
        <v>1415</v>
      </c>
      <c r="AB58" s="24">
        <v>0.86505190311418678</v>
      </c>
    </row>
    <row r="59" spans="1:28" customFormat="1" x14ac:dyDescent="0.55000000000000004">
      <c r="A59" s="24" t="s">
        <v>313</v>
      </c>
      <c r="B59" s="24" t="s">
        <v>830</v>
      </c>
      <c r="C59" s="24" t="s">
        <v>107</v>
      </c>
      <c r="D59" s="24" t="s">
        <v>72</v>
      </c>
      <c r="E59" s="24" t="s">
        <v>89</v>
      </c>
      <c r="F59" s="70">
        <v>5.4662861964310328E-3</v>
      </c>
      <c r="G59" s="24">
        <v>7.7899050000000001</v>
      </c>
      <c r="H59" s="24">
        <v>7.6486140000000002</v>
      </c>
      <c r="I59" s="24">
        <v>7.4014329999999999</v>
      </c>
      <c r="J59" s="24">
        <v>7.6309760000000004</v>
      </c>
      <c r="K59" s="24">
        <v>2.091313</v>
      </c>
      <c r="L59" s="24">
        <v>4.9962330000000001</v>
      </c>
      <c r="M59" s="24">
        <v>20.492899999999999</v>
      </c>
      <c r="N59" s="24">
        <v>4.9665007578776414</v>
      </c>
      <c r="O59" s="24">
        <v>5</v>
      </c>
      <c r="P59" s="24">
        <v>5.9159159159159147</v>
      </c>
      <c r="Q59" s="24">
        <v>4.2620252324037189</v>
      </c>
      <c r="R59" s="24">
        <v>4.88</v>
      </c>
      <c r="S59" s="24">
        <v>4.8135894413318718</v>
      </c>
      <c r="T59" s="21">
        <v>1</v>
      </c>
      <c r="U59" s="21" t="s">
        <v>141</v>
      </c>
      <c r="V59" s="70">
        <v>-2.7502094403231758E-2</v>
      </c>
      <c r="W59" s="70">
        <v>3.249790559676824E-2</v>
      </c>
      <c r="X59" s="24">
        <v>1.2852944121524204</v>
      </c>
      <c r="Y59" s="24" t="s">
        <v>1740</v>
      </c>
      <c r="Z59" s="75">
        <v>26082.63</v>
      </c>
      <c r="AA59" t="s">
        <v>1415</v>
      </c>
      <c r="AB59" s="24">
        <v>1.5224913494809689</v>
      </c>
    </row>
    <row r="60" spans="1:28" customFormat="1" x14ac:dyDescent="0.55000000000000004">
      <c r="A60" s="24" t="s">
        <v>306</v>
      </c>
      <c r="B60" s="24" t="s">
        <v>1239</v>
      </c>
      <c r="C60" s="24" t="s">
        <v>127</v>
      </c>
      <c r="D60" s="24" t="s">
        <v>72</v>
      </c>
      <c r="E60" s="24" t="s">
        <v>89</v>
      </c>
      <c r="F60" s="70">
        <v>5.4323764939811902E-3</v>
      </c>
      <c r="G60" s="24">
        <v>7.7381279999999997</v>
      </c>
      <c r="H60" s="24">
        <v>4.1577190000000002</v>
      </c>
      <c r="I60" s="24">
        <v>7.1232189999999997</v>
      </c>
      <c r="J60" s="24">
        <v>6.479533</v>
      </c>
      <c r="K60" s="24">
        <v>0.51020069999999995</v>
      </c>
      <c r="L60" s="24">
        <v>4.5285739999999999</v>
      </c>
      <c r="M60" s="24">
        <v>39.328600000000002</v>
      </c>
      <c r="N60" s="24">
        <v>4.1690078163385422</v>
      </c>
      <c r="O60" s="24">
        <v>2.9</v>
      </c>
      <c r="P60" s="24">
        <v>5.8558558558558547</v>
      </c>
      <c r="Q60" s="24">
        <v>4.3389397963700755</v>
      </c>
      <c r="R60" s="24">
        <v>1.48</v>
      </c>
      <c r="S60" s="24">
        <v>3.4180376955683505</v>
      </c>
      <c r="T60" s="21">
        <v>1</v>
      </c>
      <c r="U60" s="21" t="s">
        <v>141</v>
      </c>
      <c r="V60" s="70">
        <v>-2.7045871155998217E-2</v>
      </c>
      <c r="W60" s="70">
        <v>3.2954128844001784E-2</v>
      </c>
      <c r="X60" s="24">
        <v>1.1451252222574695</v>
      </c>
      <c r="Y60" s="24" t="s">
        <v>1649</v>
      </c>
      <c r="Z60" s="75">
        <v>31668.84</v>
      </c>
      <c r="AA60" t="s">
        <v>1415</v>
      </c>
      <c r="AB60" s="24">
        <v>1.4013840830449829</v>
      </c>
    </row>
    <row r="61" spans="1:28" customFormat="1" x14ac:dyDescent="0.55000000000000004">
      <c r="A61" s="24" t="s">
        <v>265</v>
      </c>
      <c r="B61" s="24" t="s">
        <v>934</v>
      </c>
      <c r="C61" s="24" t="s">
        <v>112</v>
      </c>
      <c r="D61" s="24" t="s">
        <v>72</v>
      </c>
      <c r="E61" s="24" t="s">
        <v>100</v>
      </c>
      <c r="F61" s="70">
        <v>5.4063802894180647E-3</v>
      </c>
      <c r="G61" s="24">
        <v>4.6746699999999999</v>
      </c>
      <c r="H61" s="24">
        <v>5.1984389999999996</v>
      </c>
      <c r="I61" s="24">
        <v>6.0451699999999997</v>
      </c>
      <c r="J61" s="24">
        <v>5.2429500000000004</v>
      </c>
      <c r="K61" s="24">
        <v>7.9381539999999999</v>
      </c>
      <c r="L61" s="24">
        <v>15.13034</v>
      </c>
      <c r="M61" s="24">
        <v>13.4734</v>
      </c>
      <c r="N61" s="24">
        <v>2.7067670086871303</v>
      </c>
      <c r="O61" s="24">
        <v>1.6</v>
      </c>
      <c r="P61" s="24">
        <v>3.1366459627329202</v>
      </c>
      <c r="Q61" s="24">
        <v>8.8151310535893739</v>
      </c>
      <c r="R61" s="24">
        <v>6.69</v>
      </c>
      <c r="S61" s="24">
        <v>6.7294626836593983</v>
      </c>
      <c r="T61" s="21">
        <v>1</v>
      </c>
      <c r="U61" s="21" t="s">
        <v>141</v>
      </c>
      <c r="V61" s="70">
        <v>-2.6299295364350592E-2</v>
      </c>
      <c r="W61" s="70">
        <v>3.3700704635649406E-2</v>
      </c>
      <c r="X61" s="24">
        <v>1.3449079645207727</v>
      </c>
      <c r="Y61" s="24" t="s">
        <v>1433</v>
      </c>
      <c r="Z61" s="75">
        <v>48536.25</v>
      </c>
      <c r="AA61" t="s">
        <v>1415</v>
      </c>
      <c r="AB61" s="24">
        <v>0.75471698113207542</v>
      </c>
    </row>
    <row r="62" spans="1:28" customFormat="1" x14ac:dyDescent="0.55000000000000004">
      <c r="A62" s="24" t="s">
        <v>220</v>
      </c>
      <c r="B62" s="24" t="s">
        <v>1209</v>
      </c>
      <c r="C62" s="24" t="s">
        <v>112</v>
      </c>
      <c r="D62" s="24" t="s">
        <v>72</v>
      </c>
      <c r="E62" s="24" t="s">
        <v>96</v>
      </c>
      <c r="F62" s="70">
        <v>4.8631959950764464E-3</v>
      </c>
      <c r="G62" s="24">
        <v>7.8684859999999999</v>
      </c>
      <c r="H62" s="24">
        <v>6.1056569999999999</v>
      </c>
      <c r="I62" s="24">
        <v>4.679589</v>
      </c>
      <c r="J62" s="24">
        <v>6.217911</v>
      </c>
      <c r="K62" s="24">
        <v>1.049836</v>
      </c>
      <c r="L62" s="24">
        <v>3.197012</v>
      </c>
      <c r="M62" s="24">
        <v>7.4637000000000002</v>
      </c>
      <c r="N62" s="24">
        <v>3.4744905049980619</v>
      </c>
      <c r="O62" s="24">
        <v>8.8000000000000007</v>
      </c>
      <c r="P62" s="24">
        <v>0.90497737556561098</v>
      </c>
      <c r="Q62" s="24">
        <v>3.7000066985459834</v>
      </c>
      <c r="R62" s="24">
        <v>5.12</v>
      </c>
      <c r="S62" s="24">
        <v>3.5089364683646229</v>
      </c>
      <c r="T62" s="21">
        <v>1</v>
      </c>
      <c r="U62" s="21" t="s">
        <v>141</v>
      </c>
      <c r="V62" s="70">
        <v>-1.0733917953965562E-2</v>
      </c>
      <c r="W62" s="70">
        <v>4.9266082046034436E-2</v>
      </c>
      <c r="X62" s="24">
        <v>1.1054815610153526</v>
      </c>
      <c r="Y62" s="24" t="s">
        <v>1606</v>
      </c>
      <c r="Z62" s="75">
        <v>224107.5</v>
      </c>
      <c r="AA62" t="s">
        <v>1415</v>
      </c>
      <c r="AB62" s="24">
        <v>0.10398613518197575</v>
      </c>
    </row>
    <row r="63" spans="1:28" customFormat="1" x14ac:dyDescent="0.55000000000000004">
      <c r="A63" s="24" t="s">
        <v>246</v>
      </c>
      <c r="B63" s="24" t="s">
        <v>1213</v>
      </c>
      <c r="C63" s="24" t="s">
        <v>112</v>
      </c>
      <c r="D63" s="24" t="s">
        <v>72</v>
      </c>
      <c r="E63" s="24" t="s">
        <v>90</v>
      </c>
      <c r="F63" s="70">
        <v>4.5621309531847483E-3</v>
      </c>
      <c r="G63" s="24">
        <v>8.0972849999999994</v>
      </c>
      <c r="H63" s="24">
        <v>6.145194</v>
      </c>
      <c r="I63" s="24">
        <v>6.1645459999999996</v>
      </c>
      <c r="J63" s="24">
        <v>6.7375949999999998</v>
      </c>
      <c r="K63" s="24">
        <v>3.2779940000000001</v>
      </c>
      <c r="L63" s="24">
        <v>12.562849999999999</v>
      </c>
      <c r="M63" s="24">
        <v>1.496</v>
      </c>
      <c r="N63" s="24">
        <v>6.5857014933868676</v>
      </c>
      <c r="O63" s="24">
        <v>7</v>
      </c>
      <c r="P63" s="24">
        <v>6.6129039368713913</v>
      </c>
      <c r="Q63" s="24">
        <v>5.1499788762146181</v>
      </c>
      <c r="R63" s="24">
        <v>4.0199999999999996</v>
      </c>
      <c r="S63" s="24">
        <v>5.5064722486202342</v>
      </c>
      <c r="T63" s="21">
        <v>1</v>
      </c>
      <c r="U63" s="21" t="s">
        <v>141</v>
      </c>
      <c r="V63" s="70">
        <v>-2.406468117262614E-2</v>
      </c>
      <c r="W63" s="70">
        <v>3.5935318827373858E-2</v>
      </c>
      <c r="X63" s="24">
        <v>0.69261778805167817</v>
      </c>
      <c r="Y63" s="24" t="s">
        <v>1614</v>
      </c>
      <c r="Z63" s="75">
        <v>65174.78</v>
      </c>
      <c r="AA63" t="s">
        <v>1415</v>
      </c>
      <c r="AB63" s="24">
        <v>0.41025641025641024</v>
      </c>
    </row>
    <row r="64" spans="1:28" customFormat="1" x14ac:dyDescent="0.55000000000000004">
      <c r="A64" s="24" t="s">
        <v>296</v>
      </c>
      <c r="B64" s="24" t="s">
        <v>1105</v>
      </c>
      <c r="C64" s="24" t="s">
        <v>106</v>
      </c>
      <c r="D64" s="24" t="s">
        <v>72</v>
      </c>
      <c r="E64" s="24" t="s">
        <v>83</v>
      </c>
      <c r="F64" s="70">
        <v>3.7977015514872436E-3</v>
      </c>
      <c r="G64" s="24">
        <v>5.249117</v>
      </c>
      <c r="H64" s="24">
        <v>4.8630050000000002</v>
      </c>
      <c r="I64" s="24">
        <v>6.8472309999999998</v>
      </c>
      <c r="J64" s="24">
        <v>5.6531180000000001</v>
      </c>
      <c r="K64" s="24">
        <v>2.3889779999999998</v>
      </c>
      <c r="L64" s="24">
        <v>7.7102599999999999</v>
      </c>
      <c r="M64" s="24">
        <v>404.1277</v>
      </c>
      <c r="N64" s="24">
        <v>3.4709856217891604</v>
      </c>
      <c r="O64" s="24">
        <v>2.9</v>
      </c>
      <c r="P64" s="24">
        <v>4.1492537313432827</v>
      </c>
      <c r="Q64" s="24">
        <v>5.051944969685418</v>
      </c>
      <c r="R64" s="24">
        <v>3.95</v>
      </c>
      <c r="S64" s="24">
        <v>4.5328457845537926</v>
      </c>
      <c r="T64" s="21">
        <v>1</v>
      </c>
      <c r="U64" s="21" t="s">
        <v>141</v>
      </c>
      <c r="V64" s="70">
        <v>-2.673555427828192E-2</v>
      </c>
      <c r="W64" s="70">
        <v>3.3264445721718078E-2</v>
      </c>
      <c r="X64" s="24">
        <v>1.5782468855196696</v>
      </c>
      <c r="Y64" s="24" t="s">
        <v>1814</v>
      </c>
      <c r="Z64" s="75">
        <v>36305.99</v>
      </c>
      <c r="AA64" t="s">
        <v>1415</v>
      </c>
      <c r="AB64" s="24">
        <v>1.1631944444444444</v>
      </c>
    </row>
    <row r="65" spans="1:28" customFormat="1" x14ac:dyDescent="0.55000000000000004">
      <c r="A65" s="24" t="s">
        <v>235</v>
      </c>
      <c r="B65" s="24" t="s">
        <v>960</v>
      </c>
      <c r="C65" s="24" t="s">
        <v>110</v>
      </c>
      <c r="D65" s="24" t="s">
        <v>72</v>
      </c>
      <c r="E65" s="24" t="s">
        <v>89</v>
      </c>
      <c r="F65" s="70">
        <v>3.5582991322372312E-3</v>
      </c>
      <c r="G65" s="24">
        <v>7.4069050000000001</v>
      </c>
      <c r="H65" s="24">
        <v>8.1198390000000007</v>
      </c>
      <c r="I65" s="24">
        <v>8.0507910000000003</v>
      </c>
      <c r="J65" s="24">
        <v>7.8139510000000003</v>
      </c>
      <c r="K65" s="24">
        <v>1.727641</v>
      </c>
      <c r="L65" s="24">
        <v>5.2040769999999998</v>
      </c>
      <c r="M65" s="24">
        <v>22.0381</v>
      </c>
      <c r="N65" s="24">
        <v>5.6753838048245591</v>
      </c>
      <c r="O65" s="24">
        <v>6.5</v>
      </c>
      <c r="P65" s="24">
        <v>7.6876876876876867</v>
      </c>
      <c r="Q65" s="24">
        <v>2.6955146082337316</v>
      </c>
      <c r="R65" s="24">
        <v>4.4400000000000004</v>
      </c>
      <c r="S65" s="24">
        <v>4.8125947851150528</v>
      </c>
      <c r="T65" s="21">
        <v>1</v>
      </c>
      <c r="U65" s="21" t="s">
        <v>141</v>
      </c>
      <c r="V65" s="70">
        <v>-2.2284459730561049E-2</v>
      </c>
      <c r="W65" s="70">
        <v>3.7715540269438949E-2</v>
      </c>
      <c r="X65" s="24">
        <v>1.3358954836641725</v>
      </c>
      <c r="Y65" s="24" t="s">
        <v>1540</v>
      </c>
      <c r="Z65" s="75">
        <v>82428.58</v>
      </c>
      <c r="AA65" t="s">
        <v>1415</v>
      </c>
      <c r="AB65" s="24">
        <v>0.17301038062283738</v>
      </c>
    </row>
    <row r="66" spans="1:28" customFormat="1" x14ac:dyDescent="0.55000000000000004">
      <c r="A66" s="24" t="s">
        <v>236</v>
      </c>
      <c r="B66" s="24" t="s">
        <v>818</v>
      </c>
      <c r="C66" s="24" t="s">
        <v>107</v>
      </c>
      <c r="D66" s="24" t="s">
        <v>72</v>
      </c>
      <c r="E66" s="24" t="s">
        <v>89</v>
      </c>
      <c r="F66" s="70">
        <v>3.398331741478845E-3</v>
      </c>
      <c r="G66" s="24">
        <v>5.5340550000000004</v>
      </c>
      <c r="H66" s="24">
        <v>7.3809709999999997</v>
      </c>
      <c r="I66" s="24">
        <v>6.6698510000000004</v>
      </c>
      <c r="J66" s="24">
        <v>6.4288689999999997</v>
      </c>
      <c r="K66" s="24">
        <v>1.672479</v>
      </c>
      <c r="L66" s="24">
        <v>3.7940269999999998</v>
      </c>
      <c r="M66" s="24">
        <v>17.278400000000001</v>
      </c>
      <c r="N66" s="24">
        <v>7.3546575597727433</v>
      </c>
      <c r="O66" s="24">
        <v>3.5</v>
      </c>
      <c r="P66" s="24">
        <v>5.0150150150150141</v>
      </c>
      <c r="Q66" s="24">
        <v>3.323741699867198</v>
      </c>
      <c r="R66" s="24">
        <v>2.74</v>
      </c>
      <c r="S66" s="24">
        <v>3.5249560711217267</v>
      </c>
      <c r="T66" s="21">
        <v>1</v>
      </c>
      <c r="U66" s="21" t="s">
        <v>141</v>
      </c>
      <c r="V66" s="70">
        <v>-2.289308065800956E-2</v>
      </c>
      <c r="W66" s="70">
        <v>3.7106919341990438E-2</v>
      </c>
      <c r="X66" s="24">
        <v>1.0883322139005045</v>
      </c>
      <c r="Y66" s="24" t="s">
        <v>1906</v>
      </c>
      <c r="Z66" s="75">
        <v>76969.41</v>
      </c>
      <c r="AA66" t="s">
        <v>1415</v>
      </c>
      <c r="AB66" s="24">
        <v>0.19031141868512111</v>
      </c>
    </row>
    <row r="67" spans="1:28" customFormat="1" x14ac:dyDescent="0.55000000000000004">
      <c r="A67" s="24" t="s">
        <v>263</v>
      </c>
      <c r="B67" s="24" t="s">
        <v>943</v>
      </c>
      <c r="C67" s="24" t="s">
        <v>125</v>
      </c>
      <c r="D67" s="24" t="s">
        <v>72</v>
      </c>
      <c r="E67" s="24" t="s">
        <v>96</v>
      </c>
      <c r="F67" s="70">
        <v>3.2976476329499441E-3</v>
      </c>
      <c r="G67" s="24">
        <v>6.6598300000000004</v>
      </c>
      <c r="H67" s="24">
        <v>3.3732350000000002</v>
      </c>
      <c r="I67" s="24">
        <v>4.156034</v>
      </c>
      <c r="J67" s="24">
        <v>4.343674</v>
      </c>
      <c r="K67" s="24">
        <v>0.26330510000000001</v>
      </c>
      <c r="L67" s="24">
        <v>9.0593699999999995</v>
      </c>
      <c r="M67" s="24">
        <v>2.5953E-2</v>
      </c>
      <c r="N67" s="24">
        <v>7.4285724344025379</v>
      </c>
      <c r="O67" s="24">
        <v>7.2</v>
      </c>
      <c r="P67" s="24">
        <v>0.95022624434389225</v>
      </c>
      <c r="Q67" s="24">
        <v>4.1237677616508481</v>
      </c>
      <c r="R67" s="24">
        <v>2.73</v>
      </c>
      <c r="S67" s="24">
        <v>6.628271348116737</v>
      </c>
      <c r="T67" s="21">
        <v>1</v>
      </c>
      <c r="U67" s="21" t="s">
        <v>141</v>
      </c>
      <c r="V67" s="70">
        <v>-2.4752851181094965E-2</v>
      </c>
      <c r="W67" s="70">
        <v>3.5247148818905033E-2</v>
      </c>
      <c r="X67" s="24">
        <v>1.3497306184722293</v>
      </c>
      <c r="Y67" s="24" t="s">
        <v>1926</v>
      </c>
      <c r="Z67" s="75">
        <v>50879.9</v>
      </c>
      <c r="AA67" t="s">
        <v>1415</v>
      </c>
      <c r="AB67" s="24">
        <v>0.84922010398613523</v>
      </c>
    </row>
    <row r="68" spans="1:28" customFormat="1" x14ac:dyDescent="0.55000000000000004">
      <c r="A68" s="24" t="s">
        <v>234</v>
      </c>
      <c r="B68" s="24" t="s">
        <v>1214</v>
      </c>
      <c r="C68" s="24" t="s">
        <v>106</v>
      </c>
      <c r="D68" s="24" t="s">
        <v>72</v>
      </c>
      <c r="E68" s="24" t="s">
        <v>88</v>
      </c>
      <c r="F68" s="70">
        <v>3.051097719408404E-3</v>
      </c>
      <c r="G68" s="24">
        <v>7.9945680000000001</v>
      </c>
      <c r="H68" s="24">
        <v>6.7633429999999999</v>
      </c>
      <c r="I68" s="24">
        <v>7.1152189999999997</v>
      </c>
      <c r="J68" s="24">
        <v>7.1503379999999996</v>
      </c>
      <c r="K68" s="24">
        <v>3.9797609999999999</v>
      </c>
      <c r="L68" s="24">
        <v>11.366849999999999</v>
      </c>
      <c r="M68" s="24">
        <v>27.1754</v>
      </c>
      <c r="N68" s="24">
        <v>2.8827176687440135</v>
      </c>
      <c r="O68" s="24">
        <v>5.3</v>
      </c>
      <c r="P68" s="24">
        <v>7.3972602739726021</v>
      </c>
      <c r="Q68" s="24">
        <v>8.0308471839416473</v>
      </c>
      <c r="R68" s="24">
        <v>7.06</v>
      </c>
      <c r="S68" s="24">
        <v>8.0522343733912756</v>
      </c>
      <c r="T68" s="21">
        <v>1</v>
      </c>
      <c r="U68" s="21" t="s">
        <v>117</v>
      </c>
      <c r="V68" s="70">
        <v>-2.298203243159927E-2</v>
      </c>
      <c r="W68" s="70">
        <v>3.7017967568400728E-2</v>
      </c>
      <c r="X68" s="24">
        <v>0.30442758538165754</v>
      </c>
      <c r="Y68" s="24" t="s">
        <v>1475</v>
      </c>
      <c r="Z68" s="75">
        <v>72857.440000000002</v>
      </c>
      <c r="AA68" t="s">
        <v>1415</v>
      </c>
      <c r="AB68" s="24">
        <v>0.36458333333333337</v>
      </c>
    </row>
    <row r="69" spans="1:28" customFormat="1" x14ac:dyDescent="0.55000000000000004">
      <c r="A69" s="24" t="s">
        <v>310</v>
      </c>
      <c r="B69" s="24" t="s">
        <v>965</v>
      </c>
      <c r="C69" s="24" t="s">
        <v>112</v>
      </c>
      <c r="D69" s="24" t="s">
        <v>72</v>
      </c>
      <c r="E69" s="24" t="s">
        <v>88</v>
      </c>
      <c r="F69" s="70">
        <v>2.9217102399060318E-3</v>
      </c>
      <c r="G69" s="24">
        <v>5.5168059999999999</v>
      </c>
      <c r="H69" s="24">
        <v>5.3044659999999997</v>
      </c>
      <c r="I69" s="24">
        <v>7.0594739999999998</v>
      </c>
      <c r="J69" s="24">
        <v>6.0489369999999996</v>
      </c>
      <c r="K69" s="24">
        <v>0.36377340000000002</v>
      </c>
      <c r="L69" s="24">
        <v>15.07095</v>
      </c>
      <c r="M69" s="24">
        <v>79.172399999999996</v>
      </c>
      <c r="N69" s="24">
        <v>3.5529041893284798</v>
      </c>
      <c r="O69" s="24">
        <v>1.6</v>
      </c>
      <c r="P69" s="24">
        <v>2.493150684931507</v>
      </c>
      <c r="Q69" s="24">
        <v>10</v>
      </c>
      <c r="R69" s="24">
        <v>2.14</v>
      </c>
      <c r="S69" s="24">
        <v>6.6951645182237636</v>
      </c>
      <c r="T69" s="21">
        <v>1</v>
      </c>
      <c r="U69" s="21" t="s">
        <v>141</v>
      </c>
      <c r="V69" s="70">
        <v>-2.7222404582248685E-2</v>
      </c>
      <c r="W69" s="70">
        <v>3.2777595417751312E-2</v>
      </c>
      <c r="X69" s="24">
        <v>1.1347237073841423</v>
      </c>
      <c r="Y69" s="24" t="s">
        <v>1627</v>
      </c>
      <c r="Z69" s="75">
        <v>29792.01</v>
      </c>
      <c r="AA69" t="s">
        <v>1415</v>
      </c>
      <c r="AB69" s="24">
        <v>1.6840277777777779</v>
      </c>
    </row>
    <row r="70" spans="1:28" customFormat="1" x14ac:dyDescent="0.55000000000000004">
      <c r="A70" s="24" t="s">
        <v>279</v>
      </c>
      <c r="B70" s="24" t="s">
        <v>1268</v>
      </c>
      <c r="C70" s="24" t="s">
        <v>106</v>
      </c>
      <c r="D70" s="24" t="s">
        <v>72</v>
      </c>
      <c r="E70" s="24" t="s">
        <v>89</v>
      </c>
      <c r="F70" s="70">
        <v>2.7829862973095029E-3</v>
      </c>
      <c r="G70" s="24">
        <v>7.0231349999999999</v>
      </c>
      <c r="H70" s="24">
        <v>5.6746129999999999</v>
      </c>
      <c r="I70" s="24">
        <v>6.2105940000000004</v>
      </c>
      <c r="J70" s="24">
        <v>6.374816</v>
      </c>
      <c r="K70" s="24">
        <v>1.2056340000000001</v>
      </c>
      <c r="L70" s="24">
        <v>3.4864799999999998</v>
      </c>
      <c r="M70" s="24">
        <v>5.1576000000000004</v>
      </c>
      <c r="N70" s="24">
        <v>3.0581364573963059</v>
      </c>
      <c r="O70" s="24">
        <v>4.4000000000000004</v>
      </c>
      <c r="P70" s="24">
        <v>7.2372372372372364</v>
      </c>
      <c r="Q70" s="24">
        <v>1.2658621071270473</v>
      </c>
      <c r="R70" s="24">
        <v>2.69</v>
      </c>
      <c r="S70" s="24">
        <v>3.3376014722407703</v>
      </c>
      <c r="T70" s="21">
        <v>1</v>
      </c>
      <c r="U70" s="21" t="s">
        <v>141</v>
      </c>
      <c r="V70" s="70">
        <v>-2.6020802522645117E-2</v>
      </c>
      <c r="W70" s="70">
        <v>3.397919747735488E-2</v>
      </c>
      <c r="X70" s="24">
        <v>1.2246655913196502</v>
      </c>
      <c r="Y70" s="24" t="s">
        <v>1808</v>
      </c>
      <c r="Z70" s="75">
        <v>43315.97</v>
      </c>
      <c r="AA70" t="s">
        <v>1415</v>
      </c>
      <c r="AB70" s="24">
        <v>0.93425605536332179</v>
      </c>
    </row>
    <row r="71" spans="1:28" customFormat="1" x14ac:dyDescent="0.55000000000000004">
      <c r="A71" s="24" t="s">
        <v>277</v>
      </c>
      <c r="B71" s="24" t="s">
        <v>825</v>
      </c>
      <c r="C71" s="24" t="s">
        <v>107</v>
      </c>
      <c r="D71" s="24" t="s">
        <v>72</v>
      </c>
      <c r="E71" s="24" t="s">
        <v>87</v>
      </c>
      <c r="F71" s="70">
        <v>2.7193750411722913E-3</v>
      </c>
      <c r="G71" s="24">
        <v>6.2355539999999996</v>
      </c>
      <c r="H71" s="24">
        <v>6.2065659999999996</v>
      </c>
      <c r="I71" s="24">
        <v>7.9319860000000002</v>
      </c>
      <c r="J71" s="24">
        <v>6.7357870000000002</v>
      </c>
      <c r="K71" s="24">
        <v>3.2147960000000002</v>
      </c>
      <c r="L71" s="24">
        <v>6.0218239999999996</v>
      </c>
      <c r="M71" s="24">
        <v>61.596400000000003</v>
      </c>
      <c r="N71" s="24">
        <v>0.18907167300761768</v>
      </c>
      <c r="O71" s="24">
        <v>6.3</v>
      </c>
      <c r="P71" s="24">
        <v>3.1799163179916317</v>
      </c>
      <c r="Q71" s="24">
        <v>4.7089691974428067</v>
      </c>
      <c r="R71" s="24">
        <v>5.63</v>
      </c>
      <c r="S71" s="24">
        <v>4.6298166970038785</v>
      </c>
      <c r="T71" s="21">
        <v>1</v>
      </c>
      <c r="U71" s="21" t="s">
        <v>141</v>
      </c>
      <c r="V71" s="70">
        <v>-2.6168203114621764E-2</v>
      </c>
      <c r="W71" s="70">
        <v>3.3831796885378233E-2</v>
      </c>
      <c r="X71" s="24">
        <v>0.12545536248229211</v>
      </c>
      <c r="Y71" s="24" t="s">
        <v>1713</v>
      </c>
      <c r="Z71" s="75">
        <v>40869.79</v>
      </c>
      <c r="AA71" t="s">
        <v>1415</v>
      </c>
      <c r="AB71" s="24">
        <v>1.1012433392539964</v>
      </c>
    </row>
    <row r="72" spans="1:28" customFormat="1" x14ac:dyDescent="0.55000000000000004">
      <c r="A72" s="24" t="s">
        <v>307</v>
      </c>
      <c r="B72" s="24" t="s">
        <v>921</v>
      </c>
      <c r="C72" s="24" t="s">
        <v>109</v>
      </c>
      <c r="D72" s="24" t="s">
        <v>72</v>
      </c>
      <c r="E72" s="24" t="s">
        <v>88</v>
      </c>
      <c r="F72" s="70">
        <v>2.151747911509282E-3</v>
      </c>
      <c r="G72" s="24">
        <v>4.4962179999999998</v>
      </c>
      <c r="H72" s="24">
        <v>5.5119749999999996</v>
      </c>
      <c r="I72" s="24">
        <v>4.5893280000000001</v>
      </c>
      <c r="J72" s="24">
        <v>4.9397640000000003</v>
      </c>
      <c r="K72" s="24">
        <v>0</v>
      </c>
      <c r="L72" s="24">
        <v>-0.22153249999999999</v>
      </c>
      <c r="M72" s="24">
        <v>5.0831999999999997</v>
      </c>
      <c r="N72" s="24">
        <v>7.4064735842262053</v>
      </c>
      <c r="O72" s="24">
        <v>3.4</v>
      </c>
      <c r="P72" s="24">
        <v>0.43835616438356162</v>
      </c>
      <c r="Q72" s="24">
        <v>3.568398897519419</v>
      </c>
      <c r="R72" s="24">
        <v>0</v>
      </c>
      <c r="S72" s="24">
        <v>2.1253437257785426</v>
      </c>
      <c r="T72" s="21">
        <v>1</v>
      </c>
      <c r="U72" s="21" t="s">
        <v>141</v>
      </c>
      <c r="V72" s="70">
        <v>-2.7388218238396891E-2</v>
      </c>
      <c r="W72" s="70">
        <v>3.2611781761603106E-2</v>
      </c>
      <c r="X72" s="24">
        <v>0.60643161992040162</v>
      </c>
      <c r="Y72" s="24" t="s">
        <v>1915</v>
      </c>
      <c r="Z72" s="75">
        <v>28859.73</v>
      </c>
      <c r="AA72" t="s">
        <v>1415</v>
      </c>
      <c r="AB72" s="24">
        <v>1.6319444444444444</v>
      </c>
    </row>
    <row r="73" spans="1:28" customFormat="1" x14ac:dyDescent="0.55000000000000004">
      <c r="A73" s="24" t="s">
        <v>272</v>
      </c>
      <c r="B73" s="24" t="s">
        <v>1292</v>
      </c>
      <c r="C73" s="24" t="s">
        <v>110</v>
      </c>
      <c r="D73" s="24" t="s">
        <v>72</v>
      </c>
      <c r="E73" s="24" t="s">
        <v>88</v>
      </c>
      <c r="F73" s="70">
        <v>1.9523801662780726E-3</v>
      </c>
      <c r="G73" s="24">
        <v>3.8823449999999999</v>
      </c>
      <c r="H73" s="24">
        <v>5.3537540000000003</v>
      </c>
      <c r="I73" s="24">
        <v>6.9757800000000003</v>
      </c>
      <c r="J73" s="24">
        <v>5.7082819999999996</v>
      </c>
      <c r="K73" s="24">
        <v>0.30084169999999999</v>
      </c>
      <c r="L73" s="24">
        <v>3.8989760000000002</v>
      </c>
      <c r="M73" s="24">
        <v>39.942799999999998</v>
      </c>
      <c r="N73" s="24">
        <v>6.0959394298690448</v>
      </c>
      <c r="O73" s="24">
        <v>3</v>
      </c>
      <c r="P73" s="24">
        <v>3.4794520547945202</v>
      </c>
      <c r="Q73" s="24">
        <v>3.6808741891478052</v>
      </c>
      <c r="R73" s="24">
        <v>3.9</v>
      </c>
      <c r="S73" s="24">
        <v>4.4500544895582372</v>
      </c>
      <c r="T73" s="21">
        <v>1</v>
      </c>
      <c r="U73" s="21" t="s">
        <v>141</v>
      </c>
      <c r="V73" s="70">
        <v>-2.5884664144557069E-2</v>
      </c>
      <c r="W73" s="70">
        <v>3.4115335855442928E-2</v>
      </c>
      <c r="X73" s="24">
        <v>0.904442637219385</v>
      </c>
      <c r="Y73" s="24" t="s">
        <v>1570</v>
      </c>
      <c r="Z73" s="75">
        <v>44160.07</v>
      </c>
      <c r="AA73" t="s">
        <v>1415</v>
      </c>
      <c r="AB73" s="24">
        <v>1.0243055555555556</v>
      </c>
    </row>
    <row r="74" spans="1:28" customFormat="1" x14ac:dyDescent="0.55000000000000004">
      <c r="A74" s="24" t="s">
        <v>267</v>
      </c>
      <c r="B74" s="24" t="s">
        <v>1000</v>
      </c>
      <c r="C74" s="24" t="s">
        <v>106</v>
      </c>
      <c r="D74" s="24" t="s">
        <v>72</v>
      </c>
      <c r="E74" s="24" t="s">
        <v>89</v>
      </c>
      <c r="F74" s="70">
        <v>1.5229573338598013E-3</v>
      </c>
      <c r="G74" s="24">
        <v>5.0977269999999999</v>
      </c>
      <c r="H74" s="24">
        <v>6.2354700000000003</v>
      </c>
      <c r="I74" s="24">
        <v>3.3784079999999999</v>
      </c>
      <c r="J74" s="24">
        <v>4.923254</v>
      </c>
      <c r="K74" s="24">
        <v>2.6580789999999999</v>
      </c>
      <c r="L74" s="24">
        <v>6.3644559999999997</v>
      </c>
      <c r="M74" s="24">
        <v>17.682300000000001</v>
      </c>
      <c r="N74" s="24">
        <v>7.291981098250222</v>
      </c>
      <c r="O74" s="24">
        <v>7.8</v>
      </c>
      <c r="P74" s="24">
        <v>4.3543543543543537</v>
      </c>
      <c r="Q74" s="24">
        <v>5.1933012394864981</v>
      </c>
      <c r="R74" s="24">
        <v>5.9400009999999996</v>
      </c>
      <c r="S74" s="24">
        <v>5.8747444260695163</v>
      </c>
      <c r="T74" s="21">
        <v>1</v>
      </c>
      <c r="U74" s="21" t="s">
        <v>141</v>
      </c>
      <c r="V74" s="70">
        <v>-2.5897883960006682E-2</v>
      </c>
      <c r="W74" s="70">
        <v>3.4102116039993316E-2</v>
      </c>
      <c r="X74" s="24">
        <v>0.54031124403964681</v>
      </c>
      <c r="Y74" s="24" t="s">
        <v>1768</v>
      </c>
      <c r="Z74" s="75">
        <v>45137.64</v>
      </c>
      <c r="AA74" t="s">
        <v>1415</v>
      </c>
      <c r="AB74" s="24">
        <v>0.72664359861591699</v>
      </c>
    </row>
    <row r="75" spans="1:28" customFormat="1" x14ac:dyDescent="0.55000000000000004">
      <c r="A75" s="24" t="s">
        <v>299</v>
      </c>
      <c r="B75" s="24" t="s">
        <v>829</v>
      </c>
      <c r="C75" s="24" t="s">
        <v>107</v>
      </c>
      <c r="D75" s="24" t="s">
        <v>72</v>
      </c>
      <c r="E75" s="24" t="s">
        <v>99</v>
      </c>
      <c r="F75" s="70">
        <v>1.3779805255678258E-3</v>
      </c>
      <c r="G75" s="24">
        <v>5.4433959999999999</v>
      </c>
      <c r="H75" s="24">
        <v>5.7404349999999997</v>
      </c>
      <c r="I75" s="24">
        <v>6.3258669999999997</v>
      </c>
      <c r="J75" s="24">
        <v>5.6792980000000002</v>
      </c>
      <c r="K75" s="24">
        <v>8.8555299999999999</v>
      </c>
      <c r="L75" s="24">
        <v>13.098850000000001</v>
      </c>
      <c r="M75" s="24">
        <v>681.77120000000002</v>
      </c>
      <c r="N75" s="24">
        <v>4.9999999999999991</v>
      </c>
      <c r="O75" s="24">
        <v>8.1999999999999993</v>
      </c>
      <c r="P75" s="24">
        <v>5.3894080996884721</v>
      </c>
      <c r="Q75" s="24">
        <v>9.2443444058097892</v>
      </c>
      <c r="R75" s="24">
        <v>7.98</v>
      </c>
      <c r="S75" s="24">
        <v>7.3816336624528471</v>
      </c>
      <c r="T75" s="21">
        <v>1</v>
      </c>
      <c r="U75" s="21" t="s">
        <v>1410</v>
      </c>
      <c r="V75" s="70">
        <v>-2.7378340156900358E-2</v>
      </c>
      <c r="W75" s="70">
        <v>3.2621659843099643E-2</v>
      </c>
      <c r="X75" s="24">
        <v>0.15596729004243451</v>
      </c>
      <c r="Y75" s="24" t="s">
        <v>1738</v>
      </c>
      <c r="Z75" s="75">
        <v>27167.45</v>
      </c>
      <c r="AA75" t="s">
        <v>1415</v>
      </c>
      <c r="AB75" s="24">
        <v>1.0412926391382407</v>
      </c>
    </row>
    <row r="76" spans="1:28" customFormat="1" x14ac:dyDescent="0.55000000000000004">
      <c r="A76" s="24" t="s">
        <v>315</v>
      </c>
      <c r="B76" s="24" t="s">
        <v>831</v>
      </c>
      <c r="C76" s="24" t="s">
        <v>107</v>
      </c>
      <c r="D76" s="24" t="s">
        <v>72</v>
      </c>
      <c r="E76" s="24" t="s">
        <v>87</v>
      </c>
      <c r="F76" s="70">
        <v>3.9364975443485268E-4</v>
      </c>
      <c r="G76" s="24">
        <v>6.7700120000000004</v>
      </c>
      <c r="H76" s="24">
        <v>7.4014930000000003</v>
      </c>
      <c r="I76" s="24">
        <v>5.7089999999999996</v>
      </c>
      <c r="J76" s="24">
        <v>6.6411530000000001</v>
      </c>
      <c r="K76" s="24">
        <v>3.273828</v>
      </c>
      <c r="L76" s="24">
        <v>6.065671</v>
      </c>
      <c r="M76" s="24">
        <v>37.377499999999998</v>
      </c>
      <c r="N76" s="24">
        <v>2.7654276847941954</v>
      </c>
      <c r="O76" s="24">
        <v>0.3</v>
      </c>
      <c r="P76" s="24">
        <v>3.1799163179916317</v>
      </c>
      <c r="Q76" s="24">
        <v>3.8069075923284199</v>
      </c>
      <c r="R76" s="24">
        <v>4.25</v>
      </c>
      <c r="S76" s="24">
        <v>4.0528494785729068</v>
      </c>
      <c r="T76" s="21">
        <v>1</v>
      </c>
      <c r="U76" s="21" t="s">
        <v>141</v>
      </c>
      <c r="V76" s="70">
        <v>-2.7545050546687964E-2</v>
      </c>
      <c r="W76" s="70">
        <v>3.2454949453312038E-2</v>
      </c>
      <c r="X76" s="24">
        <v>1.0772351656230119</v>
      </c>
      <c r="Y76" s="24" t="s">
        <v>1714</v>
      </c>
      <c r="Z76" s="75">
        <v>27363.97</v>
      </c>
      <c r="AA76" t="s">
        <v>1415</v>
      </c>
      <c r="AB76" s="24">
        <v>1.7761989342806395</v>
      </c>
    </row>
    <row r="77" spans="1:28" customFormat="1" x14ac:dyDescent="0.55000000000000004">
      <c r="A77" s="24" t="s">
        <v>312</v>
      </c>
      <c r="B77" s="24" t="s">
        <v>1064</v>
      </c>
      <c r="C77" s="24" t="s">
        <v>106</v>
      </c>
      <c r="D77" s="24" t="s">
        <v>72</v>
      </c>
      <c r="E77" s="24" t="s">
        <v>82</v>
      </c>
      <c r="F77" s="70">
        <v>2.7941013105872015E-4</v>
      </c>
      <c r="G77" s="24">
        <v>8.5583670000000005</v>
      </c>
      <c r="H77" s="24">
        <v>5.6977989999999998</v>
      </c>
      <c r="I77" s="24">
        <v>5.4992570000000001</v>
      </c>
      <c r="J77" s="24">
        <v>6.4864800000000002</v>
      </c>
      <c r="K77" s="24">
        <v>5.2820609999999997</v>
      </c>
      <c r="L77" s="24">
        <v>21.80255</v>
      </c>
      <c r="M77" s="24">
        <v>7.4158999999999997</v>
      </c>
      <c r="N77" s="24">
        <v>3.822181660044988</v>
      </c>
      <c r="O77" s="24">
        <v>9.6999999999999993</v>
      </c>
      <c r="P77" s="24">
        <v>3.9784950514510813</v>
      </c>
      <c r="Q77" s="24">
        <v>7.9411350514012122</v>
      </c>
      <c r="R77" s="24">
        <v>4.05</v>
      </c>
      <c r="S77" s="24">
        <v>6.2961407458084411</v>
      </c>
      <c r="T77" s="21">
        <v>1</v>
      </c>
      <c r="U77" s="21" t="s">
        <v>141</v>
      </c>
      <c r="V77" s="70">
        <v>-2.7339495377049803E-2</v>
      </c>
      <c r="W77" s="70">
        <v>3.2660504622950198E-2</v>
      </c>
      <c r="X77" s="24">
        <v>1.723075125366623</v>
      </c>
      <c r="Y77" s="24" t="s">
        <v>1842</v>
      </c>
      <c r="Z77" s="75">
        <v>27451.06</v>
      </c>
      <c r="AA77" t="s">
        <v>1415</v>
      </c>
      <c r="AB77" s="24">
        <v>1.5384615384615385</v>
      </c>
    </row>
    <row r="78" spans="1:28" customFormat="1" x14ac:dyDescent="0.55000000000000004">
      <c r="A78" s="24" t="s">
        <v>254</v>
      </c>
      <c r="B78" s="24" t="s">
        <v>1257</v>
      </c>
      <c r="C78" s="24" t="s">
        <v>106</v>
      </c>
      <c r="D78" s="24" t="s">
        <v>72</v>
      </c>
      <c r="E78" s="24" t="s">
        <v>83</v>
      </c>
      <c r="F78" s="70">
        <v>-2.9968989399992224E-6</v>
      </c>
      <c r="G78" s="24">
        <v>4.7434070000000004</v>
      </c>
      <c r="H78" s="24">
        <v>6.5643739999999999</v>
      </c>
      <c r="I78" s="24">
        <v>4.4808519999999996</v>
      </c>
      <c r="J78" s="24">
        <v>5.2628779999999997</v>
      </c>
      <c r="K78" s="24">
        <v>5.692666</v>
      </c>
      <c r="L78" s="24">
        <v>9.3148689999999998</v>
      </c>
      <c r="M78" s="24">
        <v>2952.614</v>
      </c>
      <c r="N78" s="24">
        <v>4.0263433212754247</v>
      </c>
      <c r="O78" s="24">
        <v>1.2</v>
      </c>
      <c r="P78" s="24">
        <v>8.2089552238805972</v>
      </c>
      <c r="Q78" s="24">
        <v>5.9325796039606047</v>
      </c>
      <c r="R78" s="24">
        <v>6.94</v>
      </c>
      <c r="S78" s="24">
        <v>6.9927015400956307</v>
      </c>
      <c r="T78" s="21">
        <v>1</v>
      </c>
      <c r="U78" s="21" t="s">
        <v>141</v>
      </c>
      <c r="V78" s="70">
        <v>-2.3807697928440775E-2</v>
      </c>
      <c r="W78" s="70">
        <v>3.6192302071559219E-2</v>
      </c>
      <c r="X78" s="24">
        <v>1.1001398761506296</v>
      </c>
      <c r="Y78" s="24" t="s">
        <v>1463</v>
      </c>
      <c r="Z78" s="75">
        <v>68053.77</v>
      </c>
      <c r="AA78" t="s">
        <v>1415</v>
      </c>
      <c r="AB78" s="24">
        <v>0.43402777777777779</v>
      </c>
    </row>
    <row r="79" spans="1:28" customFormat="1" x14ac:dyDescent="0.55000000000000004">
      <c r="A79" s="24" t="s">
        <v>232</v>
      </c>
      <c r="B79" s="24" t="s">
        <v>1273</v>
      </c>
      <c r="C79" s="24" t="s">
        <v>106</v>
      </c>
      <c r="D79" s="24" t="s">
        <v>72</v>
      </c>
      <c r="E79" s="24" t="s">
        <v>92</v>
      </c>
      <c r="F79" s="70">
        <v>-2.6036314271541387E-4</v>
      </c>
      <c r="G79" s="24">
        <v>6.7327190000000003</v>
      </c>
      <c r="H79" s="24">
        <v>3.2824119999999999</v>
      </c>
      <c r="I79" s="24">
        <v>5.6865199999999998</v>
      </c>
      <c r="J79" s="24">
        <v>5.7287980000000003</v>
      </c>
      <c r="K79" s="24">
        <v>5.8987059999999998</v>
      </c>
      <c r="L79" s="24">
        <v>11.046379999999999</v>
      </c>
      <c r="M79" s="24">
        <v>258.2294</v>
      </c>
      <c r="N79" s="24">
        <v>3.5066368348148598</v>
      </c>
      <c r="O79" s="24">
        <v>1.3</v>
      </c>
      <c r="P79" s="24">
        <v>4.9268292682926838</v>
      </c>
      <c r="Q79" s="24">
        <v>7.186421970232387</v>
      </c>
      <c r="R79" s="24">
        <v>5.01</v>
      </c>
      <c r="S79" s="24">
        <v>5.5691110815296181</v>
      </c>
      <c r="T79" s="21">
        <v>1</v>
      </c>
      <c r="U79" s="21" t="s">
        <v>141</v>
      </c>
      <c r="V79" s="70">
        <v>-2.2727370086197136E-2</v>
      </c>
      <c r="W79" s="70">
        <v>3.7272629913802861E-2</v>
      </c>
      <c r="X79" s="24">
        <v>0.61295642335461875</v>
      </c>
      <c r="Y79" s="24" t="s">
        <v>1789</v>
      </c>
      <c r="Z79" s="75">
        <v>77602.59</v>
      </c>
      <c r="AA79" t="s">
        <v>1415</v>
      </c>
      <c r="AB79" s="24">
        <v>0.25691699604743085</v>
      </c>
    </row>
    <row r="80" spans="1:28" customFormat="1" x14ac:dyDescent="0.55000000000000004">
      <c r="A80" s="24" t="s">
        <v>259</v>
      </c>
      <c r="B80" s="24" t="s">
        <v>863</v>
      </c>
      <c r="C80" s="24" t="s">
        <v>113</v>
      </c>
      <c r="D80" s="24" t="s">
        <v>72</v>
      </c>
      <c r="E80" s="24" t="s">
        <v>99</v>
      </c>
      <c r="F80" s="70">
        <v>-3.878855088490487E-4</v>
      </c>
      <c r="G80" s="24">
        <v>6.0792830000000002</v>
      </c>
      <c r="H80" s="24">
        <v>7.4054330000000004</v>
      </c>
      <c r="I80" s="24">
        <v>8.8351810000000004</v>
      </c>
      <c r="J80" s="24">
        <v>6.8956920000000004</v>
      </c>
      <c r="K80" s="24">
        <v>6.3567809999999998</v>
      </c>
      <c r="L80" s="24">
        <v>10.005269999999999</v>
      </c>
      <c r="M80" s="24">
        <v>821.21320000000003</v>
      </c>
      <c r="N80" s="24">
        <v>9.5365000537079894</v>
      </c>
      <c r="O80" s="24">
        <v>5.6</v>
      </c>
      <c r="P80" s="24">
        <v>6.4797507788161983</v>
      </c>
      <c r="Q80" s="24">
        <v>6.3438981352658637</v>
      </c>
      <c r="R80" s="24">
        <v>7.7</v>
      </c>
      <c r="S80" s="24">
        <v>7.6609894168432433</v>
      </c>
      <c r="T80" s="21">
        <v>1</v>
      </c>
      <c r="U80" s="21" t="s">
        <v>117</v>
      </c>
      <c r="V80" s="70">
        <v>-2.4932764372412691E-2</v>
      </c>
      <c r="W80" s="70">
        <v>3.5067235627587304E-2</v>
      </c>
      <c r="X80" s="24">
        <v>0.74946462961306182</v>
      </c>
      <c r="Y80" s="24" t="s">
        <v>1483</v>
      </c>
      <c r="Z80" s="75">
        <v>55684.37</v>
      </c>
      <c r="AA80" t="s">
        <v>1415</v>
      </c>
      <c r="AB80" s="24">
        <v>0.3231597845601436</v>
      </c>
    </row>
    <row r="81" spans="1:28" customFormat="1" x14ac:dyDescent="0.55000000000000004">
      <c r="A81" s="24" t="s">
        <v>245</v>
      </c>
      <c r="B81" s="24" t="s">
        <v>819</v>
      </c>
      <c r="C81" s="24" t="s">
        <v>107</v>
      </c>
      <c r="D81" s="24" t="s">
        <v>72</v>
      </c>
      <c r="E81" s="24" t="s">
        <v>82</v>
      </c>
      <c r="F81" s="70">
        <v>-8.2421310445848696E-4</v>
      </c>
      <c r="G81" s="24">
        <v>7.5949540000000004</v>
      </c>
      <c r="H81" s="24">
        <v>6.1831889999999996</v>
      </c>
      <c r="I81" s="24">
        <v>7.940537</v>
      </c>
      <c r="J81" s="24">
        <v>7.2217900000000004</v>
      </c>
      <c r="K81" s="24">
        <v>7.8231900000000003</v>
      </c>
      <c r="L81" s="24">
        <v>15.42062</v>
      </c>
      <c r="M81" s="24">
        <v>10.139699999999999</v>
      </c>
      <c r="N81" s="24">
        <v>9.5543102453854374</v>
      </c>
      <c r="O81" s="24">
        <v>4.5</v>
      </c>
      <c r="P81" s="24">
        <v>1.6397851225575399</v>
      </c>
      <c r="Q81" s="24">
        <v>8.1213902267286304</v>
      </c>
      <c r="R81" s="24">
        <v>6.86</v>
      </c>
      <c r="S81" s="24">
        <v>6.1087927761871459</v>
      </c>
      <c r="T81" s="21">
        <v>1</v>
      </c>
      <c r="U81" s="21" t="s">
        <v>141</v>
      </c>
      <c r="V81" s="70">
        <v>-2.4023031097696074E-2</v>
      </c>
      <c r="W81" s="70">
        <v>3.5976968902303924E-2</v>
      </c>
      <c r="X81" s="24">
        <v>1.2479914886886434</v>
      </c>
      <c r="Y81" s="24" t="s">
        <v>1732</v>
      </c>
      <c r="Z81" s="75">
        <v>61622.47</v>
      </c>
      <c r="AA81" t="s">
        <v>1415</v>
      </c>
      <c r="AB81" s="24">
        <v>0.39316239316239315</v>
      </c>
    </row>
    <row r="82" spans="1:28" customFormat="1" x14ac:dyDescent="0.55000000000000004">
      <c r="A82" s="24" t="s">
        <v>269</v>
      </c>
      <c r="B82" s="24" t="s">
        <v>1402</v>
      </c>
      <c r="C82" s="24" t="s">
        <v>110</v>
      </c>
      <c r="D82" s="24" t="s">
        <v>72</v>
      </c>
      <c r="E82" s="24" t="s">
        <v>85</v>
      </c>
      <c r="F82" s="70">
        <v>-2.5546106573972331E-3</v>
      </c>
      <c r="G82" s="24">
        <v>5.1189710000000002</v>
      </c>
      <c r="H82" s="24">
        <v>6.0483760000000002</v>
      </c>
      <c r="I82" s="24">
        <v>6.6686439999999996</v>
      </c>
      <c r="J82" s="24">
        <v>5.9453300000000002</v>
      </c>
      <c r="K82" s="24">
        <v>3.6088990000000001</v>
      </c>
      <c r="L82" s="24">
        <v>8.7969089999999994</v>
      </c>
      <c r="M82" s="24">
        <v>4885.2139999999999</v>
      </c>
      <c r="N82" s="24">
        <v>6.174627353592939</v>
      </c>
      <c r="O82" s="24">
        <v>8</v>
      </c>
      <c r="P82" s="24">
        <v>4.5345345345345329</v>
      </c>
      <c r="Q82" s="24">
        <v>7.5243470562195665</v>
      </c>
      <c r="R82" s="24">
        <v>6.93</v>
      </c>
      <c r="S82" s="24">
        <v>7.0783229736400628</v>
      </c>
      <c r="T82" s="21">
        <v>1</v>
      </c>
      <c r="U82" s="21" t="s">
        <v>141</v>
      </c>
      <c r="V82" s="70">
        <v>-2.5636402035342402E-2</v>
      </c>
      <c r="W82" s="70">
        <v>3.43635979646576E-2</v>
      </c>
      <c r="X82" s="24">
        <v>1.1182231379069596</v>
      </c>
      <c r="Y82" s="24" t="s">
        <v>1539</v>
      </c>
      <c r="Z82" s="75">
        <v>49198.19</v>
      </c>
      <c r="AA82" t="s">
        <v>1415</v>
      </c>
      <c r="AB82" s="24">
        <v>0.76124567474048443</v>
      </c>
    </row>
    <row r="83" spans="1:28" customFormat="1" x14ac:dyDescent="0.55000000000000004">
      <c r="A83" s="24" t="s">
        <v>223</v>
      </c>
      <c r="B83" s="24" t="s">
        <v>813</v>
      </c>
      <c r="C83" s="24" t="s">
        <v>107</v>
      </c>
      <c r="D83" s="24" t="s">
        <v>72</v>
      </c>
      <c r="E83" s="24" t="s">
        <v>92</v>
      </c>
      <c r="F83" s="70">
        <v>-2.5847098313732438E-3</v>
      </c>
      <c r="G83" s="24">
        <v>6.364859</v>
      </c>
      <c r="H83" s="24">
        <v>6.2390489999999996</v>
      </c>
      <c r="I83" s="24">
        <v>5.3448060000000002</v>
      </c>
      <c r="J83" s="24">
        <v>6.0336809999999996</v>
      </c>
      <c r="K83" s="24">
        <v>5.1855580000000003</v>
      </c>
      <c r="L83" s="24">
        <v>12.197509999999999</v>
      </c>
      <c r="M83" s="24">
        <v>217.88910000000001</v>
      </c>
      <c r="N83" s="24">
        <v>5.4734510014488933</v>
      </c>
      <c r="O83" s="24">
        <v>4.7</v>
      </c>
      <c r="P83" s="24">
        <v>7.7560975609756087</v>
      </c>
      <c r="Q83" s="24">
        <v>5.7645941236246632</v>
      </c>
      <c r="R83" s="24">
        <v>4.3499999999999996</v>
      </c>
      <c r="S83" s="24">
        <v>6.7952570218035406</v>
      </c>
      <c r="T83" s="21">
        <v>1</v>
      </c>
      <c r="U83" s="21" t="s">
        <v>141</v>
      </c>
      <c r="V83" s="70">
        <v>-1.731745410355276E-2</v>
      </c>
      <c r="W83" s="70">
        <v>4.2682545896447238E-2</v>
      </c>
      <c r="X83" s="24">
        <v>0.72217609740990929</v>
      </c>
      <c r="Y83" s="24" t="s">
        <v>1708</v>
      </c>
      <c r="Z83" s="75">
        <v>117437.3</v>
      </c>
      <c r="AA83" t="s">
        <v>1415</v>
      </c>
      <c r="AB83" s="24">
        <v>7.9051383399209474E-2</v>
      </c>
    </row>
    <row r="84" spans="1:28" customFormat="1" x14ac:dyDescent="0.55000000000000004">
      <c r="A84" s="24" t="s">
        <v>250</v>
      </c>
      <c r="B84" s="24" t="s">
        <v>1121</v>
      </c>
      <c r="C84" s="24" t="s">
        <v>113</v>
      </c>
      <c r="D84" s="24" t="s">
        <v>72</v>
      </c>
      <c r="E84" s="24" t="s">
        <v>82</v>
      </c>
      <c r="F84" s="70">
        <v>-3.1160229571266232E-3</v>
      </c>
      <c r="G84" s="24">
        <v>5.8570489999999999</v>
      </c>
      <c r="H84" s="24">
        <v>5.9708699999999997</v>
      </c>
      <c r="I84" s="24">
        <v>6.5402509999999996</v>
      </c>
      <c r="J84" s="24">
        <v>6.1360070000000002</v>
      </c>
      <c r="K84" s="24">
        <v>5.9814939999999996</v>
      </c>
      <c r="L84" s="24">
        <v>23.21144</v>
      </c>
      <c r="M84" s="24">
        <v>13.2736</v>
      </c>
      <c r="N84" s="24">
        <v>7.6283239059726817</v>
      </c>
      <c r="O84" s="24">
        <v>9.6</v>
      </c>
      <c r="P84" s="24">
        <v>7.2580652965661603</v>
      </c>
      <c r="Q84" s="24">
        <v>7.2060273200957621</v>
      </c>
      <c r="R84" s="24">
        <v>5.93</v>
      </c>
      <c r="S84" s="24">
        <v>7.5425250403300579</v>
      </c>
      <c r="T84" s="21">
        <v>1</v>
      </c>
      <c r="U84" s="21" t="s">
        <v>117</v>
      </c>
      <c r="V84" s="70">
        <v>-2.4125030545902839E-2</v>
      </c>
      <c r="W84" s="70">
        <v>3.5874969454097162E-2</v>
      </c>
      <c r="X84" s="24">
        <v>1.359492031479228</v>
      </c>
      <c r="Y84" s="24" t="s">
        <v>1487</v>
      </c>
      <c r="Z84" s="75">
        <v>62440.02</v>
      </c>
      <c r="AA84" t="s">
        <v>1415</v>
      </c>
      <c r="AB84" s="24">
        <v>0.47863247863247865</v>
      </c>
    </row>
    <row r="85" spans="1:28" customFormat="1" x14ac:dyDescent="0.55000000000000004">
      <c r="A85" s="24" t="s">
        <v>289</v>
      </c>
      <c r="B85" s="24" t="s">
        <v>995</v>
      </c>
      <c r="C85" s="24" t="s">
        <v>106</v>
      </c>
      <c r="D85" s="24" t="s">
        <v>72</v>
      </c>
      <c r="E85" s="24" t="s">
        <v>86</v>
      </c>
      <c r="F85" s="70">
        <v>-3.1627388179536029E-3</v>
      </c>
      <c r="G85" s="24">
        <v>7.4963470000000001</v>
      </c>
      <c r="H85" s="24">
        <v>8.993938</v>
      </c>
      <c r="I85" s="24">
        <v>6.0755460000000001</v>
      </c>
      <c r="J85" s="24">
        <v>7.5232239999999999</v>
      </c>
      <c r="K85" s="24">
        <v>1.9846820000000001</v>
      </c>
      <c r="L85" s="24">
        <v>17.75132</v>
      </c>
      <c r="M85" s="24">
        <v>0.20957999999999999</v>
      </c>
      <c r="N85" s="24">
        <v>9.3011003346058807</v>
      </c>
      <c r="O85" s="24">
        <v>5.2</v>
      </c>
      <c r="P85" s="24">
        <v>9.7311827667938449</v>
      </c>
      <c r="Q85" s="24">
        <v>4.5162653147444027</v>
      </c>
      <c r="R85" s="24">
        <v>2.6</v>
      </c>
      <c r="S85" s="24">
        <v>7.6452922606920639</v>
      </c>
      <c r="T85" s="21">
        <v>1</v>
      </c>
      <c r="U85" s="21" t="s">
        <v>117</v>
      </c>
      <c r="V85" s="70">
        <v>-2.6520236121308532E-2</v>
      </c>
      <c r="W85" s="70">
        <v>3.3479763878691463E-2</v>
      </c>
      <c r="X85" s="24">
        <v>1.1882343077536646</v>
      </c>
      <c r="Y85" s="24" t="s">
        <v>1473</v>
      </c>
      <c r="Z85" s="75">
        <v>36872.93</v>
      </c>
      <c r="AA85" t="s">
        <v>1415</v>
      </c>
      <c r="AB85" s="24">
        <v>1.1452991452991452</v>
      </c>
    </row>
    <row r="86" spans="1:28" customFormat="1" x14ac:dyDescent="0.55000000000000004">
      <c r="A86" s="24" t="s">
        <v>301</v>
      </c>
      <c r="B86" s="24" t="s">
        <v>1272</v>
      </c>
      <c r="C86" s="24" t="s">
        <v>112</v>
      </c>
      <c r="D86" s="24" t="s">
        <v>72</v>
      </c>
      <c r="E86" s="24" t="s">
        <v>82</v>
      </c>
      <c r="F86" s="70">
        <v>-3.2456372147545457E-3</v>
      </c>
      <c r="G86" s="24">
        <v>6.1524580000000002</v>
      </c>
      <c r="H86" s="24">
        <v>5.9995139999999996</v>
      </c>
      <c r="I86" s="24">
        <v>6.3787349999999998</v>
      </c>
      <c r="J86" s="24">
        <v>6.1781240000000004</v>
      </c>
      <c r="K86" s="24">
        <v>4.2801220000000004</v>
      </c>
      <c r="L86" s="24">
        <v>19.18683</v>
      </c>
      <c r="M86" s="24">
        <v>11.999499999999999</v>
      </c>
      <c r="N86" s="24">
        <v>7.6008248213026954</v>
      </c>
      <c r="O86" s="24">
        <v>8.1999999999999993</v>
      </c>
      <c r="P86" s="24">
        <v>1.2365592727483088</v>
      </c>
      <c r="Q86" s="24">
        <v>9.1832136318828343</v>
      </c>
      <c r="R86" s="24">
        <v>4.3</v>
      </c>
      <c r="S86" s="24">
        <v>6.417070936570644</v>
      </c>
      <c r="T86" s="21">
        <v>1</v>
      </c>
      <c r="U86" s="21" t="s">
        <v>141</v>
      </c>
      <c r="V86" s="70">
        <v>-2.7174569447171854E-2</v>
      </c>
      <c r="W86" s="70">
        <v>3.2825430552828147E-2</v>
      </c>
      <c r="X86" s="24">
        <v>1.3664822400177263</v>
      </c>
      <c r="Y86" s="24" t="s">
        <v>1584</v>
      </c>
      <c r="Z86" s="75">
        <v>30285.17</v>
      </c>
      <c r="AA86" t="s">
        <v>1415</v>
      </c>
      <c r="AB86" s="24">
        <v>1.3504273504273503</v>
      </c>
    </row>
    <row r="87" spans="1:28" customFormat="1" x14ac:dyDescent="0.55000000000000004">
      <c r="A87" s="24" t="s">
        <v>291</v>
      </c>
      <c r="B87" s="24" t="s">
        <v>1304</v>
      </c>
      <c r="C87" s="24" t="s">
        <v>110</v>
      </c>
      <c r="D87" s="24" t="s">
        <v>72</v>
      </c>
      <c r="E87" s="24" t="s">
        <v>90</v>
      </c>
      <c r="F87" s="70">
        <v>-3.2467195009334049E-3</v>
      </c>
      <c r="G87" s="24">
        <v>6.8928380000000002</v>
      </c>
      <c r="H87" s="24">
        <v>6.9316899999999997</v>
      </c>
      <c r="I87" s="24">
        <v>7.4173840000000002</v>
      </c>
      <c r="J87" s="24">
        <v>7.0900270000000001</v>
      </c>
      <c r="K87" s="24">
        <v>5.3738080000000004</v>
      </c>
      <c r="L87" s="24">
        <v>11.835979999999999</v>
      </c>
      <c r="M87" s="24">
        <v>0.24657000000000001</v>
      </c>
      <c r="N87" s="24">
        <v>7.6638413228158244</v>
      </c>
      <c r="O87" s="24">
        <v>3.8</v>
      </c>
      <c r="P87" s="24">
        <v>6.8548394467569294</v>
      </c>
      <c r="Q87" s="24">
        <v>4.9950711167441222</v>
      </c>
      <c r="R87" s="24">
        <v>4.8600009999999996</v>
      </c>
      <c r="S87" s="24">
        <v>5.5186662543939597</v>
      </c>
      <c r="T87" s="21">
        <v>1</v>
      </c>
      <c r="U87" s="21" t="s">
        <v>141</v>
      </c>
      <c r="V87" s="70">
        <v>-2.6714065697956479E-2</v>
      </c>
      <c r="W87" s="70">
        <v>3.3285934302043518E-2</v>
      </c>
      <c r="X87" s="24">
        <v>0.5922757903607706</v>
      </c>
      <c r="Y87" s="24" t="s">
        <v>1558</v>
      </c>
      <c r="Z87" s="75">
        <v>35938.519999999997</v>
      </c>
      <c r="AA87" t="s">
        <v>1415</v>
      </c>
      <c r="AB87" s="24">
        <v>1.1794871794871795</v>
      </c>
    </row>
    <row r="88" spans="1:28" customFormat="1" x14ac:dyDescent="0.55000000000000004">
      <c r="A88" s="24" t="s">
        <v>240</v>
      </c>
      <c r="B88" s="24" t="s">
        <v>821</v>
      </c>
      <c r="C88" s="24" t="s">
        <v>107</v>
      </c>
      <c r="D88" s="24" t="s">
        <v>72</v>
      </c>
      <c r="E88" s="24" t="s">
        <v>93</v>
      </c>
      <c r="F88" s="70">
        <v>-3.618625127576598E-3</v>
      </c>
      <c r="G88" s="24">
        <v>8.2216330000000006</v>
      </c>
      <c r="H88" s="24">
        <v>9.0853319999999993</v>
      </c>
      <c r="I88" s="24">
        <v>5.9882999999999997</v>
      </c>
      <c r="J88" s="24">
        <v>7.7650889999999997</v>
      </c>
      <c r="K88" s="24">
        <v>0.82527470000000003</v>
      </c>
      <c r="L88" s="24">
        <v>2.261755</v>
      </c>
      <c r="M88" s="24">
        <v>6.2603999999999997</v>
      </c>
      <c r="N88" s="24">
        <v>8.3375100458958649</v>
      </c>
      <c r="O88" s="24">
        <v>4.5</v>
      </c>
      <c r="P88" s="24">
        <v>8.6645962732919273</v>
      </c>
      <c r="Q88" s="24">
        <v>0.10031594100551371</v>
      </c>
      <c r="R88" s="24">
        <v>3.08</v>
      </c>
      <c r="S88" s="24">
        <v>3.3125232957440525</v>
      </c>
      <c r="T88" s="21">
        <v>1</v>
      </c>
      <c r="U88" s="21" t="s">
        <v>141</v>
      </c>
      <c r="V88" s="70">
        <v>-2.3052897407944264E-2</v>
      </c>
      <c r="W88" s="70">
        <v>3.6947102592055733E-2</v>
      </c>
      <c r="X88" s="24">
        <v>1.3662067245170351</v>
      </c>
      <c r="Y88" s="24" t="s">
        <v>1702</v>
      </c>
      <c r="Z88" s="75">
        <v>74647.67</v>
      </c>
      <c r="AA88" t="s">
        <v>1415</v>
      </c>
      <c r="AB88" s="24">
        <v>0.32590051457975988</v>
      </c>
    </row>
    <row r="89" spans="1:28" customFormat="1" x14ac:dyDescent="0.55000000000000004">
      <c r="A89" s="24" t="s">
        <v>281</v>
      </c>
      <c r="B89" s="24" t="s">
        <v>1262</v>
      </c>
      <c r="C89" s="24" t="s">
        <v>112</v>
      </c>
      <c r="D89" s="24" t="s">
        <v>72</v>
      </c>
      <c r="E89" s="24" t="s">
        <v>86</v>
      </c>
      <c r="F89" s="70">
        <v>-4.0099347835821772E-3</v>
      </c>
      <c r="G89" s="24">
        <v>7.9805739999999998</v>
      </c>
      <c r="H89" s="24">
        <v>5.0413839999999999</v>
      </c>
      <c r="I89" s="24">
        <v>7.291156</v>
      </c>
      <c r="J89" s="24">
        <v>6.7105610000000002</v>
      </c>
      <c r="K89" s="24">
        <v>1.927603</v>
      </c>
      <c r="L89" s="24">
        <v>5.6428510000000003</v>
      </c>
      <c r="M89" s="24">
        <v>6.2900999999999998</v>
      </c>
      <c r="N89" s="24">
        <v>8.4509632653970339</v>
      </c>
      <c r="O89" s="24">
        <v>6.9</v>
      </c>
      <c r="P89" s="24">
        <v>8.4946245693144711</v>
      </c>
      <c r="Q89" s="24">
        <v>1.9269590198563584</v>
      </c>
      <c r="R89" s="24">
        <v>2.95</v>
      </c>
      <c r="S89" s="24">
        <v>4.5729350655498662</v>
      </c>
      <c r="T89" s="21">
        <v>1</v>
      </c>
      <c r="U89" s="21" t="s">
        <v>141</v>
      </c>
      <c r="V89" s="70">
        <v>-2.6334345039334392E-2</v>
      </c>
      <c r="W89" s="70">
        <v>3.3665654960665606E-2</v>
      </c>
      <c r="X89" s="24">
        <v>0.4974560008334647</v>
      </c>
      <c r="Y89" s="24" t="s">
        <v>1594</v>
      </c>
      <c r="Z89" s="75">
        <v>39003.19</v>
      </c>
      <c r="AA89" t="s">
        <v>1415</v>
      </c>
      <c r="AB89" s="24">
        <v>1.0085470085470085</v>
      </c>
    </row>
    <row r="90" spans="1:28" customFormat="1" x14ac:dyDescent="0.55000000000000004">
      <c r="A90" s="24" t="s">
        <v>308</v>
      </c>
      <c r="B90" s="24" t="s">
        <v>1362</v>
      </c>
      <c r="C90" s="24" t="s">
        <v>113</v>
      </c>
      <c r="D90" s="24" t="s">
        <v>72</v>
      </c>
      <c r="E90" s="24" t="s">
        <v>90</v>
      </c>
      <c r="F90" s="70">
        <v>-4.1737760025977429E-3</v>
      </c>
      <c r="G90" s="24">
        <v>7.4733510000000001</v>
      </c>
      <c r="H90" s="24">
        <v>7.8364839999999996</v>
      </c>
      <c r="I90" s="24">
        <v>7.2592990000000004</v>
      </c>
      <c r="J90" s="24">
        <v>7.5255289999999997</v>
      </c>
      <c r="K90" s="24">
        <v>5.304303</v>
      </c>
      <c r="L90" s="24">
        <v>13.06165</v>
      </c>
      <c r="M90" s="24">
        <v>0.76890000000000003</v>
      </c>
      <c r="N90" s="24">
        <v>4.8487632836280143</v>
      </c>
      <c r="O90" s="24">
        <v>3.9</v>
      </c>
      <c r="P90" s="24">
        <v>3.8709681581686195</v>
      </c>
      <c r="Q90" s="24">
        <v>5.0612589776087891</v>
      </c>
      <c r="R90" s="24">
        <v>5.2</v>
      </c>
      <c r="S90" s="24">
        <v>5.5076386168823532</v>
      </c>
      <c r="T90" s="21">
        <v>1</v>
      </c>
      <c r="U90" s="21" t="s">
        <v>141</v>
      </c>
      <c r="V90" s="70">
        <v>-2.7399162191909007E-2</v>
      </c>
      <c r="W90" s="70">
        <v>3.2600837808090991E-2</v>
      </c>
      <c r="X90" s="24">
        <v>0.78308517045467174</v>
      </c>
      <c r="Y90" s="24" t="s">
        <v>1868</v>
      </c>
      <c r="Z90" s="75">
        <v>32454.33</v>
      </c>
      <c r="AA90" t="s">
        <v>1415</v>
      </c>
      <c r="AB90" s="24">
        <v>1.4700854700854702</v>
      </c>
    </row>
    <row r="91" spans="1:28" customFormat="1" x14ac:dyDescent="0.55000000000000004">
      <c r="A91" s="24" t="s">
        <v>311</v>
      </c>
      <c r="B91" s="24" t="s">
        <v>983</v>
      </c>
      <c r="C91" s="24" t="s">
        <v>125</v>
      </c>
      <c r="D91" s="24" t="s">
        <v>72</v>
      </c>
      <c r="E91" s="24" t="s">
        <v>96</v>
      </c>
      <c r="F91" s="70">
        <v>-4.3575399574000469E-3</v>
      </c>
      <c r="G91" s="24">
        <v>6.0703319999999996</v>
      </c>
      <c r="H91" s="24">
        <v>5.9357769999999999</v>
      </c>
      <c r="I91" s="24">
        <v>7.3705790000000002</v>
      </c>
      <c r="J91" s="24">
        <v>6.4200400000000002</v>
      </c>
      <c r="K91" s="24">
        <v>0.58880690000000002</v>
      </c>
      <c r="L91" s="24">
        <v>2.9652989999999999</v>
      </c>
      <c r="M91" s="24">
        <v>14.8032</v>
      </c>
      <c r="N91" s="24">
        <v>9.0153079623077499</v>
      </c>
      <c r="O91" s="24">
        <v>8.4</v>
      </c>
      <c r="P91" s="24">
        <v>5.1583710407239831</v>
      </c>
      <c r="Q91" s="24">
        <v>2.5923853138100728</v>
      </c>
      <c r="R91" s="24">
        <v>4.13</v>
      </c>
      <c r="S91" s="24">
        <v>3.6490804658645901</v>
      </c>
      <c r="T91" s="21">
        <v>1</v>
      </c>
      <c r="U91" s="21" t="s">
        <v>141</v>
      </c>
      <c r="V91" s="70">
        <v>-2.7475333509499659E-2</v>
      </c>
      <c r="W91" s="70">
        <v>3.2524666490500342E-2</v>
      </c>
      <c r="X91" s="24">
        <v>1.7318290915334376</v>
      </c>
      <c r="Y91" s="24" t="s">
        <v>1907</v>
      </c>
      <c r="Z91" s="75">
        <v>27392.73</v>
      </c>
      <c r="AA91" t="s">
        <v>1415</v>
      </c>
      <c r="AB91" s="24">
        <v>1.6811091854419411</v>
      </c>
    </row>
    <row r="92" spans="1:28" customFormat="1" x14ac:dyDescent="0.55000000000000004">
      <c r="A92" s="24" t="s">
        <v>243</v>
      </c>
      <c r="B92" s="24" t="s">
        <v>1161</v>
      </c>
      <c r="C92" s="24" t="s">
        <v>111</v>
      </c>
      <c r="D92" s="24" t="s">
        <v>72</v>
      </c>
      <c r="E92" s="24" t="s">
        <v>82</v>
      </c>
      <c r="F92" s="70">
        <v>-4.4386930942538379E-3</v>
      </c>
      <c r="G92" s="24">
        <v>6.8551820000000001</v>
      </c>
      <c r="H92" s="24">
        <v>6.3371919999999999</v>
      </c>
      <c r="I92" s="24">
        <v>6.3678410000000003</v>
      </c>
      <c r="J92" s="24">
        <v>6.5033159999999999</v>
      </c>
      <c r="K92" s="24">
        <v>4.7151649999999998</v>
      </c>
      <c r="L92" s="24">
        <v>19.82893</v>
      </c>
      <c r="M92" s="24">
        <v>7.5701000000000001</v>
      </c>
      <c r="N92" s="24">
        <v>8.3764898431021901</v>
      </c>
      <c r="O92" s="24">
        <v>5</v>
      </c>
      <c r="P92" s="24">
        <v>2.7956992253440029</v>
      </c>
      <c r="Q92" s="24">
        <v>8.645260104210676</v>
      </c>
      <c r="R92" s="24">
        <v>4.12</v>
      </c>
      <c r="S92" s="24">
        <v>6.9352024212976939</v>
      </c>
      <c r="T92" s="21">
        <v>1</v>
      </c>
      <c r="U92" s="21" t="s">
        <v>141</v>
      </c>
      <c r="V92" s="70">
        <v>-2.3567276233658112E-2</v>
      </c>
      <c r="W92" s="70">
        <v>3.6432723766341886E-2</v>
      </c>
      <c r="X92" s="24">
        <v>1.4416642508578634</v>
      </c>
      <c r="Y92" s="24" t="s">
        <v>1668</v>
      </c>
      <c r="Z92" s="75">
        <v>69071.13</v>
      </c>
      <c r="AA92" t="s">
        <v>1415</v>
      </c>
      <c r="AB92" s="24">
        <v>0.35897435897435892</v>
      </c>
    </row>
    <row r="93" spans="1:28" customFormat="1" x14ac:dyDescent="0.55000000000000004">
      <c r="A93" s="24" t="s">
        <v>249</v>
      </c>
      <c r="B93" s="24" t="s">
        <v>1287</v>
      </c>
      <c r="C93" s="24" t="s">
        <v>106</v>
      </c>
      <c r="D93" s="24" t="s">
        <v>72</v>
      </c>
      <c r="E93" s="24" t="s">
        <v>87</v>
      </c>
      <c r="F93" s="70">
        <v>-5.8334114738415443E-3</v>
      </c>
      <c r="G93" s="24">
        <v>6.0372599999999998</v>
      </c>
      <c r="H93" s="24">
        <v>6.8963789999999996</v>
      </c>
      <c r="I93" s="24">
        <v>7.2030010000000004</v>
      </c>
      <c r="J93" s="24">
        <v>6.6447180000000001</v>
      </c>
      <c r="K93" s="24">
        <v>2.999336</v>
      </c>
      <c r="L93" s="24">
        <v>5.3440770000000004</v>
      </c>
      <c r="M93" s="24">
        <v>39.612699999999997</v>
      </c>
      <c r="N93" s="24">
        <v>2.3976737004914312</v>
      </c>
      <c r="O93" s="24">
        <v>1.1000000000000001</v>
      </c>
      <c r="P93" s="24">
        <v>6.6108786610878667</v>
      </c>
      <c r="Q93" s="24">
        <v>2.1218365298251176</v>
      </c>
      <c r="R93" s="24">
        <v>4.6100000000000003</v>
      </c>
      <c r="S93" s="24">
        <v>3.5563236457143041</v>
      </c>
      <c r="T93" s="21">
        <v>1</v>
      </c>
      <c r="U93" s="21" t="s">
        <v>141</v>
      </c>
      <c r="V93" s="70">
        <v>-2.3593084347898346E-2</v>
      </c>
      <c r="W93" s="70">
        <v>3.6406915652101648E-2</v>
      </c>
      <c r="X93" s="24">
        <v>1.0996894955364158</v>
      </c>
      <c r="Y93" s="24" t="s">
        <v>1767</v>
      </c>
      <c r="Z93" s="75">
        <v>69514.429999999993</v>
      </c>
      <c r="AA93" t="s">
        <v>1415</v>
      </c>
      <c r="AB93" s="24">
        <v>0.60390763765541744</v>
      </c>
    </row>
    <row r="94" spans="1:28" customFormat="1" x14ac:dyDescent="0.55000000000000004">
      <c r="A94" s="24" t="s">
        <v>217</v>
      </c>
      <c r="B94" s="24" t="s">
        <v>1129</v>
      </c>
      <c r="C94" s="24" t="s">
        <v>110</v>
      </c>
      <c r="D94" s="24" t="s">
        <v>72</v>
      </c>
      <c r="E94" s="24" t="s">
        <v>88</v>
      </c>
      <c r="F94" s="70">
        <v>-5.9618682471744098E-3</v>
      </c>
      <c r="G94" s="24">
        <v>6.7750940000000002</v>
      </c>
      <c r="H94" s="24">
        <v>6.2529620000000001</v>
      </c>
      <c r="I94" s="24">
        <v>7.3265269999999996</v>
      </c>
      <c r="J94" s="24">
        <v>6.7868139999999997</v>
      </c>
      <c r="K94" s="24">
        <v>3.2785869999999999</v>
      </c>
      <c r="L94" s="24">
        <v>7.321885</v>
      </c>
      <c r="M94" s="24" t="e">
        <v>#N/A</v>
      </c>
      <c r="N94" s="24">
        <v>6.3254542863103689</v>
      </c>
      <c r="O94" s="24">
        <v>7.5</v>
      </c>
      <c r="P94" s="24">
        <v>7.095890410958904</v>
      </c>
      <c r="Q94" s="24">
        <v>5.8592945237896377</v>
      </c>
      <c r="R94" s="24">
        <v>7.57</v>
      </c>
      <c r="S94" s="24">
        <v>7.7037221144800316</v>
      </c>
      <c r="T94" s="21">
        <v>1</v>
      </c>
      <c r="U94" s="21" t="s">
        <v>117</v>
      </c>
      <c r="V94" s="70">
        <v>-1.100507979800517E-2</v>
      </c>
      <c r="W94" s="70">
        <v>4.8994920201994828E-2</v>
      </c>
      <c r="X94" s="24">
        <v>0.42853949180757156</v>
      </c>
      <c r="Y94" s="24" t="s">
        <v>1425</v>
      </c>
      <c r="Z94" s="75">
        <v>210472.3</v>
      </c>
      <c r="AA94" t="s">
        <v>1415</v>
      </c>
      <c r="AB94" s="24">
        <v>6.9444444444444448E-2</v>
      </c>
    </row>
    <row r="95" spans="1:28" customFormat="1" x14ac:dyDescent="0.55000000000000004">
      <c r="A95" s="24" t="s">
        <v>258</v>
      </c>
      <c r="B95" s="24" t="s">
        <v>1151</v>
      </c>
      <c r="C95" s="24" t="s">
        <v>111</v>
      </c>
      <c r="D95" s="24" t="s">
        <v>72</v>
      </c>
      <c r="E95" s="24" t="s">
        <v>95</v>
      </c>
      <c r="F95" s="70">
        <v>-8.3067431149156032E-3</v>
      </c>
      <c r="G95" s="24">
        <v>7.9295030000000004</v>
      </c>
      <c r="H95" s="24">
        <v>5.9642419999999996</v>
      </c>
      <c r="I95" s="24">
        <v>2.3997299999999999</v>
      </c>
      <c r="J95" s="24">
        <v>4.931489</v>
      </c>
      <c r="K95" s="24">
        <v>3.2853029999999999</v>
      </c>
      <c r="L95" s="24">
        <v>4.8466779999999998</v>
      </c>
      <c r="M95" s="24">
        <v>27.255600000000001</v>
      </c>
      <c r="N95" s="24">
        <v>7.829991255263268</v>
      </c>
      <c r="O95" s="24">
        <v>8.5</v>
      </c>
      <c r="P95" s="24">
        <v>8.975156521739132</v>
      </c>
      <c r="Q95" s="24">
        <v>1.8547594861069614</v>
      </c>
      <c r="R95" s="24">
        <v>5.52</v>
      </c>
      <c r="S95" s="24">
        <v>5.1515553038877737</v>
      </c>
      <c r="T95" s="21">
        <v>1</v>
      </c>
      <c r="U95" s="21" t="s">
        <v>141</v>
      </c>
      <c r="V95" s="70">
        <v>-2.4616825895530638E-2</v>
      </c>
      <c r="W95" s="70">
        <v>3.538317410446936E-2</v>
      </c>
      <c r="X95" s="24">
        <v>1.1089200159294306</v>
      </c>
      <c r="Y95" s="24" t="s">
        <v>1676</v>
      </c>
      <c r="Z95" s="75">
        <v>55770.91</v>
      </c>
      <c r="AA95" t="s">
        <v>1415</v>
      </c>
      <c r="AB95" s="24">
        <v>0.63464837049742706</v>
      </c>
    </row>
    <row r="96" spans="1:28" customFormat="1" x14ac:dyDescent="0.55000000000000004">
      <c r="A96" s="24" t="s">
        <v>280</v>
      </c>
      <c r="B96" s="24" t="s">
        <v>826</v>
      </c>
      <c r="C96" s="24" t="s">
        <v>107</v>
      </c>
      <c r="D96" s="24" t="s">
        <v>72</v>
      </c>
      <c r="E96" s="24" t="s">
        <v>85</v>
      </c>
      <c r="F96" s="70">
        <v>-8.4372752454227058E-3</v>
      </c>
      <c r="G96" s="24">
        <v>6.5703430000000003</v>
      </c>
      <c r="H96" s="24">
        <v>6.5264689999999996</v>
      </c>
      <c r="I96" s="24">
        <v>6.6223479999999997</v>
      </c>
      <c r="J96" s="24">
        <v>6.5727830000000003</v>
      </c>
      <c r="K96" s="24">
        <v>2.7382789999999999</v>
      </c>
      <c r="L96" s="24">
        <v>9.4432720000000003</v>
      </c>
      <c r="M96" s="24">
        <v>233.92689999999999</v>
      </c>
      <c r="N96" s="24">
        <v>4.43916081957377</v>
      </c>
      <c r="O96" s="24">
        <v>7.1</v>
      </c>
      <c r="P96" s="24">
        <v>5.1351351351351333</v>
      </c>
      <c r="Q96" s="24">
        <v>8.6000442673749458</v>
      </c>
      <c r="R96" s="24">
        <v>5.73</v>
      </c>
      <c r="S96" s="24">
        <v>6.8479549557814092</v>
      </c>
      <c r="T96" s="21">
        <v>1</v>
      </c>
      <c r="U96" s="21" t="s">
        <v>141</v>
      </c>
      <c r="V96" s="70">
        <v>-2.6192325850012948E-2</v>
      </c>
      <c r="W96" s="70">
        <v>3.3807674149987053E-2</v>
      </c>
      <c r="X96" s="24">
        <v>1.6115628516898182</v>
      </c>
      <c r="Y96" s="24" t="s">
        <v>1725</v>
      </c>
      <c r="Z96" s="75">
        <v>37429</v>
      </c>
      <c r="AA96" t="s">
        <v>1415</v>
      </c>
      <c r="AB96" s="24">
        <v>0.95155709342560557</v>
      </c>
    </row>
    <row r="97" spans="1:29" customFormat="1" x14ac:dyDescent="0.55000000000000004">
      <c r="A97" s="24" t="s">
        <v>302</v>
      </c>
      <c r="B97" s="24" t="s">
        <v>1340</v>
      </c>
      <c r="C97" s="24" t="s">
        <v>125</v>
      </c>
      <c r="D97" s="24" t="s">
        <v>72</v>
      </c>
      <c r="E97" s="24" t="s">
        <v>95</v>
      </c>
      <c r="F97" s="70">
        <v>-8.7259011628417673E-3</v>
      </c>
      <c r="G97" s="24">
        <v>4.7880880000000001</v>
      </c>
      <c r="H97" s="24">
        <v>5.6864189999999999</v>
      </c>
      <c r="I97" s="24">
        <v>7.9802330000000001</v>
      </c>
      <c r="J97" s="24">
        <v>6.4242780000000002</v>
      </c>
      <c r="K97" s="24">
        <v>3.626261</v>
      </c>
      <c r="L97" s="24">
        <v>9.7423319999999993</v>
      </c>
      <c r="M97" s="24">
        <v>45.978200000000001</v>
      </c>
      <c r="N97" s="24">
        <v>3.8063584539223578</v>
      </c>
      <c r="O97" s="24">
        <v>5.6</v>
      </c>
      <c r="P97" s="24">
        <v>4.5188284518828459</v>
      </c>
      <c r="Q97" s="24">
        <v>9.0762751624663185</v>
      </c>
      <c r="R97" s="24">
        <v>5.75</v>
      </c>
      <c r="S97" s="24">
        <v>7.7278341235459838</v>
      </c>
      <c r="T97" s="21">
        <v>1</v>
      </c>
      <c r="U97" s="21" t="s">
        <v>117</v>
      </c>
      <c r="V97" s="70">
        <v>-2.7350463350212975E-2</v>
      </c>
      <c r="W97" s="70">
        <v>3.2649536649787023E-2</v>
      </c>
      <c r="X97" s="24">
        <v>0.33050572952413343</v>
      </c>
      <c r="Y97" s="24" t="s">
        <v>1494</v>
      </c>
      <c r="Z97" s="75">
        <v>29098.42</v>
      </c>
      <c r="AA97" t="s">
        <v>1415</v>
      </c>
      <c r="AB97" s="24">
        <v>1.5452930728241563</v>
      </c>
    </row>
    <row r="98" spans="1:29" customFormat="1" x14ac:dyDescent="0.55000000000000004">
      <c r="A98" s="24" t="s">
        <v>228</v>
      </c>
      <c r="B98" s="24" t="s">
        <v>985</v>
      </c>
      <c r="C98" s="24" t="s">
        <v>112</v>
      </c>
      <c r="D98" s="24" t="s">
        <v>72</v>
      </c>
      <c r="E98" s="24" t="s">
        <v>90</v>
      </c>
      <c r="F98" s="70">
        <v>-9.1311749046176713E-3</v>
      </c>
      <c r="G98" s="24">
        <v>7.2843879999999999</v>
      </c>
      <c r="H98" s="24">
        <v>7.3959979999999996</v>
      </c>
      <c r="I98" s="24">
        <v>7.2265819999999996</v>
      </c>
      <c r="J98" s="24">
        <v>7.3032190000000003</v>
      </c>
      <c r="K98" s="24">
        <v>5.0516389999999998</v>
      </c>
      <c r="L98" s="24">
        <v>10.211449999999999</v>
      </c>
      <c r="M98" s="24">
        <v>4.2564000000000002</v>
      </c>
      <c r="N98" s="24">
        <v>4.6104488822387193</v>
      </c>
      <c r="O98" s="24">
        <v>3.8</v>
      </c>
      <c r="P98" s="24">
        <v>5.1344091542375434</v>
      </c>
      <c r="Q98" s="24">
        <v>3.0967469370511198</v>
      </c>
      <c r="R98" s="24">
        <v>5.4</v>
      </c>
      <c r="S98" s="24">
        <v>4.7241062399000979</v>
      </c>
      <c r="T98" s="21">
        <v>1</v>
      </c>
      <c r="U98" s="21" t="s">
        <v>141</v>
      </c>
      <c r="V98" s="70">
        <v>-1.9450819461165926E-2</v>
      </c>
      <c r="W98" s="70">
        <v>4.0549180538834072E-2</v>
      </c>
      <c r="X98" s="24">
        <v>0.82595911731853167</v>
      </c>
      <c r="Y98" s="24" t="s">
        <v>1613</v>
      </c>
      <c r="Z98" s="75">
        <v>115076.1</v>
      </c>
      <c r="AA98" t="s">
        <v>1415</v>
      </c>
      <c r="AB98" s="24">
        <v>0.10256410256410256</v>
      </c>
    </row>
    <row r="99" spans="1:29" customFormat="1" x14ac:dyDescent="0.55000000000000004">
      <c r="A99" s="24" t="s">
        <v>282</v>
      </c>
      <c r="B99" s="24" t="s">
        <v>1315</v>
      </c>
      <c r="C99" s="24" t="s">
        <v>125</v>
      </c>
      <c r="D99" s="24" t="s">
        <v>72</v>
      </c>
      <c r="E99" s="24" t="s">
        <v>91</v>
      </c>
      <c r="F99" s="70">
        <v>-1.1640637602458722E-2</v>
      </c>
      <c r="G99" s="24">
        <v>6.8593590000000004</v>
      </c>
      <c r="H99" s="24">
        <v>5.0726550000000001</v>
      </c>
      <c r="I99" s="24">
        <v>5.8794890000000004</v>
      </c>
      <c r="J99" s="24">
        <v>6.0293869999999998</v>
      </c>
      <c r="K99" s="24">
        <v>1.488092</v>
      </c>
      <c r="L99" s="24">
        <v>3.8055110000000001</v>
      </c>
      <c r="M99" s="24">
        <v>3.8424</v>
      </c>
      <c r="N99" s="24">
        <v>5.9085213545298068</v>
      </c>
      <c r="O99" s="24">
        <v>7.8</v>
      </c>
      <c r="P99" s="24">
        <v>6.925465838509318</v>
      </c>
      <c r="Q99" s="24">
        <v>0.78097943884618526</v>
      </c>
      <c r="R99" s="24">
        <v>4.08</v>
      </c>
      <c r="S99" s="24">
        <v>4.1013401741410282</v>
      </c>
      <c r="T99" s="21">
        <v>1</v>
      </c>
      <c r="U99" s="21" t="s">
        <v>141</v>
      </c>
      <c r="V99" s="70">
        <v>-2.6568308450439539E-2</v>
      </c>
      <c r="W99" s="70">
        <v>3.3431691549560459E-2</v>
      </c>
      <c r="X99" s="24">
        <v>0.49122776187701783</v>
      </c>
      <c r="Y99" s="24" t="s">
        <v>1909</v>
      </c>
      <c r="Z99" s="75">
        <v>36389.339999999997</v>
      </c>
      <c r="AA99" t="s">
        <v>1415</v>
      </c>
      <c r="AB99" s="24">
        <v>1.0463121783876501</v>
      </c>
    </row>
    <row r="100" spans="1:29" customFormat="1" x14ac:dyDescent="0.55000000000000004">
      <c r="A100" s="24" t="s">
        <v>224</v>
      </c>
      <c r="B100" s="24" t="s">
        <v>887</v>
      </c>
      <c r="C100" s="24" t="s">
        <v>106</v>
      </c>
      <c r="D100" s="24" t="s">
        <v>72</v>
      </c>
      <c r="E100" s="24" t="s">
        <v>93</v>
      </c>
      <c r="F100" s="70">
        <v>-1.4639966127620125E-2</v>
      </c>
      <c r="G100" s="24">
        <v>7.2249610000000004</v>
      </c>
      <c r="H100" s="24">
        <v>4.8786440000000004</v>
      </c>
      <c r="I100" s="24">
        <v>6.8226560000000003</v>
      </c>
      <c r="J100" s="24">
        <v>6.4003740000000002</v>
      </c>
      <c r="K100" s="24">
        <v>3.0619130000000001</v>
      </c>
      <c r="L100" s="24">
        <v>6.608962</v>
      </c>
      <c r="M100" s="24">
        <v>34.522399999999998</v>
      </c>
      <c r="N100" s="24">
        <v>5.2441306775761189</v>
      </c>
      <c r="O100" s="24">
        <v>8.3000000000000007</v>
      </c>
      <c r="P100" s="24">
        <v>8.0753138075313817</v>
      </c>
      <c r="Q100" s="24">
        <v>2.8814212500660434</v>
      </c>
      <c r="R100" s="24">
        <v>4.97</v>
      </c>
      <c r="S100" s="24">
        <v>6.5610589335763159</v>
      </c>
      <c r="T100" s="21">
        <v>1</v>
      </c>
      <c r="U100" s="21" t="s">
        <v>117</v>
      </c>
      <c r="V100" s="70">
        <v>-1.6578809800847388E-2</v>
      </c>
      <c r="W100" s="70">
        <v>4.3421190199152609E-2</v>
      </c>
      <c r="X100" s="24">
        <v>0.26566875867022188</v>
      </c>
      <c r="Y100" s="24" t="s">
        <v>1470</v>
      </c>
      <c r="Z100" s="75">
        <v>143275.4</v>
      </c>
      <c r="AA100" t="s">
        <v>1415</v>
      </c>
      <c r="AB100" s="24">
        <v>0.15985790408525755</v>
      </c>
    </row>
    <row r="101" spans="1:29" customFormat="1" x14ac:dyDescent="0.55000000000000004">
      <c r="A101" s="24" t="s">
        <v>229</v>
      </c>
      <c r="B101" s="24" t="s">
        <v>816</v>
      </c>
      <c r="C101" s="24" t="s">
        <v>107</v>
      </c>
      <c r="D101" s="24" t="s">
        <v>72</v>
      </c>
      <c r="E101" s="24" t="s">
        <v>84</v>
      </c>
      <c r="F101" s="70">
        <v>-2.0745419505939382E-2</v>
      </c>
      <c r="G101" s="24">
        <v>5.3920409999999999</v>
      </c>
      <c r="H101" s="24">
        <v>6.1697389999999999</v>
      </c>
      <c r="I101" s="24">
        <v>7.2395240000000003</v>
      </c>
      <c r="J101" s="24">
        <v>6.2671010000000003</v>
      </c>
      <c r="K101" s="24">
        <v>1.8783179999999999</v>
      </c>
      <c r="L101" s="24">
        <v>3.9375209999999998</v>
      </c>
      <c r="M101" s="24">
        <v>901.52530000000002</v>
      </c>
      <c r="N101" s="24">
        <v>7.9779269522353937</v>
      </c>
      <c r="O101" s="24">
        <v>8.1</v>
      </c>
      <c r="P101" s="24">
        <v>6.5671641791044779</v>
      </c>
      <c r="Q101" s="24">
        <v>1.3761971134705759</v>
      </c>
      <c r="R101" s="24">
        <v>4.32</v>
      </c>
      <c r="S101" s="24">
        <v>4.8774228160635822</v>
      </c>
      <c r="T101" s="21">
        <v>1</v>
      </c>
      <c r="U101" s="21" t="s">
        <v>141</v>
      </c>
      <c r="V101" s="70">
        <v>-2.0888098333649928E-2</v>
      </c>
      <c r="W101" s="70">
        <v>3.911190166635007E-2</v>
      </c>
      <c r="X101" s="24">
        <v>0.92439047990066558</v>
      </c>
      <c r="Y101" s="24" t="s">
        <v>1707</v>
      </c>
      <c r="Z101" s="75">
        <v>97905.25</v>
      </c>
      <c r="AA101" t="s">
        <v>1415</v>
      </c>
      <c r="AB101" s="24">
        <v>0</v>
      </c>
    </row>
    <row r="102" spans="1:29" x14ac:dyDescent="0.55000000000000004">
      <c r="A102" s="24"/>
      <c r="B102" s="24"/>
      <c r="C102" s="24"/>
      <c r="D102" s="24"/>
      <c r="E102" s="24"/>
      <c r="F102" s="70"/>
      <c r="Y102" s="24"/>
      <c r="Z102" s="75"/>
      <c r="AA102"/>
      <c r="AC102" s="70"/>
    </row>
    <row r="103" spans="1:29" x14ac:dyDescent="0.55000000000000004">
      <c r="A103" s="24"/>
      <c r="B103" s="24"/>
      <c r="C103" s="24"/>
      <c r="D103" s="24"/>
      <c r="E103" s="24"/>
      <c r="F103" s="70"/>
      <c r="Y103" s="24"/>
      <c r="Z103" s="75"/>
      <c r="AA103"/>
      <c r="AC103" s="70"/>
    </row>
    <row r="104" spans="1:29" x14ac:dyDescent="0.55000000000000004">
      <c r="A104" s="24"/>
      <c r="B104" s="24"/>
      <c r="C104" s="24"/>
      <c r="D104" s="24"/>
      <c r="E104" s="24"/>
      <c r="F104" s="70"/>
      <c r="Y104" s="24"/>
      <c r="Z104" s="75"/>
      <c r="AA104"/>
      <c r="AC104" s="70"/>
    </row>
    <row r="105" spans="1:29" x14ac:dyDescent="0.55000000000000004">
      <c r="A105" s="24"/>
      <c r="B105" s="24"/>
      <c r="C105" s="24"/>
      <c r="D105" s="24"/>
      <c r="E105" s="24"/>
      <c r="F105" s="70"/>
      <c r="Y105" s="24"/>
      <c r="Z105" s="75"/>
      <c r="AA105"/>
      <c r="AC105" s="70"/>
    </row>
    <row r="106" spans="1:29" x14ac:dyDescent="0.55000000000000004">
      <c r="A106" s="24"/>
      <c r="B106" s="24"/>
      <c r="C106" s="24"/>
      <c r="D106" s="24"/>
      <c r="E106" s="24"/>
      <c r="F106" s="70"/>
      <c r="Y106" s="24"/>
      <c r="Z106" s="75"/>
      <c r="AA106"/>
      <c r="AC106" s="70"/>
    </row>
    <row r="107" spans="1:29" x14ac:dyDescent="0.55000000000000004">
      <c r="A107" s="24"/>
      <c r="B107" s="24"/>
      <c r="C107" s="24"/>
      <c r="D107" s="24"/>
      <c r="E107" s="24"/>
      <c r="F107" s="70"/>
      <c r="Y107" s="24"/>
      <c r="Z107" s="75"/>
      <c r="AA107"/>
      <c r="AC107" s="70"/>
    </row>
    <row r="108" spans="1:29" x14ac:dyDescent="0.55000000000000004">
      <c r="A108" s="24"/>
      <c r="B108" s="24"/>
      <c r="C108" s="24"/>
      <c r="D108" s="24"/>
      <c r="E108" s="24"/>
      <c r="F108" s="70"/>
      <c r="Y108" s="24"/>
      <c r="Z108" s="75"/>
      <c r="AA108"/>
      <c r="AC108" s="70"/>
    </row>
    <row r="109" spans="1:29" x14ac:dyDescent="0.55000000000000004">
      <c r="A109" s="24"/>
      <c r="B109" s="24"/>
      <c r="C109" s="24"/>
      <c r="D109" s="24"/>
      <c r="E109" s="24"/>
      <c r="F109" s="70"/>
      <c r="Y109" s="24"/>
      <c r="Z109" s="75"/>
      <c r="AA109"/>
      <c r="AC109" s="70"/>
    </row>
    <row r="110" spans="1:29" x14ac:dyDescent="0.55000000000000004">
      <c r="A110" s="24"/>
      <c r="B110" s="24"/>
      <c r="C110" s="24"/>
      <c r="D110" s="24"/>
      <c r="E110" s="24"/>
      <c r="F110" s="70"/>
      <c r="Y110" s="24"/>
      <c r="Z110" s="75"/>
      <c r="AA110"/>
      <c r="AC110" s="70"/>
    </row>
    <row r="111" spans="1:29" x14ac:dyDescent="0.55000000000000004">
      <c r="A111" s="24"/>
      <c r="B111" s="24"/>
      <c r="C111" s="24"/>
      <c r="D111" s="24"/>
      <c r="E111" s="24"/>
      <c r="F111" s="70"/>
      <c r="Y111" s="24"/>
      <c r="Z111" s="75"/>
      <c r="AA111"/>
      <c r="AC111" s="70"/>
    </row>
    <row r="112" spans="1:29" x14ac:dyDescent="0.55000000000000004">
      <c r="A112" s="24"/>
      <c r="B112" s="24"/>
      <c r="C112" s="24"/>
      <c r="D112" s="24"/>
      <c r="E112" s="24"/>
      <c r="F112" s="70"/>
      <c r="Y112" s="24"/>
      <c r="Z112" s="75"/>
      <c r="AA112"/>
      <c r="AC112" s="70"/>
    </row>
    <row r="113" spans="1:29" x14ac:dyDescent="0.55000000000000004">
      <c r="A113" s="24"/>
      <c r="B113" s="24"/>
      <c r="C113" s="24"/>
      <c r="D113" s="24"/>
      <c r="E113" s="24"/>
      <c r="F113" s="70"/>
      <c r="Y113" s="24"/>
      <c r="Z113" s="75"/>
      <c r="AA113"/>
      <c r="AC113" s="70"/>
    </row>
    <row r="114" spans="1:29" x14ac:dyDescent="0.55000000000000004">
      <c r="A114" s="24"/>
      <c r="B114" s="24"/>
      <c r="C114" s="24"/>
      <c r="D114" s="24"/>
      <c r="E114" s="24"/>
      <c r="F114" s="70"/>
      <c r="Y114" s="24"/>
      <c r="Z114" s="75"/>
      <c r="AA114"/>
      <c r="AC114" s="70"/>
    </row>
    <row r="115" spans="1:29" x14ac:dyDescent="0.55000000000000004">
      <c r="A115" s="24"/>
      <c r="B115" s="24"/>
      <c r="C115" s="24"/>
      <c r="D115" s="24"/>
      <c r="E115" s="24"/>
      <c r="F115" s="70"/>
      <c r="Y115" s="24"/>
      <c r="Z115" s="75"/>
      <c r="AA115"/>
      <c r="AC115" s="70"/>
    </row>
    <row r="116" spans="1:29" x14ac:dyDescent="0.55000000000000004">
      <c r="A116" s="24"/>
      <c r="B116" s="24"/>
      <c r="C116" s="24"/>
      <c r="D116" s="24"/>
      <c r="E116" s="24"/>
      <c r="F116" s="70"/>
      <c r="Y116" s="24"/>
      <c r="Z116" s="75"/>
      <c r="AA116"/>
      <c r="AC116" s="70"/>
    </row>
    <row r="117" spans="1:29" x14ac:dyDescent="0.55000000000000004">
      <c r="A117" s="24"/>
      <c r="B117" s="24"/>
      <c r="C117" s="24"/>
      <c r="D117" s="24"/>
      <c r="E117" s="24"/>
      <c r="F117" s="70"/>
      <c r="Y117" s="24"/>
      <c r="Z117" s="75"/>
      <c r="AA117"/>
      <c r="AC117" s="70"/>
    </row>
    <row r="118" spans="1:29" x14ac:dyDescent="0.55000000000000004">
      <c r="A118" s="24"/>
      <c r="B118" s="24"/>
      <c r="C118" s="24"/>
      <c r="D118" s="24"/>
      <c r="E118" s="24"/>
      <c r="F118" s="70"/>
      <c r="Y118" s="24"/>
      <c r="Z118" s="75"/>
      <c r="AA118"/>
      <c r="AC118" s="70"/>
    </row>
    <row r="119" spans="1:29" x14ac:dyDescent="0.55000000000000004">
      <c r="A119" s="24"/>
      <c r="B119" s="24"/>
      <c r="C119" s="24"/>
      <c r="D119" s="24"/>
      <c r="E119" s="24"/>
      <c r="F119" s="70"/>
      <c r="Y119" s="24"/>
      <c r="Z119" s="75"/>
      <c r="AA119"/>
      <c r="AC119" s="70"/>
    </row>
    <row r="120" spans="1:29" x14ac:dyDescent="0.55000000000000004">
      <c r="A120" s="24"/>
      <c r="B120" s="24"/>
      <c r="C120" s="24"/>
      <c r="D120" s="24"/>
      <c r="E120" s="24"/>
      <c r="F120" s="70"/>
      <c r="Y120" s="24"/>
      <c r="Z120" s="75"/>
      <c r="AA120"/>
      <c r="AC120" s="70"/>
    </row>
    <row r="121" spans="1:29" x14ac:dyDescent="0.55000000000000004">
      <c r="A121" s="24"/>
      <c r="B121" s="24"/>
      <c r="C121" s="24"/>
      <c r="D121" s="24"/>
      <c r="E121" s="24"/>
      <c r="F121" s="70"/>
      <c r="Y121" s="24"/>
      <c r="Z121" s="75"/>
      <c r="AA121"/>
      <c r="AC121" s="70"/>
    </row>
    <row r="122" spans="1:29" x14ac:dyDescent="0.55000000000000004">
      <c r="A122" s="24"/>
      <c r="B122" s="24"/>
      <c r="C122" s="24"/>
      <c r="D122" s="24"/>
      <c r="E122" s="24"/>
      <c r="F122" s="70"/>
      <c r="Y122" s="24"/>
      <c r="Z122" s="75"/>
      <c r="AA122"/>
      <c r="AC122" s="70"/>
    </row>
    <row r="123" spans="1:29" x14ac:dyDescent="0.55000000000000004">
      <c r="A123" s="24"/>
      <c r="B123" s="24"/>
      <c r="C123" s="24"/>
      <c r="D123" s="24"/>
      <c r="E123" s="24"/>
      <c r="F123" s="70"/>
      <c r="Y123" s="24"/>
      <c r="Z123" s="75"/>
      <c r="AA123"/>
      <c r="AC123" s="70"/>
    </row>
    <row r="124" spans="1:29" x14ac:dyDescent="0.55000000000000004">
      <c r="A124" s="24"/>
      <c r="B124" s="24"/>
      <c r="C124" s="24"/>
      <c r="D124" s="24"/>
      <c r="E124" s="24"/>
      <c r="F124" s="70"/>
      <c r="Y124" s="24"/>
      <c r="Z124" s="75"/>
      <c r="AA124"/>
      <c r="AC124" s="70"/>
    </row>
    <row r="125" spans="1:29" x14ac:dyDescent="0.55000000000000004">
      <c r="A125" s="24"/>
      <c r="B125" s="24"/>
      <c r="C125" s="24"/>
      <c r="D125" s="24"/>
      <c r="E125" s="24"/>
      <c r="F125" s="70"/>
      <c r="Y125" s="24"/>
      <c r="Z125" s="75"/>
      <c r="AA125"/>
      <c r="AC125" s="70"/>
    </row>
    <row r="126" spans="1:29" x14ac:dyDescent="0.55000000000000004">
      <c r="A126" s="24"/>
      <c r="B126" s="24"/>
      <c r="C126" s="24"/>
      <c r="D126" s="24"/>
      <c r="E126" s="24"/>
      <c r="F126" s="70"/>
      <c r="Y126" s="24"/>
      <c r="Z126" s="75"/>
      <c r="AA126"/>
      <c r="AC126" s="70"/>
    </row>
    <row r="127" spans="1:29" x14ac:dyDescent="0.55000000000000004">
      <c r="A127" s="24"/>
      <c r="B127" s="24"/>
      <c r="C127" s="24"/>
      <c r="D127" s="24"/>
      <c r="E127" s="24"/>
      <c r="F127" s="70"/>
      <c r="Y127" s="24"/>
      <c r="Z127" s="75"/>
      <c r="AA127"/>
      <c r="AC127" s="70"/>
    </row>
    <row r="128" spans="1:29" x14ac:dyDescent="0.55000000000000004">
      <c r="A128" s="24"/>
      <c r="B128" s="24"/>
      <c r="C128" s="24"/>
      <c r="D128" s="24"/>
      <c r="E128" s="24"/>
      <c r="F128" s="70"/>
      <c r="Y128" s="24"/>
      <c r="Z128" s="75"/>
      <c r="AA128"/>
      <c r="AC128" s="70"/>
    </row>
    <row r="129" spans="1:29" x14ac:dyDescent="0.55000000000000004">
      <c r="A129" s="24"/>
      <c r="B129" s="24"/>
      <c r="C129" s="24"/>
      <c r="D129" s="24"/>
      <c r="E129" s="24"/>
      <c r="F129" s="70"/>
      <c r="Y129" s="24"/>
      <c r="Z129" s="75"/>
      <c r="AA129"/>
      <c r="AC129" s="70"/>
    </row>
    <row r="130" spans="1:29" x14ac:dyDescent="0.55000000000000004">
      <c r="A130" s="24"/>
      <c r="B130" s="24"/>
      <c r="C130" s="24"/>
      <c r="D130" s="24"/>
      <c r="E130" s="24"/>
      <c r="F130" s="70"/>
      <c r="Y130" s="24"/>
      <c r="Z130" s="75"/>
      <c r="AA130"/>
      <c r="AC130" s="70"/>
    </row>
    <row r="131" spans="1:29" x14ac:dyDescent="0.55000000000000004">
      <c r="A131" s="24"/>
      <c r="B131" s="24"/>
      <c r="C131" s="24"/>
      <c r="D131" s="24"/>
      <c r="E131" s="24"/>
      <c r="F131" s="70"/>
      <c r="Y131" s="24"/>
      <c r="Z131" s="75"/>
      <c r="AA131"/>
      <c r="AC131" s="70"/>
    </row>
    <row r="132" spans="1:29" x14ac:dyDescent="0.55000000000000004">
      <c r="A132" s="24"/>
      <c r="B132" s="24"/>
      <c r="C132" s="24"/>
      <c r="D132" s="24"/>
      <c r="E132" s="24"/>
      <c r="F132" s="70"/>
      <c r="Y132" s="24"/>
      <c r="Z132" s="75"/>
      <c r="AA132"/>
      <c r="AC132" s="70"/>
    </row>
    <row r="133" spans="1:29" x14ac:dyDescent="0.55000000000000004">
      <c r="A133" s="24"/>
      <c r="B133" s="24"/>
      <c r="C133" s="24"/>
      <c r="D133" s="24"/>
      <c r="E133" s="24"/>
      <c r="F133" s="70"/>
      <c r="Y133" s="24"/>
      <c r="Z133" s="75"/>
      <c r="AA133"/>
      <c r="AC133" s="70"/>
    </row>
    <row r="134" spans="1:29" x14ac:dyDescent="0.55000000000000004">
      <c r="A134" s="24"/>
      <c r="B134" s="24"/>
      <c r="C134" s="24"/>
      <c r="D134" s="24"/>
      <c r="E134" s="24"/>
      <c r="F134" s="70"/>
      <c r="Y134" s="24"/>
      <c r="Z134" s="75"/>
      <c r="AA134"/>
      <c r="AC134" s="70"/>
    </row>
    <row r="135" spans="1:29" x14ac:dyDescent="0.55000000000000004">
      <c r="A135" s="24"/>
      <c r="B135" s="24"/>
      <c r="C135" s="24"/>
      <c r="D135" s="24"/>
      <c r="E135" s="24"/>
      <c r="F135" s="70"/>
      <c r="Y135" s="24"/>
      <c r="Z135" s="75"/>
      <c r="AA135"/>
      <c r="AC135" s="70"/>
    </row>
    <row r="136" spans="1:29" x14ac:dyDescent="0.55000000000000004">
      <c r="A136" s="24"/>
      <c r="B136" s="24"/>
      <c r="C136" s="24"/>
      <c r="D136" s="24"/>
      <c r="E136" s="24"/>
      <c r="F136" s="70"/>
      <c r="Y136" s="24"/>
      <c r="Z136" s="75"/>
      <c r="AA136"/>
      <c r="AC136" s="70"/>
    </row>
    <row r="137" spans="1:29" x14ac:dyDescent="0.55000000000000004">
      <c r="A137" s="24"/>
      <c r="B137" s="24"/>
      <c r="C137" s="24"/>
      <c r="D137" s="24"/>
      <c r="E137" s="24"/>
      <c r="F137" s="70"/>
      <c r="Y137" s="24"/>
      <c r="Z137" s="75"/>
      <c r="AA137"/>
      <c r="AC137" s="70"/>
    </row>
    <row r="138" spans="1:29" x14ac:dyDescent="0.55000000000000004">
      <c r="A138" s="24"/>
      <c r="B138" s="24"/>
      <c r="C138" s="24"/>
      <c r="D138" s="24"/>
      <c r="E138" s="24"/>
      <c r="F138" s="70"/>
      <c r="Y138" s="24"/>
      <c r="Z138" s="75"/>
      <c r="AA138"/>
      <c r="AC138" s="70"/>
    </row>
    <row r="139" spans="1:29" x14ac:dyDescent="0.55000000000000004">
      <c r="A139" s="24"/>
      <c r="B139" s="24"/>
      <c r="C139" s="24"/>
      <c r="D139" s="24"/>
      <c r="E139" s="24"/>
      <c r="F139" s="70"/>
      <c r="Y139" s="24"/>
      <c r="Z139" s="75"/>
      <c r="AA139"/>
      <c r="AC139" s="70"/>
    </row>
    <row r="140" spans="1:29" x14ac:dyDescent="0.55000000000000004">
      <c r="A140" s="24"/>
      <c r="B140" s="24"/>
      <c r="C140" s="24"/>
      <c r="D140" s="24"/>
      <c r="E140" s="24"/>
      <c r="F140" s="70"/>
      <c r="Y140" s="24"/>
      <c r="Z140" s="75"/>
      <c r="AA140"/>
      <c r="AC140" s="70"/>
    </row>
    <row r="141" spans="1:29" x14ac:dyDescent="0.55000000000000004">
      <c r="A141" s="24"/>
      <c r="B141" s="24"/>
      <c r="C141" s="24"/>
      <c r="D141" s="24"/>
      <c r="E141" s="24"/>
      <c r="F141" s="70"/>
      <c r="Y141" s="24"/>
      <c r="Z141" s="75"/>
      <c r="AA141"/>
      <c r="AC141" s="70"/>
    </row>
    <row r="142" spans="1:29" x14ac:dyDescent="0.55000000000000004">
      <c r="A142" s="24"/>
      <c r="B142" s="24"/>
      <c r="C142" s="24"/>
      <c r="D142" s="24"/>
      <c r="E142" s="24"/>
      <c r="F142" s="70"/>
      <c r="Y142" s="24"/>
      <c r="Z142" s="75"/>
      <c r="AA142"/>
      <c r="AC142" s="70"/>
    </row>
    <row r="143" spans="1:29" x14ac:dyDescent="0.55000000000000004">
      <c r="A143" s="24"/>
      <c r="B143" s="24"/>
      <c r="C143" s="24"/>
      <c r="D143" s="24"/>
      <c r="E143" s="24"/>
      <c r="F143" s="70"/>
      <c r="Y143" s="24"/>
      <c r="Z143" s="75"/>
      <c r="AA143"/>
      <c r="AC143" s="70"/>
    </row>
    <row r="144" spans="1:29" x14ac:dyDescent="0.55000000000000004">
      <c r="A144" s="24"/>
      <c r="B144" s="24"/>
      <c r="C144" s="24"/>
      <c r="D144" s="24"/>
      <c r="E144" s="24"/>
      <c r="F144" s="70"/>
      <c r="Y144" s="24"/>
      <c r="Z144" s="75"/>
      <c r="AA144"/>
      <c r="AC144" s="70"/>
    </row>
    <row r="145" spans="1:29" x14ac:dyDescent="0.55000000000000004">
      <c r="A145" s="24"/>
      <c r="B145" s="24"/>
      <c r="C145" s="24"/>
      <c r="D145" s="24"/>
      <c r="E145" s="24"/>
      <c r="F145" s="70"/>
      <c r="Y145" s="24"/>
      <c r="Z145" s="75"/>
      <c r="AA145"/>
      <c r="AC145" s="70"/>
    </row>
    <row r="146" spans="1:29" x14ac:dyDescent="0.55000000000000004">
      <c r="A146" s="24"/>
      <c r="B146" s="24"/>
      <c r="C146" s="24"/>
      <c r="D146" s="24"/>
      <c r="E146" s="24"/>
      <c r="F146" s="70"/>
      <c r="Y146" s="24"/>
      <c r="Z146" s="75"/>
      <c r="AA146"/>
      <c r="AC146" s="70"/>
    </row>
    <row r="147" spans="1:29" x14ac:dyDescent="0.55000000000000004">
      <c r="A147" s="24"/>
      <c r="B147" s="24"/>
      <c r="C147" s="24"/>
      <c r="D147" s="24"/>
      <c r="E147" s="24"/>
      <c r="F147" s="70"/>
      <c r="Y147" s="24"/>
      <c r="Z147" s="75"/>
      <c r="AA147"/>
      <c r="AC147" s="70"/>
    </row>
    <row r="148" spans="1:29" x14ac:dyDescent="0.55000000000000004">
      <c r="A148" s="24"/>
      <c r="B148" s="24"/>
      <c r="C148" s="24"/>
      <c r="D148" s="24"/>
      <c r="E148" s="24"/>
      <c r="F148" s="70"/>
      <c r="Y148" s="24"/>
      <c r="Z148" s="75"/>
      <c r="AA148"/>
      <c r="AC148" s="70"/>
    </row>
    <row r="149" spans="1:29" x14ac:dyDescent="0.55000000000000004">
      <c r="A149" s="24"/>
      <c r="B149" s="24"/>
      <c r="C149" s="24"/>
      <c r="D149" s="24"/>
      <c r="E149" s="24"/>
      <c r="F149" s="70"/>
      <c r="Y149" s="24"/>
      <c r="Z149" s="75"/>
      <c r="AA149"/>
      <c r="AC149" s="70"/>
    </row>
    <row r="150" spans="1:29" x14ac:dyDescent="0.55000000000000004">
      <c r="A150" s="24"/>
      <c r="B150" s="24"/>
      <c r="C150" s="24"/>
      <c r="D150" s="24"/>
      <c r="E150" s="24"/>
      <c r="F150" s="70"/>
      <c r="Y150" s="24"/>
      <c r="Z150" s="75"/>
      <c r="AA150"/>
      <c r="AC150" s="70"/>
    </row>
    <row r="151" spans="1:29" x14ac:dyDescent="0.55000000000000004">
      <c r="A151" s="24"/>
      <c r="B151" s="24"/>
      <c r="C151" s="24"/>
      <c r="D151" s="24"/>
      <c r="E151" s="24"/>
      <c r="F151" s="70"/>
      <c r="Y151" s="24"/>
      <c r="Z151" s="75"/>
      <c r="AA151"/>
      <c r="AC151" s="70"/>
    </row>
    <row r="152" spans="1:29" x14ac:dyDescent="0.55000000000000004">
      <c r="A152" s="24"/>
      <c r="B152" s="24"/>
      <c r="C152" s="24"/>
      <c r="D152" s="24"/>
      <c r="E152" s="24"/>
      <c r="F152" s="70"/>
      <c r="Y152" s="24"/>
      <c r="Z152" s="75"/>
      <c r="AA152"/>
      <c r="AC152" s="70"/>
    </row>
    <row r="153" spans="1:29" x14ac:dyDescent="0.55000000000000004">
      <c r="A153" s="24"/>
      <c r="B153" s="24"/>
      <c r="C153" s="24"/>
      <c r="D153" s="24"/>
      <c r="E153" s="24"/>
      <c r="F153" s="70"/>
      <c r="Y153" s="24"/>
      <c r="Z153" s="75"/>
      <c r="AA153"/>
      <c r="AC153" s="70"/>
    </row>
    <row r="154" spans="1:29" x14ac:dyDescent="0.55000000000000004">
      <c r="A154" s="24"/>
      <c r="B154" s="24"/>
      <c r="C154" s="24"/>
      <c r="D154" s="24"/>
      <c r="E154" s="24"/>
      <c r="F154" s="70"/>
      <c r="Y154" s="24"/>
      <c r="Z154" s="75"/>
      <c r="AA154"/>
      <c r="AC154" s="70"/>
    </row>
    <row r="155" spans="1:29" x14ac:dyDescent="0.55000000000000004">
      <c r="A155" s="24"/>
      <c r="B155" s="24"/>
      <c r="C155" s="24"/>
      <c r="D155" s="24"/>
      <c r="E155" s="24"/>
      <c r="F155" s="70"/>
      <c r="Y155" s="24"/>
      <c r="Z155" s="75"/>
      <c r="AA155"/>
      <c r="AC155" s="70"/>
    </row>
    <row r="156" spans="1:29" x14ac:dyDescent="0.55000000000000004">
      <c r="A156" s="24"/>
      <c r="B156" s="24"/>
      <c r="C156" s="24"/>
      <c r="D156" s="24"/>
      <c r="E156" s="24"/>
      <c r="F156" s="70"/>
      <c r="Y156" s="24"/>
      <c r="Z156" s="75"/>
      <c r="AA156"/>
      <c r="AC156" s="70"/>
    </row>
    <row r="157" spans="1:29" x14ac:dyDescent="0.55000000000000004">
      <c r="A157" s="24"/>
      <c r="B157" s="24"/>
      <c r="C157" s="24"/>
      <c r="D157" s="24"/>
      <c r="E157" s="24"/>
      <c r="F157" s="70"/>
      <c r="Y157" s="24"/>
      <c r="Z157" s="75"/>
      <c r="AA157"/>
      <c r="AC157" s="70"/>
    </row>
    <row r="158" spans="1:29" x14ac:dyDescent="0.55000000000000004">
      <c r="A158" s="24"/>
      <c r="B158" s="24"/>
      <c r="C158" s="24"/>
      <c r="D158" s="24"/>
      <c r="E158" s="24"/>
      <c r="F158" s="70"/>
      <c r="Y158" s="24"/>
      <c r="Z158" s="75"/>
      <c r="AA158"/>
      <c r="AC158" s="70"/>
    </row>
    <row r="159" spans="1:29" x14ac:dyDescent="0.55000000000000004">
      <c r="A159" s="24"/>
      <c r="B159" s="24"/>
      <c r="C159" s="24"/>
      <c r="D159" s="24"/>
      <c r="E159" s="24"/>
      <c r="F159" s="70"/>
      <c r="Y159" s="24"/>
      <c r="Z159" s="75"/>
      <c r="AA159"/>
      <c r="AC159" s="70"/>
    </row>
    <row r="160" spans="1:29" x14ac:dyDescent="0.55000000000000004">
      <c r="A160" s="24"/>
      <c r="B160" s="24"/>
      <c r="C160" s="24"/>
      <c r="D160" s="24"/>
      <c r="E160" s="24"/>
      <c r="F160" s="70"/>
      <c r="Y160" s="24"/>
      <c r="Z160" s="75"/>
      <c r="AA160"/>
      <c r="AC160" s="70"/>
    </row>
    <row r="161" spans="1:29" x14ac:dyDescent="0.55000000000000004">
      <c r="A161" s="24"/>
      <c r="B161" s="24"/>
      <c r="C161" s="24"/>
      <c r="D161" s="24"/>
      <c r="E161" s="24"/>
      <c r="F161" s="70"/>
      <c r="Y161" s="24"/>
      <c r="Z161" s="75"/>
      <c r="AA161"/>
      <c r="AC161" s="70"/>
    </row>
    <row r="162" spans="1:29" x14ac:dyDescent="0.55000000000000004">
      <c r="A162" s="24"/>
      <c r="B162" s="24"/>
      <c r="C162" s="24"/>
      <c r="D162" s="24"/>
      <c r="E162" s="24"/>
      <c r="F162" s="70"/>
      <c r="Y162" s="24"/>
      <c r="Z162" s="75"/>
      <c r="AA162"/>
      <c r="AC162" s="70"/>
    </row>
    <row r="163" spans="1:29" x14ac:dyDescent="0.55000000000000004">
      <c r="A163" s="24"/>
      <c r="B163" s="24"/>
      <c r="C163" s="24"/>
      <c r="D163" s="24"/>
      <c r="E163" s="24"/>
      <c r="F163" s="70"/>
      <c r="Y163" s="24"/>
      <c r="Z163" s="75"/>
      <c r="AA163"/>
      <c r="AC163" s="70"/>
    </row>
    <row r="164" spans="1:29" x14ac:dyDescent="0.55000000000000004">
      <c r="A164" s="24"/>
      <c r="B164" s="24"/>
      <c r="C164" s="24"/>
      <c r="D164" s="24"/>
      <c r="E164" s="24"/>
      <c r="F164" s="70"/>
      <c r="Y164" s="24"/>
      <c r="Z164" s="75"/>
      <c r="AA164"/>
      <c r="AC164" s="70"/>
    </row>
    <row r="165" spans="1:29" x14ac:dyDescent="0.55000000000000004">
      <c r="A165" s="24"/>
      <c r="B165" s="24"/>
      <c r="C165" s="24"/>
      <c r="D165" s="24"/>
      <c r="E165" s="24"/>
      <c r="F165" s="70"/>
      <c r="Y165" s="24"/>
      <c r="Z165" s="75"/>
      <c r="AA165"/>
      <c r="AC165" s="70"/>
    </row>
    <row r="166" spans="1:29" x14ac:dyDescent="0.55000000000000004">
      <c r="A166" s="24"/>
      <c r="B166" s="24"/>
      <c r="C166" s="24"/>
      <c r="D166" s="24"/>
      <c r="E166" s="24"/>
      <c r="F166" s="70"/>
      <c r="Y166" s="24"/>
      <c r="Z166" s="75"/>
      <c r="AA166"/>
      <c r="AC166" s="70"/>
    </row>
    <row r="167" spans="1:29" x14ac:dyDescent="0.55000000000000004">
      <c r="A167" s="24"/>
      <c r="B167" s="24"/>
      <c r="C167" s="24"/>
      <c r="D167" s="24"/>
      <c r="E167" s="24"/>
      <c r="F167" s="70"/>
      <c r="Y167" s="24"/>
      <c r="Z167" s="75"/>
      <c r="AA167"/>
      <c r="AC167" s="70"/>
    </row>
    <row r="168" spans="1:29" x14ac:dyDescent="0.55000000000000004">
      <c r="A168" s="24"/>
      <c r="B168" s="24"/>
      <c r="C168" s="24"/>
      <c r="D168" s="24"/>
      <c r="E168" s="24"/>
      <c r="F168" s="70"/>
      <c r="Y168" s="24"/>
      <c r="Z168" s="75"/>
      <c r="AA168"/>
      <c r="AC168" s="70"/>
    </row>
    <row r="169" spans="1:29" x14ac:dyDescent="0.55000000000000004">
      <c r="A169" s="24"/>
      <c r="B169" s="24"/>
      <c r="C169" s="24"/>
      <c r="D169" s="24"/>
      <c r="E169" s="24"/>
      <c r="F169" s="70"/>
      <c r="Y169" s="24"/>
      <c r="Z169" s="75"/>
      <c r="AA169"/>
      <c r="AC169" s="70"/>
    </row>
    <row r="170" spans="1:29" x14ac:dyDescent="0.55000000000000004">
      <c r="A170" s="24"/>
      <c r="B170" s="24"/>
      <c r="C170" s="24"/>
      <c r="D170" s="24"/>
      <c r="E170" s="24"/>
      <c r="F170" s="70"/>
      <c r="Y170" s="24"/>
      <c r="Z170" s="75"/>
      <c r="AA170"/>
      <c r="AC170" s="70"/>
    </row>
    <row r="171" spans="1:29" x14ac:dyDescent="0.55000000000000004">
      <c r="A171" s="24"/>
      <c r="B171" s="24"/>
      <c r="C171" s="24"/>
      <c r="D171" s="24"/>
      <c r="E171" s="24"/>
      <c r="F171" s="70"/>
      <c r="Y171" s="24"/>
      <c r="Z171" s="75"/>
      <c r="AA171"/>
      <c r="AC171" s="70"/>
    </row>
    <row r="172" spans="1:29" x14ac:dyDescent="0.55000000000000004">
      <c r="A172" s="24"/>
      <c r="B172" s="24"/>
      <c r="C172" s="24"/>
      <c r="D172" s="24"/>
      <c r="E172" s="24"/>
      <c r="F172" s="70"/>
      <c r="Y172" s="24"/>
      <c r="Z172" s="75"/>
      <c r="AA172"/>
      <c r="AC172" s="70"/>
    </row>
    <row r="173" spans="1:29" x14ac:dyDescent="0.55000000000000004">
      <c r="A173" s="24"/>
      <c r="B173" s="24"/>
      <c r="C173" s="24"/>
      <c r="D173" s="24"/>
      <c r="E173" s="24"/>
      <c r="F173" s="70"/>
      <c r="Y173" s="24"/>
      <c r="Z173" s="75"/>
      <c r="AA173"/>
      <c r="AC173" s="70"/>
    </row>
    <row r="174" spans="1:29" x14ac:dyDescent="0.55000000000000004">
      <c r="A174" s="24"/>
      <c r="B174" s="24"/>
      <c r="C174" s="24"/>
      <c r="D174" s="24"/>
      <c r="E174" s="24"/>
      <c r="F174" s="70"/>
      <c r="Y174" s="24"/>
      <c r="Z174" s="75"/>
      <c r="AA174"/>
      <c r="AC174" s="70"/>
    </row>
    <row r="175" spans="1:29" x14ac:dyDescent="0.55000000000000004">
      <c r="A175" s="24"/>
      <c r="B175" s="24"/>
      <c r="C175" s="24"/>
      <c r="D175" s="24"/>
      <c r="E175" s="24"/>
      <c r="F175" s="70"/>
      <c r="Y175" s="24"/>
      <c r="Z175" s="75"/>
      <c r="AA175"/>
      <c r="AC175" s="70"/>
    </row>
    <row r="176" spans="1:29" x14ac:dyDescent="0.55000000000000004">
      <c r="A176" s="24"/>
      <c r="B176" s="24"/>
      <c r="C176" s="24"/>
      <c r="D176" s="24"/>
      <c r="E176" s="24"/>
      <c r="F176" s="70"/>
      <c r="Y176" s="24"/>
      <c r="Z176" s="75"/>
      <c r="AA176"/>
      <c r="AC176" s="70"/>
    </row>
    <row r="177" spans="1:29" x14ac:dyDescent="0.55000000000000004">
      <c r="A177" s="24"/>
      <c r="B177" s="24"/>
      <c r="C177" s="24"/>
      <c r="D177" s="24"/>
      <c r="E177" s="24"/>
      <c r="F177" s="70"/>
      <c r="Y177" s="24"/>
      <c r="Z177" s="75"/>
      <c r="AA177"/>
      <c r="AC177" s="70"/>
    </row>
    <row r="178" spans="1:29" x14ac:dyDescent="0.55000000000000004">
      <c r="A178" s="24"/>
      <c r="B178" s="24"/>
      <c r="C178" s="24"/>
      <c r="D178" s="24"/>
      <c r="E178" s="24"/>
      <c r="F178" s="70"/>
      <c r="Y178" s="24"/>
      <c r="Z178" s="75"/>
      <c r="AA178"/>
      <c r="AC178" s="70"/>
    </row>
    <row r="179" spans="1:29" x14ac:dyDescent="0.55000000000000004">
      <c r="A179" s="24"/>
      <c r="B179" s="24"/>
      <c r="C179" s="24"/>
      <c r="D179" s="24"/>
      <c r="E179" s="24"/>
      <c r="F179" s="70"/>
      <c r="Y179" s="24"/>
      <c r="Z179" s="75"/>
      <c r="AA179"/>
      <c r="AC179" s="70"/>
    </row>
    <row r="180" spans="1:29" x14ac:dyDescent="0.55000000000000004">
      <c r="A180" s="24"/>
      <c r="B180" s="24"/>
      <c r="C180" s="24"/>
      <c r="D180" s="24"/>
      <c r="E180" s="24"/>
      <c r="F180" s="70"/>
      <c r="Y180" s="24"/>
      <c r="Z180" s="75"/>
      <c r="AA180"/>
      <c r="AC180" s="70"/>
    </row>
    <row r="181" spans="1:29" x14ac:dyDescent="0.55000000000000004">
      <c r="A181" s="24"/>
      <c r="B181" s="24"/>
      <c r="C181" s="24"/>
      <c r="D181" s="24"/>
      <c r="E181" s="24"/>
      <c r="F181" s="70"/>
      <c r="Y181" s="24"/>
      <c r="Z181" s="75"/>
      <c r="AA181"/>
      <c r="AC181" s="70"/>
    </row>
    <row r="182" spans="1:29" x14ac:dyDescent="0.55000000000000004">
      <c r="A182" s="24"/>
      <c r="B182" s="24"/>
      <c r="C182" s="24"/>
      <c r="D182" s="24"/>
      <c r="E182" s="24"/>
      <c r="F182" s="70"/>
      <c r="Y182" s="24"/>
      <c r="Z182" s="75"/>
      <c r="AA182"/>
      <c r="AC182" s="70"/>
    </row>
    <row r="183" spans="1:29" x14ac:dyDescent="0.55000000000000004">
      <c r="A183" s="24"/>
      <c r="B183" s="24"/>
      <c r="C183" s="24"/>
      <c r="D183" s="24"/>
      <c r="E183" s="24"/>
      <c r="F183" s="70"/>
      <c r="Y183" s="24"/>
      <c r="Z183" s="75"/>
      <c r="AA183"/>
      <c r="AC183" s="70"/>
    </row>
    <row r="184" spans="1:29" x14ac:dyDescent="0.55000000000000004">
      <c r="A184" s="24"/>
      <c r="B184" s="24"/>
      <c r="C184" s="24"/>
      <c r="D184" s="24"/>
      <c r="E184" s="24"/>
      <c r="F184" s="70"/>
      <c r="Y184" s="24"/>
      <c r="Z184" s="75"/>
      <c r="AA184"/>
      <c r="AC184" s="70"/>
    </row>
    <row r="185" spans="1:29" x14ac:dyDescent="0.55000000000000004">
      <c r="A185" s="24"/>
      <c r="B185" s="24"/>
      <c r="C185" s="24"/>
      <c r="D185" s="24"/>
      <c r="E185" s="24"/>
      <c r="F185" s="70"/>
      <c r="Y185" s="24"/>
      <c r="Z185" s="75"/>
      <c r="AA185"/>
      <c r="AC185" s="70"/>
    </row>
    <row r="186" spans="1:29" x14ac:dyDescent="0.55000000000000004">
      <c r="A186" s="24"/>
      <c r="B186" s="24"/>
      <c r="C186" s="24"/>
      <c r="D186" s="24"/>
      <c r="E186" s="24"/>
      <c r="F186" s="70"/>
      <c r="Y186" s="24"/>
      <c r="Z186" s="75"/>
      <c r="AA186"/>
      <c r="AC186" s="70"/>
    </row>
    <row r="187" spans="1:29" x14ac:dyDescent="0.55000000000000004">
      <c r="A187" s="24"/>
      <c r="B187" s="24"/>
      <c r="C187" s="24"/>
      <c r="D187" s="24"/>
      <c r="E187" s="24"/>
      <c r="F187" s="70"/>
      <c r="Y187" s="24"/>
      <c r="Z187" s="75"/>
      <c r="AA187"/>
      <c r="AC187" s="70"/>
    </row>
    <row r="188" spans="1:29" x14ac:dyDescent="0.55000000000000004">
      <c r="A188" s="24"/>
      <c r="B188" s="24"/>
      <c r="C188" s="24"/>
      <c r="D188" s="24"/>
      <c r="E188" s="24"/>
      <c r="F188" s="70"/>
      <c r="Y188" s="24"/>
      <c r="Z188" s="75"/>
      <c r="AA188"/>
      <c r="AC188" s="70"/>
    </row>
    <row r="189" spans="1:29" x14ac:dyDescent="0.55000000000000004">
      <c r="A189" s="24"/>
      <c r="B189" s="24"/>
      <c r="C189" s="24"/>
      <c r="D189" s="24"/>
      <c r="E189" s="24"/>
      <c r="F189" s="70"/>
      <c r="Y189" s="24"/>
      <c r="Z189" s="75"/>
      <c r="AA189"/>
      <c r="AC189" s="70"/>
    </row>
    <row r="190" spans="1:29" x14ac:dyDescent="0.55000000000000004">
      <c r="A190" s="24"/>
      <c r="B190" s="24"/>
      <c r="C190" s="24"/>
      <c r="D190" s="24"/>
      <c r="E190" s="24"/>
      <c r="F190" s="70"/>
      <c r="Y190" s="24"/>
      <c r="Z190" s="75"/>
      <c r="AA190"/>
      <c r="AC190" s="70"/>
    </row>
    <row r="191" spans="1:29" x14ac:dyDescent="0.55000000000000004">
      <c r="A191" s="24"/>
      <c r="B191" s="24"/>
      <c r="C191" s="24"/>
      <c r="D191" s="24"/>
      <c r="E191" s="24"/>
      <c r="F191" s="70"/>
      <c r="Y191" s="24"/>
      <c r="Z191" s="75"/>
      <c r="AA191"/>
      <c r="AC191" s="70"/>
    </row>
    <row r="192" spans="1:29" x14ac:dyDescent="0.55000000000000004">
      <c r="A192" s="24"/>
      <c r="B192" s="24"/>
      <c r="C192" s="24"/>
      <c r="D192" s="24"/>
      <c r="E192" s="24"/>
      <c r="F192" s="70"/>
      <c r="Y192" s="24"/>
      <c r="Z192" s="75"/>
      <c r="AA192"/>
      <c r="AC192" s="70"/>
    </row>
    <row r="193" spans="1:29" x14ac:dyDescent="0.55000000000000004">
      <c r="A193" s="24"/>
      <c r="B193" s="24"/>
      <c r="C193" s="24"/>
      <c r="D193" s="24"/>
      <c r="E193" s="24"/>
      <c r="F193" s="70"/>
      <c r="Y193" s="24"/>
      <c r="Z193" s="75"/>
      <c r="AA193"/>
      <c r="AC193" s="70"/>
    </row>
    <row r="194" spans="1:29" x14ac:dyDescent="0.55000000000000004">
      <c r="A194" s="24"/>
      <c r="B194" s="24"/>
      <c r="C194" s="24"/>
      <c r="D194" s="24"/>
      <c r="E194" s="24"/>
      <c r="F194" s="70"/>
      <c r="Y194" s="24"/>
      <c r="Z194" s="75"/>
      <c r="AA194"/>
      <c r="AC194" s="70"/>
    </row>
    <row r="195" spans="1:29" x14ac:dyDescent="0.55000000000000004">
      <c r="A195" s="24"/>
      <c r="B195" s="24"/>
      <c r="C195" s="24"/>
      <c r="D195" s="24"/>
      <c r="E195" s="24"/>
      <c r="F195" s="70"/>
      <c r="Y195" s="24"/>
      <c r="Z195" s="75"/>
      <c r="AA195"/>
      <c r="AC195" s="70"/>
    </row>
    <row r="196" spans="1:29" x14ac:dyDescent="0.55000000000000004">
      <c r="A196" s="24"/>
      <c r="B196" s="24"/>
      <c r="C196" s="24"/>
      <c r="D196" s="24"/>
      <c r="E196" s="24"/>
      <c r="F196" s="70"/>
      <c r="Y196" s="24"/>
      <c r="Z196" s="75"/>
      <c r="AA196"/>
      <c r="AC196" s="70"/>
    </row>
    <row r="197" spans="1:29" x14ac:dyDescent="0.55000000000000004">
      <c r="A197" s="24"/>
      <c r="B197" s="24"/>
      <c r="C197" s="24"/>
      <c r="D197" s="24"/>
      <c r="E197" s="24"/>
      <c r="F197" s="70"/>
      <c r="Y197" s="24"/>
      <c r="Z197" s="75"/>
      <c r="AA197"/>
      <c r="AC197" s="70"/>
    </row>
    <row r="198" spans="1:29" x14ac:dyDescent="0.55000000000000004">
      <c r="A198" s="24"/>
      <c r="B198" s="24"/>
      <c r="C198" s="24"/>
      <c r="D198" s="24"/>
      <c r="E198" s="24"/>
      <c r="F198" s="70"/>
      <c r="Y198" s="24"/>
      <c r="Z198" s="75"/>
      <c r="AA198"/>
      <c r="AC198" s="70"/>
    </row>
    <row r="199" spans="1:29" x14ac:dyDescent="0.55000000000000004">
      <c r="A199" s="24"/>
      <c r="B199" s="24"/>
      <c r="C199" s="24"/>
      <c r="D199" s="24"/>
      <c r="E199" s="24"/>
      <c r="F199" s="70"/>
      <c r="Y199" s="24"/>
      <c r="Z199" s="75"/>
      <c r="AA199"/>
      <c r="AC199" s="70"/>
    </row>
    <row r="200" spans="1:29" x14ac:dyDescent="0.55000000000000004">
      <c r="A200" s="24"/>
      <c r="B200" s="24"/>
      <c r="C200" s="24"/>
      <c r="D200" s="24"/>
      <c r="E200" s="24"/>
      <c r="F200" s="70"/>
      <c r="Y200" s="24"/>
      <c r="Z200" s="75"/>
      <c r="AA200"/>
      <c r="AC200" s="70"/>
    </row>
    <row r="201" spans="1:29" x14ac:dyDescent="0.55000000000000004">
      <c r="A201" s="24"/>
      <c r="B201" s="24"/>
      <c r="C201" s="24"/>
      <c r="D201" s="24"/>
      <c r="E201" s="24"/>
      <c r="F201" s="70"/>
      <c r="Y201" s="24"/>
      <c r="Z201" s="75"/>
      <c r="AA201"/>
      <c r="AC201" s="70"/>
    </row>
    <row r="202" spans="1:29" x14ac:dyDescent="0.55000000000000004">
      <c r="A202" s="24"/>
      <c r="B202" s="24"/>
      <c r="C202" s="24"/>
      <c r="D202" s="24"/>
      <c r="E202" s="24"/>
      <c r="F202" s="70"/>
      <c r="Y202" s="24"/>
      <c r="Z202" s="75"/>
      <c r="AA202"/>
      <c r="AC202" s="70"/>
    </row>
    <row r="203" spans="1:29" x14ac:dyDescent="0.55000000000000004">
      <c r="A203" s="24"/>
      <c r="B203" s="24"/>
      <c r="C203" s="24"/>
      <c r="D203" s="24"/>
      <c r="E203" s="24"/>
      <c r="F203" s="70"/>
      <c r="Y203" s="24"/>
      <c r="Z203" s="75"/>
      <c r="AA203"/>
      <c r="AC203" s="70"/>
    </row>
    <row r="204" spans="1:29" x14ac:dyDescent="0.55000000000000004">
      <c r="A204" s="24"/>
      <c r="B204" s="24"/>
      <c r="C204" s="24"/>
      <c r="D204" s="24"/>
      <c r="E204" s="24"/>
      <c r="F204" s="70"/>
      <c r="Y204" s="24"/>
      <c r="Z204" s="75"/>
      <c r="AA204"/>
      <c r="AC204" s="70"/>
    </row>
    <row r="205" spans="1:29" x14ac:dyDescent="0.55000000000000004">
      <c r="A205" s="24"/>
      <c r="B205" s="24"/>
      <c r="C205" s="24"/>
      <c r="D205" s="24"/>
      <c r="E205" s="24"/>
      <c r="F205" s="70"/>
      <c r="Y205" s="24"/>
      <c r="Z205" s="75"/>
      <c r="AA205"/>
      <c r="AC205" s="70"/>
    </row>
    <row r="206" spans="1:29" x14ac:dyDescent="0.55000000000000004">
      <c r="A206" s="24"/>
      <c r="B206" s="24"/>
      <c r="C206" s="24"/>
      <c r="D206" s="24"/>
      <c r="E206" s="24"/>
      <c r="F206" s="70"/>
      <c r="Y206" s="24"/>
      <c r="Z206" s="75"/>
      <c r="AA206"/>
      <c r="AC206" s="70"/>
    </row>
    <row r="207" spans="1:29" x14ac:dyDescent="0.55000000000000004">
      <c r="A207" s="24"/>
      <c r="B207" s="24"/>
      <c r="C207" s="24"/>
      <c r="D207" s="24"/>
      <c r="E207" s="24"/>
      <c r="F207" s="70"/>
      <c r="Y207" s="24"/>
      <c r="Z207" s="75"/>
      <c r="AA207"/>
      <c r="AC207" s="70"/>
    </row>
    <row r="208" spans="1:29" x14ac:dyDescent="0.55000000000000004">
      <c r="A208" s="24"/>
      <c r="B208" s="24"/>
      <c r="C208" s="24"/>
      <c r="D208" s="24"/>
      <c r="E208" s="24"/>
      <c r="F208" s="70"/>
      <c r="Y208" s="24"/>
      <c r="Z208" s="75"/>
      <c r="AA208"/>
      <c r="AC208" s="70"/>
    </row>
    <row r="209" spans="1:29" x14ac:dyDescent="0.55000000000000004">
      <c r="A209" s="24"/>
      <c r="B209" s="24"/>
      <c r="C209" s="24"/>
      <c r="D209" s="24"/>
      <c r="E209" s="24"/>
      <c r="F209" s="70"/>
      <c r="Y209" s="24"/>
      <c r="Z209" s="75"/>
      <c r="AA209"/>
      <c r="AC209" s="70"/>
    </row>
    <row r="210" spans="1:29" x14ac:dyDescent="0.55000000000000004">
      <c r="A210" s="24"/>
      <c r="B210" s="24"/>
      <c r="C210" s="24"/>
      <c r="D210" s="24"/>
      <c r="E210" s="24"/>
      <c r="F210" s="70"/>
      <c r="Y210" s="24"/>
      <c r="Z210" s="75"/>
      <c r="AA210"/>
      <c r="AC210" s="70"/>
    </row>
    <row r="211" spans="1:29" x14ac:dyDescent="0.55000000000000004">
      <c r="A211" s="24"/>
      <c r="B211" s="24"/>
      <c r="C211" s="24"/>
      <c r="D211" s="24"/>
      <c r="E211" s="24"/>
      <c r="F211" s="70"/>
      <c r="Y211" s="24"/>
      <c r="Z211" s="75"/>
      <c r="AA211"/>
      <c r="AC211" s="70"/>
    </row>
    <row r="212" spans="1:29" x14ac:dyDescent="0.55000000000000004">
      <c r="A212" s="24"/>
      <c r="B212" s="24"/>
      <c r="C212" s="24"/>
      <c r="D212" s="24"/>
      <c r="E212" s="24"/>
      <c r="F212" s="70"/>
      <c r="Y212" s="24"/>
      <c r="Z212" s="75"/>
      <c r="AA212"/>
      <c r="AC212" s="70"/>
    </row>
    <row r="213" spans="1:29" x14ac:dyDescent="0.55000000000000004">
      <c r="A213" s="24"/>
      <c r="B213" s="24"/>
      <c r="C213" s="24"/>
      <c r="D213" s="24"/>
      <c r="E213" s="24"/>
      <c r="F213" s="70"/>
      <c r="Y213" s="24"/>
      <c r="Z213" s="75"/>
      <c r="AA213"/>
      <c r="AC213" s="70"/>
    </row>
    <row r="214" spans="1:29" x14ac:dyDescent="0.55000000000000004">
      <c r="A214" s="24"/>
      <c r="B214" s="24"/>
      <c r="C214" s="24"/>
      <c r="D214" s="24"/>
      <c r="E214" s="24"/>
      <c r="F214" s="70"/>
      <c r="Y214" s="24"/>
      <c r="Z214" s="75"/>
      <c r="AA214"/>
      <c r="AC214" s="70"/>
    </row>
    <row r="215" spans="1:29" x14ac:dyDescent="0.55000000000000004">
      <c r="A215" s="24"/>
      <c r="B215" s="24"/>
      <c r="C215" s="24"/>
      <c r="D215" s="24"/>
      <c r="E215" s="24"/>
      <c r="F215" s="70"/>
      <c r="Y215" s="24"/>
      <c r="Z215" s="75"/>
      <c r="AA215"/>
      <c r="AC215" s="70"/>
    </row>
    <row r="216" spans="1:29" x14ac:dyDescent="0.55000000000000004">
      <c r="A216" s="24"/>
      <c r="B216" s="24"/>
      <c r="C216" s="24"/>
      <c r="D216" s="24"/>
      <c r="E216" s="24"/>
      <c r="F216" s="70"/>
      <c r="Y216" s="24"/>
      <c r="Z216" s="75"/>
      <c r="AA216"/>
      <c r="AC216" s="70"/>
    </row>
    <row r="217" spans="1:29" x14ac:dyDescent="0.55000000000000004">
      <c r="A217" s="24"/>
      <c r="B217" s="24"/>
      <c r="C217" s="24"/>
      <c r="D217" s="24"/>
      <c r="E217" s="24"/>
      <c r="F217" s="70"/>
      <c r="Y217" s="24"/>
      <c r="Z217" s="75"/>
      <c r="AA217"/>
      <c r="AC217" s="70"/>
    </row>
    <row r="218" spans="1:29" x14ac:dyDescent="0.55000000000000004">
      <c r="A218" s="24"/>
      <c r="B218" s="24"/>
      <c r="C218" s="24"/>
      <c r="D218" s="24"/>
      <c r="E218" s="24"/>
      <c r="F218" s="70"/>
      <c r="Y218" s="24"/>
      <c r="Z218" s="75"/>
      <c r="AA218"/>
      <c r="AC218" s="70"/>
    </row>
    <row r="219" spans="1:29" x14ac:dyDescent="0.55000000000000004">
      <c r="A219" s="24"/>
      <c r="B219" s="24"/>
      <c r="C219" s="24"/>
      <c r="D219" s="24"/>
      <c r="E219" s="24"/>
      <c r="F219" s="70"/>
      <c r="Y219" s="24"/>
      <c r="Z219" s="75"/>
      <c r="AA219"/>
      <c r="AC219" s="70"/>
    </row>
    <row r="220" spans="1:29" x14ac:dyDescent="0.55000000000000004">
      <c r="A220" s="24"/>
      <c r="B220" s="24"/>
      <c r="C220" s="24"/>
      <c r="D220" s="24"/>
      <c r="E220" s="24"/>
      <c r="F220" s="70"/>
      <c r="Y220" s="24"/>
      <c r="Z220" s="75"/>
      <c r="AA220"/>
      <c r="AC220" s="70"/>
    </row>
    <row r="221" spans="1:29" x14ac:dyDescent="0.55000000000000004">
      <c r="A221" s="24"/>
      <c r="B221" s="24"/>
      <c r="C221" s="24"/>
      <c r="D221" s="24"/>
      <c r="E221" s="24"/>
      <c r="F221" s="70"/>
      <c r="Y221" s="24"/>
      <c r="Z221" s="75"/>
      <c r="AA221"/>
      <c r="AC221" s="70"/>
    </row>
    <row r="222" spans="1:29" x14ac:dyDescent="0.55000000000000004">
      <c r="A222" s="24"/>
      <c r="B222" s="24"/>
      <c r="C222" s="24"/>
      <c r="D222" s="24"/>
      <c r="E222" s="24"/>
      <c r="F222" s="70"/>
      <c r="Y222" s="24"/>
      <c r="Z222" s="75"/>
      <c r="AA222"/>
      <c r="AC222" s="70"/>
    </row>
    <row r="223" spans="1:29" x14ac:dyDescent="0.55000000000000004">
      <c r="A223" s="24"/>
      <c r="B223" s="24"/>
      <c r="C223" s="24"/>
      <c r="D223" s="24"/>
      <c r="E223" s="24"/>
      <c r="F223" s="70"/>
      <c r="Y223" s="24"/>
      <c r="Z223" s="75"/>
      <c r="AA223"/>
      <c r="AC223" s="70"/>
    </row>
    <row r="224" spans="1:29" x14ac:dyDescent="0.55000000000000004">
      <c r="A224" s="24"/>
      <c r="B224" s="24"/>
      <c r="C224" s="24"/>
      <c r="D224" s="24"/>
      <c r="E224" s="24"/>
      <c r="F224" s="70"/>
      <c r="Y224" s="24"/>
      <c r="Z224" s="75"/>
      <c r="AA224"/>
      <c r="AC224" s="70"/>
    </row>
    <row r="225" spans="1:29" x14ac:dyDescent="0.55000000000000004">
      <c r="A225" s="24"/>
      <c r="B225" s="24"/>
      <c r="C225" s="24"/>
      <c r="D225" s="24"/>
      <c r="E225" s="24"/>
      <c r="F225" s="70"/>
      <c r="Y225" s="24"/>
      <c r="Z225" s="75"/>
      <c r="AA225"/>
      <c r="AC225" s="70"/>
    </row>
    <row r="226" spans="1:29" x14ac:dyDescent="0.55000000000000004">
      <c r="A226" s="24"/>
      <c r="B226" s="24"/>
      <c r="C226" s="24"/>
      <c r="D226" s="24"/>
      <c r="E226" s="24"/>
      <c r="F226" s="70"/>
      <c r="Y226" s="24"/>
      <c r="Z226" s="75"/>
      <c r="AA226"/>
      <c r="AC226" s="70"/>
    </row>
    <row r="227" spans="1:29" x14ac:dyDescent="0.55000000000000004">
      <c r="A227" s="24"/>
      <c r="B227" s="24"/>
      <c r="C227" s="24"/>
      <c r="D227" s="24"/>
      <c r="E227" s="24"/>
      <c r="F227" s="70"/>
      <c r="Y227" s="24"/>
      <c r="Z227" s="75"/>
      <c r="AA227"/>
      <c r="AC227" s="70"/>
    </row>
    <row r="228" spans="1:29" x14ac:dyDescent="0.55000000000000004">
      <c r="A228" s="24"/>
      <c r="B228" s="24"/>
      <c r="C228" s="24"/>
      <c r="D228" s="24"/>
      <c r="E228" s="24"/>
      <c r="F228" s="70"/>
      <c r="Y228" s="24"/>
      <c r="Z228" s="75"/>
      <c r="AA228"/>
      <c r="AC228" s="70"/>
    </row>
    <row r="229" spans="1:29" x14ac:dyDescent="0.55000000000000004">
      <c r="A229" s="24"/>
      <c r="B229" s="24"/>
      <c r="C229" s="24"/>
      <c r="D229" s="24"/>
      <c r="E229" s="24"/>
      <c r="F229" s="70"/>
      <c r="Y229" s="24"/>
      <c r="Z229" s="75"/>
      <c r="AA229"/>
      <c r="AC229" s="70"/>
    </row>
    <row r="230" spans="1:29" x14ac:dyDescent="0.55000000000000004">
      <c r="A230" s="24"/>
      <c r="B230" s="24"/>
      <c r="C230" s="24"/>
      <c r="D230" s="24"/>
      <c r="E230" s="24"/>
      <c r="F230" s="70"/>
      <c r="Y230" s="24"/>
      <c r="Z230" s="75"/>
      <c r="AA230"/>
      <c r="AC230" s="70"/>
    </row>
    <row r="231" spans="1:29" x14ac:dyDescent="0.55000000000000004">
      <c r="A231" s="24"/>
      <c r="B231" s="24"/>
      <c r="C231" s="24"/>
      <c r="D231" s="24"/>
      <c r="E231" s="24"/>
      <c r="F231" s="70"/>
      <c r="Y231" s="24"/>
      <c r="Z231" s="75"/>
      <c r="AA231"/>
      <c r="AC231" s="70"/>
    </row>
    <row r="232" spans="1:29" x14ac:dyDescent="0.55000000000000004">
      <c r="A232" s="24"/>
      <c r="B232" s="24"/>
      <c r="C232" s="24"/>
      <c r="D232" s="24"/>
      <c r="E232" s="24"/>
      <c r="F232" s="70"/>
      <c r="Y232" s="24"/>
      <c r="Z232" s="75"/>
      <c r="AA232"/>
      <c r="AC232" s="70"/>
    </row>
    <row r="233" spans="1:29" x14ac:dyDescent="0.55000000000000004">
      <c r="A233" s="24"/>
      <c r="B233" s="24"/>
      <c r="C233" s="24"/>
      <c r="D233" s="24"/>
      <c r="E233" s="24"/>
      <c r="F233" s="70"/>
      <c r="Y233" s="24"/>
      <c r="Z233" s="75"/>
      <c r="AA233"/>
      <c r="AC233" s="70"/>
    </row>
    <row r="234" spans="1:29" x14ac:dyDescent="0.55000000000000004">
      <c r="A234" s="24"/>
      <c r="B234" s="24"/>
      <c r="C234" s="24"/>
      <c r="D234" s="24"/>
      <c r="E234" s="24"/>
      <c r="F234" s="70"/>
      <c r="Y234" s="24"/>
      <c r="Z234" s="75"/>
      <c r="AA234"/>
      <c r="AC234" s="70"/>
    </row>
    <row r="235" spans="1:29" x14ac:dyDescent="0.55000000000000004">
      <c r="A235" s="24"/>
      <c r="B235" s="24"/>
      <c r="C235" s="24"/>
      <c r="D235" s="24"/>
      <c r="E235" s="24"/>
      <c r="F235" s="70"/>
      <c r="Y235" s="24"/>
      <c r="Z235" s="75"/>
      <c r="AA235"/>
      <c r="AC235" s="70"/>
    </row>
    <row r="236" spans="1:29" x14ac:dyDescent="0.55000000000000004">
      <c r="A236" s="24"/>
      <c r="B236" s="24"/>
      <c r="C236" s="24"/>
      <c r="D236" s="24"/>
      <c r="E236" s="24"/>
      <c r="F236" s="70"/>
      <c r="Y236" s="24"/>
      <c r="Z236" s="75"/>
      <c r="AA236"/>
      <c r="AC236" s="70"/>
    </row>
    <row r="237" spans="1:29" x14ac:dyDescent="0.55000000000000004">
      <c r="A237" s="24"/>
      <c r="B237" s="24"/>
      <c r="C237" s="24"/>
      <c r="D237" s="24"/>
      <c r="E237" s="24"/>
      <c r="F237" s="70"/>
      <c r="Y237" s="24"/>
      <c r="Z237" s="75"/>
      <c r="AA237"/>
      <c r="AC237" s="70"/>
    </row>
    <row r="238" spans="1:29" x14ac:dyDescent="0.55000000000000004">
      <c r="A238" s="24"/>
      <c r="B238" s="24"/>
      <c r="C238" s="24"/>
      <c r="D238" s="24"/>
      <c r="E238" s="24"/>
      <c r="F238" s="70"/>
      <c r="Y238" s="24"/>
      <c r="Z238" s="75"/>
      <c r="AA238"/>
      <c r="AC238" s="70"/>
    </row>
    <row r="239" spans="1:29" x14ac:dyDescent="0.55000000000000004">
      <c r="A239" s="24"/>
      <c r="B239" s="24"/>
      <c r="C239" s="24"/>
      <c r="D239" s="24"/>
      <c r="E239" s="24"/>
      <c r="F239" s="70"/>
      <c r="Y239" s="24"/>
      <c r="Z239" s="75"/>
      <c r="AA239"/>
      <c r="AC239" s="70"/>
    </row>
    <row r="240" spans="1:29" x14ac:dyDescent="0.55000000000000004">
      <c r="A240" s="24"/>
      <c r="B240" s="24"/>
      <c r="C240" s="24"/>
      <c r="D240" s="24"/>
      <c r="E240" s="24"/>
      <c r="F240" s="70"/>
      <c r="Y240" s="24"/>
      <c r="Z240" s="75"/>
      <c r="AA240"/>
      <c r="AC240" s="70"/>
    </row>
    <row r="241" spans="1:29" x14ac:dyDescent="0.55000000000000004">
      <c r="A241" s="24"/>
      <c r="B241" s="24"/>
      <c r="C241" s="24"/>
      <c r="D241" s="24"/>
      <c r="E241" s="24"/>
      <c r="F241" s="70"/>
      <c r="Y241" s="24"/>
      <c r="Z241" s="75"/>
      <c r="AA241"/>
      <c r="AC241" s="70"/>
    </row>
    <row r="242" spans="1:29" x14ac:dyDescent="0.55000000000000004">
      <c r="A242" s="24"/>
      <c r="B242" s="24"/>
      <c r="C242" s="24"/>
      <c r="D242" s="24"/>
      <c r="E242" s="24"/>
      <c r="F242" s="70"/>
      <c r="Y242" s="24"/>
      <c r="Z242" s="75"/>
      <c r="AA242"/>
      <c r="AC242" s="70"/>
    </row>
    <row r="243" spans="1:29" x14ac:dyDescent="0.55000000000000004">
      <c r="A243" s="24"/>
      <c r="B243" s="24"/>
      <c r="C243" s="24"/>
      <c r="D243" s="24"/>
      <c r="E243" s="24"/>
      <c r="F243" s="70"/>
      <c r="Y243" s="24"/>
      <c r="Z243" s="75"/>
      <c r="AA243"/>
      <c r="AC243" s="70"/>
    </row>
    <row r="244" spans="1:29" x14ac:dyDescent="0.55000000000000004">
      <c r="A244" s="24"/>
      <c r="B244" s="24"/>
      <c r="C244" s="24"/>
      <c r="D244" s="24"/>
      <c r="E244" s="24"/>
      <c r="F244" s="70"/>
      <c r="Y244" s="24"/>
      <c r="Z244" s="75"/>
      <c r="AA244"/>
      <c r="AC244" s="70"/>
    </row>
    <row r="245" spans="1:29" x14ac:dyDescent="0.55000000000000004">
      <c r="A245" s="24"/>
      <c r="B245" s="24"/>
      <c r="C245" s="24"/>
      <c r="D245" s="24"/>
      <c r="E245" s="24"/>
      <c r="F245" s="70"/>
      <c r="Y245" s="24"/>
      <c r="Z245" s="75"/>
      <c r="AA245"/>
      <c r="AC245" s="70"/>
    </row>
    <row r="246" spans="1:29" x14ac:dyDescent="0.55000000000000004">
      <c r="A246" s="24"/>
      <c r="B246" s="24"/>
      <c r="C246" s="24"/>
      <c r="D246" s="24"/>
      <c r="E246" s="24"/>
      <c r="F246" s="70"/>
      <c r="Y246" s="24"/>
      <c r="Z246" s="75"/>
      <c r="AA246"/>
      <c r="AC246" s="70"/>
    </row>
    <row r="247" spans="1:29" x14ac:dyDescent="0.55000000000000004">
      <c r="A247" s="24"/>
      <c r="B247" s="24"/>
      <c r="C247" s="24"/>
      <c r="D247" s="24"/>
      <c r="E247" s="24"/>
      <c r="F247" s="70"/>
      <c r="Y247" s="24"/>
      <c r="Z247" s="75"/>
      <c r="AA247"/>
      <c r="AC247" s="70"/>
    </row>
    <row r="248" spans="1:29" x14ac:dyDescent="0.55000000000000004">
      <c r="A248" s="24"/>
      <c r="B248" s="24"/>
      <c r="C248" s="24"/>
      <c r="D248" s="24"/>
      <c r="E248" s="24"/>
      <c r="F248" s="70"/>
      <c r="Y248" s="24"/>
      <c r="Z248" s="75"/>
      <c r="AA248"/>
      <c r="AC248" s="70"/>
    </row>
    <row r="249" spans="1:29" x14ac:dyDescent="0.55000000000000004">
      <c r="A249" s="24"/>
      <c r="B249" s="24"/>
      <c r="C249" s="24"/>
      <c r="D249" s="24"/>
      <c r="E249" s="24"/>
      <c r="F249" s="70"/>
      <c r="Y249" s="24"/>
      <c r="Z249" s="75"/>
      <c r="AA249"/>
      <c r="AC249" s="70"/>
    </row>
    <row r="250" spans="1:29" x14ac:dyDescent="0.55000000000000004">
      <c r="A250" s="24"/>
      <c r="B250" s="24"/>
      <c r="C250" s="24"/>
      <c r="D250" s="24"/>
      <c r="E250" s="24"/>
      <c r="F250" s="70"/>
      <c r="Y250" s="24"/>
      <c r="Z250" s="75"/>
      <c r="AA250"/>
      <c r="AC250" s="70"/>
    </row>
    <row r="251" spans="1:29" x14ac:dyDescent="0.55000000000000004">
      <c r="A251" s="24"/>
      <c r="B251" s="24"/>
      <c r="C251" s="24"/>
      <c r="D251" s="24"/>
      <c r="E251" s="24"/>
      <c r="F251" s="70"/>
      <c r="Y251" s="24"/>
      <c r="Z251" s="75"/>
      <c r="AA251"/>
      <c r="AC251" s="70"/>
    </row>
    <row r="252" spans="1:29" x14ac:dyDescent="0.55000000000000004">
      <c r="A252" s="24"/>
      <c r="B252" s="24"/>
      <c r="C252" s="24"/>
      <c r="D252" s="24"/>
      <c r="E252" s="24"/>
      <c r="F252" s="70"/>
      <c r="Y252" s="24"/>
      <c r="Z252" s="75"/>
      <c r="AA252"/>
      <c r="AC252" s="70"/>
    </row>
    <row r="253" spans="1:29" x14ac:dyDescent="0.55000000000000004">
      <c r="A253" s="24"/>
      <c r="B253" s="24"/>
      <c r="C253" s="24"/>
      <c r="D253" s="24"/>
      <c r="E253" s="24"/>
      <c r="F253" s="70"/>
      <c r="Y253" s="24"/>
      <c r="Z253" s="75"/>
      <c r="AA253"/>
      <c r="AC253" s="70"/>
    </row>
    <row r="254" spans="1:29" x14ac:dyDescent="0.55000000000000004">
      <c r="A254" s="24"/>
      <c r="B254" s="24"/>
      <c r="C254" s="24"/>
      <c r="D254" s="24"/>
      <c r="E254" s="24"/>
      <c r="F254" s="70"/>
      <c r="Y254" s="24"/>
      <c r="Z254" s="75"/>
      <c r="AA254"/>
      <c r="AC254" s="70"/>
    </row>
    <row r="255" spans="1:29" x14ac:dyDescent="0.55000000000000004">
      <c r="A255" s="24"/>
      <c r="B255" s="24"/>
      <c r="C255" s="24"/>
      <c r="D255" s="24"/>
      <c r="E255" s="24"/>
      <c r="F255" s="70"/>
      <c r="Y255" s="24"/>
      <c r="Z255" s="75"/>
      <c r="AA255"/>
      <c r="AC255" s="70"/>
    </row>
    <row r="256" spans="1:29" x14ac:dyDescent="0.55000000000000004">
      <c r="A256" s="24"/>
      <c r="B256" s="24"/>
      <c r="C256" s="24"/>
      <c r="D256" s="24"/>
      <c r="E256" s="24"/>
      <c r="F256" s="70"/>
      <c r="Y256" s="24"/>
      <c r="Z256" s="75"/>
      <c r="AA256"/>
      <c r="AC256" s="70"/>
    </row>
    <row r="257" spans="1:29" x14ac:dyDescent="0.55000000000000004">
      <c r="A257" s="24"/>
      <c r="B257" s="24"/>
      <c r="C257" s="24"/>
      <c r="D257" s="24"/>
      <c r="E257" s="24"/>
      <c r="F257" s="70"/>
      <c r="Y257" s="24"/>
      <c r="Z257" s="75"/>
      <c r="AA257"/>
      <c r="AC257" s="70"/>
    </row>
    <row r="258" spans="1:29" x14ac:dyDescent="0.55000000000000004">
      <c r="A258" s="24"/>
      <c r="B258" s="24"/>
      <c r="C258" s="24"/>
      <c r="D258" s="24"/>
      <c r="E258" s="24"/>
      <c r="F258" s="70"/>
      <c r="Y258" s="24"/>
      <c r="Z258" s="75"/>
      <c r="AA258"/>
      <c r="AC258" s="70"/>
    </row>
    <row r="259" spans="1:29" x14ac:dyDescent="0.55000000000000004">
      <c r="A259" s="24"/>
      <c r="B259" s="24"/>
      <c r="C259" s="24"/>
      <c r="D259" s="24"/>
      <c r="E259" s="24"/>
      <c r="F259" s="70"/>
      <c r="Y259" s="24"/>
      <c r="Z259" s="75"/>
      <c r="AA259"/>
      <c r="AC259" s="70"/>
    </row>
    <row r="260" spans="1:29" x14ac:dyDescent="0.55000000000000004">
      <c r="A260" s="24"/>
      <c r="B260" s="24"/>
      <c r="C260" s="24"/>
      <c r="D260" s="24"/>
      <c r="E260" s="24"/>
      <c r="F260" s="70"/>
      <c r="Y260" s="24"/>
      <c r="Z260" s="75"/>
      <c r="AA260"/>
      <c r="AC260" s="70"/>
    </row>
    <row r="261" spans="1:29" x14ac:dyDescent="0.55000000000000004">
      <c r="A261" s="24"/>
      <c r="B261" s="24"/>
      <c r="C261" s="24"/>
      <c r="D261" s="24"/>
      <c r="E261" s="24"/>
      <c r="F261" s="70"/>
      <c r="Y261" s="24"/>
      <c r="Z261" s="75"/>
      <c r="AA261"/>
      <c r="AC261" s="70"/>
    </row>
    <row r="262" spans="1:29" x14ac:dyDescent="0.55000000000000004">
      <c r="A262" s="24"/>
      <c r="B262" s="24"/>
      <c r="C262" s="24"/>
      <c r="D262" s="24"/>
      <c r="E262" s="24"/>
      <c r="F262" s="70"/>
      <c r="Y262" s="24"/>
      <c r="Z262" s="75"/>
      <c r="AA262"/>
      <c r="AC262" s="70"/>
    </row>
    <row r="263" spans="1:29" x14ac:dyDescent="0.55000000000000004">
      <c r="A263" s="24"/>
      <c r="B263" s="24"/>
      <c r="C263" s="24"/>
      <c r="D263" s="24"/>
      <c r="E263" s="24"/>
      <c r="F263" s="70"/>
      <c r="Y263" s="24"/>
      <c r="Z263" s="75"/>
      <c r="AA263"/>
      <c r="AC263" s="70"/>
    </row>
    <row r="264" spans="1:29" x14ac:dyDescent="0.55000000000000004">
      <c r="A264" s="24"/>
      <c r="B264" s="24"/>
      <c r="C264" s="24"/>
      <c r="D264" s="24"/>
      <c r="E264" s="24"/>
      <c r="F264" s="70"/>
      <c r="Y264" s="24"/>
      <c r="Z264" s="75"/>
      <c r="AA264"/>
      <c r="AC264" s="70"/>
    </row>
    <row r="265" spans="1:29" x14ac:dyDescent="0.55000000000000004">
      <c r="A265" s="24"/>
      <c r="B265" s="24"/>
      <c r="C265" s="24"/>
      <c r="D265" s="24"/>
      <c r="E265" s="24"/>
      <c r="F265" s="70"/>
      <c r="Y265" s="24"/>
      <c r="Z265" s="75"/>
      <c r="AA265"/>
      <c r="AC265" s="70"/>
    </row>
    <row r="266" spans="1:29" x14ac:dyDescent="0.55000000000000004">
      <c r="A266" s="24"/>
      <c r="B266" s="24"/>
      <c r="C266" s="24"/>
      <c r="D266" s="24"/>
      <c r="E266" s="24"/>
      <c r="F266" s="70"/>
      <c r="Y266" s="24"/>
      <c r="Z266" s="75"/>
      <c r="AA266"/>
      <c r="AC266" s="70"/>
    </row>
    <row r="267" spans="1:29" x14ac:dyDescent="0.55000000000000004">
      <c r="A267" s="24"/>
      <c r="B267" s="24"/>
      <c r="C267" s="24"/>
      <c r="D267" s="24"/>
      <c r="E267" s="24"/>
      <c r="F267" s="70"/>
      <c r="Y267" s="24"/>
      <c r="Z267" s="75"/>
      <c r="AA267"/>
      <c r="AC267" s="70"/>
    </row>
    <row r="268" spans="1:29" x14ac:dyDescent="0.55000000000000004">
      <c r="A268" s="24"/>
      <c r="B268" s="24"/>
      <c r="C268" s="24"/>
      <c r="D268" s="24"/>
      <c r="E268" s="24"/>
      <c r="F268" s="70"/>
      <c r="Y268" s="24"/>
      <c r="Z268" s="75"/>
      <c r="AA268"/>
      <c r="AC268" s="70"/>
    </row>
    <row r="269" spans="1:29" x14ac:dyDescent="0.55000000000000004">
      <c r="A269" s="24"/>
      <c r="B269" s="24"/>
      <c r="C269" s="24"/>
      <c r="D269" s="24"/>
      <c r="E269" s="24"/>
      <c r="F269" s="70"/>
      <c r="Y269" s="24"/>
      <c r="Z269" s="75"/>
      <c r="AA269"/>
      <c r="AC269" s="70"/>
    </row>
    <row r="270" spans="1:29" x14ac:dyDescent="0.55000000000000004">
      <c r="A270" s="24"/>
      <c r="B270" s="24"/>
      <c r="C270" s="24"/>
      <c r="D270" s="24"/>
      <c r="E270" s="24"/>
      <c r="F270" s="70"/>
      <c r="Y270" s="24"/>
      <c r="Z270" s="75"/>
      <c r="AA270"/>
      <c r="AC270" s="70"/>
    </row>
    <row r="271" spans="1:29" x14ac:dyDescent="0.55000000000000004">
      <c r="A271" s="24"/>
      <c r="B271" s="24"/>
      <c r="C271" s="24"/>
      <c r="D271" s="24"/>
      <c r="E271" s="24"/>
      <c r="F271" s="70"/>
      <c r="Y271" s="24"/>
      <c r="Z271" s="75"/>
      <c r="AA271"/>
      <c r="AC271" s="70"/>
    </row>
    <row r="272" spans="1:29" x14ac:dyDescent="0.55000000000000004">
      <c r="A272" s="24"/>
      <c r="B272" s="24"/>
      <c r="C272" s="24"/>
      <c r="D272" s="24"/>
      <c r="E272" s="24"/>
      <c r="F272" s="70"/>
      <c r="Y272" s="24"/>
      <c r="Z272" s="75"/>
      <c r="AA272"/>
      <c r="AC272" s="70"/>
    </row>
    <row r="273" spans="1:29" x14ac:dyDescent="0.55000000000000004">
      <c r="A273" s="24"/>
      <c r="B273" s="24"/>
      <c r="C273" s="24"/>
      <c r="D273" s="24"/>
      <c r="E273" s="24"/>
      <c r="F273" s="70"/>
      <c r="Y273" s="24"/>
      <c r="Z273" s="75"/>
      <c r="AA273"/>
      <c r="AC273" s="70"/>
    </row>
    <row r="274" spans="1:29" x14ac:dyDescent="0.55000000000000004">
      <c r="A274" s="24"/>
      <c r="B274" s="24"/>
      <c r="C274" s="24"/>
      <c r="D274" s="24"/>
      <c r="E274" s="24"/>
      <c r="F274" s="70"/>
      <c r="Y274" s="24"/>
      <c r="Z274" s="75"/>
      <c r="AA274"/>
      <c r="AC274" s="70"/>
    </row>
    <row r="275" spans="1:29" x14ac:dyDescent="0.55000000000000004">
      <c r="A275" s="24"/>
      <c r="B275" s="24"/>
      <c r="C275" s="24"/>
      <c r="D275" s="24"/>
      <c r="E275" s="24"/>
      <c r="F275" s="70"/>
      <c r="Y275" s="24"/>
      <c r="Z275" s="75"/>
      <c r="AA275"/>
      <c r="AC275" s="70"/>
    </row>
    <row r="276" spans="1:29" x14ac:dyDescent="0.55000000000000004">
      <c r="A276" s="24"/>
      <c r="B276" s="24"/>
      <c r="C276" s="24"/>
      <c r="D276" s="24"/>
      <c r="E276" s="24"/>
      <c r="F276" s="70"/>
      <c r="Y276" s="24"/>
      <c r="Z276" s="75"/>
      <c r="AA276"/>
      <c r="AC276" s="70"/>
    </row>
    <row r="277" spans="1:29" x14ac:dyDescent="0.55000000000000004">
      <c r="A277" s="24"/>
      <c r="B277" s="24"/>
      <c r="C277" s="24"/>
      <c r="D277" s="24"/>
      <c r="E277" s="24"/>
      <c r="F277" s="70"/>
      <c r="Y277" s="24"/>
      <c r="Z277" s="75"/>
      <c r="AA277"/>
      <c r="AC277" s="70"/>
    </row>
    <row r="278" spans="1:29" x14ac:dyDescent="0.55000000000000004">
      <c r="A278" s="24"/>
      <c r="B278" s="24"/>
      <c r="C278" s="24"/>
      <c r="D278" s="24"/>
      <c r="E278" s="24"/>
      <c r="F278" s="70"/>
      <c r="Y278" s="24"/>
      <c r="Z278" s="75"/>
      <c r="AA278"/>
      <c r="AC278" s="70"/>
    </row>
    <row r="279" spans="1:29" x14ac:dyDescent="0.55000000000000004">
      <c r="A279" s="24"/>
      <c r="B279" s="24"/>
      <c r="C279" s="24"/>
      <c r="D279" s="24"/>
      <c r="E279" s="24"/>
      <c r="F279" s="70"/>
      <c r="Y279" s="24"/>
      <c r="Z279" s="75"/>
      <c r="AA279"/>
      <c r="AC279" s="70"/>
    </row>
    <row r="280" spans="1:29" x14ac:dyDescent="0.55000000000000004">
      <c r="A280" s="24"/>
      <c r="B280" s="24"/>
      <c r="C280" s="24"/>
      <c r="D280" s="24"/>
      <c r="E280" s="24"/>
      <c r="F280" s="70"/>
      <c r="Y280" s="24"/>
      <c r="Z280" s="75"/>
      <c r="AA280"/>
      <c r="AC280" s="70"/>
    </row>
    <row r="281" spans="1:29" x14ac:dyDescent="0.55000000000000004">
      <c r="A281" s="24"/>
      <c r="B281" s="24"/>
      <c r="C281" s="24"/>
      <c r="D281" s="24"/>
      <c r="E281" s="24"/>
      <c r="F281" s="70"/>
      <c r="Y281" s="24"/>
      <c r="Z281" s="75"/>
      <c r="AA281"/>
      <c r="AC281" s="70"/>
    </row>
    <row r="282" spans="1:29" x14ac:dyDescent="0.55000000000000004">
      <c r="A282" s="24"/>
      <c r="B282" s="24"/>
      <c r="C282" s="24"/>
      <c r="D282" s="24"/>
      <c r="E282" s="24"/>
      <c r="F282" s="70"/>
      <c r="Y282" s="24"/>
      <c r="Z282" s="75"/>
      <c r="AA282"/>
      <c r="AC282" s="70"/>
    </row>
    <row r="283" spans="1:29" x14ac:dyDescent="0.55000000000000004">
      <c r="A283" s="24"/>
      <c r="B283" s="24"/>
      <c r="C283" s="24"/>
      <c r="D283" s="24"/>
      <c r="E283" s="24"/>
      <c r="F283" s="70"/>
      <c r="Y283" s="24"/>
      <c r="Z283" s="75"/>
      <c r="AA283"/>
      <c r="AC283" s="70"/>
    </row>
    <row r="284" spans="1:29" x14ac:dyDescent="0.55000000000000004">
      <c r="A284" s="24"/>
      <c r="B284" s="24"/>
      <c r="C284" s="24"/>
      <c r="D284" s="24"/>
      <c r="E284" s="24"/>
      <c r="F284" s="70"/>
      <c r="Y284" s="24"/>
      <c r="Z284" s="75"/>
      <c r="AA284"/>
      <c r="AC284" s="70"/>
    </row>
    <row r="285" spans="1:29" x14ac:dyDescent="0.55000000000000004">
      <c r="A285" s="24"/>
      <c r="B285" s="24"/>
      <c r="C285" s="24"/>
      <c r="D285" s="24"/>
      <c r="E285" s="24"/>
      <c r="F285" s="70"/>
      <c r="Y285" s="24"/>
      <c r="Z285" s="75"/>
      <c r="AA285"/>
      <c r="AC285" s="70"/>
    </row>
    <row r="286" spans="1:29" x14ac:dyDescent="0.55000000000000004">
      <c r="A286" s="24"/>
      <c r="B286" s="24"/>
      <c r="C286" s="24"/>
      <c r="D286" s="24"/>
      <c r="E286" s="24"/>
      <c r="F286" s="70"/>
      <c r="Y286" s="24"/>
      <c r="Z286" s="75"/>
      <c r="AA286"/>
      <c r="AC286" s="70"/>
    </row>
    <row r="287" spans="1:29" x14ac:dyDescent="0.55000000000000004">
      <c r="A287" s="24"/>
      <c r="B287" s="24"/>
      <c r="C287" s="24"/>
      <c r="D287" s="24"/>
      <c r="E287" s="24"/>
      <c r="F287" s="70"/>
      <c r="Y287" s="24"/>
      <c r="Z287" s="75"/>
      <c r="AA287"/>
      <c r="AC287" s="70"/>
    </row>
    <row r="288" spans="1:29" x14ac:dyDescent="0.55000000000000004">
      <c r="A288" s="24"/>
      <c r="B288" s="24"/>
      <c r="C288" s="24"/>
      <c r="D288" s="24"/>
      <c r="E288" s="24"/>
      <c r="F288" s="70"/>
      <c r="Y288" s="24"/>
      <c r="Z288" s="75"/>
      <c r="AA288"/>
      <c r="AC288" s="70"/>
    </row>
    <row r="289" spans="1:29" x14ac:dyDescent="0.55000000000000004">
      <c r="A289" s="24"/>
      <c r="B289" s="24"/>
      <c r="C289" s="24"/>
      <c r="D289" s="24"/>
      <c r="E289" s="24"/>
      <c r="F289" s="70"/>
      <c r="Y289" s="24"/>
      <c r="Z289" s="75"/>
      <c r="AA289"/>
      <c r="AC289" s="70"/>
    </row>
    <row r="290" spans="1:29" x14ac:dyDescent="0.55000000000000004">
      <c r="A290" s="24"/>
      <c r="B290" s="24"/>
      <c r="C290" s="24"/>
      <c r="D290" s="24"/>
      <c r="E290" s="24"/>
      <c r="F290" s="70"/>
      <c r="Y290" s="24"/>
      <c r="Z290" s="75"/>
      <c r="AA290"/>
      <c r="AC290" s="70"/>
    </row>
    <row r="291" spans="1:29" x14ac:dyDescent="0.55000000000000004">
      <c r="A291" s="24"/>
      <c r="B291" s="24"/>
      <c r="C291" s="24"/>
      <c r="D291" s="24"/>
      <c r="E291" s="24"/>
      <c r="F291" s="70"/>
      <c r="Y291" s="24"/>
      <c r="Z291" s="75"/>
      <c r="AA291"/>
      <c r="AC291" s="70"/>
    </row>
    <row r="292" spans="1:29" x14ac:dyDescent="0.55000000000000004">
      <c r="A292" s="24"/>
      <c r="B292" s="24"/>
      <c r="C292" s="24"/>
      <c r="D292" s="24"/>
      <c r="E292" s="24"/>
      <c r="F292" s="70"/>
      <c r="Y292" s="24"/>
      <c r="Z292" s="75"/>
      <c r="AA292"/>
      <c r="AC292" s="70"/>
    </row>
    <row r="293" spans="1:29" x14ac:dyDescent="0.55000000000000004">
      <c r="A293" s="24"/>
      <c r="B293" s="24"/>
      <c r="C293" s="24"/>
      <c r="D293" s="24"/>
      <c r="E293" s="24"/>
      <c r="F293" s="70"/>
      <c r="Y293" s="24"/>
      <c r="Z293" s="75"/>
      <c r="AA293"/>
      <c r="AC293" s="70"/>
    </row>
    <row r="294" spans="1:29" x14ac:dyDescent="0.55000000000000004">
      <c r="A294" s="24"/>
      <c r="B294" s="24"/>
      <c r="C294" s="24"/>
      <c r="D294" s="24"/>
      <c r="E294" s="24"/>
      <c r="F294" s="70"/>
      <c r="Y294" s="24"/>
      <c r="Z294" s="75"/>
      <c r="AA294"/>
      <c r="AC294" s="70"/>
    </row>
    <row r="295" spans="1:29" x14ac:dyDescent="0.55000000000000004">
      <c r="A295" s="24"/>
      <c r="B295" s="24"/>
      <c r="C295" s="24"/>
      <c r="D295" s="24"/>
      <c r="E295" s="24"/>
      <c r="F295" s="70"/>
      <c r="Y295" s="24"/>
      <c r="Z295" s="75"/>
      <c r="AA295"/>
      <c r="AC295" s="70"/>
    </row>
    <row r="296" spans="1:29" x14ac:dyDescent="0.55000000000000004">
      <c r="A296" s="24"/>
      <c r="B296" s="24"/>
      <c r="C296" s="24"/>
      <c r="D296" s="24"/>
      <c r="E296" s="24"/>
      <c r="F296" s="70"/>
      <c r="Y296" s="24"/>
      <c r="Z296" s="75"/>
      <c r="AA296"/>
      <c r="AC296" s="70"/>
    </row>
    <row r="297" spans="1:29" x14ac:dyDescent="0.55000000000000004">
      <c r="A297" s="24"/>
      <c r="B297" s="24"/>
      <c r="C297" s="24"/>
      <c r="D297" s="24"/>
      <c r="E297" s="24"/>
      <c r="F297" s="70"/>
      <c r="Y297" s="24"/>
      <c r="Z297" s="75"/>
      <c r="AA297"/>
      <c r="AC297" s="70"/>
    </row>
    <row r="298" spans="1:29" x14ac:dyDescent="0.55000000000000004">
      <c r="A298" s="24"/>
      <c r="B298" s="24"/>
      <c r="C298" s="24"/>
      <c r="D298" s="24"/>
      <c r="E298" s="24"/>
      <c r="F298" s="70"/>
      <c r="Y298" s="24"/>
      <c r="Z298" s="75"/>
      <c r="AA298"/>
      <c r="AC298" s="70"/>
    </row>
    <row r="299" spans="1:29" x14ac:dyDescent="0.55000000000000004">
      <c r="A299" s="24"/>
      <c r="B299" s="24"/>
      <c r="C299" s="24"/>
      <c r="D299" s="24"/>
      <c r="E299" s="24"/>
      <c r="F299" s="70"/>
      <c r="Y299" s="24"/>
      <c r="Z299" s="75"/>
      <c r="AA299"/>
      <c r="AC299" s="70"/>
    </row>
    <row r="300" spans="1:29" x14ac:dyDescent="0.55000000000000004">
      <c r="A300" s="24"/>
      <c r="B300" s="24"/>
      <c r="C300" s="24"/>
      <c r="D300" s="24"/>
      <c r="E300" s="24"/>
      <c r="F300" s="70"/>
      <c r="Y300" s="24"/>
      <c r="Z300" s="75"/>
      <c r="AA300"/>
      <c r="AC300" s="70"/>
    </row>
    <row r="301" spans="1:29" x14ac:dyDescent="0.55000000000000004">
      <c r="A301" s="24"/>
      <c r="B301" s="24"/>
      <c r="C301" s="24"/>
      <c r="D301" s="24"/>
      <c r="E301" s="24"/>
      <c r="F301" s="70"/>
      <c r="Y301" s="24"/>
      <c r="Z301" s="75"/>
      <c r="AA301"/>
      <c r="AC301" s="70"/>
    </row>
    <row r="302" spans="1:29" x14ac:dyDescent="0.55000000000000004">
      <c r="A302" s="24"/>
      <c r="B302" s="24"/>
      <c r="C302" s="24"/>
      <c r="D302" s="24"/>
      <c r="E302" s="24"/>
      <c r="F302" s="70"/>
      <c r="Y302" s="24"/>
      <c r="Z302" s="75"/>
      <c r="AA302"/>
      <c r="AC302" s="70"/>
    </row>
    <row r="303" spans="1:29" x14ac:dyDescent="0.55000000000000004">
      <c r="A303" s="24"/>
      <c r="B303" s="24"/>
      <c r="C303" s="24"/>
      <c r="D303" s="24"/>
      <c r="E303" s="24"/>
      <c r="F303" s="70"/>
      <c r="Y303" s="24"/>
      <c r="Z303" s="75"/>
      <c r="AA303"/>
      <c r="AC303" s="70"/>
    </row>
    <row r="304" spans="1:29" x14ac:dyDescent="0.55000000000000004">
      <c r="A304" s="24"/>
      <c r="B304" s="24"/>
      <c r="C304" s="24"/>
      <c r="D304" s="24"/>
      <c r="E304" s="24"/>
      <c r="F304" s="70"/>
      <c r="Y304" s="24"/>
      <c r="Z304" s="75"/>
      <c r="AA304"/>
      <c r="AC304" s="70"/>
    </row>
    <row r="305" spans="1:29" x14ac:dyDescent="0.55000000000000004">
      <c r="A305" s="24"/>
      <c r="B305" s="24"/>
      <c r="C305" s="24"/>
      <c r="D305" s="24"/>
      <c r="E305" s="24"/>
      <c r="F305" s="70"/>
      <c r="Y305" s="24"/>
      <c r="Z305" s="75"/>
      <c r="AA305"/>
      <c r="AC305" s="70"/>
    </row>
    <row r="306" spans="1:29" x14ac:dyDescent="0.55000000000000004">
      <c r="A306" s="24"/>
      <c r="B306" s="24"/>
      <c r="C306" s="24"/>
      <c r="D306" s="24"/>
      <c r="E306" s="24"/>
      <c r="F306" s="70"/>
      <c r="Y306" s="24"/>
      <c r="Z306" s="75"/>
      <c r="AA306"/>
      <c r="AC306" s="70"/>
    </row>
    <row r="307" spans="1:29" x14ac:dyDescent="0.55000000000000004">
      <c r="A307" s="24"/>
      <c r="B307" s="24"/>
      <c r="C307" s="24"/>
      <c r="D307" s="24"/>
      <c r="E307" s="24"/>
      <c r="F307" s="70"/>
      <c r="Y307" s="24"/>
      <c r="Z307" s="75"/>
      <c r="AA307"/>
      <c r="AC307" s="70"/>
    </row>
    <row r="308" spans="1:29" x14ac:dyDescent="0.55000000000000004">
      <c r="A308" s="24"/>
      <c r="B308" s="24"/>
      <c r="C308" s="24"/>
      <c r="D308" s="24"/>
      <c r="E308" s="24"/>
      <c r="F308" s="70"/>
      <c r="Y308" s="24"/>
      <c r="Z308" s="75"/>
      <c r="AA308"/>
      <c r="AC308" s="70"/>
    </row>
    <row r="309" spans="1:29" x14ac:dyDescent="0.55000000000000004">
      <c r="A309" s="24"/>
      <c r="B309" s="24"/>
      <c r="C309" s="24"/>
      <c r="D309" s="24"/>
      <c r="E309" s="24"/>
      <c r="F309" s="70"/>
      <c r="Y309" s="24"/>
      <c r="Z309" s="75"/>
      <c r="AA309"/>
      <c r="AC309" s="70"/>
    </row>
    <row r="310" spans="1:29" x14ac:dyDescent="0.55000000000000004">
      <c r="A310" s="24"/>
      <c r="B310" s="24"/>
      <c r="C310" s="24"/>
      <c r="D310" s="24"/>
      <c r="E310" s="24"/>
      <c r="F310" s="70"/>
      <c r="Y310" s="24"/>
      <c r="Z310" s="75"/>
      <c r="AA310"/>
      <c r="AC310" s="70"/>
    </row>
    <row r="311" spans="1:29" x14ac:dyDescent="0.55000000000000004">
      <c r="A311" s="24"/>
      <c r="B311" s="24"/>
      <c r="C311" s="24"/>
      <c r="D311" s="24"/>
      <c r="E311" s="24"/>
      <c r="F311" s="70"/>
      <c r="Y311" s="24"/>
      <c r="Z311" s="75"/>
      <c r="AA311"/>
      <c r="AC311" s="70"/>
    </row>
    <row r="312" spans="1:29" x14ac:dyDescent="0.55000000000000004">
      <c r="A312" s="24"/>
      <c r="B312" s="24"/>
      <c r="C312" s="24"/>
      <c r="D312" s="24"/>
      <c r="E312" s="24"/>
      <c r="F312" s="70"/>
      <c r="Y312" s="24"/>
      <c r="Z312" s="75"/>
      <c r="AA312"/>
      <c r="AC312" s="70"/>
    </row>
    <row r="313" spans="1:29" x14ac:dyDescent="0.55000000000000004">
      <c r="A313" s="24"/>
      <c r="B313" s="24"/>
      <c r="C313" s="24"/>
      <c r="D313" s="24"/>
      <c r="E313" s="24"/>
      <c r="F313" s="70"/>
      <c r="Y313" s="24"/>
      <c r="Z313" s="75"/>
      <c r="AA313"/>
      <c r="AC313" s="70"/>
    </row>
    <row r="314" spans="1:29" x14ac:dyDescent="0.55000000000000004">
      <c r="A314" s="24"/>
      <c r="B314" s="24"/>
      <c r="C314" s="24"/>
      <c r="D314" s="24"/>
      <c r="E314" s="24"/>
      <c r="F314" s="70"/>
      <c r="Y314" s="24"/>
      <c r="Z314" s="75"/>
      <c r="AA314"/>
      <c r="AC314" s="70"/>
    </row>
    <row r="315" spans="1:29" x14ac:dyDescent="0.55000000000000004">
      <c r="A315" s="24"/>
      <c r="B315" s="24"/>
      <c r="C315" s="24"/>
      <c r="D315" s="24"/>
      <c r="E315" s="24"/>
      <c r="F315" s="70"/>
      <c r="Y315" s="24"/>
      <c r="Z315" s="75"/>
      <c r="AA315"/>
      <c r="AC315" s="70"/>
    </row>
    <row r="316" spans="1:29" x14ac:dyDescent="0.55000000000000004">
      <c r="A316" s="24"/>
      <c r="B316" s="24"/>
      <c r="C316" s="24"/>
      <c r="D316" s="24"/>
      <c r="E316" s="24"/>
      <c r="F316" s="70"/>
      <c r="Y316" s="24"/>
      <c r="Z316" s="75"/>
      <c r="AA316"/>
      <c r="AC316" s="70"/>
    </row>
    <row r="317" spans="1:29" x14ac:dyDescent="0.55000000000000004">
      <c r="A317" s="24"/>
      <c r="B317" s="24"/>
      <c r="C317" s="24"/>
      <c r="D317" s="24"/>
      <c r="E317" s="24"/>
      <c r="F317" s="70"/>
      <c r="Y317" s="24"/>
      <c r="Z317" s="75"/>
      <c r="AA317"/>
      <c r="AC317" s="70"/>
    </row>
    <row r="318" spans="1:29" x14ac:dyDescent="0.55000000000000004">
      <c r="A318" s="24"/>
      <c r="B318" s="24"/>
      <c r="C318" s="24"/>
      <c r="D318" s="24"/>
      <c r="E318" s="24"/>
      <c r="F318" s="70"/>
      <c r="Y318" s="24"/>
      <c r="Z318" s="75"/>
      <c r="AA318"/>
      <c r="AC318" s="70"/>
    </row>
    <row r="319" spans="1:29" x14ac:dyDescent="0.55000000000000004">
      <c r="A319" s="24"/>
      <c r="B319" s="24"/>
      <c r="C319" s="24"/>
      <c r="D319" s="24"/>
      <c r="E319" s="24"/>
      <c r="F319" s="70"/>
      <c r="Y319" s="24"/>
      <c r="Z319" s="75"/>
      <c r="AA319"/>
      <c r="AC319" s="70"/>
    </row>
    <row r="320" spans="1:29" x14ac:dyDescent="0.55000000000000004">
      <c r="A320" s="24"/>
      <c r="B320" s="24"/>
      <c r="C320" s="24"/>
      <c r="D320" s="24"/>
      <c r="E320" s="24"/>
      <c r="F320" s="70"/>
      <c r="Y320" s="24"/>
      <c r="Z320" s="75"/>
      <c r="AA320"/>
      <c r="AC320" s="70"/>
    </row>
    <row r="321" spans="1:29" x14ac:dyDescent="0.55000000000000004">
      <c r="A321" s="24"/>
      <c r="B321" s="24"/>
      <c r="C321" s="24"/>
      <c r="D321" s="24"/>
      <c r="E321" s="24"/>
      <c r="F321" s="70"/>
      <c r="Y321" s="24"/>
      <c r="Z321" s="75"/>
      <c r="AA321"/>
      <c r="AC321" s="70"/>
    </row>
    <row r="322" spans="1:29" x14ac:dyDescent="0.55000000000000004">
      <c r="A322" s="24"/>
      <c r="B322" s="24"/>
      <c r="C322" s="24"/>
      <c r="D322" s="24"/>
      <c r="E322" s="24"/>
      <c r="F322" s="70"/>
      <c r="Y322" s="24"/>
      <c r="Z322" s="75"/>
      <c r="AA322"/>
      <c r="AC322" s="70"/>
    </row>
    <row r="323" spans="1:29" x14ac:dyDescent="0.55000000000000004">
      <c r="A323" s="24"/>
      <c r="B323" s="24"/>
      <c r="C323" s="24"/>
      <c r="D323" s="24"/>
      <c r="E323" s="24"/>
      <c r="F323" s="70"/>
      <c r="Y323" s="24"/>
      <c r="Z323" s="75"/>
      <c r="AA323"/>
      <c r="AC323" s="70"/>
    </row>
    <row r="324" spans="1:29" x14ac:dyDescent="0.55000000000000004">
      <c r="A324" s="24"/>
      <c r="B324" s="24"/>
      <c r="C324" s="24"/>
      <c r="D324" s="24"/>
      <c r="E324" s="24"/>
      <c r="F324" s="70"/>
      <c r="Y324" s="24"/>
      <c r="Z324" s="75"/>
      <c r="AA324"/>
      <c r="AC324" s="70"/>
    </row>
    <row r="325" spans="1:29" x14ac:dyDescent="0.55000000000000004">
      <c r="A325" s="24"/>
      <c r="B325" s="24"/>
      <c r="C325" s="24"/>
      <c r="D325" s="24"/>
      <c r="E325" s="24"/>
      <c r="F325" s="70"/>
      <c r="Y325" s="24"/>
      <c r="Z325" s="75"/>
      <c r="AA325"/>
      <c r="AC325" s="70"/>
    </row>
    <row r="326" spans="1:29" x14ac:dyDescent="0.55000000000000004">
      <c r="A326" s="24"/>
      <c r="B326" s="24"/>
      <c r="C326" s="24"/>
      <c r="D326" s="24"/>
      <c r="E326" s="24"/>
      <c r="F326" s="70"/>
      <c r="Y326" s="24"/>
      <c r="Z326" s="75"/>
      <c r="AA326"/>
      <c r="AC326" s="70"/>
    </row>
    <row r="327" spans="1:29" x14ac:dyDescent="0.55000000000000004">
      <c r="A327" s="24"/>
      <c r="B327" s="24"/>
      <c r="C327" s="24"/>
      <c r="D327" s="24"/>
      <c r="E327" s="24"/>
      <c r="F327" s="70"/>
      <c r="Y327" s="24"/>
      <c r="Z327" s="75"/>
      <c r="AA327"/>
      <c r="AC327" s="70"/>
    </row>
    <row r="328" spans="1:29" x14ac:dyDescent="0.55000000000000004">
      <c r="A328" s="24"/>
      <c r="B328" s="24"/>
      <c r="C328" s="24"/>
      <c r="D328" s="24"/>
      <c r="E328" s="24"/>
      <c r="F328" s="70"/>
      <c r="Y328" s="24"/>
      <c r="Z328" s="75"/>
      <c r="AA328"/>
      <c r="AC328" s="70"/>
    </row>
    <row r="329" spans="1:29" x14ac:dyDescent="0.55000000000000004">
      <c r="A329" s="24"/>
      <c r="B329" s="24"/>
      <c r="C329" s="24"/>
      <c r="D329" s="24"/>
      <c r="E329" s="24"/>
      <c r="F329" s="70"/>
      <c r="Y329" s="24"/>
      <c r="Z329" s="75"/>
      <c r="AA329"/>
      <c r="AC329" s="70"/>
    </row>
    <row r="330" spans="1:29" x14ac:dyDescent="0.55000000000000004">
      <c r="A330" s="24"/>
      <c r="B330" s="24"/>
      <c r="C330" s="24"/>
      <c r="D330" s="24"/>
      <c r="E330" s="24"/>
      <c r="F330" s="70"/>
      <c r="Y330" s="24"/>
      <c r="Z330" s="75"/>
      <c r="AA330"/>
      <c r="AC330" s="70"/>
    </row>
    <row r="331" spans="1:29" x14ac:dyDescent="0.55000000000000004">
      <c r="A331" s="24"/>
      <c r="B331" s="24"/>
      <c r="C331" s="24"/>
      <c r="D331" s="24"/>
      <c r="E331" s="24"/>
      <c r="F331" s="70"/>
      <c r="Y331" s="24"/>
      <c r="Z331" s="75"/>
      <c r="AA331"/>
      <c r="AC331" s="70"/>
    </row>
    <row r="332" spans="1:29" x14ac:dyDescent="0.55000000000000004">
      <c r="A332" s="24"/>
      <c r="B332" s="24"/>
      <c r="C332" s="24"/>
      <c r="D332" s="24"/>
      <c r="E332" s="24"/>
      <c r="F332" s="70"/>
      <c r="Y332" s="24"/>
      <c r="Z332" s="75"/>
      <c r="AA332"/>
      <c r="AC332" s="70"/>
    </row>
    <row r="333" spans="1:29" x14ac:dyDescent="0.55000000000000004">
      <c r="A333" s="24"/>
      <c r="B333" s="24"/>
      <c r="C333" s="24"/>
      <c r="D333" s="24"/>
      <c r="E333" s="24"/>
      <c r="F333" s="70"/>
      <c r="Y333" s="24"/>
      <c r="Z333" s="75"/>
      <c r="AA333"/>
      <c r="AC333" s="70"/>
    </row>
    <row r="334" spans="1:29" x14ac:dyDescent="0.55000000000000004">
      <c r="A334" s="24"/>
      <c r="B334" s="24"/>
      <c r="C334" s="24"/>
      <c r="D334" s="24"/>
      <c r="E334" s="24"/>
      <c r="F334" s="70"/>
      <c r="Y334" s="24"/>
      <c r="Z334" s="75"/>
      <c r="AA334"/>
      <c r="AC334" s="70"/>
    </row>
    <row r="335" spans="1:29" x14ac:dyDescent="0.55000000000000004">
      <c r="A335" s="24"/>
      <c r="B335" s="24"/>
      <c r="C335" s="24"/>
      <c r="D335" s="24"/>
      <c r="E335" s="24"/>
      <c r="F335" s="70"/>
      <c r="Y335" s="24"/>
      <c r="Z335" s="75"/>
      <c r="AA335"/>
      <c r="AC335" s="70"/>
    </row>
    <row r="336" spans="1:29" x14ac:dyDescent="0.55000000000000004">
      <c r="A336" s="24"/>
      <c r="B336" s="24"/>
      <c r="C336" s="24"/>
      <c r="D336" s="24"/>
      <c r="E336" s="24"/>
      <c r="F336" s="70"/>
      <c r="Y336" s="24"/>
      <c r="Z336" s="75"/>
      <c r="AA336"/>
      <c r="AC336" s="70"/>
    </row>
    <row r="337" spans="1:29" x14ac:dyDescent="0.55000000000000004">
      <c r="A337" s="24"/>
      <c r="B337" s="24"/>
      <c r="C337" s="24"/>
      <c r="D337" s="24"/>
      <c r="E337" s="24"/>
      <c r="F337" s="70"/>
      <c r="Y337" s="24"/>
      <c r="Z337" s="75"/>
      <c r="AA337"/>
      <c r="AC337" s="70"/>
    </row>
    <row r="338" spans="1:29" x14ac:dyDescent="0.55000000000000004">
      <c r="A338" s="24"/>
      <c r="B338" s="24"/>
      <c r="C338" s="24"/>
      <c r="D338" s="24"/>
      <c r="E338" s="24"/>
      <c r="F338" s="70"/>
      <c r="Y338" s="24"/>
      <c r="Z338" s="75"/>
      <c r="AA338"/>
      <c r="AC338" s="70"/>
    </row>
    <row r="339" spans="1:29" x14ac:dyDescent="0.55000000000000004">
      <c r="A339" s="24"/>
      <c r="B339" s="24"/>
      <c r="C339" s="24"/>
      <c r="D339" s="24"/>
      <c r="E339" s="24"/>
      <c r="F339" s="70"/>
      <c r="Y339" s="24"/>
      <c r="Z339" s="75"/>
      <c r="AA339"/>
      <c r="AC339" s="70"/>
    </row>
    <row r="340" spans="1:29" x14ac:dyDescent="0.55000000000000004">
      <c r="A340" s="24"/>
      <c r="B340" s="24"/>
      <c r="C340" s="24"/>
      <c r="D340" s="24"/>
      <c r="E340" s="24"/>
      <c r="F340" s="70"/>
      <c r="Y340" s="24"/>
      <c r="Z340" s="75"/>
      <c r="AA340"/>
      <c r="AC340" s="70"/>
    </row>
    <row r="341" spans="1:29" x14ac:dyDescent="0.55000000000000004">
      <c r="A341" s="24"/>
      <c r="B341" s="24"/>
      <c r="C341" s="24"/>
      <c r="D341" s="24"/>
      <c r="E341" s="24"/>
      <c r="F341" s="70"/>
      <c r="Y341" s="24"/>
      <c r="Z341" s="75"/>
      <c r="AA341"/>
      <c r="AC341" s="70"/>
    </row>
    <row r="342" spans="1:29" x14ac:dyDescent="0.55000000000000004">
      <c r="A342" s="24"/>
      <c r="B342" s="24"/>
      <c r="C342" s="24"/>
      <c r="D342" s="24"/>
      <c r="E342" s="24"/>
      <c r="F342" s="70"/>
      <c r="Y342" s="24"/>
      <c r="Z342" s="75"/>
      <c r="AA342"/>
      <c r="AC342" s="70"/>
    </row>
    <row r="343" spans="1:29" x14ac:dyDescent="0.55000000000000004">
      <c r="A343" s="24"/>
      <c r="B343" s="24"/>
      <c r="C343" s="24"/>
      <c r="D343" s="24"/>
      <c r="E343" s="24"/>
      <c r="F343" s="70"/>
      <c r="Y343" s="24"/>
      <c r="Z343" s="75"/>
      <c r="AA343"/>
      <c r="AC343" s="70"/>
    </row>
    <row r="344" spans="1:29" x14ac:dyDescent="0.55000000000000004">
      <c r="A344" s="24"/>
      <c r="B344" s="24"/>
      <c r="C344" s="24"/>
      <c r="D344" s="24"/>
      <c r="E344" s="24"/>
      <c r="F344" s="70"/>
      <c r="Y344" s="24"/>
      <c r="Z344" s="75"/>
      <c r="AA344"/>
      <c r="AC344" s="70"/>
    </row>
    <row r="345" spans="1:29" x14ac:dyDescent="0.55000000000000004">
      <c r="A345" s="24"/>
      <c r="B345" s="24"/>
      <c r="C345" s="24"/>
      <c r="D345" s="24"/>
      <c r="E345" s="24"/>
      <c r="F345" s="70"/>
      <c r="Y345" s="24"/>
      <c r="Z345" s="75"/>
      <c r="AA345"/>
      <c r="AC345" s="70"/>
    </row>
    <row r="346" spans="1:29" x14ac:dyDescent="0.55000000000000004">
      <c r="A346" s="24"/>
      <c r="B346" s="24"/>
      <c r="C346" s="24"/>
      <c r="D346" s="24"/>
      <c r="E346" s="24"/>
      <c r="F346" s="70"/>
      <c r="Y346" s="24"/>
      <c r="Z346" s="75"/>
      <c r="AA346"/>
      <c r="AC346" s="70"/>
    </row>
    <row r="347" spans="1:29" x14ac:dyDescent="0.55000000000000004">
      <c r="A347" s="24"/>
      <c r="B347" s="24"/>
      <c r="C347" s="24"/>
      <c r="D347" s="24"/>
      <c r="E347" s="24"/>
      <c r="F347" s="70"/>
      <c r="Y347" s="24"/>
      <c r="Z347" s="75"/>
      <c r="AA347"/>
      <c r="AC347" s="70"/>
    </row>
    <row r="348" spans="1:29" x14ac:dyDescent="0.55000000000000004">
      <c r="A348" s="24"/>
      <c r="B348" s="24"/>
      <c r="C348" s="24"/>
      <c r="D348" s="24"/>
      <c r="E348" s="24"/>
      <c r="F348" s="70"/>
      <c r="Y348" s="24"/>
      <c r="Z348" s="75"/>
      <c r="AA348"/>
      <c r="AC348" s="70"/>
    </row>
    <row r="349" spans="1:29" x14ac:dyDescent="0.55000000000000004">
      <c r="A349" s="24"/>
      <c r="B349" s="24"/>
      <c r="C349" s="24"/>
      <c r="D349" s="24"/>
      <c r="E349" s="24"/>
      <c r="F349" s="70"/>
      <c r="Y349" s="24"/>
      <c r="Z349" s="75"/>
      <c r="AA349"/>
      <c r="AC349" s="70"/>
    </row>
    <row r="350" spans="1:29" x14ac:dyDescent="0.55000000000000004">
      <c r="A350" s="24"/>
      <c r="B350" s="24"/>
      <c r="C350" s="24"/>
      <c r="D350" s="24"/>
      <c r="E350" s="24"/>
      <c r="F350" s="70"/>
      <c r="Y350" s="24"/>
      <c r="Z350" s="75"/>
      <c r="AA350"/>
      <c r="AC350" s="70"/>
    </row>
    <row r="351" spans="1:29" x14ac:dyDescent="0.55000000000000004">
      <c r="A351" s="24"/>
      <c r="B351" s="24"/>
      <c r="C351" s="24"/>
      <c r="D351" s="24"/>
      <c r="E351" s="24"/>
      <c r="F351" s="70"/>
      <c r="Y351" s="24"/>
      <c r="Z351" s="75"/>
      <c r="AA351"/>
      <c r="AC351" s="70"/>
    </row>
    <row r="352" spans="1:29" x14ac:dyDescent="0.55000000000000004">
      <c r="A352" s="24"/>
      <c r="B352" s="24"/>
      <c r="C352" s="24"/>
      <c r="D352" s="24"/>
      <c r="E352" s="24"/>
      <c r="F352" s="70"/>
      <c r="Y352" s="24"/>
      <c r="Z352" s="75"/>
      <c r="AA352"/>
      <c r="AC352" s="70"/>
    </row>
    <row r="353" spans="1:29" x14ac:dyDescent="0.55000000000000004">
      <c r="A353" s="24"/>
      <c r="B353" s="24"/>
      <c r="C353" s="24"/>
      <c r="D353" s="24"/>
      <c r="E353" s="24"/>
      <c r="F353" s="70"/>
      <c r="Y353" s="24"/>
      <c r="Z353" s="75"/>
      <c r="AA353"/>
      <c r="AC353" s="70"/>
    </row>
    <row r="354" spans="1:29" x14ac:dyDescent="0.55000000000000004">
      <c r="A354" s="24"/>
      <c r="B354" s="24"/>
      <c r="C354" s="24"/>
      <c r="D354" s="24"/>
      <c r="E354" s="24"/>
      <c r="F354" s="70"/>
      <c r="Y354" s="24"/>
      <c r="Z354" s="75"/>
      <c r="AA354"/>
      <c r="AC354" s="70"/>
    </row>
    <row r="355" spans="1:29" x14ac:dyDescent="0.55000000000000004">
      <c r="A355" s="24"/>
      <c r="B355" s="24"/>
      <c r="C355" s="24"/>
      <c r="D355" s="24"/>
      <c r="E355" s="24"/>
      <c r="F355" s="70"/>
      <c r="Y355" s="24"/>
      <c r="Z355" s="75"/>
      <c r="AA355"/>
      <c r="AC355" s="70"/>
    </row>
    <row r="356" spans="1:29" x14ac:dyDescent="0.55000000000000004">
      <c r="A356" s="24"/>
      <c r="B356" s="24"/>
      <c r="C356" s="24"/>
      <c r="D356" s="24"/>
      <c r="E356" s="24"/>
      <c r="F356" s="70"/>
      <c r="Y356" s="24"/>
      <c r="Z356" s="75"/>
      <c r="AA356"/>
      <c r="AC356" s="70"/>
    </row>
    <row r="357" spans="1:29" x14ac:dyDescent="0.55000000000000004">
      <c r="A357" s="24"/>
      <c r="B357" s="24"/>
      <c r="C357" s="24"/>
      <c r="D357" s="24"/>
      <c r="E357" s="24"/>
      <c r="F357" s="70"/>
      <c r="Y357" s="24"/>
      <c r="Z357" s="75"/>
      <c r="AA357"/>
      <c r="AC357" s="70"/>
    </row>
    <row r="358" spans="1:29" x14ac:dyDescent="0.55000000000000004">
      <c r="A358" s="24"/>
      <c r="B358" s="24"/>
      <c r="C358" s="24"/>
      <c r="D358" s="24"/>
      <c r="E358" s="24"/>
      <c r="F358" s="70"/>
      <c r="Y358" s="24"/>
      <c r="Z358" s="75"/>
      <c r="AA358"/>
      <c r="AC358" s="70"/>
    </row>
    <row r="359" spans="1:29" x14ac:dyDescent="0.55000000000000004">
      <c r="A359" s="24"/>
      <c r="B359" s="24"/>
      <c r="C359" s="24"/>
      <c r="D359" s="24"/>
      <c r="E359" s="24"/>
      <c r="F359" s="70"/>
      <c r="Y359" s="24"/>
      <c r="Z359" s="75"/>
      <c r="AA359"/>
      <c r="AC359" s="70"/>
    </row>
    <row r="360" spans="1:29" x14ac:dyDescent="0.55000000000000004">
      <c r="A360" s="24"/>
      <c r="B360" s="24"/>
      <c r="C360" s="24"/>
      <c r="D360" s="24"/>
      <c r="E360" s="24"/>
      <c r="F360" s="70"/>
      <c r="Y360" s="24"/>
      <c r="Z360" s="75"/>
      <c r="AA360"/>
      <c r="AC360" s="70"/>
    </row>
    <row r="361" spans="1:29" x14ac:dyDescent="0.55000000000000004">
      <c r="A361" s="24"/>
      <c r="B361" s="24"/>
      <c r="C361" s="24"/>
      <c r="D361" s="24"/>
      <c r="E361" s="24"/>
      <c r="F361" s="70"/>
      <c r="Y361" s="24"/>
      <c r="Z361" s="75"/>
      <c r="AA361"/>
      <c r="AC361" s="70"/>
    </row>
    <row r="362" spans="1:29" x14ac:dyDescent="0.55000000000000004">
      <c r="A362" s="24"/>
      <c r="B362" s="24"/>
      <c r="C362" s="24"/>
      <c r="D362" s="24"/>
      <c r="E362" s="24"/>
      <c r="F362" s="70"/>
      <c r="Y362" s="24"/>
      <c r="Z362" s="75"/>
      <c r="AA362"/>
      <c r="AC362" s="70"/>
    </row>
    <row r="363" spans="1:29" x14ac:dyDescent="0.55000000000000004">
      <c r="A363" s="24"/>
      <c r="B363" s="24"/>
      <c r="C363" s="24"/>
      <c r="D363" s="24"/>
      <c r="E363" s="24"/>
      <c r="F363" s="70"/>
      <c r="Y363" s="24"/>
      <c r="Z363" s="75"/>
      <c r="AA363"/>
      <c r="AC363" s="70"/>
    </row>
    <row r="364" spans="1:29" x14ac:dyDescent="0.55000000000000004">
      <c r="A364" s="24"/>
      <c r="B364" s="24"/>
      <c r="C364" s="24"/>
      <c r="D364" s="24"/>
      <c r="E364" s="24"/>
      <c r="F364" s="70"/>
      <c r="Y364" s="24"/>
      <c r="Z364" s="75"/>
      <c r="AA364"/>
      <c r="AC364" s="70"/>
    </row>
    <row r="365" spans="1:29" x14ac:dyDescent="0.55000000000000004">
      <c r="A365" s="24"/>
      <c r="B365" s="24"/>
      <c r="C365" s="24"/>
      <c r="D365" s="24"/>
      <c r="E365" s="24"/>
      <c r="F365" s="70"/>
      <c r="Y365" s="24"/>
      <c r="Z365" s="75"/>
      <c r="AA365"/>
      <c r="AC365" s="70"/>
    </row>
    <row r="366" spans="1:29" x14ac:dyDescent="0.55000000000000004">
      <c r="A366" s="24"/>
      <c r="B366" s="24"/>
      <c r="C366" s="24"/>
      <c r="D366" s="24"/>
      <c r="E366" s="24"/>
      <c r="F366" s="70"/>
      <c r="Y366" s="24"/>
      <c r="Z366" s="75"/>
      <c r="AA366"/>
      <c r="AC366" s="70"/>
    </row>
    <row r="367" spans="1:29" x14ac:dyDescent="0.55000000000000004">
      <c r="A367" s="24"/>
      <c r="B367" s="24"/>
      <c r="C367" s="24"/>
      <c r="D367" s="24"/>
      <c r="E367" s="24"/>
      <c r="F367" s="70"/>
      <c r="Y367" s="24"/>
      <c r="Z367" s="75"/>
      <c r="AA367"/>
      <c r="AC367" s="70"/>
    </row>
    <row r="368" spans="1:29" x14ac:dyDescent="0.55000000000000004">
      <c r="A368" s="24"/>
      <c r="B368" s="24"/>
      <c r="C368" s="24"/>
      <c r="D368" s="24"/>
      <c r="E368" s="24"/>
      <c r="F368" s="70"/>
      <c r="Y368" s="24"/>
      <c r="Z368" s="75"/>
      <c r="AA368"/>
      <c r="AC368" s="70"/>
    </row>
    <row r="369" spans="1:29" x14ac:dyDescent="0.55000000000000004">
      <c r="A369" s="24"/>
      <c r="B369" s="24"/>
      <c r="C369" s="24"/>
      <c r="D369" s="24"/>
      <c r="E369" s="24"/>
      <c r="F369" s="70"/>
      <c r="Y369" s="24"/>
      <c r="Z369" s="75"/>
      <c r="AA369"/>
      <c r="AC369" s="70"/>
    </row>
    <row r="370" spans="1:29" x14ac:dyDescent="0.55000000000000004">
      <c r="A370" s="24"/>
      <c r="B370" s="24"/>
      <c r="C370" s="24"/>
      <c r="D370" s="24"/>
      <c r="E370" s="24"/>
      <c r="F370" s="70"/>
      <c r="Y370" s="24"/>
      <c r="Z370" s="75"/>
      <c r="AA370"/>
      <c r="AC370" s="70"/>
    </row>
    <row r="371" spans="1:29" x14ac:dyDescent="0.55000000000000004">
      <c r="A371" s="24"/>
      <c r="B371" s="24"/>
      <c r="C371" s="24"/>
      <c r="D371" s="24"/>
      <c r="E371" s="24"/>
      <c r="F371" s="70"/>
      <c r="Y371" s="24"/>
      <c r="Z371" s="75"/>
      <c r="AA371"/>
      <c r="AC371" s="70"/>
    </row>
    <row r="372" spans="1:29" x14ac:dyDescent="0.55000000000000004">
      <c r="A372" s="24"/>
      <c r="B372" s="24"/>
      <c r="C372" s="24"/>
      <c r="D372" s="24"/>
      <c r="E372" s="24"/>
      <c r="F372" s="70"/>
      <c r="Y372" s="24"/>
      <c r="Z372" s="75"/>
      <c r="AA372"/>
      <c r="AC372" s="70"/>
    </row>
    <row r="373" spans="1:29" x14ac:dyDescent="0.55000000000000004">
      <c r="A373" s="24"/>
      <c r="B373" s="24"/>
      <c r="C373" s="24"/>
      <c r="D373" s="24"/>
      <c r="E373" s="24"/>
      <c r="F373" s="70"/>
      <c r="Y373" s="24"/>
      <c r="Z373" s="75"/>
      <c r="AA373"/>
      <c r="AC373" s="70"/>
    </row>
    <row r="374" spans="1:29" x14ac:dyDescent="0.55000000000000004">
      <c r="A374" s="24"/>
      <c r="B374" s="24"/>
      <c r="C374" s="24"/>
      <c r="D374" s="24"/>
      <c r="E374" s="24"/>
      <c r="F374" s="70"/>
      <c r="Y374" s="24"/>
      <c r="Z374" s="75"/>
      <c r="AA374"/>
      <c r="AC374" s="70"/>
    </row>
    <row r="375" spans="1:29" x14ac:dyDescent="0.55000000000000004">
      <c r="A375" s="24"/>
      <c r="B375" s="24"/>
      <c r="C375" s="24"/>
      <c r="D375" s="24"/>
      <c r="E375" s="24"/>
      <c r="F375" s="70"/>
      <c r="Y375" s="24"/>
      <c r="Z375" s="75"/>
      <c r="AA375"/>
      <c r="AC375" s="70"/>
    </row>
    <row r="376" spans="1:29" x14ac:dyDescent="0.55000000000000004">
      <c r="A376" s="24"/>
      <c r="B376" s="24"/>
      <c r="C376" s="24"/>
      <c r="D376" s="24"/>
      <c r="E376" s="24"/>
      <c r="F376" s="70"/>
      <c r="Y376" s="24"/>
      <c r="Z376" s="75"/>
      <c r="AA376"/>
      <c r="AC376" s="70"/>
    </row>
    <row r="377" spans="1:29" x14ac:dyDescent="0.55000000000000004">
      <c r="A377" s="24"/>
      <c r="B377" s="24"/>
      <c r="C377" s="24"/>
      <c r="D377" s="24"/>
      <c r="E377" s="24"/>
      <c r="F377" s="70"/>
      <c r="Y377" s="24"/>
      <c r="Z377" s="75"/>
      <c r="AA377"/>
      <c r="AC377" s="70"/>
    </row>
    <row r="378" spans="1:29" x14ac:dyDescent="0.55000000000000004">
      <c r="A378" s="24"/>
      <c r="B378" s="24"/>
      <c r="C378" s="24"/>
      <c r="D378" s="24"/>
      <c r="E378" s="24"/>
      <c r="F378" s="70"/>
      <c r="Y378" s="24"/>
      <c r="Z378" s="75"/>
      <c r="AA378"/>
      <c r="AC378" s="70"/>
    </row>
    <row r="379" spans="1:29" x14ac:dyDescent="0.55000000000000004">
      <c r="A379" s="24"/>
      <c r="B379" s="24"/>
      <c r="C379" s="24"/>
      <c r="D379" s="24"/>
      <c r="E379" s="24"/>
      <c r="F379" s="70"/>
      <c r="Y379" s="24"/>
      <c r="Z379" s="75"/>
      <c r="AA379"/>
      <c r="AC379" s="70"/>
    </row>
    <row r="380" spans="1:29" x14ac:dyDescent="0.55000000000000004">
      <c r="A380" s="24"/>
      <c r="B380" s="24"/>
      <c r="C380" s="24"/>
      <c r="D380" s="24"/>
      <c r="E380" s="24"/>
      <c r="F380" s="70"/>
      <c r="Y380" s="24"/>
      <c r="Z380" s="75"/>
      <c r="AA380"/>
      <c r="AC380" s="70"/>
    </row>
    <row r="381" spans="1:29" x14ac:dyDescent="0.55000000000000004">
      <c r="A381" s="24"/>
      <c r="B381" s="24"/>
      <c r="C381" s="24"/>
      <c r="D381" s="24"/>
      <c r="E381" s="24"/>
      <c r="F381" s="70"/>
      <c r="Y381" s="24"/>
      <c r="Z381" s="75"/>
      <c r="AA381"/>
      <c r="AC381" s="70"/>
    </row>
    <row r="382" spans="1:29" x14ac:dyDescent="0.55000000000000004">
      <c r="A382" s="24"/>
      <c r="B382" s="24"/>
      <c r="C382" s="24"/>
      <c r="D382" s="24"/>
      <c r="E382" s="24"/>
      <c r="F382" s="70"/>
      <c r="Y382" s="24"/>
      <c r="Z382" s="75"/>
      <c r="AA382"/>
      <c r="AC382" s="70"/>
    </row>
    <row r="383" spans="1:29" x14ac:dyDescent="0.55000000000000004">
      <c r="A383" s="24"/>
      <c r="B383" s="24"/>
      <c r="C383" s="24"/>
      <c r="D383" s="24"/>
      <c r="E383" s="24"/>
      <c r="F383" s="70"/>
      <c r="Y383" s="24"/>
      <c r="Z383" s="75"/>
      <c r="AA383"/>
      <c r="AC383" s="70"/>
    </row>
    <row r="384" spans="1:29" x14ac:dyDescent="0.55000000000000004">
      <c r="A384" s="24"/>
      <c r="B384" s="24"/>
      <c r="C384" s="24"/>
      <c r="D384" s="24"/>
      <c r="E384" s="24"/>
      <c r="F384" s="70"/>
      <c r="Y384" s="24"/>
      <c r="Z384" s="75"/>
      <c r="AA384"/>
      <c r="AC384" s="70"/>
    </row>
    <row r="385" spans="1:29" x14ac:dyDescent="0.55000000000000004">
      <c r="A385" s="24"/>
      <c r="B385" s="24"/>
      <c r="C385" s="24"/>
      <c r="D385" s="24"/>
      <c r="E385" s="24"/>
      <c r="F385" s="70"/>
      <c r="Y385" s="24"/>
      <c r="Z385" s="75"/>
      <c r="AA385"/>
      <c r="AC385" s="70"/>
    </row>
    <row r="386" spans="1:29" x14ac:dyDescent="0.55000000000000004">
      <c r="A386" s="24"/>
      <c r="B386" s="24"/>
      <c r="C386" s="24"/>
      <c r="D386" s="24"/>
      <c r="E386" s="24"/>
      <c r="F386" s="70"/>
      <c r="Y386" s="24"/>
      <c r="Z386" s="75"/>
      <c r="AA386"/>
      <c r="AC386" s="70"/>
    </row>
    <row r="387" spans="1:29" x14ac:dyDescent="0.55000000000000004">
      <c r="A387" s="24"/>
      <c r="B387" s="24"/>
      <c r="C387" s="24"/>
      <c r="D387" s="24"/>
      <c r="E387" s="24"/>
      <c r="F387" s="70"/>
      <c r="Y387" s="24"/>
      <c r="Z387" s="75"/>
      <c r="AA387"/>
      <c r="AC387" s="70"/>
    </row>
    <row r="388" spans="1:29" x14ac:dyDescent="0.55000000000000004">
      <c r="A388" s="24"/>
      <c r="B388" s="24"/>
      <c r="C388" s="24"/>
      <c r="D388" s="24"/>
      <c r="E388" s="24"/>
      <c r="F388" s="70"/>
      <c r="Y388" s="24"/>
      <c r="Z388" s="75"/>
      <c r="AA388"/>
      <c r="AC388" s="70"/>
    </row>
    <row r="389" spans="1:29" x14ac:dyDescent="0.55000000000000004">
      <c r="A389" s="24"/>
      <c r="B389" s="24"/>
      <c r="C389" s="24"/>
      <c r="D389" s="24"/>
      <c r="E389" s="24"/>
      <c r="F389" s="70"/>
      <c r="Y389" s="24"/>
      <c r="Z389" s="75"/>
      <c r="AA389"/>
      <c r="AC389" s="70"/>
    </row>
    <row r="390" spans="1:29" x14ac:dyDescent="0.55000000000000004">
      <c r="A390" s="24"/>
      <c r="B390" s="24"/>
      <c r="C390" s="24"/>
      <c r="D390" s="24"/>
      <c r="E390" s="24"/>
      <c r="F390" s="70"/>
      <c r="Y390" s="24"/>
      <c r="Z390" s="75"/>
      <c r="AA390"/>
      <c r="AC390" s="70"/>
    </row>
    <row r="391" spans="1:29" x14ac:dyDescent="0.55000000000000004">
      <c r="A391" s="24"/>
      <c r="B391" s="24"/>
      <c r="C391" s="24"/>
      <c r="D391" s="24"/>
      <c r="E391" s="24"/>
      <c r="F391" s="70"/>
      <c r="Y391" s="24"/>
      <c r="Z391" s="75"/>
      <c r="AA391"/>
      <c r="AC391" s="70"/>
    </row>
    <row r="392" spans="1:29" x14ac:dyDescent="0.55000000000000004">
      <c r="A392" s="24"/>
      <c r="B392" s="24"/>
      <c r="C392" s="24"/>
      <c r="D392" s="24"/>
      <c r="E392" s="24"/>
      <c r="F392" s="70"/>
      <c r="Y392" s="24"/>
      <c r="Z392" s="75"/>
      <c r="AA392"/>
      <c r="AC392" s="70"/>
    </row>
    <row r="393" spans="1:29" x14ac:dyDescent="0.55000000000000004">
      <c r="A393" s="24"/>
      <c r="B393" s="24"/>
      <c r="C393" s="24"/>
      <c r="D393" s="24"/>
      <c r="E393" s="24"/>
      <c r="F393" s="70"/>
      <c r="Y393" s="24"/>
      <c r="Z393" s="75"/>
      <c r="AA393"/>
      <c r="AC393" s="70"/>
    </row>
    <row r="394" spans="1:29" x14ac:dyDescent="0.55000000000000004">
      <c r="A394" s="24"/>
      <c r="B394" s="24"/>
      <c r="C394" s="24"/>
      <c r="D394" s="24"/>
      <c r="E394" s="24"/>
      <c r="F394" s="70"/>
      <c r="Y394" s="24"/>
      <c r="Z394" s="75"/>
      <c r="AA394"/>
      <c r="AC394" s="70"/>
    </row>
    <row r="395" spans="1:29" x14ac:dyDescent="0.55000000000000004">
      <c r="A395" s="24"/>
      <c r="B395" s="24"/>
      <c r="C395" s="24"/>
      <c r="D395" s="24"/>
      <c r="E395" s="24"/>
      <c r="F395" s="70"/>
      <c r="Y395" s="24"/>
      <c r="Z395" s="75"/>
      <c r="AA395"/>
      <c r="AC395" s="70"/>
    </row>
    <row r="396" spans="1:29" x14ac:dyDescent="0.55000000000000004">
      <c r="A396" s="24"/>
      <c r="B396" s="24"/>
      <c r="C396" s="24"/>
      <c r="D396" s="24"/>
      <c r="E396" s="24"/>
      <c r="F396" s="70"/>
      <c r="Y396" s="24"/>
      <c r="Z396" s="75"/>
      <c r="AA396"/>
      <c r="AC396" s="70"/>
    </row>
    <row r="397" spans="1:29" x14ac:dyDescent="0.55000000000000004">
      <c r="A397" s="24"/>
      <c r="B397" s="24"/>
      <c r="C397" s="24"/>
      <c r="D397" s="24"/>
      <c r="E397" s="24"/>
      <c r="F397" s="70"/>
      <c r="Y397" s="24"/>
      <c r="Z397" s="75"/>
      <c r="AA397"/>
      <c r="AC397" s="70"/>
    </row>
    <row r="398" spans="1:29" x14ac:dyDescent="0.55000000000000004">
      <c r="A398" s="24"/>
      <c r="B398" s="24"/>
      <c r="C398" s="24"/>
      <c r="D398" s="24"/>
      <c r="E398" s="24"/>
      <c r="F398" s="70"/>
      <c r="Y398" s="24"/>
      <c r="Z398" s="75"/>
      <c r="AA398"/>
      <c r="AC398" s="70"/>
    </row>
    <row r="399" spans="1:29" x14ac:dyDescent="0.55000000000000004">
      <c r="A399" s="24"/>
      <c r="B399" s="24"/>
      <c r="C399" s="24"/>
      <c r="D399" s="24"/>
      <c r="E399" s="24"/>
      <c r="F399" s="70"/>
      <c r="Y399" s="24"/>
      <c r="Z399" s="75"/>
      <c r="AA399"/>
      <c r="AC399" s="70"/>
    </row>
    <row r="400" spans="1:29" x14ac:dyDescent="0.55000000000000004">
      <c r="A400" s="24"/>
      <c r="B400" s="24"/>
      <c r="C400" s="24"/>
      <c r="D400" s="24"/>
      <c r="E400" s="24"/>
      <c r="F400" s="70"/>
      <c r="Y400" s="24"/>
      <c r="Z400" s="75"/>
      <c r="AA400"/>
      <c r="AC400" s="70"/>
    </row>
    <row r="401" spans="1:29" x14ac:dyDescent="0.55000000000000004">
      <c r="A401" s="24"/>
      <c r="B401" s="24"/>
      <c r="C401" s="24"/>
      <c r="D401" s="24"/>
      <c r="E401" s="24"/>
      <c r="F401" s="70"/>
      <c r="Y401" s="24"/>
      <c r="Z401" s="75"/>
      <c r="AA401"/>
      <c r="AC401" s="70"/>
    </row>
    <row r="402" spans="1:29" x14ac:dyDescent="0.55000000000000004">
      <c r="A402" s="24"/>
      <c r="B402" s="24"/>
      <c r="C402" s="24"/>
      <c r="D402" s="24"/>
      <c r="E402" s="24"/>
      <c r="F402" s="70"/>
      <c r="Y402" s="24"/>
      <c r="Z402" s="75"/>
      <c r="AA402"/>
      <c r="AC402" s="70"/>
    </row>
    <row r="403" spans="1:29" x14ac:dyDescent="0.55000000000000004">
      <c r="A403" s="24"/>
      <c r="B403" s="24"/>
      <c r="C403" s="24"/>
      <c r="D403" s="24"/>
      <c r="E403" s="24"/>
      <c r="F403" s="70"/>
      <c r="Y403" s="24"/>
      <c r="Z403" s="75"/>
      <c r="AA403"/>
      <c r="AC403" s="70"/>
    </row>
    <row r="404" spans="1:29" x14ac:dyDescent="0.55000000000000004">
      <c r="A404" s="24"/>
      <c r="B404" s="24"/>
      <c r="C404" s="24"/>
      <c r="D404" s="24"/>
      <c r="E404" s="24"/>
      <c r="F404" s="70"/>
      <c r="Y404" s="24"/>
      <c r="Z404" s="75"/>
      <c r="AA404"/>
      <c r="AC404" s="70"/>
    </row>
    <row r="405" spans="1:29" x14ac:dyDescent="0.55000000000000004">
      <c r="A405" s="24"/>
      <c r="B405" s="24"/>
      <c r="C405" s="24"/>
      <c r="D405" s="24"/>
      <c r="E405" s="24"/>
      <c r="F405" s="70"/>
      <c r="Y405" s="24"/>
      <c r="Z405" s="75"/>
      <c r="AA405"/>
      <c r="AC405" s="70"/>
    </row>
    <row r="406" spans="1:29" x14ac:dyDescent="0.55000000000000004">
      <c r="A406" s="24"/>
      <c r="B406" s="24"/>
      <c r="C406" s="24"/>
      <c r="D406" s="24"/>
      <c r="E406" s="24"/>
      <c r="F406" s="70"/>
      <c r="Y406" s="24"/>
      <c r="Z406" s="75"/>
      <c r="AA406"/>
      <c r="AC406" s="70"/>
    </row>
    <row r="407" spans="1:29" x14ac:dyDescent="0.55000000000000004">
      <c r="A407" s="24"/>
      <c r="B407" s="24"/>
      <c r="C407" s="24"/>
      <c r="D407" s="24"/>
      <c r="E407" s="24"/>
      <c r="F407" s="70"/>
      <c r="Y407" s="24"/>
      <c r="Z407" s="75"/>
      <c r="AA407"/>
      <c r="AC407" s="70"/>
    </row>
    <row r="408" spans="1:29" x14ac:dyDescent="0.55000000000000004">
      <c r="A408" s="24"/>
      <c r="B408" s="24"/>
      <c r="C408" s="24"/>
      <c r="D408" s="24"/>
      <c r="E408" s="24"/>
      <c r="F408" s="70"/>
      <c r="Y408" s="24"/>
      <c r="Z408" s="75"/>
      <c r="AA408"/>
      <c r="AC408" s="70"/>
    </row>
    <row r="409" spans="1:29" x14ac:dyDescent="0.55000000000000004">
      <c r="A409" s="24"/>
      <c r="B409" s="24"/>
      <c r="C409" s="24"/>
      <c r="D409" s="24"/>
      <c r="E409" s="24"/>
      <c r="F409" s="70"/>
      <c r="Y409" s="24"/>
      <c r="Z409" s="75"/>
      <c r="AA409"/>
      <c r="AC409" s="70"/>
    </row>
    <row r="410" spans="1:29" x14ac:dyDescent="0.55000000000000004">
      <c r="A410" s="24"/>
      <c r="B410" s="24"/>
      <c r="C410" s="24"/>
      <c r="D410" s="24"/>
      <c r="E410" s="24"/>
      <c r="F410" s="70"/>
      <c r="Y410" s="24"/>
      <c r="Z410" s="75"/>
      <c r="AA410"/>
      <c r="AC410" s="70"/>
    </row>
    <row r="411" spans="1:29" x14ac:dyDescent="0.55000000000000004">
      <c r="A411" s="24"/>
      <c r="B411" s="24"/>
      <c r="C411" s="24"/>
      <c r="D411" s="24"/>
      <c r="E411" s="24"/>
      <c r="F411" s="70"/>
      <c r="Y411" s="24"/>
      <c r="Z411" s="75"/>
      <c r="AA411"/>
      <c r="AC411" s="70"/>
    </row>
    <row r="412" spans="1:29" x14ac:dyDescent="0.55000000000000004">
      <c r="A412" s="24"/>
      <c r="B412" s="24"/>
      <c r="C412" s="24"/>
      <c r="D412" s="24"/>
      <c r="E412" s="24"/>
      <c r="F412" s="70"/>
      <c r="Y412" s="24"/>
      <c r="Z412" s="75"/>
      <c r="AA412"/>
      <c r="AC412" s="70"/>
    </row>
    <row r="413" spans="1:29" x14ac:dyDescent="0.55000000000000004">
      <c r="A413" s="24"/>
      <c r="B413" s="24"/>
      <c r="C413" s="24"/>
      <c r="D413" s="24"/>
      <c r="E413" s="24"/>
      <c r="F413" s="70"/>
      <c r="Y413" s="24"/>
      <c r="Z413" s="75"/>
      <c r="AA413"/>
      <c r="AC413" s="70"/>
    </row>
    <row r="414" spans="1:29" x14ac:dyDescent="0.55000000000000004">
      <c r="A414" s="24"/>
      <c r="B414" s="24"/>
      <c r="C414" s="24"/>
      <c r="D414" s="24"/>
      <c r="E414" s="24"/>
      <c r="F414" s="70"/>
      <c r="Y414" s="24"/>
      <c r="Z414" s="75"/>
      <c r="AA414"/>
      <c r="AC414" s="70"/>
    </row>
    <row r="415" spans="1:29" x14ac:dyDescent="0.55000000000000004">
      <c r="A415" s="24"/>
      <c r="B415" s="24"/>
      <c r="C415" s="24"/>
      <c r="D415" s="24"/>
      <c r="E415" s="24"/>
      <c r="F415" s="70"/>
      <c r="Y415" s="24"/>
      <c r="Z415" s="75"/>
      <c r="AA415"/>
      <c r="AC415" s="70"/>
    </row>
    <row r="416" spans="1:29" x14ac:dyDescent="0.55000000000000004">
      <c r="A416" s="24"/>
      <c r="B416" s="24"/>
      <c r="C416" s="24"/>
      <c r="D416" s="24"/>
      <c r="E416" s="24"/>
      <c r="F416" s="70"/>
      <c r="Y416" s="24"/>
      <c r="Z416" s="75"/>
      <c r="AA416"/>
      <c r="AC416" s="70"/>
    </row>
    <row r="417" spans="1:29" x14ac:dyDescent="0.55000000000000004">
      <c r="A417" s="24"/>
      <c r="B417" s="24"/>
      <c r="C417" s="24"/>
      <c r="D417" s="24"/>
      <c r="E417" s="24"/>
      <c r="F417" s="70"/>
      <c r="Y417" s="24"/>
      <c r="Z417" s="75"/>
      <c r="AA417"/>
      <c r="AC417" s="70"/>
    </row>
    <row r="418" spans="1:29" x14ac:dyDescent="0.55000000000000004">
      <c r="A418" s="24"/>
      <c r="B418" s="24"/>
      <c r="C418" s="24"/>
      <c r="D418" s="24"/>
      <c r="E418" s="24"/>
      <c r="F418" s="70"/>
      <c r="Y418" s="24"/>
      <c r="Z418" s="75"/>
      <c r="AA418"/>
      <c r="AC418" s="70"/>
    </row>
    <row r="419" spans="1:29" x14ac:dyDescent="0.55000000000000004">
      <c r="A419" s="24"/>
      <c r="B419" s="24"/>
      <c r="C419" s="24"/>
      <c r="D419" s="24"/>
      <c r="E419" s="24"/>
      <c r="F419" s="70"/>
      <c r="Y419" s="24"/>
      <c r="Z419" s="75"/>
      <c r="AA419"/>
      <c r="AC419" s="70"/>
    </row>
    <row r="420" spans="1:29" x14ac:dyDescent="0.55000000000000004">
      <c r="A420" s="24"/>
      <c r="B420" s="24"/>
      <c r="C420" s="24"/>
      <c r="D420" s="24"/>
      <c r="E420" s="24"/>
      <c r="F420" s="70"/>
      <c r="Y420" s="24"/>
      <c r="Z420" s="75"/>
      <c r="AA420"/>
      <c r="AC420" s="70"/>
    </row>
    <row r="421" spans="1:29" x14ac:dyDescent="0.55000000000000004">
      <c r="A421" s="24"/>
      <c r="B421" s="24"/>
      <c r="C421" s="24"/>
      <c r="D421" s="24"/>
      <c r="E421" s="24"/>
      <c r="F421" s="70"/>
      <c r="Y421" s="24"/>
      <c r="Z421" s="75"/>
      <c r="AA421"/>
      <c r="AC421" s="70"/>
    </row>
    <row r="422" spans="1:29" x14ac:dyDescent="0.55000000000000004">
      <c r="A422" s="24"/>
      <c r="B422" s="24"/>
      <c r="C422" s="24"/>
      <c r="D422" s="24"/>
      <c r="E422" s="24"/>
      <c r="F422" s="70"/>
      <c r="Y422" s="24"/>
      <c r="Z422" s="75"/>
      <c r="AA422"/>
      <c r="AC422" s="70"/>
    </row>
    <row r="423" spans="1:29" x14ac:dyDescent="0.55000000000000004">
      <c r="A423" s="24"/>
      <c r="B423" s="24"/>
      <c r="C423" s="24"/>
      <c r="D423" s="24"/>
      <c r="E423" s="24"/>
      <c r="F423" s="70"/>
      <c r="Y423" s="24"/>
      <c r="Z423" s="75"/>
      <c r="AA423"/>
      <c r="AC423" s="70"/>
    </row>
    <row r="424" spans="1:29" x14ac:dyDescent="0.55000000000000004">
      <c r="A424" s="24"/>
      <c r="B424" s="24"/>
      <c r="C424" s="24"/>
      <c r="D424" s="24"/>
      <c r="E424" s="24"/>
      <c r="F424" s="70"/>
      <c r="Y424" s="24"/>
      <c r="Z424" s="75"/>
      <c r="AA424"/>
      <c r="AC424" s="70"/>
    </row>
    <row r="425" spans="1:29" x14ac:dyDescent="0.55000000000000004">
      <c r="A425" s="24"/>
      <c r="B425" s="24"/>
      <c r="C425" s="24"/>
      <c r="D425" s="24"/>
      <c r="E425" s="24"/>
      <c r="F425" s="70"/>
      <c r="Y425" s="24"/>
      <c r="Z425" s="75"/>
      <c r="AA425"/>
      <c r="AC425" s="70"/>
    </row>
    <row r="426" spans="1:29" x14ac:dyDescent="0.55000000000000004">
      <c r="A426" s="24"/>
      <c r="B426" s="24"/>
      <c r="C426" s="24"/>
      <c r="D426" s="24"/>
      <c r="E426" s="24"/>
      <c r="F426" s="70"/>
      <c r="Y426" s="24"/>
      <c r="Z426" s="75"/>
      <c r="AA426"/>
      <c r="AC426" s="70"/>
    </row>
    <row r="427" spans="1:29" x14ac:dyDescent="0.55000000000000004">
      <c r="A427" s="24"/>
      <c r="B427" s="24"/>
      <c r="C427" s="24"/>
      <c r="D427" s="24"/>
      <c r="E427" s="24"/>
      <c r="F427" s="70"/>
      <c r="Y427" s="24"/>
      <c r="Z427" s="75"/>
      <c r="AA427"/>
      <c r="AC427" s="70"/>
    </row>
    <row r="428" spans="1:29" x14ac:dyDescent="0.55000000000000004">
      <c r="A428" s="24"/>
      <c r="B428" s="24"/>
      <c r="C428" s="24"/>
      <c r="D428" s="24"/>
      <c r="E428" s="24"/>
      <c r="F428" s="70"/>
      <c r="Y428" s="24"/>
      <c r="Z428" s="75"/>
      <c r="AA428"/>
      <c r="AC428" s="70"/>
    </row>
    <row r="429" spans="1:29" x14ac:dyDescent="0.55000000000000004">
      <c r="A429" s="24"/>
      <c r="B429" s="24"/>
      <c r="C429" s="24"/>
      <c r="D429" s="24"/>
      <c r="E429" s="24"/>
      <c r="F429" s="70"/>
      <c r="Y429" s="24"/>
      <c r="Z429" s="75"/>
      <c r="AA429"/>
      <c r="AC429" s="70"/>
    </row>
    <row r="430" spans="1:29" x14ac:dyDescent="0.55000000000000004">
      <c r="A430" s="24"/>
      <c r="B430" s="24"/>
      <c r="C430" s="24"/>
      <c r="D430" s="24"/>
      <c r="E430" s="24"/>
      <c r="F430" s="70"/>
      <c r="Y430" s="24"/>
      <c r="Z430" s="75"/>
      <c r="AA430"/>
      <c r="AC430" s="70"/>
    </row>
    <row r="431" spans="1:29" x14ac:dyDescent="0.55000000000000004">
      <c r="A431" s="24"/>
      <c r="B431" s="24"/>
      <c r="C431" s="24"/>
      <c r="D431" s="24"/>
      <c r="E431" s="24"/>
      <c r="F431" s="70"/>
      <c r="Y431" s="24"/>
      <c r="Z431" s="75"/>
      <c r="AA431"/>
      <c r="AC431" s="70"/>
    </row>
    <row r="432" spans="1:29" x14ac:dyDescent="0.55000000000000004">
      <c r="A432" s="24"/>
      <c r="B432" s="24"/>
      <c r="C432" s="24"/>
      <c r="D432" s="24"/>
      <c r="E432" s="24"/>
      <c r="F432" s="70"/>
      <c r="Y432" s="24"/>
      <c r="Z432" s="75"/>
      <c r="AA432"/>
      <c r="AC432" s="70"/>
    </row>
    <row r="433" spans="1:29" x14ac:dyDescent="0.55000000000000004">
      <c r="A433" s="24"/>
      <c r="B433" s="24"/>
      <c r="C433" s="24"/>
      <c r="D433" s="24"/>
      <c r="E433" s="24"/>
      <c r="F433" s="70"/>
      <c r="Y433" s="24"/>
      <c r="Z433" s="75"/>
      <c r="AA433"/>
      <c r="AC433" s="70"/>
    </row>
    <row r="434" spans="1:29" x14ac:dyDescent="0.55000000000000004">
      <c r="A434" s="24"/>
      <c r="B434" s="24"/>
      <c r="C434" s="24"/>
      <c r="D434" s="24"/>
      <c r="E434" s="24"/>
      <c r="F434" s="70"/>
      <c r="Y434" s="24"/>
      <c r="Z434" s="75"/>
      <c r="AA434"/>
      <c r="AC434" s="70"/>
    </row>
    <row r="435" spans="1:29" x14ac:dyDescent="0.55000000000000004">
      <c r="A435" s="24"/>
      <c r="B435" s="24"/>
      <c r="C435" s="24"/>
      <c r="D435" s="24"/>
      <c r="E435" s="24"/>
      <c r="F435" s="70"/>
      <c r="Y435" s="24"/>
      <c r="Z435" s="75"/>
      <c r="AA435"/>
      <c r="AC435" s="70"/>
    </row>
    <row r="436" spans="1:29" x14ac:dyDescent="0.55000000000000004">
      <c r="A436" s="24"/>
      <c r="B436" s="24"/>
      <c r="C436" s="24"/>
      <c r="D436" s="24"/>
      <c r="E436" s="24"/>
      <c r="F436" s="70"/>
      <c r="Y436" s="24"/>
      <c r="Z436" s="75"/>
      <c r="AA436"/>
      <c r="AC436" s="70"/>
    </row>
    <row r="437" spans="1:29" x14ac:dyDescent="0.55000000000000004">
      <c r="A437" s="24"/>
      <c r="B437" s="24"/>
      <c r="C437" s="24"/>
      <c r="D437" s="24"/>
      <c r="E437" s="24"/>
      <c r="F437" s="70"/>
      <c r="Y437" s="24"/>
      <c r="Z437" s="75"/>
      <c r="AA437"/>
      <c r="AC437" s="70"/>
    </row>
    <row r="438" spans="1:29" x14ac:dyDescent="0.55000000000000004">
      <c r="A438" s="24"/>
      <c r="B438" s="24"/>
      <c r="C438" s="24"/>
      <c r="D438" s="24"/>
      <c r="E438" s="24"/>
      <c r="F438" s="70"/>
      <c r="Y438" s="24"/>
      <c r="Z438" s="75"/>
      <c r="AA438"/>
      <c r="AC438" s="70"/>
    </row>
    <row r="439" spans="1:29" x14ac:dyDescent="0.55000000000000004">
      <c r="A439" s="24"/>
      <c r="B439" s="24"/>
      <c r="C439" s="24"/>
      <c r="D439" s="24"/>
      <c r="E439" s="24"/>
      <c r="F439" s="70"/>
      <c r="Y439" s="24"/>
      <c r="Z439" s="75"/>
      <c r="AA439"/>
      <c r="AC439" s="70"/>
    </row>
    <row r="440" spans="1:29" x14ac:dyDescent="0.55000000000000004">
      <c r="A440" s="24"/>
      <c r="B440" s="24"/>
      <c r="C440" s="24"/>
      <c r="D440" s="24"/>
      <c r="E440" s="24"/>
      <c r="F440" s="70"/>
      <c r="Y440" s="24"/>
      <c r="Z440" s="75"/>
      <c r="AA440"/>
      <c r="AC440" s="70"/>
    </row>
    <row r="441" spans="1:29" x14ac:dyDescent="0.55000000000000004">
      <c r="A441" s="24"/>
      <c r="B441" s="24"/>
      <c r="C441" s="24"/>
      <c r="D441" s="24"/>
      <c r="E441" s="24"/>
      <c r="F441" s="70"/>
      <c r="Y441" s="24"/>
      <c r="Z441" s="75"/>
      <c r="AA441"/>
      <c r="AC441" s="70"/>
    </row>
    <row r="442" spans="1:29" x14ac:dyDescent="0.55000000000000004">
      <c r="A442" s="24"/>
      <c r="B442" s="24"/>
      <c r="C442" s="24"/>
      <c r="D442" s="24"/>
      <c r="E442" s="24"/>
      <c r="F442" s="70"/>
      <c r="Y442" s="24"/>
      <c r="Z442" s="75"/>
      <c r="AA442"/>
      <c r="AC442" s="70"/>
    </row>
    <row r="443" spans="1:29" x14ac:dyDescent="0.55000000000000004">
      <c r="A443" s="24"/>
      <c r="B443" s="24"/>
      <c r="C443" s="24"/>
      <c r="D443" s="24"/>
      <c r="E443" s="24"/>
      <c r="F443" s="70"/>
      <c r="Y443" s="24"/>
      <c r="Z443" s="75"/>
      <c r="AA443"/>
      <c r="AC443" s="70"/>
    </row>
    <row r="444" spans="1:29" x14ac:dyDescent="0.55000000000000004">
      <c r="A444" s="24"/>
      <c r="B444" s="24"/>
      <c r="C444" s="24"/>
      <c r="D444" s="24"/>
      <c r="E444" s="24"/>
      <c r="F444" s="70"/>
      <c r="Y444" s="24"/>
      <c r="Z444" s="75"/>
      <c r="AA444"/>
      <c r="AC444" s="70"/>
    </row>
    <row r="445" spans="1:29" x14ac:dyDescent="0.55000000000000004">
      <c r="A445" s="24"/>
      <c r="B445" s="24"/>
      <c r="C445" s="24"/>
      <c r="D445" s="24"/>
      <c r="E445" s="24"/>
      <c r="F445" s="70"/>
      <c r="Y445" s="24"/>
      <c r="Z445" s="75"/>
      <c r="AA445"/>
      <c r="AC445" s="70"/>
    </row>
    <row r="446" spans="1:29" x14ac:dyDescent="0.55000000000000004">
      <c r="A446" s="24"/>
      <c r="B446" s="24"/>
      <c r="C446" s="24"/>
      <c r="D446" s="24"/>
      <c r="E446" s="24"/>
      <c r="F446" s="70"/>
      <c r="Y446" s="24"/>
      <c r="Z446" s="75"/>
      <c r="AA446"/>
      <c r="AC446" s="70"/>
    </row>
    <row r="447" spans="1:29" x14ac:dyDescent="0.55000000000000004">
      <c r="A447" s="24"/>
      <c r="B447" s="24"/>
      <c r="C447" s="24"/>
      <c r="D447" s="24"/>
      <c r="E447" s="24"/>
      <c r="F447" s="70"/>
      <c r="Y447" s="24"/>
      <c r="Z447" s="75"/>
      <c r="AA447"/>
      <c r="AC447" s="70"/>
    </row>
    <row r="448" spans="1:29" x14ac:dyDescent="0.55000000000000004">
      <c r="A448" s="24"/>
      <c r="B448" s="24"/>
      <c r="C448" s="24"/>
      <c r="D448" s="24"/>
      <c r="E448" s="24"/>
      <c r="F448" s="70"/>
      <c r="Y448" s="24"/>
      <c r="Z448" s="75"/>
      <c r="AA448"/>
      <c r="AC448" s="70"/>
    </row>
    <row r="449" spans="1:29" x14ac:dyDescent="0.55000000000000004">
      <c r="A449" s="24"/>
      <c r="B449" s="24"/>
      <c r="C449" s="24"/>
      <c r="D449" s="24"/>
      <c r="E449" s="24"/>
      <c r="F449" s="70"/>
      <c r="Y449" s="24"/>
      <c r="Z449" s="75"/>
      <c r="AA449"/>
      <c r="AC449" s="70"/>
    </row>
    <row r="450" spans="1:29" x14ac:dyDescent="0.55000000000000004">
      <c r="A450" s="24"/>
      <c r="B450" s="24"/>
      <c r="C450" s="24"/>
      <c r="D450" s="24"/>
      <c r="E450" s="24"/>
      <c r="F450" s="70"/>
      <c r="Y450" s="24"/>
      <c r="Z450" s="75"/>
      <c r="AA450"/>
      <c r="AC450" s="70"/>
    </row>
    <row r="451" spans="1:29" x14ac:dyDescent="0.55000000000000004">
      <c r="A451" s="24"/>
      <c r="B451" s="24"/>
      <c r="C451" s="24"/>
      <c r="D451" s="24"/>
      <c r="E451" s="24"/>
      <c r="F451" s="70"/>
      <c r="Y451" s="24"/>
      <c r="Z451" s="75"/>
      <c r="AA451"/>
      <c r="AC451" s="70"/>
    </row>
    <row r="452" spans="1:29" x14ac:dyDescent="0.55000000000000004">
      <c r="A452" s="24"/>
      <c r="B452" s="24"/>
      <c r="C452" s="24"/>
      <c r="D452" s="24"/>
      <c r="E452" s="24"/>
      <c r="F452" s="70"/>
      <c r="Y452" s="24"/>
      <c r="Z452" s="75"/>
      <c r="AA452"/>
      <c r="AC452" s="70"/>
    </row>
    <row r="453" spans="1:29" x14ac:dyDescent="0.55000000000000004">
      <c r="A453" s="24"/>
      <c r="B453" s="24"/>
      <c r="C453" s="24"/>
      <c r="D453" s="24"/>
      <c r="E453" s="24"/>
      <c r="F453" s="70"/>
      <c r="Y453" s="24"/>
      <c r="Z453" s="75"/>
      <c r="AA453"/>
      <c r="AC453" s="70"/>
    </row>
    <row r="454" spans="1:29" x14ac:dyDescent="0.55000000000000004">
      <c r="A454" s="24"/>
      <c r="B454" s="24"/>
      <c r="C454" s="24"/>
      <c r="D454" s="24"/>
      <c r="E454" s="24"/>
      <c r="F454" s="70"/>
      <c r="Y454" s="24"/>
      <c r="Z454" s="75"/>
      <c r="AA454"/>
      <c r="AC454" s="70"/>
    </row>
    <row r="455" spans="1:29" x14ac:dyDescent="0.55000000000000004">
      <c r="A455" s="24"/>
      <c r="B455" s="24"/>
      <c r="C455" s="24"/>
      <c r="D455" s="24"/>
      <c r="E455" s="24"/>
      <c r="F455" s="70"/>
      <c r="Y455" s="24"/>
      <c r="Z455" s="75"/>
      <c r="AA455"/>
      <c r="AC455" s="70"/>
    </row>
    <row r="456" spans="1:29" x14ac:dyDescent="0.55000000000000004">
      <c r="A456" s="24"/>
      <c r="B456" s="24"/>
      <c r="C456" s="24"/>
      <c r="D456" s="24"/>
      <c r="E456" s="24"/>
      <c r="F456" s="70"/>
      <c r="Y456" s="24"/>
      <c r="Z456" s="75"/>
      <c r="AA456"/>
      <c r="AC456" s="70"/>
    </row>
    <row r="457" spans="1:29" x14ac:dyDescent="0.55000000000000004">
      <c r="A457" s="24"/>
      <c r="B457" s="24"/>
      <c r="C457" s="24"/>
      <c r="D457" s="24"/>
      <c r="E457" s="24"/>
      <c r="F457" s="70"/>
      <c r="Y457" s="24"/>
      <c r="Z457" s="75"/>
      <c r="AA457"/>
      <c r="AC457" s="70"/>
    </row>
    <row r="458" spans="1:29" x14ac:dyDescent="0.55000000000000004">
      <c r="A458" s="24"/>
      <c r="B458" s="24"/>
      <c r="C458" s="24"/>
      <c r="D458" s="24"/>
      <c r="E458" s="24"/>
      <c r="F458" s="70"/>
      <c r="Y458" s="24"/>
      <c r="Z458" s="75"/>
      <c r="AA458"/>
      <c r="AC458" s="70"/>
    </row>
    <row r="459" spans="1:29" x14ac:dyDescent="0.55000000000000004">
      <c r="A459" s="24"/>
      <c r="B459" s="24"/>
      <c r="C459" s="24"/>
      <c r="D459" s="24"/>
      <c r="E459" s="24"/>
      <c r="F459" s="70"/>
      <c r="Y459" s="24"/>
      <c r="Z459" s="75"/>
      <c r="AA459"/>
      <c r="AC459" s="70"/>
    </row>
    <row r="460" spans="1:29" x14ac:dyDescent="0.55000000000000004">
      <c r="A460" s="24"/>
      <c r="B460" s="24"/>
      <c r="C460" s="24"/>
      <c r="D460" s="24"/>
      <c r="E460" s="24"/>
      <c r="F460" s="70"/>
      <c r="Y460" s="24"/>
      <c r="Z460" s="75"/>
      <c r="AA460"/>
      <c r="AC460" s="70"/>
    </row>
    <row r="461" spans="1:29" x14ac:dyDescent="0.55000000000000004">
      <c r="A461" s="24"/>
      <c r="B461" s="24"/>
      <c r="C461" s="24"/>
      <c r="D461" s="24"/>
      <c r="E461" s="24"/>
      <c r="F461" s="70"/>
      <c r="Y461" s="24"/>
      <c r="Z461" s="75"/>
      <c r="AA461"/>
      <c r="AC461" s="70"/>
    </row>
    <row r="462" spans="1:29" x14ac:dyDescent="0.55000000000000004">
      <c r="A462" s="24"/>
      <c r="B462" s="24"/>
      <c r="C462" s="24"/>
      <c r="D462" s="24"/>
      <c r="E462" s="24"/>
      <c r="F462" s="70"/>
      <c r="Y462" s="24"/>
      <c r="Z462" s="75"/>
      <c r="AA462"/>
      <c r="AC462" s="70"/>
    </row>
    <row r="463" spans="1:29" x14ac:dyDescent="0.55000000000000004">
      <c r="A463" s="24"/>
      <c r="B463" s="24"/>
      <c r="C463" s="24"/>
      <c r="D463" s="24"/>
      <c r="E463" s="24"/>
      <c r="F463" s="70"/>
      <c r="Y463" s="24"/>
      <c r="Z463" s="75"/>
      <c r="AA463"/>
      <c r="AC463" s="70"/>
    </row>
    <row r="464" spans="1:29" x14ac:dyDescent="0.55000000000000004">
      <c r="A464" s="24"/>
      <c r="B464" s="24"/>
      <c r="C464" s="24"/>
      <c r="D464" s="24"/>
      <c r="E464" s="24"/>
      <c r="F464" s="70"/>
      <c r="Y464" s="24"/>
      <c r="Z464" s="75"/>
      <c r="AA464"/>
      <c r="AC464" s="70"/>
    </row>
    <row r="465" spans="1:29" x14ac:dyDescent="0.55000000000000004">
      <c r="A465" s="24"/>
      <c r="B465" s="24"/>
      <c r="C465" s="24"/>
      <c r="D465" s="24"/>
      <c r="E465" s="24"/>
      <c r="F465" s="70"/>
      <c r="Y465" s="24"/>
      <c r="Z465" s="75"/>
      <c r="AA465"/>
      <c r="AC465" s="70"/>
    </row>
    <row r="466" spans="1:29" x14ac:dyDescent="0.55000000000000004">
      <c r="A466" s="24"/>
      <c r="B466" s="24"/>
      <c r="C466" s="24"/>
      <c r="D466" s="24"/>
      <c r="E466" s="24"/>
      <c r="F466" s="70"/>
      <c r="Y466" s="24"/>
      <c r="Z466" s="75"/>
      <c r="AA466"/>
      <c r="AC466" s="70"/>
    </row>
    <row r="467" spans="1:29" x14ac:dyDescent="0.55000000000000004">
      <c r="A467" s="24"/>
      <c r="B467" s="24"/>
      <c r="C467" s="24"/>
      <c r="D467" s="24"/>
      <c r="E467" s="24"/>
      <c r="F467" s="70"/>
      <c r="Y467" s="24"/>
      <c r="Z467" s="75"/>
      <c r="AA467"/>
      <c r="AC467" s="70"/>
    </row>
    <row r="468" spans="1:29" x14ac:dyDescent="0.55000000000000004">
      <c r="A468" s="24"/>
      <c r="B468" s="24"/>
      <c r="C468" s="24"/>
      <c r="D468" s="24"/>
      <c r="E468" s="24"/>
      <c r="F468" s="70"/>
      <c r="Y468" s="24"/>
      <c r="Z468" s="75"/>
      <c r="AA468"/>
      <c r="AC468" s="70"/>
    </row>
    <row r="469" spans="1:29" x14ac:dyDescent="0.55000000000000004">
      <c r="A469" s="24"/>
      <c r="B469" s="24"/>
      <c r="C469" s="24"/>
      <c r="D469" s="24"/>
      <c r="E469" s="24"/>
      <c r="F469" s="70"/>
      <c r="Y469" s="24"/>
      <c r="Z469" s="75"/>
      <c r="AA469"/>
      <c r="AC469" s="70"/>
    </row>
    <row r="470" spans="1:29" x14ac:dyDescent="0.55000000000000004">
      <c r="A470" s="24"/>
      <c r="B470" s="24"/>
      <c r="C470" s="24"/>
      <c r="D470" s="24"/>
      <c r="E470" s="24"/>
      <c r="F470" s="70"/>
      <c r="Y470" s="24"/>
      <c r="Z470" s="75"/>
      <c r="AA470"/>
      <c r="AC470" s="70"/>
    </row>
    <row r="471" spans="1:29" x14ac:dyDescent="0.55000000000000004">
      <c r="A471" s="24"/>
      <c r="B471" s="24"/>
      <c r="C471" s="24"/>
      <c r="D471" s="24"/>
      <c r="E471" s="24"/>
      <c r="F471" s="70"/>
      <c r="Y471" s="24"/>
      <c r="Z471" s="75"/>
      <c r="AA471"/>
      <c r="AC471" s="70"/>
    </row>
    <row r="472" spans="1:29" x14ac:dyDescent="0.55000000000000004">
      <c r="A472" s="24"/>
      <c r="B472" s="24"/>
      <c r="C472" s="24"/>
      <c r="D472" s="24"/>
      <c r="E472" s="24"/>
      <c r="F472" s="70"/>
      <c r="Y472" s="24"/>
      <c r="Z472" s="75"/>
      <c r="AA472"/>
      <c r="AC472" s="70"/>
    </row>
    <row r="473" spans="1:29" x14ac:dyDescent="0.55000000000000004">
      <c r="A473" s="24"/>
      <c r="B473" s="24"/>
      <c r="C473" s="24"/>
      <c r="D473" s="24"/>
      <c r="E473" s="24"/>
      <c r="F473" s="70"/>
      <c r="Y473" s="24"/>
      <c r="Z473" s="75"/>
      <c r="AA473"/>
      <c r="AC473" s="70"/>
    </row>
    <row r="474" spans="1:29" x14ac:dyDescent="0.55000000000000004">
      <c r="A474" s="24"/>
      <c r="B474" s="24"/>
      <c r="C474" s="24"/>
      <c r="D474" s="24"/>
      <c r="E474" s="24"/>
      <c r="F474" s="70"/>
      <c r="Y474" s="24"/>
      <c r="Z474" s="75"/>
      <c r="AA474"/>
      <c r="AC474" s="70"/>
    </row>
    <row r="475" spans="1:29" x14ac:dyDescent="0.55000000000000004">
      <c r="A475" s="24"/>
      <c r="B475" s="24"/>
      <c r="C475" s="24"/>
      <c r="D475" s="24"/>
      <c r="E475" s="24"/>
      <c r="F475" s="70"/>
      <c r="Y475" s="24"/>
      <c r="Z475" s="75"/>
      <c r="AA475"/>
      <c r="AC475" s="70"/>
    </row>
    <row r="476" spans="1:29" x14ac:dyDescent="0.55000000000000004">
      <c r="A476" s="24"/>
      <c r="B476" s="24"/>
      <c r="C476" s="24"/>
      <c r="D476" s="24"/>
      <c r="E476" s="24"/>
      <c r="F476" s="70"/>
      <c r="Y476" s="24"/>
      <c r="Z476" s="75"/>
      <c r="AA476"/>
      <c r="AC476" s="70"/>
    </row>
    <row r="477" spans="1:29" x14ac:dyDescent="0.55000000000000004">
      <c r="A477" s="24"/>
      <c r="B477" s="24"/>
      <c r="C477" s="24"/>
      <c r="D477" s="24"/>
      <c r="E477" s="24"/>
      <c r="F477" s="70"/>
      <c r="Y477" s="24"/>
      <c r="Z477" s="75"/>
      <c r="AA477"/>
      <c r="AC477" s="70"/>
    </row>
    <row r="478" spans="1:29" x14ac:dyDescent="0.55000000000000004">
      <c r="A478" s="24"/>
      <c r="B478" s="24"/>
      <c r="C478" s="24"/>
      <c r="D478" s="24"/>
      <c r="E478" s="24"/>
      <c r="F478" s="70"/>
      <c r="Y478" s="24"/>
      <c r="Z478" s="75"/>
      <c r="AA478"/>
      <c r="AC478" s="70"/>
    </row>
    <row r="479" spans="1:29" x14ac:dyDescent="0.55000000000000004">
      <c r="A479" s="24"/>
      <c r="B479" s="24"/>
      <c r="C479" s="24"/>
      <c r="D479" s="24"/>
      <c r="E479" s="24"/>
      <c r="F479" s="70"/>
      <c r="Y479" s="24"/>
      <c r="Z479" s="75"/>
      <c r="AA479"/>
      <c r="AC479" s="70"/>
    </row>
    <row r="480" spans="1:29" x14ac:dyDescent="0.55000000000000004">
      <c r="A480" s="24"/>
      <c r="B480" s="24"/>
      <c r="C480" s="24"/>
      <c r="D480" s="24"/>
      <c r="E480" s="24"/>
      <c r="F480" s="70"/>
      <c r="Y480" s="24"/>
      <c r="Z480" s="75"/>
      <c r="AA480"/>
      <c r="AC480" s="70"/>
    </row>
    <row r="481" spans="1:29" x14ac:dyDescent="0.55000000000000004">
      <c r="A481" s="24"/>
      <c r="B481" s="24"/>
      <c r="C481" s="24"/>
      <c r="D481" s="24"/>
      <c r="E481" s="24"/>
      <c r="F481" s="70"/>
      <c r="Y481" s="24"/>
      <c r="Z481" s="75"/>
      <c r="AA481"/>
      <c r="AC481" s="70"/>
    </row>
    <row r="482" spans="1:29" x14ac:dyDescent="0.55000000000000004">
      <c r="A482" s="24"/>
      <c r="B482" s="24"/>
      <c r="C482" s="24"/>
      <c r="D482" s="24"/>
      <c r="E482" s="24"/>
      <c r="F482" s="70"/>
      <c r="Y482" s="24"/>
      <c r="Z482" s="75"/>
      <c r="AA482"/>
      <c r="AC482" s="70"/>
    </row>
    <row r="483" spans="1:29" x14ac:dyDescent="0.55000000000000004">
      <c r="A483" s="24"/>
      <c r="B483" s="24"/>
      <c r="C483" s="24"/>
      <c r="D483" s="24"/>
      <c r="E483" s="24"/>
      <c r="F483" s="70"/>
      <c r="Y483" s="24"/>
      <c r="Z483" s="75"/>
      <c r="AA483"/>
      <c r="AC483" s="70"/>
    </row>
    <row r="484" spans="1:29" x14ac:dyDescent="0.55000000000000004">
      <c r="A484" s="24"/>
      <c r="B484" s="24"/>
      <c r="C484" s="24"/>
      <c r="D484" s="24"/>
      <c r="E484" s="24"/>
      <c r="F484" s="70"/>
      <c r="Y484" s="24"/>
      <c r="Z484" s="75"/>
      <c r="AA484"/>
      <c r="AC484" s="70"/>
    </row>
    <row r="485" spans="1:29" x14ac:dyDescent="0.55000000000000004">
      <c r="A485" s="24"/>
      <c r="B485" s="24"/>
      <c r="C485" s="24"/>
      <c r="D485" s="24"/>
      <c r="E485" s="24"/>
      <c r="F485" s="70"/>
      <c r="Y485" s="24"/>
      <c r="Z485" s="75"/>
      <c r="AA485"/>
      <c r="AC485" s="70"/>
    </row>
    <row r="486" spans="1:29" x14ac:dyDescent="0.55000000000000004">
      <c r="A486" s="24"/>
      <c r="B486" s="24"/>
      <c r="C486" s="24"/>
      <c r="D486" s="24"/>
      <c r="E486" s="24"/>
      <c r="F486" s="70"/>
      <c r="Y486" s="24"/>
      <c r="Z486" s="75"/>
      <c r="AA486"/>
      <c r="AC486" s="70"/>
    </row>
    <row r="487" spans="1:29" x14ac:dyDescent="0.55000000000000004">
      <c r="A487" s="24"/>
      <c r="B487" s="24"/>
      <c r="C487" s="24"/>
      <c r="D487" s="24"/>
      <c r="E487" s="24"/>
      <c r="F487" s="70"/>
      <c r="Y487" s="24"/>
      <c r="Z487" s="75"/>
      <c r="AA487"/>
      <c r="AC487" s="70"/>
    </row>
    <row r="488" spans="1:29" x14ac:dyDescent="0.55000000000000004">
      <c r="A488" s="24"/>
      <c r="B488" s="24"/>
      <c r="C488" s="24"/>
      <c r="D488" s="24"/>
      <c r="E488" s="24"/>
      <c r="F488" s="70"/>
      <c r="Y488" s="24"/>
      <c r="Z488" s="75"/>
      <c r="AA488"/>
      <c r="AC488" s="70"/>
    </row>
    <row r="489" spans="1:29" x14ac:dyDescent="0.55000000000000004">
      <c r="A489" s="24"/>
      <c r="B489" s="24"/>
      <c r="C489" s="24"/>
      <c r="D489" s="24"/>
      <c r="E489" s="24"/>
      <c r="F489" s="70"/>
      <c r="Y489" s="24"/>
      <c r="Z489" s="75"/>
      <c r="AA489"/>
      <c r="AC489" s="70"/>
    </row>
    <row r="490" spans="1:29" x14ac:dyDescent="0.55000000000000004">
      <c r="A490" s="24"/>
      <c r="B490" s="24"/>
      <c r="C490" s="24"/>
      <c r="D490" s="24"/>
      <c r="E490" s="24"/>
      <c r="F490" s="70"/>
      <c r="Y490" s="24"/>
      <c r="Z490" s="75"/>
      <c r="AA490"/>
      <c r="AC490" s="70"/>
    </row>
    <row r="491" spans="1:29" x14ac:dyDescent="0.55000000000000004">
      <c r="A491" s="24"/>
      <c r="B491" s="24"/>
      <c r="C491" s="24"/>
      <c r="D491" s="24"/>
      <c r="E491" s="24"/>
      <c r="F491" s="70"/>
      <c r="Y491" s="24"/>
      <c r="Z491" s="75"/>
      <c r="AA491"/>
      <c r="AC491" s="70"/>
    </row>
    <row r="492" spans="1:29" x14ac:dyDescent="0.55000000000000004">
      <c r="Z492" s="75"/>
      <c r="AA492"/>
      <c r="AC492" s="70"/>
    </row>
    <row r="493" spans="1:29" x14ac:dyDescent="0.55000000000000004">
      <c r="Z493" s="75"/>
      <c r="AA493"/>
      <c r="AC493" s="70"/>
    </row>
    <row r="494" spans="1:29" x14ac:dyDescent="0.55000000000000004">
      <c r="Z494" s="75"/>
      <c r="AA494"/>
      <c r="AC494" s="70"/>
    </row>
    <row r="495" spans="1:29" x14ac:dyDescent="0.55000000000000004">
      <c r="Z495" s="75"/>
      <c r="AA495"/>
      <c r="AC495" s="70"/>
    </row>
    <row r="496" spans="1:29" x14ac:dyDescent="0.55000000000000004">
      <c r="Z496" s="75"/>
      <c r="AA496"/>
      <c r="AC496" s="70"/>
    </row>
    <row r="497" spans="26:29" x14ac:dyDescent="0.55000000000000004">
      <c r="Z497" s="75"/>
      <c r="AA497"/>
      <c r="AC497" s="70"/>
    </row>
    <row r="498" spans="26:29" x14ac:dyDescent="0.55000000000000004">
      <c r="Z498" s="75"/>
      <c r="AA498"/>
      <c r="AC498" s="70"/>
    </row>
    <row r="499" spans="26:29" x14ac:dyDescent="0.55000000000000004">
      <c r="Z499" s="75"/>
      <c r="AA499"/>
      <c r="AC499" s="70"/>
    </row>
    <row r="500" spans="26:29" x14ac:dyDescent="0.55000000000000004">
      <c r="Z500" s="75"/>
      <c r="AA500"/>
      <c r="AC500" s="70"/>
    </row>
    <row r="501" spans="26:29" x14ac:dyDescent="0.55000000000000004">
      <c r="Z501" s="75"/>
      <c r="AA501"/>
      <c r="AC501" s="70"/>
    </row>
    <row r="502" spans="26:29" x14ac:dyDescent="0.55000000000000004">
      <c r="Z502" s="75"/>
      <c r="AA502"/>
      <c r="AC502" s="70"/>
    </row>
    <row r="503" spans="26:29" x14ac:dyDescent="0.55000000000000004">
      <c r="Z503" s="75"/>
      <c r="AA503"/>
      <c r="AC503" s="70"/>
    </row>
    <row r="504" spans="26:29" x14ac:dyDescent="0.55000000000000004">
      <c r="Z504" s="75"/>
      <c r="AA504"/>
      <c r="AC504" s="70"/>
    </row>
    <row r="505" spans="26:29" x14ac:dyDescent="0.55000000000000004">
      <c r="Z505" s="75"/>
      <c r="AA505"/>
      <c r="AC505" s="70"/>
    </row>
    <row r="506" spans="26:29" x14ac:dyDescent="0.55000000000000004">
      <c r="Z506" s="75"/>
      <c r="AA506"/>
      <c r="AC506" s="70"/>
    </row>
    <row r="507" spans="26:29" x14ac:dyDescent="0.55000000000000004">
      <c r="Z507" s="75"/>
      <c r="AA507"/>
      <c r="AC507" s="70"/>
    </row>
    <row r="508" spans="26:29" x14ac:dyDescent="0.55000000000000004">
      <c r="Z508" s="75"/>
      <c r="AA508"/>
      <c r="AC508" s="70"/>
    </row>
    <row r="509" spans="26:29" x14ac:dyDescent="0.55000000000000004">
      <c r="Z509" s="75"/>
      <c r="AA509"/>
      <c r="AC509" s="70"/>
    </row>
    <row r="510" spans="26:29" x14ac:dyDescent="0.55000000000000004">
      <c r="Z510" s="75"/>
      <c r="AA510"/>
      <c r="AC510" s="70"/>
    </row>
    <row r="511" spans="26:29" x14ac:dyDescent="0.55000000000000004">
      <c r="Z511" s="75"/>
      <c r="AA511"/>
      <c r="AC511" s="70"/>
    </row>
    <row r="512" spans="26:29" x14ac:dyDescent="0.55000000000000004">
      <c r="Z512" s="75"/>
      <c r="AA512"/>
      <c r="AC512" s="70"/>
    </row>
    <row r="513" spans="26:29" x14ac:dyDescent="0.55000000000000004">
      <c r="Z513" s="75"/>
      <c r="AA513"/>
      <c r="AC513" s="70"/>
    </row>
    <row r="514" spans="26:29" x14ac:dyDescent="0.55000000000000004">
      <c r="Z514" s="75"/>
      <c r="AA514"/>
      <c r="AC514" s="70"/>
    </row>
    <row r="515" spans="26:29" x14ac:dyDescent="0.55000000000000004">
      <c r="Z515" s="75"/>
      <c r="AA515"/>
      <c r="AC515" s="70"/>
    </row>
    <row r="516" spans="26:29" x14ac:dyDescent="0.55000000000000004">
      <c r="Z516" s="75"/>
      <c r="AA516"/>
      <c r="AC516" s="70"/>
    </row>
    <row r="517" spans="26:29" x14ac:dyDescent="0.55000000000000004">
      <c r="Z517" s="75"/>
      <c r="AA517"/>
      <c r="AC517" s="70"/>
    </row>
    <row r="518" spans="26:29" x14ac:dyDescent="0.55000000000000004">
      <c r="Z518" s="75"/>
      <c r="AA518"/>
      <c r="AC518" s="70"/>
    </row>
    <row r="519" spans="26:29" x14ac:dyDescent="0.55000000000000004">
      <c r="Z519" s="75"/>
      <c r="AA519"/>
      <c r="AC519" s="70"/>
    </row>
    <row r="520" spans="26:29" x14ac:dyDescent="0.55000000000000004">
      <c r="Z520" s="75"/>
      <c r="AA520"/>
      <c r="AC520" s="70"/>
    </row>
    <row r="521" spans="26:29" x14ac:dyDescent="0.55000000000000004">
      <c r="Z521" s="75"/>
      <c r="AA521"/>
      <c r="AC521" s="70"/>
    </row>
    <row r="522" spans="26:29" x14ac:dyDescent="0.55000000000000004">
      <c r="Z522" s="75"/>
      <c r="AA522"/>
      <c r="AC522" s="70"/>
    </row>
    <row r="523" spans="26:29" x14ac:dyDescent="0.55000000000000004">
      <c r="Z523" s="75"/>
      <c r="AA523"/>
      <c r="AC523" s="70"/>
    </row>
    <row r="524" spans="26:29" x14ac:dyDescent="0.55000000000000004">
      <c r="Z524" s="75"/>
      <c r="AA524"/>
      <c r="AC524" s="70"/>
    </row>
    <row r="525" spans="26:29" x14ac:dyDescent="0.55000000000000004">
      <c r="Z525" s="75"/>
      <c r="AA525"/>
      <c r="AC525" s="70"/>
    </row>
    <row r="526" spans="26:29" x14ac:dyDescent="0.55000000000000004">
      <c r="Z526" s="75"/>
      <c r="AA526"/>
      <c r="AC526" s="70"/>
    </row>
    <row r="527" spans="26:29" x14ac:dyDescent="0.55000000000000004">
      <c r="Z527" s="75"/>
      <c r="AA527"/>
      <c r="AC527" s="70"/>
    </row>
    <row r="528" spans="26:29" x14ac:dyDescent="0.55000000000000004">
      <c r="Z528" s="75"/>
      <c r="AA528"/>
      <c r="AC528" s="70"/>
    </row>
    <row r="529" spans="26:29" x14ac:dyDescent="0.55000000000000004">
      <c r="Z529" s="75"/>
      <c r="AA529"/>
      <c r="AC529" s="70"/>
    </row>
    <row r="530" spans="26:29" x14ac:dyDescent="0.55000000000000004">
      <c r="Z530" s="75"/>
      <c r="AA530"/>
      <c r="AC530" s="70"/>
    </row>
    <row r="531" spans="26:29" x14ac:dyDescent="0.55000000000000004">
      <c r="Z531" s="75"/>
      <c r="AA531"/>
      <c r="AC531" s="70"/>
    </row>
    <row r="532" spans="26:29" x14ac:dyDescent="0.55000000000000004">
      <c r="Z532" s="75"/>
      <c r="AA532"/>
      <c r="AC532" s="70"/>
    </row>
    <row r="533" spans="26:29" x14ac:dyDescent="0.55000000000000004">
      <c r="Z533" s="75"/>
      <c r="AA533"/>
      <c r="AC533" s="70"/>
    </row>
    <row r="534" spans="26:29" x14ac:dyDescent="0.55000000000000004">
      <c r="Z534" s="75"/>
      <c r="AA534"/>
      <c r="AC534" s="70"/>
    </row>
    <row r="535" spans="26:29" x14ac:dyDescent="0.55000000000000004">
      <c r="Z535" s="75"/>
      <c r="AA535"/>
      <c r="AC535" s="70"/>
    </row>
    <row r="536" spans="26:29" x14ac:dyDescent="0.55000000000000004">
      <c r="Z536" s="75"/>
      <c r="AA536"/>
      <c r="AC536" s="70"/>
    </row>
    <row r="537" spans="26:29" x14ac:dyDescent="0.55000000000000004">
      <c r="Z537" s="75"/>
      <c r="AA537"/>
      <c r="AC537" s="70"/>
    </row>
    <row r="538" spans="26:29" x14ac:dyDescent="0.55000000000000004">
      <c r="Z538" s="75"/>
      <c r="AA538"/>
      <c r="AC538" s="70"/>
    </row>
    <row r="539" spans="26:29" x14ac:dyDescent="0.55000000000000004">
      <c r="Z539" s="75"/>
      <c r="AA539"/>
      <c r="AC539" s="70"/>
    </row>
    <row r="540" spans="26:29" x14ac:dyDescent="0.55000000000000004">
      <c r="Z540" s="75"/>
      <c r="AA540"/>
      <c r="AC540" s="70"/>
    </row>
    <row r="541" spans="26:29" x14ac:dyDescent="0.55000000000000004">
      <c r="Z541" s="75"/>
      <c r="AA541"/>
      <c r="AC541" s="70"/>
    </row>
    <row r="542" spans="26:29" x14ac:dyDescent="0.55000000000000004">
      <c r="Z542" s="75"/>
      <c r="AA542"/>
      <c r="AC542" s="70"/>
    </row>
    <row r="543" spans="26:29" x14ac:dyDescent="0.55000000000000004">
      <c r="Z543" s="75"/>
      <c r="AA543"/>
      <c r="AC543" s="70"/>
    </row>
    <row r="544" spans="26:29" x14ac:dyDescent="0.55000000000000004">
      <c r="Z544" s="75"/>
      <c r="AA544"/>
      <c r="AC544" s="70"/>
    </row>
    <row r="545" spans="26:29" x14ac:dyDescent="0.55000000000000004">
      <c r="Z545" s="75"/>
      <c r="AA545"/>
      <c r="AC545" s="70"/>
    </row>
    <row r="546" spans="26:29" x14ac:dyDescent="0.55000000000000004">
      <c r="Z546" s="75"/>
      <c r="AA546"/>
      <c r="AC546" s="70"/>
    </row>
    <row r="547" spans="26:29" x14ac:dyDescent="0.55000000000000004">
      <c r="Z547" s="75"/>
      <c r="AA547"/>
      <c r="AC547" s="70"/>
    </row>
    <row r="548" spans="26:29" x14ac:dyDescent="0.55000000000000004">
      <c r="Z548" s="75"/>
      <c r="AA548"/>
      <c r="AC548" s="70"/>
    </row>
    <row r="549" spans="26:29" x14ac:dyDescent="0.55000000000000004">
      <c r="Z549" s="75"/>
      <c r="AA549"/>
      <c r="AC549" s="70"/>
    </row>
    <row r="550" spans="26:29" x14ac:dyDescent="0.55000000000000004">
      <c r="Z550" s="75"/>
      <c r="AA550"/>
      <c r="AC550" s="70"/>
    </row>
    <row r="551" spans="26:29" x14ac:dyDescent="0.55000000000000004">
      <c r="Z551" s="75"/>
      <c r="AA551"/>
      <c r="AC551" s="70"/>
    </row>
    <row r="552" spans="26:29" x14ac:dyDescent="0.55000000000000004">
      <c r="Z552" s="75"/>
      <c r="AA552"/>
      <c r="AC552" s="70"/>
    </row>
    <row r="553" spans="26:29" x14ac:dyDescent="0.55000000000000004">
      <c r="Z553" s="75"/>
      <c r="AA553"/>
      <c r="AC553" s="70"/>
    </row>
    <row r="554" spans="26:29" x14ac:dyDescent="0.55000000000000004">
      <c r="Z554" s="75"/>
      <c r="AA554"/>
      <c r="AC554" s="70"/>
    </row>
    <row r="555" spans="26:29" x14ac:dyDescent="0.55000000000000004">
      <c r="Z555" s="75"/>
      <c r="AA555"/>
      <c r="AC555" s="70"/>
    </row>
    <row r="556" spans="26:29" x14ac:dyDescent="0.55000000000000004">
      <c r="Z556" s="75"/>
      <c r="AA556"/>
      <c r="AC556" s="70"/>
    </row>
    <row r="557" spans="26:29" x14ac:dyDescent="0.55000000000000004">
      <c r="Z557" s="75"/>
      <c r="AA557"/>
      <c r="AC557" s="70"/>
    </row>
    <row r="558" spans="26:29" x14ac:dyDescent="0.55000000000000004">
      <c r="Z558" s="75"/>
      <c r="AA558"/>
      <c r="AC558" s="70"/>
    </row>
    <row r="559" spans="26:29" x14ac:dyDescent="0.55000000000000004">
      <c r="Z559" s="75"/>
      <c r="AA559"/>
      <c r="AC559" s="70"/>
    </row>
    <row r="560" spans="26:29" x14ac:dyDescent="0.55000000000000004">
      <c r="Z560" s="75"/>
      <c r="AA560"/>
      <c r="AC560" s="70"/>
    </row>
    <row r="561" spans="26:29" x14ac:dyDescent="0.55000000000000004">
      <c r="Z561" s="75"/>
      <c r="AA561"/>
      <c r="AC561" s="70"/>
    </row>
    <row r="562" spans="26:29" x14ac:dyDescent="0.55000000000000004">
      <c r="Z562" s="75"/>
      <c r="AA562"/>
      <c r="AC562" s="70"/>
    </row>
    <row r="563" spans="26:29" x14ac:dyDescent="0.55000000000000004">
      <c r="Z563" s="75"/>
      <c r="AA563"/>
      <c r="AC563" s="70"/>
    </row>
    <row r="564" spans="26:29" x14ac:dyDescent="0.55000000000000004">
      <c r="Z564" s="75"/>
      <c r="AA564"/>
      <c r="AC564" s="70"/>
    </row>
    <row r="565" spans="26:29" x14ac:dyDescent="0.55000000000000004">
      <c r="Z565" s="75"/>
      <c r="AA565"/>
      <c r="AC565" s="70"/>
    </row>
    <row r="566" spans="26:29" x14ac:dyDescent="0.55000000000000004">
      <c r="Z566" s="75"/>
      <c r="AA566"/>
      <c r="AC566" s="70"/>
    </row>
    <row r="567" spans="26:29" x14ac:dyDescent="0.55000000000000004">
      <c r="Z567" s="75"/>
      <c r="AA567"/>
      <c r="AC567" s="70"/>
    </row>
    <row r="568" spans="26:29" x14ac:dyDescent="0.55000000000000004">
      <c r="Z568" s="75"/>
      <c r="AA568"/>
      <c r="AC568" s="70"/>
    </row>
    <row r="569" spans="26:29" x14ac:dyDescent="0.55000000000000004">
      <c r="Z569" s="75"/>
      <c r="AA569"/>
      <c r="AC569" s="70"/>
    </row>
    <row r="570" spans="26:29" x14ac:dyDescent="0.55000000000000004">
      <c r="Z570" s="75"/>
      <c r="AA570"/>
      <c r="AC570" s="70"/>
    </row>
    <row r="571" spans="26:29" x14ac:dyDescent="0.55000000000000004">
      <c r="Z571" s="75"/>
      <c r="AA571"/>
      <c r="AC571" s="70"/>
    </row>
    <row r="572" spans="26:29" x14ac:dyDescent="0.55000000000000004">
      <c r="Z572" s="75"/>
      <c r="AA572"/>
      <c r="AC572" s="70"/>
    </row>
    <row r="573" spans="26:29" x14ac:dyDescent="0.55000000000000004">
      <c r="Z573" s="75"/>
      <c r="AA573"/>
      <c r="AC573" s="70"/>
    </row>
    <row r="574" spans="26:29" x14ac:dyDescent="0.55000000000000004">
      <c r="Z574" s="75"/>
      <c r="AA574"/>
      <c r="AC574" s="70"/>
    </row>
    <row r="575" spans="26:29" x14ac:dyDescent="0.55000000000000004">
      <c r="Z575" s="75"/>
      <c r="AA575"/>
      <c r="AC575" s="70"/>
    </row>
    <row r="576" spans="26:29" x14ac:dyDescent="0.55000000000000004">
      <c r="Z576" s="75"/>
      <c r="AA576"/>
      <c r="AC576" s="70"/>
    </row>
    <row r="577" spans="26:29" x14ac:dyDescent="0.55000000000000004">
      <c r="Z577" s="75"/>
      <c r="AA577"/>
      <c r="AC577" s="70"/>
    </row>
    <row r="578" spans="26:29" x14ac:dyDescent="0.55000000000000004">
      <c r="Z578" s="75"/>
      <c r="AA578"/>
      <c r="AC578" s="70"/>
    </row>
    <row r="579" spans="26:29" x14ac:dyDescent="0.55000000000000004">
      <c r="Z579" s="75"/>
      <c r="AA579"/>
      <c r="AC579" s="70"/>
    </row>
    <row r="580" spans="26:29" x14ac:dyDescent="0.55000000000000004">
      <c r="Z580" s="75"/>
      <c r="AA580"/>
      <c r="AC580" s="70"/>
    </row>
    <row r="581" spans="26:29" x14ac:dyDescent="0.55000000000000004">
      <c r="Z581" s="75"/>
      <c r="AA581"/>
      <c r="AC581" s="70"/>
    </row>
    <row r="582" spans="26:29" x14ac:dyDescent="0.55000000000000004">
      <c r="Z582" s="75"/>
      <c r="AA582"/>
      <c r="AC582" s="70"/>
    </row>
    <row r="583" spans="26:29" x14ac:dyDescent="0.55000000000000004">
      <c r="Z583" s="75"/>
      <c r="AA583"/>
      <c r="AC583" s="70"/>
    </row>
    <row r="584" spans="26:29" x14ac:dyDescent="0.55000000000000004">
      <c r="Z584" s="75"/>
      <c r="AA584"/>
      <c r="AC584" s="70"/>
    </row>
    <row r="585" spans="26:29" x14ac:dyDescent="0.55000000000000004">
      <c r="Z585" s="75"/>
      <c r="AA585"/>
      <c r="AC585" s="70"/>
    </row>
    <row r="586" spans="26:29" x14ac:dyDescent="0.55000000000000004">
      <c r="Z586" s="75"/>
      <c r="AA586"/>
      <c r="AC586" s="70"/>
    </row>
    <row r="587" spans="26:29" x14ac:dyDescent="0.55000000000000004">
      <c r="Z587" s="75"/>
      <c r="AA587"/>
      <c r="AC587" s="70"/>
    </row>
    <row r="588" spans="26:29" x14ac:dyDescent="0.55000000000000004">
      <c r="Z588" s="75"/>
      <c r="AA588"/>
      <c r="AC588" s="70"/>
    </row>
    <row r="589" spans="26:29" x14ac:dyDescent="0.55000000000000004">
      <c r="Z589" s="75"/>
      <c r="AA589"/>
      <c r="AC589" s="70"/>
    </row>
    <row r="590" spans="26:29" x14ac:dyDescent="0.55000000000000004">
      <c r="Z590" s="75"/>
      <c r="AA590"/>
      <c r="AC590" s="70"/>
    </row>
    <row r="591" spans="26:29" x14ac:dyDescent="0.55000000000000004">
      <c r="Z591" s="75"/>
      <c r="AA591"/>
      <c r="AC591" s="70"/>
    </row>
    <row r="592" spans="26:29" x14ac:dyDescent="0.55000000000000004">
      <c r="Z592" s="75"/>
      <c r="AA592"/>
      <c r="AC592" s="70"/>
    </row>
    <row r="593" spans="26:29" x14ac:dyDescent="0.55000000000000004">
      <c r="Z593" s="75"/>
      <c r="AA593"/>
      <c r="AC593" s="70"/>
    </row>
    <row r="594" spans="26:29" x14ac:dyDescent="0.55000000000000004">
      <c r="Z594" s="75"/>
      <c r="AA594"/>
      <c r="AC594" s="70"/>
    </row>
    <row r="595" spans="26:29" x14ac:dyDescent="0.55000000000000004">
      <c r="Z595" s="75"/>
      <c r="AA595"/>
      <c r="AC595" s="70"/>
    </row>
    <row r="596" spans="26:29" x14ac:dyDescent="0.55000000000000004">
      <c r="Z596" s="75"/>
      <c r="AA596"/>
      <c r="AC596" s="70"/>
    </row>
    <row r="597" spans="26:29" x14ac:dyDescent="0.55000000000000004">
      <c r="Z597" s="75"/>
      <c r="AA597"/>
      <c r="AC597" s="70"/>
    </row>
    <row r="598" spans="26:29" x14ac:dyDescent="0.55000000000000004">
      <c r="Z598" s="75"/>
      <c r="AA598"/>
      <c r="AC598" s="70"/>
    </row>
    <row r="599" spans="26:29" x14ac:dyDescent="0.55000000000000004">
      <c r="Z599" s="75"/>
      <c r="AA599"/>
      <c r="AC599" s="70"/>
    </row>
    <row r="600" spans="26:29" x14ac:dyDescent="0.55000000000000004">
      <c r="Z600" s="75"/>
      <c r="AA600"/>
      <c r="AC600" s="70"/>
    </row>
    <row r="601" spans="26:29" x14ac:dyDescent="0.55000000000000004">
      <c r="Z601" s="75"/>
      <c r="AA601"/>
      <c r="AC601" s="70"/>
    </row>
    <row r="602" spans="26:29" x14ac:dyDescent="0.55000000000000004">
      <c r="Z602" s="75"/>
      <c r="AA602"/>
      <c r="AC602" s="70"/>
    </row>
    <row r="603" spans="26:29" x14ac:dyDescent="0.55000000000000004">
      <c r="Z603" s="75"/>
      <c r="AA603"/>
      <c r="AC603" s="70"/>
    </row>
    <row r="604" spans="26:29" x14ac:dyDescent="0.55000000000000004">
      <c r="Z604" s="75"/>
      <c r="AA604"/>
      <c r="AC604" s="70"/>
    </row>
    <row r="605" spans="26:29" x14ac:dyDescent="0.55000000000000004">
      <c r="Z605" s="75"/>
      <c r="AA605"/>
      <c r="AC605" s="70"/>
    </row>
    <row r="606" spans="26:29" x14ac:dyDescent="0.55000000000000004">
      <c r="Z606" s="75"/>
      <c r="AA606"/>
      <c r="AC606" s="70"/>
    </row>
    <row r="607" spans="26:29" x14ac:dyDescent="0.55000000000000004">
      <c r="Z607" s="75"/>
      <c r="AA607"/>
      <c r="AC607" s="70"/>
    </row>
    <row r="608" spans="26:29" x14ac:dyDescent="0.55000000000000004">
      <c r="Z608" s="75"/>
      <c r="AA608"/>
      <c r="AC608" s="70"/>
    </row>
    <row r="609" spans="26:29" x14ac:dyDescent="0.55000000000000004">
      <c r="Z609" s="75"/>
      <c r="AA609"/>
      <c r="AC609" s="70"/>
    </row>
    <row r="610" spans="26:29" x14ac:dyDescent="0.55000000000000004">
      <c r="Z610" s="75"/>
      <c r="AA610"/>
      <c r="AC610" s="70"/>
    </row>
    <row r="611" spans="26:29" x14ac:dyDescent="0.55000000000000004">
      <c r="Z611" s="75"/>
      <c r="AA611"/>
      <c r="AC611" s="70"/>
    </row>
    <row r="612" spans="26:29" x14ac:dyDescent="0.55000000000000004">
      <c r="Z612" s="75"/>
      <c r="AA612"/>
      <c r="AC612" s="70"/>
    </row>
    <row r="613" spans="26:29" x14ac:dyDescent="0.55000000000000004">
      <c r="Z613" s="75"/>
      <c r="AA613"/>
      <c r="AC613" s="70"/>
    </row>
    <row r="614" spans="26:29" x14ac:dyDescent="0.55000000000000004">
      <c r="Z614" s="75"/>
      <c r="AA614"/>
      <c r="AC614" s="70"/>
    </row>
    <row r="615" spans="26:29" x14ac:dyDescent="0.55000000000000004">
      <c r="Z615" s="75"/>
      <c r="AA615"/>
      <c r="AC615" s="70"/>
    </row>
    <row r="616" spans="26:29" x14ac:dyDescent="0.55000000000000004">
      <c r="Z616" s="75"/>
      <c r="AA616"/>
      <c r="AC616" s="70"/>
    </row>
    <row r="617" spans="26:29" x14ac:dyDescent="0.55000000000000004">
      <c r="Z617" s="75"/>
      <c r="AA617"/>
      <c r="AC617" s="70"/>
    </row>
    <row r="618" spans="26:29" x14ac:dyDescent="0.55000000000000004">
      <c r="Z618" s="75"/>
      <c r="AA618"/>
      <c r="AC618" s="70"/>
    </row>
    <row r="619" spans="26:29" x14ac:dyDescent="0.55000000000000004">
      <c r="Z619" s="75"/>
      <c r="AA619"/>
      <c r="AC619" s="70"/>
    </row>
    <row r="620" spans="26:29" x14ac:dyDescent="0.55000000000000004">
      <c r="Z620" s="75"/>
      <c r="AA620"/>
      <c r="AC620" s="70"/>
    </row>
    <row r="621" spans="26:29" x14ac:dyDescent="0.55000000000000004">
      <c r="Z621" s="75"/>
      <c r="AA621"/>
      <c r="AC621" s="70"/>
    </row>
    <row r="622" spans="26:29" x14ac:dyDescent="0.55000000000000004">
      <c r="Z622" s="75"/>
      <c r="AA622"/>
      <c r="AC622" s="70"/>
    </row>
    <row r="623" spans="26:29" x14ac:dyDescent="0.55000000000000004">
      <c r="Z623" s="75"/>
      <c r="AA623"/>
      <c r="AC623" s="70"/>
    </row>
    <row r="624" spans="26:29" x14ac:dyDescent="0.55000000000000004">
      <c r="Z624" s="75"/>
      <c r="AA624"/>
      <c r="AC624" s="70"/>
    </row>
    <row r="625" spans="26:29" x14ac:dyDescent="0.55000000000000004">
      <c r="Z625" s="75"/>
      <c r="AA625"/>
      <c r="AC625" s="70"/>
    </row>
    <row r="626" spans="26:29" x14ac:dyDescent="0.55000000000000004">
      <c r="Z626" s="75"/>
      <c r="AA626"/>
      <c r="AC626" s="70"/>
    </row>
    <row r="627" spans="26:29" x14ac:dyDescent="0.55000000000000004">
      <c r="Z627" s="75"/>
      <c r="AA627"/>
      <c r="AC627" s="70"/>
    </row>
    <row r="628" spans="26:29" x14ac:dyDescent="0.55000000000000004">
      <c r="Z628" s="75"/>
      <c r="AA628"/>
      <c r="AC628" s="70"/>
    </row>
    <row r="629" spans="26:29" x14ac:dyDescent="0.55000000000000004">
      <c r="Z629" s="75"/>
      <c r="AA629"/>
      <c r="AC629" s="70"/>
    </row>
    <row r="630" spans="26:29" x14ac:dyDescent="0.55000000000000004">
      <c r="Z630" s="75"/>
      <c r="AA630"/>
      <c r="AC630" s="70"/>
    </row>
    <row r="631" spans="26:29" x14ac:dyDescent="0.55000000000000004">
      <c r="Z631" s="75"/>
      <c r="AA631"/>
      <c r="AC631" s="70"/>
    </row>
    <row r="632" spans="26:29" x14ac:dyDescent="0.55000000000000004">
      <c r="Z632" s="75"/>
      <c r="AA632"/>
      <c r="AC632" s="70"/>
    </row>
    <row r="633" spans="26:29" x14ac:dyDescent="0.55000000000000004">
      <c r="Z633" s="75"/>
      <c r="AA633"/>
      <c r="AC633" s="70"/>
    </row>
    <row r="634" spans="26:29" x14ac:dyDescent="0.55000000000000004">
      <c r="Z634" s="75"/>
      <c r="AA634"/>
      <c r="AC634" s="70"/>
    </row>
    <row r="635" spans="26:29" x14ac:dyDescent="0.55000000000000004">
      <c r="Z635" s="75"/>
      <c r="AA635"/>
      <c r="AC635" s="70"/>
    </row>
    <row r="636" spans="26:29" x14ac:dyDescent="0.55000000000000004">
      <c r="Z636" s="75"/>
      <c r="AA636"/>
      <c r="AC636" s="70"/>
    </row>
    <row r="637" spans="26:29" x14ac:dyDescent="0.55000000000000004">
      <c r="Z637" s="75"/>
      <c r="AA637"/>
      <c r="AC637" s="70"/>
    </row>
    <row r="638" spans="26:29" x14ac:dyDescent="0.55000000000000004">
      <c r="Z638" s="75"/>
      <c r="AA638"/>
      <c r="AC638" s="70"/>
    </row>
    <row r="639" spans="26:29" x14ac:dyDescent="0.55000000000000004">
      <c r="Z639" s="75"/>
      <c r="AA639"/>
      <c r="AC639" s="70"/>
    </row>
    <row r="640" spans="26:29" x14ac:dyDescent="0.55000000000000004">
      <c r="Z640" s="75"/>
      <c r="AA640"/>
      <c r="AC640" s="70"/>
    </row>
    <row r="641" spans="26:29" x14ac:dyDescent="0.55000000000000004">
      <c r="Z641" s="75"/>
      <c r="AA641"/>
      <c r="AC641" s="70"/>
    </row>
    <row r="642" spans="26:29" x14ac:dyDescent="0.55000000000000004">
      <c r="Z642" s="75"/>
      <c r="AA642"/>
      <c r="AC642" s="70"/>
    </row>
    <row r="643" spans="26:29" x14ac:dyDescent="0.55000000000000004">
      <c r="Z643" s="75"/>
      <c r="AA643"/>
      <c r="AC643" s="70"/>
    </row>
    <row r="644" spans="26:29" x14ac:dyDescent="0.55000000000000004">
      <c r="Z644" s="75"/>
      <c r="AA644"/>
      <c r="AC644" s="70"/>
    </row>
    <row r="645" spans="26:29" x14ac:dyDescent="0.55000000000000004">
      <c r="Z645" s="75"/>
      <c r="AA645"/>
      <c r="AC645" s="70"/>
    </row>
    <row r="646" spans="26:29" x14ac:dyDescent="0.55000000000000004">
      <c r="Z646" s="75"/>
      <c r="AA646"/>
      <c r="AC646" s="70"/>
    </row>
    <row r="647" spans="26:29" x14ac:dyDescent="0.55000000000000004">
      <c r="Z647" s="75"/>
      <c r="AA647"/>
      <c r="AC647" s="70"/>
    </row>
    <row r="648" spans="26:29" x14ac:dyDescent="0.55000000000000004">
      <c r="Z648" s="75"/>
      <c r="AA648"/>
      <c r="AC648" s="70"/>
    </row>
    <row r="649" spans="26:29" x14ac:dyDescent="0.55000000000000004">
      <c r="Z649" s="75"/>
      <c r="AA649"/>
      <c r="AC649" s="70"/>
    </row>
    <row r="650" spans="26:29" x14ac:dyDescent="0.55000000000000004">
      <c r="Z650" s="75"/>
      <c r="AA650"/>
      <c r="AC650" s="70"/>
    </row>
    <row r="651" spans="26:29" x14ac:dyDescent="0.55000000000000004">
      <c r="Z651" s="75"/>
      <c r="AA651"/>
      <c r="AC651" s="70"/>
    </row>
    <row r="652" spans="26:29" x14ac:dyDescent="0.55000000000000004">
      <c r="Z652" s="75"/>
      <c r="AA652"/>
      <c r="AC652" s="70"/>
    </row>
    <row r="653" spans="26:29" x14ac:dyDescent="0.55000000000000004">
      <c r="Z653" s="75"/>
      <c r="AA653"/>
      <c r="AC653" s="70"/>
    </row>
    <row r="654" spans="26:29" x14ac:dyDescent="0.55000000000000004">
      <c r="Z654" s="75"/>
      <c r="AA654"/>
      <c r="AC654" s="70"/>
    </row>
    <row r="655" spans="26:29" x14ac:dyDescent="0.55000000000000004">
      <c r="Z655" s="75"/>
      <c r="AA655"/>
      <c r="AC655" s="70"/>
    </row>
    <row r="656" spans="26:29" x14ac:dyDescent="0.55000000000000004">
      <c r="Z656" s="75"/>
      <c r="AA656"/>
      <c r="AC656" s="70"/>
    </row>
    <row r="657" spans="26:29" x14ac:dyDescent="0.55000000000000004">
      <c r="Z657" s="75"/>
      <c r="AA657"/>
      <c r="AC657" s="70"/>
    </row>
    <row r="658" spans="26:29" x14ac:dyDescent="0.55000000000000004">
      <c r="Z658" s="75"/>
      <c r="AA658"/>
      <c r="AC658" s="70"/>
    </row>
    <row r="659" spans="26:29" x14ac:dyDescent="0.55000000000000004">
      <c r="Z659" s="75"/>
      <c r="AA659"/>
      <c r="AC659" s="70"/>
    </row>
    <row r="660" spans="26:29" x14ac:dyDescent="0.55000000000000004">
      <c r="Z660" s="75"/>
      <c r="AA660"/>
      <c r="AC660" s="70"/>
    </row>
    <row r="661" spans="26:29" x14ac:dyDescent="0.55000000000000004">
      <c r="Z661" s="75"/>
      <c r="AA661"/>
      <c r="AC661" s="70"/>
    </row>
    <row r="662" spans="26:29" x14ac:dyDescent="0.55000000000000004">
      <c r="Z662" s="75"/>
      <c r="AA662"/>
      <c r="AC662" s="70"/>
    </row>
    <row r="663" spans="26:29" x14ac:dyDescent="0.55000000000000004">
      <c r="Z663" s="75"/>
      <c r="AA663"/>
      <c r="AC663" s="70"/>
    </row>
    <row r="664" spans="26:29" x14ac:dyDescent="0.55000000000000004">
      <c r="Z664" s="75"/>
      <c r="AA664"/>
      <c r="AC664" s="70"/>
    </row>
    <row r="665" spans="26:29" x14ac:dyDescent="0.55000000000000004">
      <c r="Z665" s="75"/>
      <c r="AA665"/>
      <c r="AC665" s="70"/>
    </row>
    <row r="666" spans="26:29" x14ac:dyDescent="0.55000000000000004">
      <c r="Z666" s="75"/>
      <c r="AA666"/>
      <c r="AC666" s="70"/>
    </row>
    <row r="667" spans="26:29" x14ac:dyDescent="0.55000000000000004">
      <c r="Z667" s="75"/>
      <c r="AA667"/>
      <c r="AC667" s="70"/>
    </row>
    <row r="668" spans="26:29" x14ac:dyDescent="0.55000000000000004">
      <c r="Z668" s="75"/>
      <c r="AA668"/>
      <c r="AC668" s="70"/>
    </row>
    <row r="669" spans="26:29" x14ac:dyDescent="0.55000000000000004">
      <c r="Z669" s="75"/>
      <c r="AA669"/>
      <c r="AC669" s="70"/>
    </row>
    <row r="670" spans="26:29" x14ac:dyDescent="0.55000000000000004">
      <c r="Z670" s="75"/>
      <c r="AA670"/>
      <c r="AC670" s="70"/>
    </row>
    <row r="671" spans="26:29" x14ac:dyDescent="0.55000000000000004">
      <c r="Z671" s="75"/>
      <c r="AA671"/>
      <c r="AC671" s="70"/>
    </row>
    <row r="672" spans="26:29" x14ac:dyDescent="0.55000000000000004">
      <c r="Z672" s="75"/>
      <c r="AA672"/>
      <c r="AC672" s="70"/>
    </row>
    <row r="673" spans="26:29" x14ac:dyDescent="0.55000000000000004">
      <c r="Z673" s="75"/>
      <c r="AA673"/>
      <c r="AC673" s="70"/>
    </row>
    <row r="674" spans="26:29" x14ac:dyDescent="0.55000000000000004">
      <c r="Z674" s="75"/>
      <c r="AA674"/>
      <c r="AC674" s="70"/>
    </row>
    <row r="675" spans="26:29" x14ac:dyDescent="0.55000000000000004">
      <c r="Z675" s="75"/>
      <c r="AA675"/>
      <c r="AC675" s="70"/>
    </row>
    <row r="676" spans="26:29" x14ac:dyDescent="0.55000000000000004">
      <c r="Z676" s="75"/>
      <c r="AA676"/>
      <c r="AC676" s="70"/>
    </row>
    <row r="677" spans="26:29" x14ac:dyDescent="0.55000000000000004">
      <c r="Z677" s="75"/>
      <c r="AA677"/>
      <c r="AC677" s="70"/>
    </row>
    <row r="678" spans="26:29" x14ac:dyDescent="0.55000000000000004">
      <c r="Z678" s="75"/>
      <c r="AA678"/>
      <c r="AC678" s="70"/>
    </row>
    <row r="679" spans="26:29" x14ac:dyDescent="0.55000000000000004">
      <c r="Z679" s="75"/>
      <c r="AA679"/>
      <c r="AC679" s="70"/>
    </row>
    <row r="680" spans="26:29" x14ac:dyDescent="0.55000000000000004">
      <c r="Z680" s="75"/>
      <c r="AA680"/>
      <c r="AC680" s="70"/>
    </row>
    <row r="681" spans="26:29" x14ac:dyDescent="0.55000000000000004">
      <c r="Z681" s="75"/>
      <c r="AA681"/>
      <c r="AC681" s="70"/>
    </row>
    <row r="682" spans="26:29" x14ac:dyDescent="0.55000000000000004">
      <c r="Z682" s="75"/>
      <c r="AA682"/>
      <c r="AC682" s="70"/>
    </row>
    <row r="683" spans="26:29" x14ac:dyDescent="0.55000000000000004">
      <c r="Z683" s="75"/>
      <c r="AA683"/>
      <c r="AC683" s="70"/>
    </row>
    <row r="684" spans="26:29" x14ac:dyDescent="0.55000000000000004">
      <c r="Z684" s="75"/>
      <c r="AA684"/>
      <c r="AC684" s="70"/>
    </row>
    <row r="685" spans="26:29" x14ac:dyDescent="0.55000000000000004">
      <c r="Z685" s="75"/>
      <c r="AA685"/>
      <c r="AC685" s="70"/>
    </row>
    <row r="686" spans="26:29" x14ac:dyDescent="0.55000000000000004">
      <c r="Z686" s="75"/>
      <c r="AA686"/>
      <c r="AC686" s="70"/>
    </row>
    <row r="687" spans="26:29" x14ac:dyDescent="0.55000000000000004">
      <c r="Z687" s="75"/>
      <c r="AA687"/>
      <c r="AC687" s="70"/>
    </row>
    <row r="688" spans="26:29" x14ac:dyDescent="0.55000000000000004">
      <c r="Z688" s="75"/>
      <c r="AA688"/>
      <c r="AC688" s="70"/>
    </row>
    <row r="689" spans="26:29" x14ac:dyDescent="0.55000000000000004">
      <c r="Z689" s="75"/>
      <c r="AA689"/>
      <c r="AC689" s="70"/>
    </row>
    <row r="690" spans="26:29" x14ac:dyDescent="0.55000000000000004">
      <c r="Z690" s="75"/>
      <c r="AA690"/>
      <c r="AC690" s="70"/>
    </row>
    <row r="691" spans="26:29" x14ac:dyDescent="0.55000000000000004">
      <c r="Z691" s="75"/>
      <c r="AA691"/>
      <c r="AC691" s="70"/>
    </row>
    <row r="692" spans="26:29" x14ac:dyDescent="0.55000000000000004">
      <c r="Z692" s="75"/>
      <c r="AA692"/>
      <c r="AC692" s="70"/>
    </row>
    <row r="693" spans="26:29" x14ac:dyDescent="0.55000000000000004">
      <c r="Z693" s="75"/>
      <c r="AA693"/>
      <c r="AC693" s="70"/>
    </row>
    <row r="694" spans="26:29" x14ac:dyDescent="0.55000000000000004">
      <c r="Z694" s="75"/>
      <c r="AA694"/>
      <c r="AC694" s="70"/>
    </row>
    <row r="695" spans="26:29" x14ac:dyDescent="0.55000000000000004">
      <c r="Z695" s="75"/>
      <c r="AA695"/>
      <c r="AC695" s="70"/>
    </row>
    <row r="696" spans="26:29" x14ac:dyDescent="0.55000000000000004">
      <c r="Z696" s="75"/>
      <c r="AA696"/>
      <c r="AC696" s="70"/>
    </row>
    <row r="697" spans="26:29" x14ac:dyDescent="0.55000000000000004">
      <c r="Z697" s="75"/>
      <c r="AA697"/>
      <c r="AC697" s="70"/>
    </row>
    <row r="698" spans="26:29" x14ac:dyDescent="0.55000000000000004">
      <c r="Z698" s="75"/>
      <c r="AA698"/>
      <c r="AC698" s="70"/>
    </row>
    <row r="699" spans="26:29" x14ac:dyDescent="0.55000000000000004">
      <c r="Z699" s="75"/>
      <c r="AA699"/>
      <c r="AC699" s="70"/>
    </row>
    <row r="700" spans="26:29" x14ac:dyDescent="0.55000000000000004">
      <c r="Z700" s="75"/>
      <c r="AA700"/>
      <c r="AC700" s="70"/>
    </row>
    <row r="701" spans="26:29" x14ac:dyDescent="0.55000000000000004">
      <c r="Z701" s="75"/>
      <c r="AA701"/>
      <c r="AC701" s="70"/>
    </row>
    <row r="702" spans="26:29" x14ac:dyDescent="0.55000000000000004">
      <c r="Z702" s="75"/>
      <c r="AA702"/>
      <c r="AC702" s="70"/>
    </row>
    <row r="703" spans="26:29" x14ac:dyDescent="0.55000000000000004">
      <c r="Z703" s="75"/>
      <c r="AA703"/>
      <c r="AC703" s="70"/>
    </row>
    <row r="704" spans="26:29" x14ac:dyDescent="0.55000000000000004">
      <c r="Z704" s="75"/>
      <c r="AA704"/>
      <c r="AC704" s="70"/>
    </row>
    <row r="705" spans="26:29" x14ac:dyDescent="0.55000000000000004">
      <c r="Z705" s="75"/>
      <c r="AA705"/>
      <c r="AC705" s="70"/>
    </row>
    <row r="706" spans="26:29" x14ac:dyDescent="0.55000000000000004">
      <c r="Z706" s="75"/>
      <c r="AA706"/>
      <c r="AC706" s="70"/>
    </row>
    <row r="707" spans="26:29" x14ac:dyDescent="0.55000000000000004">
      <c r="Z707" s="75"/>
      <c r="AA707"/>
      <c r="AC707" s="70"/>
    </row>
    <row r="708" spans="26:29" x14ac:dyDescent="0.55000000000000004">
      <c r="Z708" s="75"/>
      <c r="AA708"/>
      <c r="AC708" s="70"/>
    </row>
    <row r="709" spans="26:29" x14ac:dyDescent="0.55000000000000004">
      <c r="Z709" s="75"/>
      <c r="AA709"/>
      <c r="AC709" s="70"/>
    </row>
    <row r="710" spans="26:29" x14ac:dyDescent="0.55000000000000004">
      <c r="Z710" s="75"/>
      <c r="AA710"/>
      <c r="AC710" s="70"/>
    </row>
    <row r="711" spans="26:29" x14ac:dyDescent="0.55000000000000004">
      <c r="Z711" s="75"/>
      <c r="AA711"/>
      <c r="AC711" s="70"/>
    </row>
    <row r="712" spans="26:29" x14ac:dyDescent="0.55000000000000004">
      <c r="Z712" s="75"/>
      <c r="AA712"/>
      <c r="AC712" s="70"/>
    </row>
    <row r="713" spans="26:29" x14ac:dyDescent="0.55000000000000004">
      <c r="Z713" s="75"/>
      <c r="AA713"/>
      <c r="AC713" s="70"/>
    </row>
    <row r="714" spans="26:29" x14ac:dyDescent="0.55000000000000004">
      <c r="Z714" s="75"/>
      <c r="AA714"/>
      <c r="AC714" s="70"/>
    </row>
    <row r="715" spans="26:29" x14ac:dyDescent="0.55000000000000004">
      <c r="Z715" s="75"/>
      <c r="AA715"/>
      <c r="AC715" s="70"/>
    </row>
    <row r="716" spans="26:29" x14ac:dyDescent="0.55000000000000004">
      <c r="Z716" s="75"/>
      <c r="AA716"/>
      <c r="AC716" s="70"/>
    </row>
    <row r="717" spans="26:29" x14ac:dyDescent="0.55000000000000004">
      <c r="Z717" s="75"/>
      <c r="AA717"/>
      <c r="AC717" s="70"/>
    </row>
    <row r="718" spans="26:29" x14ac:dyDescent="0.55000000000000004">
      <c r="Z718" s="75"/>
      <c r="AA718"/>
      <c r="AC718" s="70"/>
    </row>
    <row r="719" spans="26:29" x14ac:dyDescent="0.55000000000000004">
      <c r="Z719" s="75"/>
      <c r="AA719"/>
      <c r="AC719" s="70"/>
    </row>
    <row r="720" spans="26:29" x14ac:dyDescent="0.55000000000000004">
      <c r="Z720" s="75"/>
      <c r="AA720"/>
      <c r="AC720" s="70"/>
    </row>
    <row r="721" spans="26:29" x14ac:dyDescent="0.55000000000000004">
      <c r="Z721" s="75"/>
      <c r="AA721"/>
      <c r="AC721" s="70"/>
    </row>
    <row r="722" spans="26:29" x14ac:dyDescent="0.55000000000000004">
      <c r="Z722" s="75"/>
      <c r="AA722"/>
      <c r="AC722" s="70"/>
    </row>
    <row r="723" spans="26:29" x14ac:dyDescent="0.55000000000000004">
      <c r="Z723" s="75"/>
      <c r="AA723"/>
      <c r="AC723" s="70"/>
    </row>
    <row r="724" spans="26:29" x14ac:dyDescent="0.55000000000000004">
      <c r="Z724" s="75"/>
      <c r="AA724"/>
      <c r="AC724" s="70"/>
    </row>
    <row r="725" spans="26:29" x14ac:dyDescent="0.55000000000000004">
      <c r="Z725" s="75"/>
      <c r="AA725"/>
      <c r="AC725" s="70"/>
    </row>
    <row r="726" spans="26:29" x14ac:dyDescent="0.55000000000000004">
      <c r="Z726" s="75"/>
      <c r="AA726"/>
      <c r="AC726" s="70"/>
    </row>
    <row r="727" spans="26:29" x14ac:dyDescent="0.55000000000000004">
      <c r="Z727" s="75"/>
      <c r="AA727"/>
      <c r="AC727" s="70"/>
    </row>
    <row r="728" spans="26:29" x14ac:dyDescent="0.55000000000000004">
      <c r="Z728" s="75"/>
      <c r="AA728"/>
      <c r="AC728" s="70"/>
    </row>
    <row r="729" spans="26:29" x14ac:dyDescent="0.55000000000000004">
      <c r="Z729" s="75"/>
      <c r="AA729"/>
      <c r="AC729" s="70"/>
    </row>
    <row r="730" spans="26:29" x14ac:dyDescent="0.55000000000000004">
      <c r="Z730" s="75"/>
      <c r="AA730"/>
      <c r="AC730" s="70"/>
    </row>
    <row r="731" spans="26:29" x14ac:dyDescent="0.55000000000000004">
      <c r="Z731" s="75"/>
      <c r="AA731"/>
      <c r="AC731" s="70"/>
    </row>
    <row r="732" spans="26:29" x14ac:dyDescent="0.55000000000000004">
      <c r="Z732" s="75"/>
      <c r="AA732"/>
      <c r="AC732" s="70"/>
    </row>
    <row r="733" spans="26:29" x14ac:dyDescent="0.55000000000000004">
      <c r="Z733" s="75"/>
      <c r="AA733"/>
      <c r="AC733" s="70"/>
    </row>
    <row r="734" spans="26:29" x14ac:dyDescent="0.55000000000000004">
      <c r="Z734" s="75"/>
      <c r="AA734"/>
      <c r="AC734" s="70"/>
    </row>
    <row r="735" spans="26:29" x14ac:dyDescent="0.55000000000000004">
      <c r="Z735" s="75"/>
      <c r="AA735"/>
      <c r="AC735" s="70"/>
    </row>
    <row r="736" spans="26:29" x14ac:dyDescent="0.55000000000000004">
      <c r="Z736" s="75"/>
      <c r="AA736"/>
      <c r="AC736" s="70"/>
    </row>
    <row r="737" spans="26:29" x14ac:dyDescent="0.55000000000000004">
      <c r="Z737" s="75"/>
      <c r="AA737"/>
      <c r="AC737" s="70"/>
    </row>
    <row r="738" spans="26:29" x14ac:dyDescent="0.55000000000000004">
      <c r="Z738" s="75"/>
      <c r="AA738"/>
      <c r="AC738" s="70"/>
    </row>
    <row r="739" spans="26:29" x14ac:dyDescent="0.55000000000000004">
      <c r="Z739" s="75"/>
      <c r="AA739"/>
      <c r="AC739" s="70"/>
    </row>
    <row r="740" spans="26:29" x14ac:dyDescent="0.55000000000000004">
      <c r="Z740" s="75"/>
      <c r="AA740"/>
      <c r="AC740" s="70"/>
    </row>
    <row r="741" spans="26:29" x14ac:dyDescent="0.55000000000000004">
      <c r="Z741" s="75"/>
      <c r="AA741"/>
      <c r="AC741" s="70"/>
    </row>
    <row r="742" spans="26:29" x14ac:dyDescent="0.55000000000000004">
      <c r="Z742" s="75"/>
      <c r="AA742"/>
      <c r="AC742" s="70"/>
    </row>
    <row r="743" spans="26:29" x14ac:dyDescent="0.55000000000000004">
      <c r="Z743" s="75"/>
      <c r="AA743"/>
      <c r="AC743" s="70"/>
    </row>
    <row r="744" spans="26:29" x14ac:dyDescent="0.55000000000000004">
      <c r="Z744" s="75"/>
      <c r="AA744"/>
      <c r="AC744" s="70"/>
    </row>
    <row r="745" spans="26:29" x14ac:dyDescent="0.55000000000000004">
      <c r="Z745" s="75"/>
      <c r="AA745"/>
      <c r="AC745" s="70"/>
    </row>
    <row r="746" spans="26:29" x14ac:dyDescent="0.55000000000000004">
      <c r="Z746" s="75"/>
      <c r="AA746"/>
      <c r="AC746" s="70"/>
    </row>
    <row r="747" spans="26:29" x14ac:dyDescent="0.55000000000000004">
      <c r="Z747" s="75"/>
      <c r="AA747"/>
      <c r="AC747" s="70"/>
    </row>
    <row r="748" spans="26:29" x14ac:dyDescent="0.55000000000000004">
      <c r="Z748" s="75"/>
      <c r="AA748"/>
      <c r="AC748" s="70"/>
    </row>
    <row r="749" spans="26:29" x14ac:dyDescent="0.55000000000000004">
      <c r="Z749" s="75"/>
      <c r="AA749"/>
      <c r="AC749" s="70"/>
    </row>
    <row r="750" spans="26:29" x14ac:dyDescent="0.55000000000000004">
      <c r="Z750" s="75"/>
      <c r="AA750"/>
      <c r="AC750" s="70"/>
    </row>
    <row r="751" spans="26:29" x14ac:dyDescent="0.55000000000000004">
      <c r="Z751" s="75"/>
      <c r="AA751"/>
      <c r="AC751" s="70"/>
    </row>
    <row r="752" spans="26:29" x14ac:dyDescent="0.55000000000000004">
      <c r="Z752" s="75"/>
      <c r="AA752"/>
      <c r="AC752" s="70"/>
    </row>
    <row r="753" spans="26:29" x14ac:dyDescent="0.55000000000000004">
      <c r="Z753" s="75"/>
      <c r="AA753"/>
      <c r="AC753" s="70"/>
    </row>
    <row r="754" spans="26:29" x14ac:dyDescent="0.55000000000000004">
      <c r="Z754" s="75"/>
      <c r="AA754"/>
      <c r="AC754" s="70"/>
    </row>
    <row r="755" spans="26:29" x14ac:dyDescent="0.55000000000000004">
      <c r="Z755" s="75"/>
      <c r="AA755"/>
      <c r="AC755" s="70"/>
    </row>
    <row r="756" spans="26:29" x14ac:dyDescent="0.55000000000000004">
      <c r="Z756" s="75"/>
      <c r="AA756"/>
      <c r="AC756" s="70"/>
    </row>
    <row r="757" spans="26:29" x14ac:dyDescent="0.55000000000000004">
      <c r="Z757" s="75"/>
      <c r="AA757"/>
      <c r="AC757" s="70"/>
    </row>
    <row r="758" spans="26:29" x14ac:dyDescent="0.55000000000000004">
      <c r="Z758" s="75"/>
      <c r="AA758"/>
      <c r="AC758" s="70"/>
    </row>
    <row r="759" spans="26:29" x14ac:dyDescent="0.55000000000000004">
      <c r="Z759" s="75"/>
      <c r="AA759"/>
      <c r="AC759" s="70"/>
    </row>
    <row r="760" spans="26:29" x14ac:dyDescent="0.55000000000000004">
      <c r="Z760" s="75"/>
      <c r="AA760"/>
      <c r="AC760" s="70"/>
    </row>
    <row r="761" spans="26:29" x14ac:dyDescent="0.55000000000000004">
      <c r="Z761" s="75"/>
      <c r="AA761"/>
      <c r="AC761" s="70"/>
    </row>
    <row r="762" spans="26:29" x14ac:dyDescent="0.55000000000000004">
      <c r="Z762" s="75"/>
      <c r="AA762"/>
      <c r="AC762" s="70"/>
    </row>
    <row r="763" spans="26:29" x14ac:dyDescent="0.55000000000000004">
      <c r="Z763" s="75"/>
      <c r="AA763"/>
      <c r="AC763" s="70"/>
    </row>
    <row r="764" spans="26:29" x14ac:dyDescent="0.55000000000000004">
      <c r="Z764" s="75"/>
      <c r="AA764"/>
      <c r="AC764" s="70"/>
    </row>
    <row r="765" spans="26:29" x14ac:dyDescent="0.55000000000000004">
      <c r="Z765" s="75"/>
      <c r="AA765"/>
      <c r="AC765" s="70"/>
    </row>
    <row r="766" spans="26:29" x14ac:dyDescent="0.55000000000000004">
      <c r="Z766" s="75"/>
      <c r="AA766"/>
      <c r="AC766" s="70"/>
    </row>
    <row r="767" spans="26:29" x14ac:dyDescent="0.55000000000000004">
      <c r="Z767" s="75"/>
      <c r="AA767"/>
      <c r="AC767" s="70"/>
    </row>
    <row r="768" spans="26:29" x14ac:dyDescent="0.55000000000000004">
      <c r="Z768" s="75"/>
      <c r="AA768"/>
      <c r="AC768" s="70"/>
    </row>
    <row r="769" spans="26:29" x14ac:dyDescent="0.55000000000000004">
      <c r="Z769" s="75"/>
      <c r="AA769"/>
      <c r="AC769" s="70"/>
    </row>
    <row r="770" spans="26:29" x14ac:dyDescent="0.55000000000000004">
      <c r="Z770" s="75"/>
      <c r="AA770"/>
      <c r="AC770" s="70"/>
    </row>
    <row r="771" spans="26:29" x14ac:dyDescent="0.55000000000000004">
      <c r="Z771" s="75"/>
      <c r="AA771"/>
      <c r="AC771" s="70"/>
    </row>
    <row r="772" spans="26:29" x14ac:dyDescent="0.55000000000000004">
      <c r="Z772" s="75"/>
      <c r="AA772"/>
      <c r="AC772" s="70"/>
    </row>
    <row r="773" spans="26:29" x14ac:dyDescent="0.55000000000000004">
      <c r="Z773" s="75"/>
      <c r="AA773"/>
      <c r="AC773" s="70"/>
    </row>
    <row r="774" spans="26:29" x14ac:dyDescent="0.55000000000000004">
      <c r="Z774" s="75"/>
      <c r="AA774"/>
      <c r="AC774" s="70"/>
    </row>
    <row r="775" spans="26:29" x14ac:dyDescent="0.55000000000000004">
      <c r="Z775" s="75"/>
      <c r="AA775"/>
      <c r="AC775" s="70"/>
    </row>
    <row r="776" spans="26:29" x14ac:dyDescent="0.55000000000000004">
      <c r="Z776" s="75"/>
      <c r="AA776"/>
      <c r="AC776" s="70"/>
    </row>
    <row r="777" spans="26:29" x14ac:dyDescent="0.55000000000000004">
      <c r="Z777" s="75"/>
      <c r="AA777"/>
      <c r="AC777" s="70"/>
    </row>
    <row r="778" spans="26:29" x14ac:dyDescent="0.55000000000000004">
      <c r="Z778" s="75"/>
      <c r="AA778"/>
      <c r="AC778" s="70"/>
    </row>
    <row r="779" spans="26:29" x14ac:dyDescent="0.55000000000000004">
      <c r="Z779" s="75"/>
      <c r="AA779"/>
      <c r="AC779" s="70"/>
    </row>
    <row r="780" spans="26:29" x14ac:dyDescent="0.55000000000000004">
      <c r="Z780" s="75"/>
      <c r="AA780"/>
      <c r="AC780" s="70"/>
    </row>
    <row r="781" spans="26:29" x14ac:dyDescent="0.55000000000000004">
      <c r="Z781" s="75"/>
      <c r="AA781"/>
      <c r="AC781" s="70"/>
    </row>
    <row r="782" spans="26:29" x14ac:dyDescent="0.55000000000000004">
      <c r="Z782" s="75"/>
      <c r="AA782"/>
      <c r="AC782" s="70"/>
    </row>
    <row r="783" spans="26:29" x14ac:dyDescent="0.55000000000000004">
      <c r="Z783" s="75"/>
      <c r="AA783"/>
      <c r="AC783" s="70"/>
    </row>
    <row r="784" spans="26:29" x14ac:dyDescent="0.55000000000000004">
      <c r="Z784" s="75"/>
      <c r="AA784"/>
      <c r="AC784" s="70"/>
    </row>
    <row r="785" spans="26:29" x14ac:dyDescent="0.55000000000000004">
      <c r="Z785" s="75"/>
      <c r="AA785"/>
      <c r="AC785" s="70"/>
    </row>
    <row r="786" spans="26:29" x14ac:dyDescent="0.55000000000000004">
      <c r="Z786" s="75"/>
      <c r="AA786"/>
      <c r="AC786" s="70"/>
    </row>
    <row r="787" spans="26:29" x14ac:dyDescent="0.55000000000000004">
      <c r="Z787" s="75"/>
      <c r="AA787"/>
      <c r="AC787" s="70"/>
    </row>
    <row r="788" spans="26:29" x14ac:dyDescent="0.55000000000000004">
      <c r="Z788" s="75"/>
      <c r="AA788"/>
      <c r="AC788" s="70"/>
    </row>
    <row r="789" spans="26:29" x14ac:dyDescent="0.55000000000000004">
      <c r="Z789" s="75"/>
      <c r="AA789"/>
      <c r="AC789" s="70"/>
    </row>
    <row r="790" spans="26:29" x14ac:dyDescent="0.55000000000000004">
      <c r="Z790" s="75"/>
      <c r="AA790"/>
      <c r="AC790" s="70"/>
    </row>
    <row r="791" spans="26:29" x14ac:dyDescent="0.55000000000000004">
      <c r="Z791" s="75"/>
      <c r="AA791"/>
      <c r="AC791" s="70"/>
    </row>
    <row r="792" spans="26:29" x14ac:dyDescent="0.55000000000000004">
      <c r="Z792" s="75"/>
      <c r="AA792"/>
      <c r="AC792" s="70"/>
    </row>
    <row r="793" spans="26:29" x14ac:dyDescent="0.55000000000000004">
      <c r="Z793" s="75"/>
      <c r="AA793"/>
      <c r="AC793" s="70"/>
    </row>
    <row r="794" spans="26:29" x14ac:dyDescent="0.55000000000000004">
      <c r="Z794" s="75"/>
      <c r="AA794"/>
      <c r="AC794" s="70"/>
    </row>
    <row r="795" spans="26:29" x14ac:dyDescent="0.55000000000000004">
      <c r="Z795" s="75"/>
      <c r="AA795"/>
      <c r="AC795" s="70"/>
    </row>
    <row r="796" spans="26:29" x14ac:dyDescent="0.55000000000000004">
      <c r="Z796" s="75"/>
      <c r="AA796"/>
      <c r="AC796" s="70"/>
    </row>
    <row r="797" spans="26:29" x14ac:dyDescent="0.55000000000000004">
      <c r="Z797" s="75"/>
      <c r="AA797"/>
      <c r="AC797" s="70"/>
    </row>
    <row r="798" spans="26:29" x14ac:dyDescent="0.55000000000000004">
      <c r="Z798" s="75"/>
      <c r="AA798"/>
      <c r="AC798" s="70"/>
    </row>
    <row r="799" spans="26:29" x14ac:dyDescent="0.55000000000000004">
      <c r="Z799" s="75"/>
      <c r="AA799"/>
      <c r="AC799" s="70"/>
    </row>
    <row r="800" spans="26:29" x14ac:dyDescent="0.55000000000000004">
      <c r="Z800" s="75"/>
      <c r="AA800"/>
      <c r="AC800" s="70"/>
    </row>
    <row r="801" spans="26:29" x14ac:dyDescent="0.55000000000000004">
      <c r="Z801" s="75"/>
      <c r="AA801"/>
      <c r="AC801" s="70"/>
    </row>
    <row r="802" spans="26:29" x14ac:dyDescent="0.55000000000000004">
      <c r="Z802" s="75"/>
      <c r="AA802"/>
      <c r="AC802" s="70"/>
    </row>
    <row r="803" spans="26:29" x14ac:dyDescent="0.55000000000000004">
      <c r="Z803" s="75"/>
      <c r="AA803"/>
      <c r="AC803" s="70"/>
    </row>
    <row r="804" spans="26:29" x14ac:dyDescent="0.55000000000000004">
      <c r="Z804" s="75"/>
      <c r="AA804"/>
      <c r="AC804" s="70"/>
    </row>
    <row r="805" spans="26:29" x14ac:dyDescent="0.55000000000000004">
      <c r="Z805" s="75"/>
      <c r="AA805"/>
      <c r="AC805" s="70"/>
    </row>
    <row r="806" spans="26:29" x14ac:dyDescent="0.55000000000000004">
      <c r="Z806" s="75"/>
      <c r="AA806"/>
      <c r="AC806" s="70"/>
    </row>
    <row r="807" spans="26:29" x14ac:dyDescent="0.55000000000000004">
      <c r="Z807" s="75"/>
      <c r="AA807"/>
      <c r="AC807" s="70"/>
    </row>
    <row r="808" spans="26:29" x14ac:dyDescent="0.55000000000000004">
      <c r="Z808" s="75"/>
      <c r="AA808"/>
      <c r="AC808" s="70"/>
    </row>
    <row r="809" spans="26:29" x14ac:dyDescent="0.55000000000000004">
      <c r="Z809" s="75"/>
      <c r="AA809"/>
      <c r="AC809" s="70"/>
    </row>
    <row r="810" spans="26:29" x14ac:dyDescent="0.55000000000000004">
      <c r="Z810" s="75"/>
      <c r="AA810"/>
      <c r="AC810" s="70"/>
    </row>
    <row r="811" spans="26:29" x14ac:dyDescent="0.55000000000000004">
      <c r="Z811" s="75"/>
      <c r="AA811"/>
      <c r="AC811" s="70"/>
    </row>
    <row r="812" spans="26:29" x14ac:dyDescent="0.55000000000000004">
      <c r="Z812" s="75"/>
      <c r="AA812"/>
      <c r="AC812" s="70"/>
    </row>
    <row r="813" spans="26:29" x14ac:dyDescent="0.55000000000000004">
      <c r="Z813" s="75"/>
      <c r="AA813"/>
      <c r="AC813" s="70"/>
    </row>
    <row r="814" spans="26:29" x14ac:dyDescent="0.55000000000000004">
      <c r="Z814" s="75"/>
      <c r="AA814"/>
      <c r="AC814" s="70"/>
    </row>
    <row r="815" spans="26:29" x14ac:dyDescent="0.55000000000000004">
      <c r="Z815" s="75"/>
      <c r="AA815"/>
      <c r="AC815" s="70"/>
    </row>
    <row r="816" spans="26:29" x14ac:dyDescent="0.55000000000000004">
      <c r="Z816" s="75"/>
      <c r="AA816"/>
      <c r="AC816" s="70"/>
    </row>
    <row r="817" spans="26:29" x14ac:dyDescent="0.55000000000000004">
      <c r="Z817" s="75"/>
      <c r="AA817"/>
      <c r="AC817" s="70"/>
    </row>
    <row r="818" spans="26:29" x14ac:dyDescent="0.55000000000000004">
      <c r="Z818" s="75"/>
      <c r="AA818"/>
      <c r="AC818" s="70"/>
    </row>
    <row r="819" spans="26:29" x14ac:dyDescent="0.55000000000000004">
      <c r="Z819" s="75"/>
      <c r="AA819"/>
      <c r="AC819" s="70"/>
    </row>
    <row r="820" spans="26:29" x14ac:dyDescent="0.55000000000000004">
      <c r="Z820" s="75"/>
      <c r="AA820"/>
      <c r="AC820" s="70"/>
    </row>
    <row r="821" spans="26:29" x14ac:dyDescent="0.55000000000000004">
      <c r="Z821" s="75"/>
      <c r="AA821"/>
      <c r="AC821" s="70"/>
    </row>
    <row r="822" spans="26:29" x14ac:dyDescent="0.55000000000000004">
      <c r="Z822" s="75"/>
      <c r="AA822"/>
      <c r="AC822" s="70"/>
    </row>
    <row r="823" spans="26:29" x14ac:dyDescent="0.55000000000000004">
      <c r="Z823" s="75"/>
      <c r="AA823"/>
      <c r="AC823" s="70"/>
    </row>
    <row r="824" spans="26:29" x14ac:dyDescent="0.55000000000000004">
      <c r="Z824" s="75"/>
      <c r="AA824"/>
      <c r="AC824" s="70"/>
    </row>
    <row r="825" spans="26:29" x14ac:dyDescent="0.55000000000000004">
      <c r="Z825" s="75"/>
      <c r="AA825"/>
      <c r="AC825" s="70"/>
    </row>
    <row r="826" spans="26:29" x14ac:dyDescent="0.55000000000000004">
      <c r="Z826" s="75"/>
      <c r="AA826"/>
      <c r="AC826" s="70"/>
    </row>
    <row r="827" spans="26:29" x14ac:dyDescent="0.55000000000000004">
      <c r="Z827" s="75"/>
      <c r="AA827"/>
      <c r="AC827" s="70"/>
    </row>
    <row r="828" spans="26:29" x14ac:dyDescent="0.55000000000000004">
      <c r="Z828" s="75"/>
      <c r="AA828"/>
      <c r="AC828" s="70"/>
    </row>
    <row r="829" spans="26:29" x14ac:dyDescent="0.55000000000000004">
      <c r="Z829" s="75"/>
      <c r="AA829"/>
      <c r="AC829" s="70"/>
    </row>
    <row r="830" spans="26:29" x14ac:dyDescent="0.55000000000000004">
      <c r="Z830" s="75"/>
      <c r="AA830"/>
      <c r="AC830" s="70"/>
    </row>
    <row r="831" spans="26:29" x14ac:dyDescent="0.55000000000000004">
      <c r="Z831" s="75"/>
      <c r="AA831"/>
      <c r="AC831" s="70"/>
    </row>
    <row r="832" spans="26:29" x14ac:dyDescent="0.55000000000000004">
      <c r="Z832" s="75"/>
      <c r="AA832"/>
      <c r="AC832" s="70"/>
    </row>
    <row r="833" spans="26:29" x14ac:dyDescent="0.55000000000000004">
      <c r="Z833" s="75"/>
      <c r="AA833"/>
      <c r="AC833" s="70"/>
    </row>
    <row r="834" spans="26:29" x14ac:dyDescent="0.55000000000000004">
      <c r="Z834" s="75"/>
      <c r="AA834"/>
      <c r="AC834" s="70"/>
    </row>
    <row r="835" spans="26:29" x14ac:dyDescent="0.55000000000000004">
      <c r="Z835" s="75"/>
      <c r="AA835"/>
      <c r="AC835" s="70"/>
    </row>
    <row r="836" spans="26:29" x14ac:dyDescent="0.55000000000000004">
      <c r="Z836" s="75"/>
      <c r="AA836"/>
      <c r="AC836" s="70"/>
    </row>
    <row r="837" spans="26:29" x14ac:dyDescent="0.55000000000000004">
      <c r="Z837" s="75"/>
      <c r="AA837"/>
      <c r="AC837" s="70"/>
    </row>
    <row r="838" spans="26:29" x14ac:dyDescent="0.55000000000000004">
      <c r="Z838" s="75"/>
      <c r="AA838"/>
      <c r="AC838" s="70"/>
    </row>
    <row r="839" spans="26:29" x14ac:dyDescent="0.55000000000000004">
      <c r="Z839" s="75"/>
      <c r="AA839"/>
      <c r="AC839" s="70"/>
    </row>
    <row r="840" spans="26:29" x14ac:dyDescent="0.55000000000000004">
      <c r="Z840" s="75"/>
      <c r="AA840"/>
      <c r="AC840" s="70"/>
    </row>
    <row r="841" spans="26:29" x14ac:dyDescent="0.55000000000000004">
      <c r="Z841" s="75"/>
      <c r="AA841"/>
      <c r="AC841" s="70"/>
    </row>
    <row r="842" spans="26:29" x14ac:dyDescent="0.55000000000000004">
      <c r="Z842" s="75"/>
      <c r="AA842"/>
      <c r="AC842" s="70"/>
    </row>
    <row r="843" spans="26:29" x14ac:dyDescent="0.55000000000000004">
      <c r="Z843" s="75"/>
      <c r="AA843"/>
      <c r="AC843" s="70"/>
    </row>
    <row r="844" spans="26:29" x14ac:dyDescent="0.55000000000000004">
      <c r="Z844" s="75"/>
      <c r="AA844"/>
      <c r="AC844" s="70"/>
    </row>
    <row r="845" spans="26:29" x14ac:dyDescent="0.55000000000000004">
      <c r="Z845" s="75"/>
      <c r="AA845"/>
      <c r="AC845" s="70"/>
    </row>
    <row r="846" spans="26:29" x14ac:dyDescent="0.55000000000000004">
      <c r="Z846" s="75"/>
      <c r="AA846"/>
      <c r="AC846" s="70"/>
    </row>
    <row r="847" spans="26:29" x14ac:dyDescent="0.55000000000000004">
      <c r="Z847" s="75"/>
      <c r="AA847"/>
      <c r="AC847" s="70"/>
    </row>
    <row r="848" spans="26:29" x14ac:dyDescent="0.55000000000000004">
      <c r="Z848" s="75"/>
      <c r="AA848"/>
      <c r="AC848" s="70"/>
    </row>
    <row r="849" spans="26:29" x14ac:dyDescent="0.55000000000000004">
      <c r="Z849" s="75"/>
      <c r="AA849"/>
      <c r="AC849" s="70"/>
    </row>
    <row r="850" spans="26:29" x14ac:dyDescent="0.55000000000000004">
      <c r="Z850" s="75"/>
      <c r="AA850"/>
      <c r="AC850" s="70"/>
    </row>
    <row r="851" spans="26:29" x14ac:dyDescent="0.55000000000000004">
      <c r="Z851" s="75"/>
      <c r="AA851"/>
      <c r="AC851" s="70"/>
    </row>
    <row r="852" spans="26:29" x14ac:dyDescent="0.55000000000000004">
      <c r="Z852" s="75"/>
      <c r="AA852"/>
      <c r="AC852" s="70"/>
    </row>
    <row r="853" spans="26:29" x14ac:dyDescent="0.55000000000000004">
      <c r="Z853" s="75"/>
      <c r="AA853"/>
      <c r="AC853" s="70"/>
    </row>
    <row r="854" spans="26:29" x14ac:dyDescent="0.55000000000000004">
      <c r="Z854" s="75"/>
      <c r="AA854"/>
      <c r="AC854" s="70"/>
    </row>
    <row r="855" spans="26:29" x14ac:dyDescent="0.55000000000000004">
      <c r="Z855" s="75"/>
      <c r="AA855"/>
      <c r="AC855" s="70"/>
    </row>
    <row r="856" spans="26:29" x14ac:dyDescent="0.55000000000000004">
      <c r="Z856" s="75"/>
      <c r="AA856"/>
      <c r="AC856" s="70"/>
    </row>
    <row r="857" spans="26:29" x14ac:dyDescent="0.55000000000000004">
      <c r="Z857" s="75"/>
      <c r="AA857"/>
      <c r="AC857" s="70"/>
    </row>
    <row r="858" spans="26:29" x14ac:dyDescent="0.55000000000000004">
      <c r="Z858" s="75"/>
      <c r="AA858"/>
      <c r="AC858" s="70"/>
    </row>
    <row r="859" spans="26:29" x14ac:dyDescent="0.55000000000000004">
      <c r="Z859" s="75"/>
      <c r="AA859"/>
      <c r="AC859" s="70"/>
    </row>
    <row r="860" spans="26:29" x14ac:dyDescent="0.55000000000000004">
      <c r="Z860" s="75"/>
      <c r="AA860"/>
      <c r="AC860" s="70"/>
    </row>
    <row r="861" spans="26:29" x14ac:dyDescent="0.55000000000000004">
      <c r="Z861" s="75"/>
      <c r="AA861"/>
      <c r="AC861" s="70"/>
    </row>
    <row r="862" spans="26:29" x14ac:dyDescent="0.55000000000000004">
      <c r="Z862" s="75"/>
      <c r="AA862"/>
      <c r="AC862" s="70"/>
    </row>
    <row r="863" spans="26:29" x14ac:dyDescent="0.55000000000000004">
      <c r="Z863" s="75"/>
      <c r="AA863"/>
      <c r="AC863" s="70"/>
    </row>
    <row r="864" spans="26:29" x14ac:dyDescent="0.55000000000000004">
      <c r="Z864" s="75"/>
      <c r="AA864"/>
      <c r="AC864" s="70"/>
    </row>
    <row r="865" spans="26:29" x14ac:dyDescent="0.55000000000000004">
      <c r="Z865" s="75"/>
      <c r="AA865"/>
      <c r="AC865" s="70"/>
    </row>
    <row r="866" spans="26:29" x14ac:dyDescent="0.55000000000000004">
      <c r="Z866" s="75"/>
      <c r="AA866"/>
      <c r="AC866" s="70"/>
    </row>
    <row r="867" spans="26:29" x14ac:dyDescent="0.55000000000000004">
      <c r="Z867" s="75"/>
      <c r="AA867"/>
      <c r="AC867" s="70"/>
    </row>
    <row r="868" spans="26:29" x14ac:dyDescent="0.55000000000000004">
      <c r="Z868" s="75"/>
      <c r="AA868"/>
      <c r="AC868" s="70"/>
    </row>
    <row r="869" spans="26:29" x14ac:dyDescent="0.55000000000000004">
      <c r="Z869" s="75"/>
      <c r="AA869"/>
      <c r="AC869" s="70"/>
    </row>
    <row r="870" spans="26:29" x14ac:dyDescent="0.55000000000000004">
      <c r="Z870" s="75"/>
      <c r="AA870"/>
      <c r="AC870" s="70"/>
    </row>
    <row r="871" spans="26:29" x14ac:dyDescent="0.55000000000000004">
      <c r="Z871" s="75"/>
      <c r="AA871"/>
      <c r="AC871" s="70"/>
    </row>
    <row r="872" spans="26:29" x14ac:dyDescent="0.55000000000000004">
      <c r="Z872" s="75"/>
      <c r="AA872"/>
      <c r="AC872" s="70"/>
    </row>
    <row r="873" spans="26:29" x14ac:dyDescent="0.55000000000000004">
      <c r="Z873" s="75"/>
      <c r="AA873"/>
      <c r="AC873" s="70"/>
    </row>
    <row r="874" spans="26:29" x14ac:dyDescent="0.55000000000000004">
      <c r="Z874" s="75"/>
      <c r="AA874"/>
      <c r="AC874" s="70"/>
    </row>
    <row r="875" spans="26:29" x14ac:dyDescent="0.55000000000000004">
      <c r="Z875" s="75"/>
      <c r="AA875"/>
      <c r="AC875" s="70"/>
    </row>
    <row r="876" spans="26:29" x14ac:dyDescent="0.55000000000000004">
      <c r="Z876" s="75"/>
      <c r="AA876"/>
      <c r="AC876" s="70"/>
    </row>
    <row r="877" spans="26:29" x14ac:dyDescent="0.55000000000000004">
      <c r="Z877" s="75"/>
      <c r="AA877"/>
      <c r="AC877" s="70"/>
    </row>
    <row r="878" spans="26:29" x14ac:dyDescent="0.55000000000000004">
      <c r="Z878" s="75"/>
      <c r="AA878"/>
      <c r="AC878" s="70"/>
    </row>
    <row r="879" spans="26:29" x14ac:dyDescent="0.55000000000000004">
      <c r="Z879" s="75"/>
      <c r="AA879"/>
      <c r="AC879" s="70"/>
    </row>
    <row r="880" spans="26:29" x14ac:dyDescent="0.55000000000000004">
      <c r="Z880" s="75"/>
      <c r="AA880"/>
      <c r="AC880" s="70"/>
    </row>
    <row r="881" spans="26:29" x14ac:dyDescent="0.55000000000000004">
      <c r="Z881" s="75"/>
      <c r="AA881"/>
      <c r="AC881" s="70"/>
    </row>
    <row r="882" spans="26:29" x14ac:dyDescent="0.55000000000000004">
      <c r="Z882" s="75"/>
      <c r="AA882"/>
      <c r="AC882" s="70"/>
    </row>
    <row r="883" spans="26:29" x14ac:dyDescent="0.55000000000000004">
      <c r="Z883" s="75"/>
      <c r="AA883"/>
      <c r="AC883" s="70"/>
    </row>
    <row r="884" spans="26:29" x14ac:dyDescent="0.55000000000000004">
      <c r="Z884" s="75"/>
      <c r="AA884"/>
      <c r="AC884" s="70"/>
    </row>
    <row r="885" spans="26:29" x14ac:dyDescent="0.55000000000000004">
      <c r="Z885" s="75"/>
      <c r="AA885"/>
      <c r="AC885" s="70"/>
    </row>
    <row r="886" spans="26:29" x14ac:dyDescent="0.55000000000000004">
      <c r="Z886" s="75"/>
      <c r="AA886"/>
      <c r="AC886" s="70"/>
    </row>
    <row r="887" spans="26:29" x14ac:dyDescent="0.55000000000000004">
      <c r="Z887" s="75"/>
      <c r="AA887"/>
      <c r="AC887" s="70"/>
    </row>
    <row r="888" spans="26:29" x14ac:dyDescent="0.55000000000000004">
      <c r="Z888" s="75"/>
      <c r="AA888"/>
      <c r="AC888" s="70"/>
    </row>
    <row r="889" spans="26:29" x14ac:dyDescent="0.55000000000000004">
      <c r="Z889" s="75"/>
      <c r="AA889"/>
      <c r="AC889" s="70"/>
    </row>
    <row r="890" spans="26:29" x14ac:dyDescent="0.55000000000000004">
      <c r="Z890" s="75"/>
      <c r="AA890"/>
      <c r="AC890" s="70"/>
    </row>
    <row r="891" spans="26:29" x14ac:dyDescent="0.55000000000000004">
      <c r="Z891" s="75"/>
      <c r="AA891"/>
      <c r="AC891" s="70"/>
    </row>
    <row r="892" spans="26:29" x14ac:dyDescent="0.55000000000000004">
      <c r="Z892" s="75"/>
      <c r="AA892"/>
      <c r="AC892" s="70"/>
    </row>
    <row r="893" spans="26:29" x14ac:dyDescent="0.55000000000000004">
      <c r="Z893" s="75"/>
      <c r="AA893"/>
      <c r="AC893" s="70"/>
    </row>
    <row r="894" spans="26:29" x14ac:dyDescent="0.55000000000000004">
      <c r="Z894" s="75"/>
      <c r="AA894"/>
      <c r="AC894" s="70"/>
    </row>
    <row r="895" spans="26:29" x14ac:dyDescent="0.55000000000000004">
      <c r="Z895" s="75"/>
      <c r="AA895"/>
      <c r="AC895" s="70"/>
    </row>
    <row r="896" spans="26:29" x14ac:dyDescent="0.55000000000000004">
      <c r="Z896" s="75"/>
      <c r="AA896"/>
      <c r="AC896" s="70"/>
    </row>
    <row r="897" spans="26:29" x14ac:dyDescent="0.55000000000000004">
      <c r="Z897" s="75"/>
      <c r="AA897"/>
      <c r="AC897" s="70"/>
    </row>
    <row r="898" spans="26:29" x14ac:dyDescent="0.55000000000000004">
      <c r="Z898" s="75"/>
      <c r="AA898"/>
      <c r="AC898" s="70"/>
    </row>
    <row r="899" spans="26:29" x14ac:dyDescent="0.55000000000000004">
      <c r="Z899" s="75"/>
      <c r="AA899"/>
      <c r="AC899" s="70"/>
    </row>
    <row r="900" spans="26:29" x14ac:dyDescent="0.55000000000000004">
      <c r="Z900" s="75"/>
      <c r="AA900"/>
      <c r="AC900" s="70"/>
    </row>
    <row r="901" spans="26:29" x14ac:dyDescent="0.55000000000000004">
      <c r="Z901" s="75"/>
      <c r="AA901"/>
      <c r="AC901" s="70"/>
    </row>
    <row r="902" spans="26:29" x14ac:dyDescent="0.55000000000000004">
      <c r="Z902" s="75"/>
      <c r="AA902"/>
      <c r="AC902" s="70"/>
    </row>
    <row r="903" spans="26:29" x14ac:dyDescent="0.55000000000000004">
      <c r="Z903" s="75"/>
      <c r="AA903"/>
      <c r="AC903" s="70"/>
    </row>
    <row r="904" spans="26:29" x14ac:dyDescent="0.55000000000000004">
      <c r="Z904" s="75"/>
      <c r="AA904"/>
      <c r="AC904" s="70"/>
    </row>
    <row r="905" spans="26:29" x14ac:dyDescent="0.55000000000000004">
      <c r="Z905" s="75"/>
      <c r="AA905"/>
      <c r="AC905" s="70"/>
    </row>
    <row r="906" spans="26:29" x14ac:dyDescent="0.55000000000000004">
      <c r="Z906" s="75"/>
      <c r="AA906"/>
      <c r="AC906" s="70"/>
    </row>
    <row r="907" spans="26:29" x14ac:dyDescent="0.55000000000000004">
      <c r="Z907" s="75"/>
      <c r="AA907"/>
      <c r="AC907" s="70"/>
    </row>
    <row r="908" spans="26:29" x14ac:dyDescent="0.55000000000000004">
      <c r="Z908" s="75"/>
      <c r="AA908"/>
      <c r="AC908" s="70"/>
    </row>
    <row r="909" spans="26:29" x14ac:dyDescent="0.55000000000000004">
      <c r="Z909" s="75"/>
      <c r="AA909"/>
      <c r="AC909" s="70"/>
    </row>
    <row r="910" spans="26:29" x14ac:dyDescent="0.55000000000000004">
      <c r="Z910" s="75"/>
      <c r="AA910"/>
      <c r="AC910" s="70"/>
    </row>
    <row r="911" spans="26:29" x14ac:dyDescent="0.55000000000000004">
      <c r="Z911" s="75"/>
      <c r="AA911"/>
      <c r="AC911" s="70"/>
    </row>
    <row r="912" spans="26:29" x14ac:dyDescent="0.55000000000000004">
      <c r="Z912" s="75"/>
      <c r="AA912"/>
      <c r="AC912" s="70"/>
    </row>
    <row r="913" spans="26:29" x14ac:dyDescent="0.55000000000000004">
      <c r="Z913" s="75"/>
      <c r="AA913"/>
      <c r="AC913" s="70"/>
    </row>
    <row r="914" spans="26:29" x14ac:dyDescent="0.55000000000000004">
      <c r="Z914" s="75"/>
      <c r="AA914"/>
      <c r="AC914" s="70"/>
    </row>
    <row r="915" spans="26:29" x14ac:dyDescent="0.55000000000000004">
      <c r="Z915" s="75"/>
      <c r="AA915"/>
      <c r="AC915" s="70"/>
    </row>
    <row r="916" spans="26:29" x14ac:dyDescent="0.55000000000000004">
      <c r="Z916" s="75"/>
      <c r="AA916"/>
      <c r="AC916" s="70"/>
    </row>
    <row r="917" spans="26:29" x14ac:dyDescent="0.55000000000000004">
      <c r="Z917" s="75"/>
      <c r="AA917"/>
      <c r="AC917" s="70"/>
    </row>
    <row r="918" spans="26:29" x14ac:dyDescent="0.55000000000000004">
      <c r="Z918" s="75"/>
      <c r="AA918"/>
      <c r="AC918" s="70"/>
    </row>
    <row r="919" spans="26:29" x14ac:dyDescent="0.55000000000000004">
      <c r="Z919" s="75"/>
      <c r="AA919"/>
      <c r="AC919" s="70"/>
    </row>
    <row r="920" spans="26:29" x14ac:dyDescent="0.55000000000000004">
      <c r="Z920" s="75"/>
      <c r="AA920"/>
      <c r="AC920" s="70"/>
    </row>
    <row r="921" spans="26:29" x14ac:dyDescent="0.55000000000000004">
      <c r="Z921" s="75"/>
      <c r="AA921"/>
      <c r="AC921" s="70"/>
    </row>
    <row r="922" spans="26:29" x14ac:dyDescent="0.55000000000000004">
      <c r="Z922" s="75"/>
      <c r="AA922"/>
      <c r="AC922" s="70"/>
    </row>
    <row r="923" spans="26:29" x14ac:dyDescent="0.55000000000000004">
      <c r="Z923" s="75"/>
      <c r="AA923"/>
      <c r="AC923" s="70"/>
    </row>
    <row r="924" spans="26:29" x14ac:dyDescent="0.55000000000000004">
      <c r="Z924" s="75"/>
      <c r="AA924"/>
      <c r="AC924" s="70"/>
    </row>
    <row r="925" spans="26:29" x14ac:dyDescent="0.55000000000000004">
      <c r="Z925" s="75"/>
      <c r="AA925"/>
      <c r="AC925" s="70"/>
    </row>
    <row r="926" spans="26:29" x14ac:dyDescent="0.55000000000000004">
      <c r="Z926" s="75"/>
      <c r="AA926"/>
      <c r="AC926" s="70"/>
    </row>
    <row r="927" spans="26:29" x14ac:dyDescent="0.55000000000000004">
      <c r="Z927" s="75"/>
      <c r="AA927"/>
      <c r="AC927" s="70"/>
    </row>
    <row r="928" spans="26:29" x14ac:dyDescent="0.55000000000000004">
      <c r="Z928" s="75"/>
      <c r="AA928"/>
      <c r="AC928" s="70"/>
    </row>
    <row r="929" spans="26:29" x14ac:dyDescent="0.55000000000000004">
      <c r="Z929" s="75"/>
      <c r="AA929"/>
      <c r="AC929" s="70"/>
    </row>
    <row r="930" spans="26:29" x14ac:dyDescent="0.55000000000000004">
      <c r="Z930" s="75"/>
      <c r="AA930"/>
      <c r="AC930" s="70"/>
    </row>
    <row r="931" spans="26:29" x14ac:dyDescent="0.55000000000000004">
      <c r="Z931" s="75"/>
      <c r="AA931"/>
      <c r="AC931" s="70"/>
    </row>
    <row r="932" spans="26:29" x14ac:dyDescent="0.55000000000000004">
      <c r="Z932" s="75"/>
      <c r="AA932"/>
      <c r="AC932" s="70"/>
    </row>
    <row r="933" spans="26:29" x14ac:dyDescent="0.55000000000000004">
      <c r="Z933" s="75"/>
      <c r="AA933"/>
      <c r="AC933" s="70"/>
    </row>
    <row r="934" spans="26:29" x14ac:dyDescent="0.55000000000000004">
      <c r="Z934" s="75"/>
      <c r="AA934"/>
      <c r="AC934" s="70"/>
    </row>
    <row r="935" spans="26:29" x14ac:dyDescent="0.55000000000000004">
      <c r="Z935" s="75"/>
      <c r="AA935"/>
      <c r="AC935" s="70"/>
    </row>
    <row r="936" spans="26:29" x14ac:dyDescent="0.55000000000000004">
      <c r="Z936" s="75"/>
      <c r="AA936"/>
      <c r="AC936" s="70"/>
    </row>
    <row r="937" spans="26:29" x14ac:dyDescent="0.55000000000000004">
      <c r="Z937" s="75"/>
      <c r="AA937"/>
      <c r="AC937" s="70"/>
    </row>
    <row r="938" spans="26:29" x14ac:dyDescent="0.55000000000000004">
      <c r="Z938" s="75"/>
      <c r="AA938"/>
      <c r="AC938" s="70"/>
    </row>
    <row r="939" spans="26:29" x14ac:dyDescent="0.55000000000000004">
      <c r="Z939" s="75"/>
      <c r="AA939"/>
      <c r="AC939" s="70"/>
    </row>
    <row r="940" spans="26:29" x14ac:dyDescent="0.55000000000000004">
      <c r="Z940" s="75"/>
      <c r="AA940"/>
      <c r="AC940" s="70"/>
    </row>
    <row r="941" spans="26:29" x14ac:dyDescent="0.55000000000000004">
      <c r="Z941" s="75"/>
      <c r="AA941"/>
      <c r="AC941" s="70"/>
    </row>
    <row r="942" spans="26:29" x14ac:dyDescent="0.55000000000000004">
      <c r="Z942" s="75"/>
      <c r="AA942"/>
      <c r="AC942" s="70"/>
    </row>
    <row r="943" spans="26:29" x14ac:dyDescent="0.55000000000000004">
      <c r="Z943" s="75"/>
      <c r="AA943"/>
      <c r="AC943" s="70"/>
    </row>
    <row r="944" spans="26:29" x14ac:dyDescent="0.55000000000000004">
      <c r="Z944" s="75"/>
      <c r="AA944"/>
      <c r="AC944" s="70"/>
    </row>
    <row r="945" spans="26:29" x14ac:dyDescent="0.55000000000000004">
      <c r="Z945" s="75"/>
      <c r="AA945"/>
      <c r="AC945" s="70"/>
    </row>
    <row r="946" spans="26:29" x14ac:dyDescent="0.55000000000000004">
      <c r="Z946" s="75"/>
      <c r="AA946"/>
      <c r="AC946" s="70"/>
    </row>
    <row r="947" spans="26:29" x14ac:dyDescent="0.55000000000000004">
      <c r="Z947" s="75"/>
      <c r="AA947"/>
      <c r="AC947" s="70"/>
    </row>
    <row r="948" spans="26:29" x14ac:dyDescent="0.55000000000000004">
      <c r="Z948" s="75"/>
      <c r="AA948"/>
      <c r="AC948" s="70"/>
    </row>
    <row r="949" spans="26:29" x14ac:dyDescent="0.55000000000000004">
      <c r="Z949" s="75"/>
      <c r="AA949"/>
      <c r="AC949" s="70"/>
    </row>
    <row r="950" spans="26:29" x14ac:dyDescent="0.55000000000000004">
      <c r="Z950" s="75"/>
      <c r="AA950"/>
      <c r="AC950" s="70"/>
    </row>
    <row r="951" spans="26:29" x14ac:dyDescent="0.55000000000000004">
      <c r="Z951" s="75"/>
      <c r="AA951"/>
      <c r="AC951" s="70"/>
    </row>
    <row r="952" spans="26:29" x14ac:dyDescent="0.55000000000000004">
      <c r="Z952" s="75"/>
      <c r="AA952"/>
      <c r="AC952" s="70"/>
    </row>
    <row r="953" spans="26:29" x14ac:dyDescent="0.55000000000000004">
      <c r="Z953" s="75"/>
      <c r="AA953"/>
      <c r="AC953" s="70"/>
    </row>
    <row r="954" spans="26:29" x14ac:dyDescent="0.55000000000000004">
      <c r="Z954" s="75"/>
      <c r="AA954"/>
      <c r="AC954" s="70"/>
    </row>
    <row r="955" spans="26:29" x14ac:dyDescent="0.55000000000000004">
      <c r="Z955" s="75"/>
      <c r="AA955"/>
      <c r="AC955" s="70"/>
    </row>
    <row r="956" spans="26:29" x14ac:dyDescent="0.55000000000000004">
      <c r="Z956" s="75"/>
      <c r="AA956"/>
      <c r="AC956" s="70"/>
    </row>
    <row r="957" spans="26:29" x14ac:dyDescent="0.55000000000000004">
      <c r="Z957" s="75"/>
      <c r="AA957"/>
      <c r="AC957" s="70"/>
    </row>
    <row r="958" spans="26:29" x14ac:dyDescent="0.55000000000000004">
      <c r="Z958" s="75"/>
      <c r="AA958"/>
      <c r="AC958" s="70"/>
    </row>
    <row r="959" spans="26:29" x14ac:dyDescent="0.55000000000000004">
      <c r="Z959" s="75"/>
      <c r="AA959"/>
      <c r="AC959" s="70"/>
    </row>
    <row r="960" spans="26:29" x14ac:dyDescent="0.55000000000000004">
      <c r="Z960" s="75"/>
      <c r="AA960"/>
      <c r="AC960" s="70"/>
    </row>
    <row r="961" spans="26:29" x14ac:dyDescent="0.55000000000000004">
      <c r="Z961" s="75"/>
      <c r="AA961"/>
      <c r="AC961" s="70"/>
    </row>
    <row r="962" spans="26:29" x14ac:dyDescent="0.55000000000000004">
      <c r="Z962" s="75"/>
      <c r="AA962"/>
      <c r="AC962" s="70"/>
    </row>
    <row r="963" spans="26:29" x14ac:dyDescent="0.55000000000000004">
      <c r="Z963" s="75"/>
      <c r="AA963"/>
      <c r="AC963" s="70"/>
    </row>
    <row r="964" spans="26:29" x14ac:dyDescent="0.55000000000000004">
      <c r="Z964" s="75"/>
      <c r="AA964"/>
      <c r="AC964" s="70"/>
    </row>
    <row r="965" spans="26:29" x14ac:dyDescent="0.55000000000000004">
      <c r="Z965" s="75"/>
      <c r="AA965"/>
      <c r="AC965" s="70"/>
    </row>
    <row r="966" spans="26:29" x14ac:dyDescent="0.55000000000000004">
      <c r="Z966" s="75"/>
      <c r="AA966"/>
      <c r="AC966" s="70"/>
    </row>
    <row r="967" spans="26:29" x14ac:dyDescent="0.55000000000000004">
      <c r="Z967" s="75"/>
      <c r="AA967"/>
      <c r="AC967" s="70"/>
    </row>
    <row r="968" spans="26:29" x14ac:dyDescent="0.55000000000000004">
      <c r="Z968" s="75"/>
      <c r="AA968"/>
      <c r="AC968" s="70"/>
    </row>
    <row r="969" spans="26:29" x14ac:dyDescent="0.55000000000000004">
      <c r="Z969" s="75"/>
      <c r="AA969"/>
      <c r="AC969" s="70"/>
    </row>
    <row r="970" spans="26:29" x14ac:dyDescent="0.55000000000000004">
      <c r="Z970" s="75"/>
      <c r="AA970"/>
      <c r="AC970" s="70"/>
    </row>
    <row r="971" spans="26:29" x14ac:dyDescent="0.55000000000000004">
      <c r="Z971" s="75"/>
      <c r="AA971"/>
      <c r="AC971" s="70"/>
    </row>
    <row r="972" spans="26:29" x14ac:dyDescent="0.55000000000000004">
      <c r="Z972" s="75"/>
      <c r="AA972"/>
      <c r="AC972" s="70"/>
    </row>
    <row r="973" spans="26:29" x14ac:dyDescent="0.55000000000000004">
      <c r="Z973" s="75"/>
      <c r="AA973"/>
      <c r="AC973" s="70"/>
    </row>
    <row r="974" spans="26:29" x14ac:dyDescent="0.55000000000000004">
      <c r="Z974" s="75"/>
      <c r="AA974"/>
      <c r="AC974" s="70"/>
    </row>
    <row r="975" spans="26:29" x14ac:dyDescent="0.55000000000000004">
      <c r="Z975" s="75"/>
      <c r="AA975"/>
      <c r="AC975" s="70"/>
    </row>
    <row r="976" spans="26:29" x14ac:dyDescent="0.55000000000000004">
      <c r="Z976" s="75"/>
      <c r="AA976"/>
      <c r="AC976" s="70"/>
    </row>
    <row r="977" spans="26:29" x14ac:dyDescent="0.55000000000000004">
      <c r="Z977" s="75"/>
      <c r="AA977"/>
      <c r="AC977" s="70"/>
    </row>
    <row r="978" spans="26:29" x14ac:dyDescent="0.55000000000000004">
      <c r="Z978" s="75"/>
      <c r="AA978"/>
      <c r="AC978" s="70"/>
    </row>
    <row r="979" spans="26:29" x14ac:dyDescent="0.55000000000000004">
      <c r="Z979" s="75"/>
      <c r="AA979"/>
      <c r="AC979" s="70"/>
    </row>
    <row r="980" spans="26:29" x14ac:dyDescent="0.55000000000000004">
      <c r="Z980" s="75"/>
      <c r="AA980"/>
      <c r="AC980" s="70"/>
    </row>
    <row r="981" spans="26:29" x14ac:dyDescent="0.55000000000000004">
      <c r="Z981" s="75"/>
      <c r="AA981"/>
      <c r="AC981" s="70"/>
    </row>
    <row r="982" spans="26:29" x14ac:dyDescent="0.55000000000000004">
      <c r="Z982" s="75"/>
      <c r="AA982"/>
      <c r="AC982" s="70"/>
    </row>
    <row r="983" spans="26:29" x14ac:dyDescent="0.55000000000000004">
      <c r="Z983" s="75"/>
      <c r="AA983"/>
      <c r="AC983" s="70"/>
    </row>
    <row r="984" spans="26:29" x14ac:dyDescent="0.55000000000000004">
      <c r="Z984" s="75"/>
      <c r="AA984"/>
      <c r="AC984" s="70"/>
    </row>
    <row r="985" spans="26:29" x14ac:dyDescent="0.55000000000000004">
      <c r="Z985" s="75"/>
      <c r="AA985"/>
      <c r="AC985" s="70"/>
    </row>
    <row r="986" spans="26:29" x14ac:dyDescent="0.55000000000000004">
      <c r="Z986" s="75"/>
      <c r="AA986"/>
      <c r="AC986" s="70"/>
    </row>
    <row r="987" spans="26:29" x14ac:dyDescent="0.55000000000000004">
      <c r="Z987" s="75"/>
      <c r="AA987"/>
      <c r="AC987" s="70"/>
    </row>
    <row r="988" spans="26:29" x14ac:dyDescent="0.55000000000000004">
      <c r="Z988" s="75"/>
      <c r="AA988"/>
      <c r="AC988" s="70"/>
    </row>
    <row r="989" spans="26:29" x14ac:dyDescent="0.55000000000000004">
      <c r="Z989" s="75"/>
      <c r="AA989"/>
      <c r="AC989" s="70"/>
    </row>
    <row r="990" spans="26:29" x14ac:dyDescent="0.55000000000000004">
      <c r="Z990" s="75"/>
      <c r="AA990"/>
      <c r="AC990" s="70"/>
    </row>
    <row r="991" spans="26:29" x14ac:dyDescent="0.55000000000000004">
      <c r="Z991" s="75"/>
      <c r="AA991"/>
      <c r="AC991" s="70"/>
    </row>
    <row r="992" spans="26:29" x14ac:dyDescent="0.55000000000000004">
      <c r="Z992" s="75"/>
      <c r="AA992"/>
      <c r="AC992" s="70"/>
    </row>
    <row r="993" spans="26:29" x14ac:dyDescent="0.55000000000000004">
      <c r="Z993" s="75"/>
      <c r="AA993"/>
      <c r="AC993" s="70"/>
    </row>
    <row r="994" spans="26:29" x14ac:dyDescent="0.55000000000000004">
      <c r="Z994" s="75"/>
      <c r="AA994"/>
      <c r="AC994" s="70"/>
    </row>
    <row r="995" spans="26:29" x14ac:dyDescent="0.55000000000000004">
      <c r="Z995" s="75"/>
      <c r="AA995"/>
      <c r="AC995" s="70"/>
    </row>
    <row r="996" spans="26:29" x14ac:dyDescent="0.55000000000000004">
      <c r="Z996" s="75"/>
      <c r="AA996"/>
      <c r="AC996" s="70"/>
    </row>
    <row r="997" spans="26:29" x14ac:dyDescent="0.55000000000000004">
      <c r="Z997" s="75"/>
      <c r="AA997"/>
      <c r="AC997" s="70"/>
    </row>
    <row r="998" spans="26:29" x14ac:dyDescent="0.55000000000000004">
      <c r="Z998" s="75"/>
      <c r="AA998"/>
      <c r="AC998" s="70"/>
    </row>
    <row r="999" spans="26:29" x14ac:dyDescent="0.55000000000000004">
      <c r="Z999" s="75"/>
      <c r="AA999"/>
      <c r="AC999" s="70"/>
    </row>
    <row r="1000" spans="26:29" x14ac:dyDescent="0.55000000000000004">
      <c r="Z1000" s="75"/>
      <c r="AA1000"/>
      <c r="AC1000" s="70"/>
    </row>
    <row r="1001" spans="26:29" x14ac:dyDescent="0.55000000000000004">
      <c r="Z1001" s="75"/>
      <c r="AA1001"/>
      <c r="AC1001" s="70"/>
    </row>
    <row r="1002" spans="26:29" x14ac:dyDescent="0.55000000000000004">
      <c r="Z1002" s="75"/>
      <c r="AA1002"/>
      <c r="AC1002" s="70"/>
    </row>
    <row r="1003" spans="26:29" x14ac:dyDescent="0.55000000000000004">
      <c r="Z1003" s="75"/>
      <c r="AA1003"/>
      <c r="AC1003" s="70"/>
    </row>
    <row r="1004" spans="26:29" x14ac:dyDescent="0.55000000000000004">
      <c r="Z1004" s="75"/>
      <c r="AA1004"/>
      <c r="AC1004" s="70"/>
    </row>
    <row r="1005" spans="26:29" x14ac:dyDescent="0.55000000000000004">
      <c r="Z1005" s="75"/>
      <c r="AA1005"/>
      <c r="AC1005" s="70"/>
    </row>
    <row r="1006" spans="26:29" x14ac:dyDescent="0.55000000000000004">
      <c r="Z1006" s="75"/>
      <c r="AA1006"/>
      <c r="AC1006" s="70"/>
    </row>
    <row r="1007" spans="26:29" x14ac:dyDescent="0.55000000000000004">
      <c r="Z1007" s="75"/>
      <c r="AA1007"/>
      <c r="AC1007" s="70"/>
    </row>
    <row r="1008" spans="26:29" x14ac:dyDescent="0.55000000000000004">
      <c r="Z1008" s="75"/>
      <c r="AA1008"/>
      <c r="AC1008" s="70"/>
    </row>
    <row r="1009" spans="26:29" x14ac:dyDescent="0.55000000000000004">
      <c r="Z1009" s="75"/>
      <c r="AA1009"/>
      <c r="AC1009" s="70"/>
    </row>
    <row r="1010" spans="26:29" x14ac:dyDescent="0.55000000000000004">
      <c r="Z1010" s="75"/>
      <c r="AA1010"/>
      <c r="AC1010" s="70"/>
    </row>
    <row r="1011" spans="26:29" x14ac:dyDescent="0.55000000000000004">
      <c r="Z1011" s="75"/>
      <c r="AA1011"/>
      <c r="AC1011" s="70"/>
    </row>
    <row r="1012" spans="26:29" x14ac:dyDescent="0.55000000000000004">
      <c r="Z1012" s="75"/>
      <c r="AA1012"/>
      <c r="AC1012" s="70"/>
    </row>
    <row r="1013" spans="26:29" x14ac:dyDescent="0.55000000000000004">
      <c r="Z1013" s="75"/>
      <c r="AA1013"/>
      <c r="AC1013" s="70"/>
    </row>
    <row r="1014" spans="26:29" x14ac:dyDescent="0.55000000000000004">
      <c r="Z1014" s="75"/>
      <c r="AA1014"/>
      <c r="AC1014" s="70"/>
    </row>
    <row r="1015" spans="26:29" x14ac:dyDescent="0.55000000000000004">
      <c r="Z1015" s="75"/>
      <c r="AA1015"/>
      <c r="AC1015" s="70"/>
    </row>
    <row r="1016" spans="26:29" x14ac:dyDescent="0.55000000000000004">
      <c r="Z1016" s="75"/>
      <c r="AA1016"/>
      <c r="AC1016" s="70"/>
    </row>
    <row r="1017" spans="26:29" x14ac:dyDescent="0.55000000000000004">
      <c r="Z1017" s="75"/>
      <c r="AA1017"/>
      <c r="AC1017" s="70"/>
    </row>
    <row r="1018" spans="26:29" x14ac:dyDescent="0.55000000000000004">
      <c r="Z1018" s="75"/>
      <c r="AA1018"/>
      <c r="AC1018" s="70"/>
    </row>
    <row r="1019" spans="26:29" x14ac:dyDescent="0.55000000000000004">
      <c r="Z1019" s="75"/>
      <c r="AA1019"/>
      <c r="AC1019" s="70"/>
    </row>
    <row r="1020" spans="26:29" x14ac:dyDescent="0.55000000000000004">
      <c r="Z1020" s="75"/>
      <c r="AA1020"/>
      <c r="AC1020" s="70"/>
    </row>
    <row r="1021" spans="26:29" x14ac:dyDescent="0.55000000000000004">
      <c r="Z1021" s="75"/>
      <c r="AA1021"/>
      <c r="AC1021" s="70"/>
    </row>
    <row r="1022" spans="26:29" x14ac:dyDescent="0.55000000000000004">
      <c r="Z1022" s="75"/>
      <c r="AA1022"/>
      <c r="AC1022" s="70"/>
    </row>
    <row r="1023" spans="26:29" x14ac:dyDescent="0.55000000000000004">
      <c r="Z1023" s="75"/>
      <c r="AA1023"/>
      <c r="AC1023" s="70"/>
    </row>
    <row r="1024" spans="26:29" x14ac:dyDescent="0.55000000000000004">
      <c r="Z1024" s="75"/>
      <c r="AA1024"/>
      <c r="AC1024" s="70"/>
    </row>
    <row r="1025" spans="26:29" x14ac:dyDescent="0.55000000000000004">
      <c r="Z1025" s="75"/>
      <c r="AA1025"/>
      <c r="AC1025" s="70"/>
    </row>
    <row r="1026" spans="26:29" x14ac:dyDescent="0.55000000000000004">
      <c r="Z1026" s="75"/>
      <c r="AA1026"/>
      <c r="AC1026" s="70"/>
    </row>
    <row r="1027" spans="26:29" x14ac:dyDescent="0.55000000000000004">
      <c r="Z1027" s="75"/>
      <c r="AA1027"/>
      <c r="AC1027" s="70"/>
    </row>
    <row r="1028" spans="26:29" x14ac:dyDescent="0.55000000000000004">
      <c r="Z1028" s="75"/>
      <c r="AA1028"/>
      <c r="AC1028" s="70"/>
    </row>
    <row r="1029" spans="26:29" x14ac:dyDescent="0.55000000000000004">
      <c r="Z1029" s="75"/>
      <c r="AA1029"/>
      <c r="AC1029" s="70"/>
    </row>
    <row r="1030" spans="26:29" x14ac:dyDescent="0.55000000000000004">
      <c r="Z1030" s="75"/>
      <c r="AA1030"/>
      <c r="AC1030" s="70"/>
    </row>
    <row r="1031" spans="26:29" x14ac:dyDescent="0.55000000000000004">
      <c r="Z1031" s="75"/>
      <c r="AA1031"/>
      <c r="AC1031" s="70"/>
    </row>
    <row r="1032" spans="26:29" x14ac:dyDescent="0.55000000000000004">
      <c r="Z1032" s="75"/>
      <c r="AA1032"/>
      <c r="AC1032" s="70"/>
    </row>
    <row r="1033" spans="26:29" x14ac:dyDescent="0.55000000000000004">
      <c r="Z1033" s="75"/>
      <c r="AA1033"/>
      <c r="AC1033" s="70"/>
    </row>
    <row r="1034" spans="26:29" x14ac:dyDescent="0.55000000000000004">
      <c r="Z1034" s="75"/>
      <c r="AA1034"/>
      <c r="AC1034" s="70"/>
    </row>
    <row r="1035" spans="26:29" x14ac:dyDescent="0.55000000000000004">
      <c r="Z1035" s="75"/>
      <c r="AA1035"/>
      <c r="AC1035" s="70"/>
    </row>
    <row r="1036" spans="26:29" x14ac:dyDescent="0.55000000000000004">
      <c r="Z1036" s="75"/>
      <c r="AA1036"/>
      <c r="AC1036" s="70"/>
    </row>
    <row r="1037" spans="26:29" x14ac:dyDescent="0.55000000000000004">
      <c r="Z1037" s="75"/>
      <c r="AA1037"/>
      <c r="AC1037" s="70"/>
    </row>
    <row r="1038" spans="26:29" x14ac:dyDescent="0.55000000000000004">
      <c r="Z1038" s="75"/>
      <c r="AA1038"/>
      <c r="AC1038" s="70"/>
    </row>
    <row r="1039" spans="26:29" x14ac:dyDescent="0.55000000000000004">
      <c r="Z1039" s="75"/>
      <c r="AA1039"/>
      <c r="AC1039" s="70"/>
    </row>
    <row r="1040" spans="26:29" x14ac:dyDescent="0.55000000000000004">
      <c r="Z1040" s="75"/>
      <c r="AA1040"/>
      <c r="AC1040" s="70"/>
    </row>
    <row r="1041" spans="26:29" x14ac:dyDescent="0.55000000000000004">
      <c r="Z1041" s="75"/>
      <c r="AA1041"/>
      <c r="AC1041" s="70"/>
    </row>
    <row r="1042" spans="26:29" x14ac:dyDescent="0.55000000000000004">
      <c r="Z1042" s="75"/>
      <c r="AA1042"/>
      <c r="AC1042" s="70"/>
    </row>
    <row r="1043" spans="26:29" x14ac:dyDescent="0.55000000000000004">
      <c r="Z1043" s="75"/>
      <c r="AA1043"/>
      <c r="AC1043" s="70"/>
    </row>
    <row r="1044" spans="26:29" x14ac:dyDescent="0.55000000000000004">
      <c r="Z1044" s="75"/>
      <c r="AA1044"/>
      <c r="AC1044" s="51"/>
    </row>
    <row r="1045" spans="26:29" x14ac:dyDescent="0.55000000000000004">
      <c r="Z1045" s="75"/>
      <c r="AA1045"/>
      <c r="AC1045" s="51"/>
    </row>
    <row r="1046" spans="26:29" x14ac:dyDescent="0.55000000000000004">
      <c r="Z1046" s="75"/>
      <c r="AA1046"/>
      <c r="AC1046" s="51"/>
    </row>
    <row r="1047" spans="26:29" x14ac:dyDescent="0.55000000000000004">
      <c r="Z1047" s="75"/>
      <c r="AA1047"/>
      <c r="AC1047" s="51"/>
    </row>
    <row r="1048" spans="26:29" x14ac:dyDescent="0.55000000000000004">
      <c r="Z1048" s="75"/>
      <c r="AA1048"/>
      <c r="AC1048" s="51"/>
    </row>
    <row r="1049" spans="26:29" x14ac:dyDescent="0.55000000000000004">
      <c r="Z1049" s="75"/>
      <c r="AA1049"/>
      <c r="AC1049" s="51"/>
    </row>
    <row r="1050" spans="26:29" x14ac:dyDescent="0.55000000000000004">
      <c r="Z1050" s="75"/>
      <c r="AA1050"/>
      <c r="AC1050" s="51"/>
    </row>
    <row r="1051" spans="26:29" x14ac:dyDescent="0.55000000000000004">
      <c r="Z1051" s="75"/>
      <c r="AA1051"/>
      <c r="AC1051" s="51"/>
    </row>
    <row r="1052" spans="26:29" x14ac:dyDescent="0.55000000000000004">
      <c r="Z1052" s="75"/>
      <c r="AA1052"/>
      <c r="AC1052" s="51"/>
    </row>
    <row r="1053" spans="26:29" x14ac:dyDescent="0.55000000000000004">
      <c r="Z1053" s="75"/>
      <c r="AA1053"/>
      <c r="AC1053" s="51"/>
    </row>
    <row r="1054" spans="26:29" x14ac:dyDescent="0.55000000000000004">
      <c r="Z1054" s="75"/>
      <c r="AA1054"/>
      <c r="AC1054" s="51"/>
    </row>
    <row r="1055" spans="26:29" x14ac:dyDescent="0.55000000000000004">
      <c r="Z1055" s="75"/>
      <c r="AA1055"/>
      <c r="AC1055" s="51"/>
    </row>
    <row r="1056" spans="26:29" x14ac:dyDescent="0.55000000000000004">
      <c r="Z1056" s="75"/>
      <c r="AA1056"/>
      <c r="AC1056" s="51"/>
    </row>
    <row r="1057" spans="26:29" x14ac:dyDescent="0.55000000000000004">
      <c r="Z1057" s="75"/>
      <c r="AA1057"/>
      <c r="AC1057" s="51"/>
    </row>
    <row r="1058" spans="26:29" x14ac:dyDescent="0.55000000000000004">
      <c r="Z1058" s="75"/>
      <c r="AA1058"/>
      <c r="AC1058" s="51"/>
    </row>
    <row r="1059" spans="26:29" x14ac:dyDescent="0.55000000000000004">
      <c r="Z1059" s="75"/>
      <c r="AA1059"/>
      <c r="AC1059" s="51"/>
    </row>
    <row r="1060" spans="26:29" x14ac:dyDescent="0.55000000000000004">
      <c r="Z1060" s="75"/>
      <c r="AA1060"/>
      <c r="AC1060" s="51"/>
    </row>
    <row r="1061" spans="26:29" x14ac:dyDescent="0.55000000000000004">
      <c r="Z1061" s="75"/>
      <c r="AA1061"/>
      <c r="AC1061" s="51"/>
    </row>
    <row r="1062" spans="26:29" x14ac:dyDescent="0.55000000000000004">
      <c r="Z1062" s="75"/>
      <c r="AA1062"/>
      <c r="AC1062" s="51"/>
    </row>
    <row r="1063" spans="26:29" x14ac:dyDescent="0.55000000000000004">
      <c r="Z1063" s="75"/>
      <c r="AA1063"/>
      <c r="AC1063" s="51"/>
    </row>
    <row r="1064" spans="26:29" x14ac:dyDescent="0.55000000000000004">
      <c r="Z1064" s="75"/>
      <c r="AA1064"/>
      <c r="AC1064" s="51"/>
    </row>
    <row r="1065" spans="26:29" x14ac:dyDescent="0.55000000000000004">
      <c r="Z1065" s="75"/>
      <c r="AA1065"/>
      <c r="AC1065" s="51"/>
    </row>
    <row r="1066" spans="26:29" x14ac:dyDescent="0.55000000000000004">
      <c r="Z1066" s="75"/>
      <c r="AA1066"/>
      <c r="AC1066" s="51"/>
    </row>
    <row r="1067" spans="26:29" x14ac:dyDescent="0.55000000000000004">
      <c r="Z1067" s="75"/>
      <c r="AA1067"/>
      <c r="AC1067" s="51"/>
    </row>
    <row r="1068" spans="26:29" x14ac:dyDescent="0.55000000000000004">
      <c r="Z1068" s="75"/>
      <c r="AA1068"/>
      <c r="AC1068" s="51"/>
    </row>
    <row r="1069" spans="26:29" x14ac:dyDescent="0.55000000000000004">
      <c r="Z1069" s="75"/>
      <c r="AA1069"/>
      <c r="AC1069" s="51"/>
    </row>
    <row r="1070" spans="26:29" x14ac:dyDescent="0.55000000000000004">
      <c r="Z1070" s="75"/>
      <c r="AA1070"/>
      <c r="AC1070" s="51"/>
    </row>
    <row r="1071" spans="26:29" x14ac:dyDescent="0.55000000000000004">
      <c r="Z1071" s="75"/>
      <c r="AA1071"/>
      <c r="AC1071" s="51"/>
    </row>
    <row r="1072" spans="26:29" x14ac:dyDescent="0.55000000000000004">
      <c r="Z1072" s="75"/>
      <c r="AA1072"/>
      <c r="AC1072" s="51"/>
    </row>
    <row r="1073" spans="26:29" x14ac:dyDescent="0.55000000000000004">
      <c r="Z1073" s="75"/>
      <c r="AA1073"/>
      <c r="AC1073" s="51"/>
    </row>
    <row r="1074" spans="26:29" x14ac:dyDescent="0.55000000000000004">
      <c r="Z1074" s="75"/>
      <c r="AA1074"/>
      <c r="AC1074" s="51"/>
    </row>
    <row r="1075" spans="26:29" x14ac:dyDescent="0.55000000000000004">
      <c r="Z1075" s="75"/>
      <c r="AA1075"/>
      <c r="AC1075" s="51"/>
    </row>
    <row r="1076" spans="26:29" x14ac:dyDescent="0.55000000000000004">
      <c r="Z1076" s="75"/>
      <c r="AA1076"/>
      <c r="AC1076" s="51"/>
    </row>
    <row r="1077" spans="26:29" x14ac:dyDescent="0.55000000000000004">
      <c r="Z1077" s="75"/>
      <c r="AA1077"/>
      <c r="AC1077" s="51"/>
    </row>
    <row r="1078" spans="26:29" x14ac:dyDescent="0.55000000000000004">
      <c r="Z1078" s="75"/>
      <c r="AA1078"/>
      <c r="AC1078" s="51"/>
    </row>
    <row r="1079" spans="26:29" x14ac:dyDescent="0.55000000000000004">
      <c r="Z1079" s="75"/>
      <c r="AA1079"/>
      <c r="AC1079" s="51"/>
    </row>
    <row r="1080" spans="26:29" x14ac:dyDescent="0.55000000000000004">
      <c r="Z1080" s="75"/>
      <c r="AA1080"/>
      <c r="AC1080" s="51"/>
    </row>
    <row r="1081" spans="26:29" x14ac:dyDescent="0.55000000000000004">
      <c r="Z1081" s="75"/>
      <c r="AA1081"/>
      <c r="AC1081" s="51"/>
    </row>
    <row r="1082" spans="26:29" x14ac:dyDescent="0.55000000000000004">
      <c r="Z1082" s="75"/>
      <c r="AA1082"/>
      <c r="AC1082" s="51"/>
    </row>
    <row r="1083" spans="26:29" x14ac:dyDescent="0.55000000000000004">
      <c r="Z1083" s="75"/>
      <c r="AA1083"/>
      <c r="AC1083" s="51"/>
    </row>
    <row r="1084" spans="26:29" x14ac:dyDescent="0.55000000000000004">
      <c r="Z1084" s="75"/>
      <c r="AA1084"/>
      <c r="AC1084" s="51"/>
    </row>
    <row r="1085" spans="26:29" x14ac:dyDescent="0.55000000000000004">
      <c r="Z1085" s="75"/>
      <c r="AA1085"/>
      <c r="AC1085" s="51"/>
    </row>
    <row r="1086" spans="26:29" x14ac:dyDescent="0.55000000000000004">
      <c r="Z1086" s="75"/>
      <c r="AA1086"/>
      <c r="AC1086" s="51"/>
    </row>
    <row r="1087" spans="26:29" x14ac:dyDescent="0.55000000000000004">
      <c r="Z1087" s="75"/>
      <c r="AA1087"/>
      <c r="AC1087" s="51"/>
    </row>
    <row r="1088" spans="26:29" x14ac:dyDescent="0.55000000000000004">
      <c r="Z1088" s="75"/>
      <c r="AA1088"/>
      <c r="AC1088" s="51"/>
    </row>
    <row r="1089" spans="26:29" x14ac:dyDescent="0.55000000000000004">
      <c r="Z1089" s="75"/>
      <c r="AA1089"/>
      <c r="AC1089" s="51"/>
    </row>
    <row r="1090" spans="26:29" x14ac:dyDescent="0.55000000000000004">
      <c r="Z1090" s="75"/>
      <c r="AA1090"/>
      <c r="AC1090" s="51"/>
    </row>
    <row r="1091" spans="26:29" x14ac:dyDescent="0.55000000000000004">
      <c r="Z1091" s="75"/>
      <c r="AA1091"/>
      <c r="AC1091" s="51"/>
    </row>
    <row r="1092" spans="26:29" x14ac:dyDescent="0.55000000000000004">
      <c r="Z1092" s="75"/>
      <c r="AA1092"/>
      <c r="AC1092" s="51"/>
    </row>
    <row r="1093" spans="26:29" x14ac:dyDescent="0.55000000000000004">
      <c r="Z1093" s="75"/>
      <c r="AA1093"/>
      <c r="AC1093" s="51"/>
    </row>
    <row r="1094" spans="26:29" x14ac:dyDescent="0.55000000000000004">
      <c r="Z1094" s="75"/>
      <c r="AA1094"/>
      <c r="AC1094" s="51"/>
    </row>
    <row r="1095" spans="26:29" x14ac:dyDescent="0.55000000000000004">
      <c r="Z1095" s="75"/>
      <c r="AA1095"/>
      <c r="AC1095" s="51"/>
    </row>
    <row r="1096" spans="26:29" x14ac:dyDescent="0.55000000000000004">
      <c r="Z1096" s="75"/>
      <c r="AA1096"/>
      <c r="AC1096" s="51"/>
    </row>
    <row r="1097" spans="26:29" x14ac:dyDescent="0.55000000000000004">
      <c r="Z1097" s="75"/>
      <c r="AA1097"/>
      <c r="AC1097" s="51"/>
    </row>
    <row r="1098" spans="26:29" x14ac:dyDescent="0.55000000000000004">
      <c r="Z1098" s="75"/>
      <c r="AA1098"/>
      <c r="AC1098" s="51"/>
    </row>
    <row r="1099" spans="26:29" x14ac:dyDescent="0.55000000000000004">
      <c r="Z1099" s="75"/>
      <c r="AA1099"/>
      <c r="AC1099" s="51"/>
    </row>
    <row r="1100" spans="26:29" x14ac:dyDescent="0.55000000000000004">
      <c r="Z1100" s="75"/>
      <c r="AA1100"/>
      <c r="AC1100" s="51"/>
    </row>
    <row r="1101" spans="26:29" x14ac:dyDescent="0.55000000000000004">
      <c r="Z1101" s="75"/>
      <c r="AA1101"/>
      <c r="AC1101" s="51"/>
    </row>
    <row r="1102" spans="26:29" x14ac:dyDescent="0.55000000000000004">
      <c r="Z1102" s="75"/>
      <c r="AA1102"/>
      <c r="AC1102" s="51"/>
    </row>
    <row r="1103" spans="26:29" x14ac:dyDescent="0.55000000000000004">
      <c r="Z1103" s="75"/>
      <c r="AA1103"/>
      <c r="AC1103" s="51"/>
    </row>
    <row r="1104" spans="26:29" x14ac:dyDescent="0.55000000000000004">
      <c r="Z1104" s="75"/>
      <c r="AA1104"/>
      <c r="AC1104" s="51"/>
    </row>
    <row r="1105" spans="26:29" x14ac:dyDescent="0.55000000000000004">
      <c r="Z1105" s="75"/>
      <c r="AA1105"/>
      <c r="AC1105" s="51"/>
    </row>
    <row r="1106" spans="26:29" x14ac:dyDescent="0.55000000000000004">
      <c r="Z1106" s="75"/>
      <c r="AA1106"/>
      <c r="AC1106" s="51"/>
    </row>
    <row r="1107" spans="26:29" x14ac:dyDescent="0.55000000000000004">
      <c r="Z1107" s="75"/>
      <c r="AA1107"/>
      <c r="AC1107" s="51"/>
    </row>
    <row r="1108" spans="26:29" x14ac:dyDescent="0.55000000000000004">
      <c r="Z1108" s="75"/>
      <c r="AA1108"/>
      <c r="AC1108" s="51"/>
    </row>
    <row r="1109" spans="26:29" x14ac:dyDescent="0.55000000000000004">
      <c r="Z1109" s="75"/>
      <c r="AA1109"/>
      <c r="AC1109" s="51"/>
    </row>
    <row r="1110" spans="26:29" x14ac:dyDescent="0.55000000000000004">
      <c r="Z1110" s="75"/>
      <c r="AA1110"/>
      <c r="AC1110" s="51"/>
    </row>
    <row r="1111" spans="26:29" x14ac:dyDescent="0.55000000000000004">
      <c r="Z1111" s="75"/>
      <c r="AA1111"/>
      <c r="AC1111" s="51"/>
    </row>
    <row r="1112" spans="26:29" x14ac:dyDescent="0.55000000000000004">
      <c r="Z1112" s="75"/>
      <c r="AA1112"/>
      <c r="AC1112" s="51"/>
    </row>
    <row r="1113" spans="26:29" x14ac:dyDescent="0.55000000000000004">
      <c r="Z1113" s="75"/>
      <c r="AA1113"/>
      <c r="AC1113" s="51"/>
    </row>
    <row r="1114" spans="26:29" x14ac:dyDescent="0.55000000000000004">
      <c r="Z1114" s="75"/>
      <c r="AA1114"/>
      <c r="AC1114" s="51"/>
    </row>
    <row r="1115" spans="26:29" x14ac:dyDescent="0.55000000000000004">
      <c r="Z1115" s="75"/>
      <c r="AA1115"/>
      <c r="AC1115" s="51"/>
    </row>
    <row r="1116" spans="26:29" x14ac:dyDescent="0.55000000000000004">
      <c r="Z1116" s="75"/>
      <c r="AA1116"/>
      <c r="AC1116" s="51"/>
    </row>
    <row r="1117" spans="26:29" x14ac:dyDescent="0.55000000000000004">
      <c r="Z1117" s="75"/>
      <c r="AA1117"/>
      <c r="AC1117" s="51"/>
    </row>
    <row r="1118" spans="26:29" x14ac:dyDescent="0.55000000000000004">
      <c r="Z1118" s="75"/>
      <c r="AA1118"/>
      <c r="AC1118" s="51"/>
    </row>
    <row r="1119" spans="26:29" x14ac:dyDescent="0.55000000000000004">
      <c r="Z1119" s="75"/>
      <c r="AA1119"/>
      <c r="AC1119" s="51"/>
    </row>
    <row r="1120" spans="26:29" x14ac:dyDescent="0.55000000000000004">
      <c r="Z1120" s="75"/>
      <c r="AA1120"/>
      <c r="AC1120" s="51"/>
    </row>
    <row r="1121" spans="26:29" x14ac:dyDescent="0.55000000000000004">
      <c r="Z1121" s="75"/>
      <c r="AA1121"/>
      <c r="AC1121" s="51"/>
    </row>
    <row r="1122" spans="26:29" x14ac:dyDescent="0.55000000000000004">
      <c r="Z1122" s="75"/>
      <c r="AA1122"/>
      <c r="AC1122" s="51"/>
    </row>
    <row r="1123" spans="26:29" x14ac:dyDescent="0.55000000000000004">
      <c r="Z1123" s="75"/>
      <c r="AA1123"/>
      <c r="AC1123" s="51"/>
    </row>
    <row r="1124" spans="26:29" x14ac:dyDescent="0.55000000000000004">
      <c r="Z1124" s="75"/>
      <c r="AA1124"/>
      <c r="AC1124" s="51"/>
    </row>
    <row r="1125" spans="26:29" x14ac:dyDescent="0.55000000000000004">
      <c r="Z1125" s="75"/>
      <c r="AA1125"/>
      <c r="AC1125" s="51"/>
    </row>
    <row r="1126" spans="26:29" x14ac:dyDescent="0.55000000000000004">
      <c r="Z1126" s="75"/>
      <c r="AA1126"/>
      <c r="AC1126" s="51"/>
    </row>
    <row r="1127" spans="26:29" x14ac:dyDescent="0.55000000000000004">
      <c r="Z1127" s="75"/>
      <c r="AA1127"/>
      <c r="AC1127" s="51"/>
    </row>
    <row r="1128" spans="26:29" x14ac:dyDescent="0.55000000000000004">
      <c r="Z1128" s="75"/>
      <c r="AA1128"/>
      <c r="AC1128" s="51"/>
    </row>
    <row r="1129" spans="26:29" x14ac:dyDescent="0.55000000000000004">
      <c r="Z1129" s="75"/>
      <c r="AA1129"/>
      <c r="AC1129" s="51"/>
    </row>
    <row r="1130" spans="26:29" x14ac:dyDescent="0.55000000000000004">
      <c r="Z1130" s="75"/>
      <c r="AA1130"/>
      <c r="AC1130" s="51"/>
    </row>
    <row r="1131" spans="26:29" x14ac:dyDescent="0.55000000000000004">
      <c r="Z1131" s="75"/>
      <c r="AA1131"/>
      <c r="AC1131" s="51"/>
    </row>
    <row r="1132" spans="26:29" x14ac:dyDescent="0.55000000000000004">
      <c r="Z1132" s="75"/>
      <c r="AA1132"/>
      <c r="AC1132" s="51"/>
    </row>
    <row r="1133" spans="26:29" x14ac:dyDescent="0.55000000000000004">
      <c r="Z1133" s="75"/>
      <c r="AA1133"/>
      <c r="AC1133" s="51"/>
    </row>
    <row r="1134" spans="26:29" x14ac:dyDescent="0.55000000000000004">
      <c r="Z1134" s="75"/>
      <c r="AA1134"/>
      <c r="AC1134" s="51"/>
    </row>
    <row r="1135" spans="26:29" x14ac:dyDescent="0.55000000000000004">
      <c r="Z1135" s="75"/>
      <c r="AA1135"/>
      <c r="AC1135" s="51"/>
    </row>
    <row r="1136" spans="26:29" x14ac:dyDescent="0.55000000000000004">
      <c r="Z1136" s="75"/>
      <c r="AA1136"/>
      <c r="AC1136" s="51"/>
    </row>
    <row r="1137" spans="26:29" x14ac:dyDescent="0.55000000000000004">
      <c r="Z1137" s="75"/>
      <c r="AA1137"/>
      <c r="AC1137" s="51"/>
    </row>
    <row r="1138" spans="26:29" x14ac:dyDescent="0.55000000000000004">
      <c r="Z1138" s="75"/>
      <c r="AA1138"/>
      <c r="AC1138" s="51"/>
    </row>
    <row r="1139" spans="26:29" x14ac:dyDescent="0.55000000000000004">
      <c r="Z1139" s="75"/>
      <c r="AA1139"/>
      <c r="AC1139" s="51"/>
    </row>
    <row r="1140" spans="26:29" x14ac:dyDescent="0.55000000000000004">
      <c r="Z1140" s="75"/>
      <c r="AA1140"/>
      <c r="AC1140" s="51"/>
    </row>
    <row r="1141" spans="26:29" x14ac:dyDescent="0.55000000000000004">
      <c r="Z1141" s="75"/>
      <c r="AA1141"/>
      <c r="AC1141" s="51"/>
    </row>
    <row r="1142" spans="26:29" x14ac:dyDescent="0.55000000000000004">
      <c r="Z1142" s="75"/>
      <c r="AA1142"/>
      <c r="AC1142" s="51"/>
    </row>
    <row r="1143" spans="26:29" x14ac:dyDescent="0.55000000000000004">
      <c r="Z1143" s="75"/>
      <c r="AA1143"/>
      <c r="AC1143" s="51"/>
    </row>
    <row r="1144" spans="26:29" x14ac:dyDescent="0.55000000000000004">
      <c r="Z1144" s="75"/>
      <c r="AA1144"/>
      <c r="AC1144" s="51"/>
    </row>
    <row r="1145" spans="26:29" x14ac:dyDescent="0.55000000000000004">
      <c r="Z1145" s="75"/>
      <c r="AA1145"/>
      <c r="AC1145" s="51"/>
    </row>
    <row r="1146" spans="26:29" x14ac:dyDescent="0.55000000000000004">
      <c r="Z1146" s="75"/>
      <c r="AA1146"/>
      <c r="AC1146" s="51"/>
    </row>
    <row r="1147" spans="26:29" x14ac:dyDescent="0.55000000000000004">
      <c r="Z1147" s="75"/>
      <c r="AA1147"/>
      <c r="AC1147" s="51"/>
    </row>
    <row r="1148" spans="26:29" x14ac:dyDescent="0.55000000000000004">
      <c r="Z1148" s="75"/>
      <c r="AA1148"/>
      <c r="AC1148" s="51"/>
    </row>
    <row r="1149" spans="26:29" x14ac:dyDescent="0.55000000000000004">
      <c r="Z1149" s="75"/>
      <c r="AA1149"/>
      <c r="AC1149" s="51"/>
    </row>
    <row r="1150" spans="26:29" x14ac:dyDescent="0.55000000000000004">
      <c r="Z1150" s="75"/>
      <c r="AA1150"/>
      <c r="AC1150" s="51"/>
    </row>
    <row r="1151" spans="26:29" x14ac:dyDescent="0.55000000000000004">
      <c r="Z1151" s="75"/>
      <c r="AA1151"/>
      <c r="AC1151" s="51"/>
    </row>
    <row r="1152" spans="26:29" x14ac:dyDescent="0.55000000000000004">
      <c r="Z1152" s="75"/>
      <c r="AA1152"/>
      <c r="AC1152" s="51"/>
    </row>
    <row r="1153" spans="26:29" x14ac:dyDescent="0.55000000000000004">
      <c r="Z1153" s="75"/>
      <c r="AA1153"/>
      <c r="AC1153" s="51"/>
    </row>
    <row r="1154" spans="26:29" x14ac:dyDescent="0.55000000000000004">
      <c r="Z1154" s="75"/>
      <c r="AA1154"/>
      <c r="AC1154" s="51"/>
    </row>
    <row r="1155" spans="26:29" x14ac:dyDescent="0.55000000000000004">
      <c r="Z1155" s="75"/>
      <c r="AA1155"/>
      <c r="AC1155" s="51"/>
    </row>
    <row r="1156" spans="26:29" x14ac:dyDescent="0.55000000000000004">
      <c r="Z1156" s="75"/>
      <c r="AA1156"/>
      <c r="AC1156" s="51"/>
    </row>
    <row r="1157" spans="26:29" x14ac:dyDescent="0.55000000000000004">
      <c r="Z1157" s="75"/>
      <c r="AA1157"/>
      <c r="AC1157" s="51"/>
    </row>
    <row r="1158" spans="26:29" x14ac:dyDescent="0.55000000000000004">
      <c r="Z1158" s="75"/>
      <c r="AA1158"/>
      <c r="AC1158" s="51"/>
    </row>
    <row r="1159" spans="26:29" x14ac:dyDescent="0.55000000000000004">
      <c r="Z1159" s="75"/>
      <c r="AA1159"/>
      <c r="AC1159" s="51"/>
    </row>
    <row r="1160" spans="26:29" x14ac:dyDescent="0.55000000000000004">
      <c r="Z1160" s="75"/>
      <c r="AA1160"/>
      <c r="AC1160" s="51"/>
    </row>
    <row r="1161" spans="26:29" x14ac:dyDescent="0.55000000000000004">
      <c r="Z1161" s="75"/>
      <c r="AA1161"/>
      <c r="AC1161" s="51"/>
    </row>
    <row r="1162" spans="26:29" x14ac:dyDescent="0.55000000000000004">
      <c r="Z1162" s="75"/>
      <c r="AA1162"/>
      <c r="AC1162" s="51"/>
    </row>
    <row r="1163" spans="26:29" x14ac:dyDescent="0.55000000000000004">
      <c r="Z1163" s="75"/>
      <c r="AA1163"/>
      <c r="AC1163" s="51"/>
    </row>
    <row r="1164" spans="26:29" x14ac:dyDescent="0.55000000000000004">
      <c r="Z1164" s="75"/>
      <c r="AA1164"/>
      <c r="AC1164" s="51"/>
    </row>
    <row r="1165" spans="26:29" x14ac:dyDescent="0.55000000000000004">
      <c r="Z1165" s="75"/>
      <c r="AA1165"/>
      <c r="AC1165" s="51"/>
    </row>
    <row r="1166" spans="26:29" x14ac:dyDescent="0.55000000000000004">
      <c r="Z1166" s="75"/>
      <c r="AA1166"/>
      <c r="AC1166" s="51"/>
    </row>
    <row r="1167" spans="26:29" x14ac:dyDescent="0.55000000000000004">
      <c r="Z1167" s="75"/>
      <c r="AA1167"/>
      <c r="AC1167" s="51"/>
    </row>
    <row r="1168" spans="26:29" x14ac:dyDescent="0.55000000000000004">
      <c r="Z1168" s="75"/>
      <c r="AA1168"/>
      <c r="AC1168" s="51"/>
    </row>
    <row r="1169" spans="26:29" x14ac:dyDescent="0.55000000000000004">
      <c r="Z1169" s="75"/>
      <c r="AA1169"/>
      <c r="AC1169" s="51"/>
    </row>
    <row r="1170" spans="26:29" x14ac:dyDescent="0.55000000000000004">
      <c r="Z1170" s="75"/>
      <c r="AA1170"/>
      <c r="AC1170" s="51"/>
    </row>
    <row r="1171" spans="26:29" x14ac:dyDescent="0.55000000000000004">
      <c r="Z1171" s="75"/>
      <c r="AA1171"/>
      <c r="AC1171" s="51"/>
    </row>
    <row r="1172" spans="26:29" x14ac:dyDescent="0.55000000000000004">
      <c r="Z1172" s="75"/>
      <c r="AA1172"/>
      <c r="AC1172" s="51"/>
    </row>
    <row r="1173" spans="26:29" x14ac:dyDescent="0.55000000000000004">
      <c r="Z1173" s="75"/>
      <c r="AA1173"/>
      <c r="AC1173" s="51"/>
    </row>
    <row r="1174" spans="26:29" x14ac:dyDescent="0.55000000000000004">
      <c r="Z1174" s="75"/>
      <c r="AA1174"/>
      <c r="AC1174" s="51"/>
    </row>
    <row r="1175" spans="26:29" x14ac:dyDescent="0.55000000000000004">
      <c r="Z1175" s="75"/>
      <c r="AA1175"/>
      <c r="AC1175" s="51"/>
    </row>
    <row r="1176" spans="26:29" x14ac:dyDescent="0.55000000000000004">
      <c r="Z1176" s="75"/>
      <c r="AA1176"/>
      <c r="AC1176" s="51"/>
    </row>
    <row r="1177" spans="26:29" x14ac:dyDescent="0.55000000000000004">
      <c r="Z1177" s="75"/>
      <c r="AA1177"/>
      <c r="AC1177" s="51"/>
    </row>
    <row r="1178" spans="26:29" x14ac:dyDescent="0.55000000000000004">
      <c r="Z1178" s="75"/>
      <c r="AA1178"/>
      <c r="AC1178" s="51"/>
    </row>
    <row r="1179" spans="26:29" x14ac:dyDescent="0.55000000000000004">
      <c r="Z1179" s="75"/>
      <c r="AA1179"/>
      <c r="AC1179" s="51"/>
    </row>
    <row r="1180" spans="26:29" x14ac:dyDescent="0.55000000000000004">
      <c r="Z1180" s="75"/>
      <c r="AA1180"/>
      <c r="AC1180" s="51"/>
    </row>
    <row r="1181" spans="26:29" x14ac:dyDescent="0.55000000000000004">
      <c r="Z1181" s="75"/>
      <c r="AA1181"/>
      <c r="AC1181" s="51"/>
    </row>
    <row r="1182" spans="26:29" x14ac:dyDescent="0.55000000000000004">
      <c r="Z1182" s="75"/>
      <c r="AA1182"/>
      <c r="AC1182" s="51"/>
    </row>
    <row r="1183" spans="26:29" x14ac:dyDescent="0.55000000000000004">
      <c r="Z1183" s="75"/>
      <c r="AA1183"/>
      <c r="AC1183" s="51"/>
    </row>
    <row r="1184" spans="26:29" x14ac:dyDescent="0.55000000000000004">
      <c r="Z1184" s="75"/>
      <c r="AA1184"/>
      <c r="AC1184" s="51"/>
    </row>
    <row r="1185" spans="26:29" x14ac:dyDescent="0.55000000000000004">
      <c r="Z1185" s="75"/>
      <c r="AA1185"/>
      <c r="AC1185" s="51"/>
    </row>
    <row r="1186" spans="26:29" x14ac:dyDescent="0.55000000000000004">
      <c r="Z1186" s="75"/>
      <c r="AA1186"/>
      <c r="AC1186" s="51"/>
    </row>
    <row r="1187" spans="26:29" x14ac:dyDescent="0.55000000000000004">
      <c r="Z1187" s="75"/>
      <c r="AA1187"/>
      <c r="AC1187" s="51"/>
    </row>
    <row r="1188" spans="26:29" x14ac:dyDescent="0.55000000000000004">
      <c r="Z1188" s="75"/>
      <c r="AA1188"/>
      <c r="AC1188" s="51"/>
    </row>
    <row r="1189" spans="26:29" x14ac:dyDescent="0.55000000000000004">
      <c r="Z1189" s="75"/>
      <c r="AA1189"/>
      <c r="AC1189" s="51"/>
    </row>
    <row r="1190" spans="26:29" x14ac:dyDescent="0.55000000000000004">
      <c r="Z1190" s="75"/>
      <c r="AA1190"/>
      <c r="AC1190" s="51"/>
    </row>
    <row r="1191" spans="26:29" x14ac:dyDescent="0.55000000000000004">
      <c r="Z1191" s="75"/>
      <c r="AA1191"/>
      <c r="AC1191" s="51"/>
    </row>
    <row r="1192" spans="26:29" x14ac:dyDescent="0.55000000000000004">
      <c r="Z1192" s="75"/>
      <c r="AA1192"/>
      <c r="AC1192" s="51"/>
    </row>
    <row r="1193" spans="26:29" x14ac:dyDescent="0.55000000000000004">
      <c r="Z1193" s="75"/>
      <c r="AA1193"/>
      <c r="AC1193" s="51"/>
    </row>
    <row r="1194" spans="26:29" x14ac:dyDescent="0.55000000000000004">
      <c r="Z1194" s="75"/>
      <c r="AA1194"/>
      <c r="AC1194" s="51"/>
    </row>
    <row r="1195" spans="26:29" x14ac:dyDescent="0.55000000000000004">
      <c r="Z1195" s="75"/>
      <c r="AA1195"/>
      <c r="AC1195" s="51"/>
    </row>
    <row r="1196" spans="26:29" x14ac:dyDescent="0.55000000000000004">
      <c r="Z1196" s="75"/>
      <c r="AA1196"/>
      <c r="AC1196" s="51"/>
    </row>
    <row r="1197" spans="26:29" x14ac:dyDescent="0.55000000000000004">
      <c r="Z1197" s="75"/>
      <c r="AA1197"/>
      <c r="AC1197" s="51"/>
    </row>
    <row r="1198" spans="26:29" x14ac:dyDescent="0.55000000000000004">
      <c r="Z1198" s="75"/>
      <c r="AA1198"/>
      <c r="AC1198" s="51"/>
    </row>
    <row r="1199" spans="26:29" x14ac:dyDescent="0.55000000000000004">
      <c r="Z1199" s="75"/>
      <c r="AA1199"/>
      <c r="AC1199" s="51"/>
    </row>
    <row r="1200" spans="26:29" x14ac:dyDescent="0.55000000000000004">
      <c r="Z1200" s="75"/>
      <c r="AA1200"/>
      <c r="AC1200" s="51"/>
    </row>
    <row r="1201" spans="26:29" x14ac:dyDescent="0.55000000000000004">
      <c r="Z1201" s="75"/>
      <c r="AA1201"/>
      <c r="AC1201" s="51"/>
    </row>
    <row r="1202" spans="26:29" x14ac:dyDescent="0.55000000000000004">
      <c r="Z1202" s="75"/>
      <c r="AA1202"/>
      <c r="AC1202" s="51"/>
    </row>
    <row r="1203" spans="26:29" x14ac:dyDescent="0.55000000000000004">
      <c r="Z1203" s="75"/>
      <c r="AA1203"/>
      <c r="AC1203" s="51"/>
    </row>
    <row r="1204" spans="26:29" x14ac:dyDescent="0.55000000000000004">
      <c r="Z1204" s="75"/>
      <c r="AA1204"/>
      <c r="AC1204" s="51"/>
    </row>
    <row r="1205" spans="26:29" x14ac:dyDescent="0.55000000000000004">
      <c r="Z1205" s="75"/>
      <c r="AA1205"/>
      <c r="AC1205" s="51"/>
    </row>
    <row r="1206" spans="26:29" x14ac:dyDescent="0.55000000000000004">
      <c r="Z1206" s="75"/>
      <c r="AA1206"/>
      <c r="AC1206" s="51"/>
    </row>
    <row r="1207" spans="26:29" x14ac:dyDescent="0.55000000000000004">
      <c r="Z1207" s="75"/>
      <c r="AA1207"/>
      <c r="AC1207" s="51"/>
    </row>
    <row r="1208" spans="26:29" x14ac:dyDescent="0.55000000000000004">
      <c r="Z1208" s="75"/>
      <c r="AA1208"/>
      <c r="AC1208" s="51"/>
    </row>
    <row r="1209" spans="26:29" x14ac:dyDescent="0.55000000000000004">
      <c r="Z1209" s="75"/>
      <c r="AA1209"/>
      <c r="AC1209" s="51"/>
    </row>
    <row r="1210" spans="26:29" x14ac:dyDescent="0.55000000000000004">
      <c r="Z1210" s="75"/>
      <c r="AA1210"/>
      <c r="AC1210" s="51"/>
    </row>
    <row r="1211" spans="26:29" x14ac:dyDescent="0.55000000000000004">
      <c r="Z1211" s="75"/>
      <c r="AA1211"/>
      <c r="AC1211" s="51"/>
    </row>
    <row r="1212" spans="26:29" x14ac:dyDescent="0.55000000000000004">
      <c r="Z1212" s="75"/>
      <c r="AA1212"/>
      <c r="AC1212" s="51"/>
    </row>
    <row r="1213" spans="26:29" x14ac:dyDescent="0.55000000000000004">
      <c r="Z1213" s="75"/>
      <c r="AA1213"/>
      <c r="AC1213" s="51"/>
    </row>
    <row r="1214" spans="26:29" x14ac:dyDescent="0.55000000000000004">
      <c r="Z1214" s="75"/>
      <c r="AA1214"/>
      <c r="AC1214" s="51"/>
    </row>
    <row r="1215" spans="26:29" x14ac:dyDescent="0.55000000000000004">
      <c r="Z1215" s="75"/>
      <c r="AA1215"/>
      <c r="AC1215" s="51"/>
    </row>
    <row r="1216" spans="26:29" x14ac:dyDescent="0.55000000000000004">
      <c r="Z1216" s="75"/>
      <c r="AA1216"/>
      <c r="AC1216" s="51"/>
    </row>
    <row r="1217" spans="26:29" x14ac:dyDescent="0.55000000000000004">
      <c r="Z1217" s="75"/>
      <c r="AA1217"/>
      <c r="AC1217" s="51"/>
    </row>
    <row r="1218" spans="26:29" x14ac:dyDescent="0.55000000000000004">
      <c r="Z1218" s="75"/>
      <c r="AA1218"/>
      <c r="AC1218" s="51"/>
    </row>
    <row r="1219" spans="26:29" x14ac:dyDescent="0.55000000000000004">
      <c r="Z1219" s="75"/>
      <c r="AA1219"/>
      <c r="AC1219" s="51"/>
    </row>
    <row r="1220" spans="26:29" x14ac:dyDescent="0.55000000000000004">
      <c r="Z1220" s="75"/>
      <c r="AA1220"/>
      <c r="AC1220" s="51"/>
    </row>
    <row r="1221" spans="26:29" x14ac:dyDescent="0.55000000000000004">
      <c r="Z1221" s="75"/>
      <c r="AA1221"/>
      <c r="AC1221" s="51"/>
    </row>
    <row r="1222" spans="26:29" x14ac:dyDescent="0.55000000000000004">
      <c r="Z1222" s="75"/>
      <c r="AA1222"/>
      <c r="AC1222" s="51"/>
    </row>
    <row r="1223" spans="26:29" x14ac:dyDescent="0.55000000000000004">
      <c r="Z1223" s="75"/>
      <c r="AA1223"/>
      <c r="AC1223" s="51"/>
    </row>
    <row r="1224" spans="26:29" x14ac:dyDescent="0.55000000000000004">
      <c r="Z1224" s="75"/>
      <c r="AA1224"/>
      <c r="AC1224" s="51"/>
    </row>
    <row r="1225" spans="26:29" x14ac:dyDescent="0.55000000000000004">
      <c r="Z1225" s="75"/>
      <c r="AA1225"/>
      <c r="AC1225" s="51"/>
    </row>
    <row r="1226" spans="26:29" x14ac:dyDescent="0.55000000000000004">
      <c r="Z1226" s="75"/>
      <c r="AA1226"/>
      <c r="AC1226" s="51"/>
    </row>
    <row r="1227" spans="26:29" x14ac:dyDescent="0.55000000000000004">
      <c r="Z1227" s="75"/>
      <c r="AA1227"/>
      <c r="AC1227" s="51"/>
    </row>
    <row r="1228" spans="26:29" x14ac:dyDescent="0.55000000000000004">
      <c r="Z1228" s="75"/>
      <c r="AA1228"/>
      <c r="AC1228" s="51"/>
    </row>
    <row r="1229" spans="26:29" x14ac:dyDescent="0.55000000000000004">
      <c r="Z1229" s="75"/>
      <c r="AA1229"/>
      <c r="AC1229" s="51"/>
    </row>
    <row r="1230" spans="26:29" x14ac:dyDescent="0.55000000000000004">
      <c r="Z1230" s="75"/>
      <c r="AA1230"/>
      <c r="AC1230" s="51"/>
    </row>
    <row r="1231" spans="26:29" x14ac:dyDescent="0.55000000000000004">
      <c r="Z1231" s="75"/>
      <c r="AA1231"/>
      <c r="AC1231" s="51"/>
    </row>
    <row r="1232" spans="26:29" x14ac:dyDescent="0.55000000000000004">
      <c r="Z1232" s="75"/>
      <c r="AA1232"/>
      <c r="AC1232" s="51"/>
    </row>
    <row r="1233" spans="26:29" x14ac:dyDescent="0.55000000000000004">
      <c r="Z1233" s="75"/>
      <c r="AA1233"/>
      <c r="AC1233" s="51"/>
    </row>
    <row r="1234" spans="26:29" x14ac:dyDescent="0.55000000000000004">
      <c r="Z1234" s="75"/>
      <c r="AA1234"/>
      <c r="AC1234" s="51"/>
    </row>
    <row r="1235" spans="26:29" x14ac:dyDescent="0.55000000000000004">
      <c r="Z1235" s="75"/>
      <c r="AA1235"/>
      <c r="AC1235" s="51"/>
    </row>
    <row r="1236" spans="26:29" x14ac:dyDescent="0.55000000000000004">
      <c r="Z1236" s="75"/>
      <c r="AA1236"/>
      <c r="AC1236" s="51"/>
    </row>
    <row r="1237" spans="26:29" x14ac:dyDescent="0.55000000000000004">
      <c r="Z1237" s="75"/>
      <c r="AA1237"/>
      <c r="AC1237" s="51"/>
    </row>
    <row r="1238" spans="26:29" x14ac:dyDescent="0.55000000000000004">
      <c r="Z1238" s="75"/>
      <c r="AA1238"/>
      <c r="AC1238" s="51"/>
    </row>
    <row r="1239" spans="26:29" x14ac:dyDescent="0.55000000000000004">
      <c r="Z1239" s="75"/>
      <c r="AA1239"/>
      <c r="AC1239" s="51"/>
    </row>
    <row r="1240" spans="26:29" x14ac:dyDescent="0.55000000000000004">
      <c r="Z1240" s="75"/>
      <c r="AA1240"/>
      <c r="AC1240" s="51"/>
    </row>
    <row r="1241" spans="26:29" x14ac:dyDescent="0.55000000000000004">
      <c r="Z1241" s="75"/>
      <c r="AA1241"/>
      <c r="AC1241" s="51"/>
    </row>
    <row r="1242" spans="26:29" x14ac:dyDescent="0.55000000000000004">
      <c r="Z1242" s="75"/>
      <c r="AA1242"/>
      <c r="AC1242" s="51"/>
    </row>
    <row r="1243" spans="26:29" x14ac:dyDescent="0.55000000000000004">
      <c r="Z1243" s="75"/>
      <c r="AA1243"/>
      <c r="AC1243" s="51"/>
    </row>
    <row r="1244" spans="26:29" x14ac:dyDescent="0.55000000000000004">
      <c r="Z1244" s="75"/>
      <c r="AA1244"/>
      <c r="AC1244" s="51"/>
    </row>
    <row r="1245" spans="26:29" x14ac:dyDescent="0.55000000000000004">
      <c r="Z1245" s="75"/>
      <c r="AA1245"/>
      <c r="AC1245" s="51"/>
    </row>
    <row r="1246" spans="26:29" x14ac:dyDescent="0.55000000000000004">
      <c r="Z1246" s="75"/>
      <c r="AA1246"/>
      <c r="AC1246" s="51"/>
    </row>
    <row r="1247" spans="26:29" x14ac:dyDescent="0.55000000000000004">
      <c r="Z1247" s="75"/>
      <c r="AA1247"/>
      <c r="AC1247" s="51"/>
    </row>
    <row r="1248" spans="26:29" x14ac:dyDescent="0.55000000000000004">
      <c r="Z1248" s="75"/>
      <c r="AA1248"/>
      <c r="AC1248" s="51"/>
    </row>
    <row r="1249" spans="26:29" x14ac:dyDescent="0.55000000000000004">
      <c r="Z1249" s="75"/>
      <c r="AA1249"/>
      <c r="AC1249" s="51"/>
    </row>
    <row r="1250" spans="26:29" x14ac:dyDescent="0.55000000000000004">
      <c r="Z1250" s="75"/>
      <c r="AA1250"/>
      <c r="AC1250" s="51"/>
    </row>
    <row r="1251" spans="26:29" x14ac:dyDescent="0.55000000000000004">
      <c r="Z1251" s="75"/>
      <c r="AA1251"/>
      <c r="AC1251" s="51"/>
    </row>
    <row r="1252" spans="26:29" x14ac:dyDescent="0.55000000000000004">
      <c r="Z1252" s="75"/>
      <c r="AA1252"/>
      <c r="AC1252" s="51"/>
    </row>
    <row r="1253" spans="26:29" x14ac:dyDescent="0.55000000000000004">
      <c r="Z1253" s="75"/>
      <c r="AA1253"/>
      <c r="AC1253" s="51"/>
    </row>
    <row r="1254" spans="26:29" x14ac:dyDescent="0.55000000000000004">
      <c r="Z1254" s="75"/>
      <c r="AA1254"/>
      <c r="AC1254" s="51"/>
    </row>
    <row r="1255" spans="26:29" x14ac:dyDescent="0.55000000000000004">
      <c r="Z1255" s="75"/>
      <c r="AA1255"/>
      <c r="AC1255" s="51"/>
    </row>
    <row r="1256" spans="26:29" x14ac:dyDescent="0.55000000000000004">
      <c r="Z1256" s="75"/>
      <c r="AA1256"/>
      <c r="AC1256" s="51"/>
    </row>
    <row r="1257" spans="26:29" x14ac:dyDescent="0.55000000000000004">
      <c r="Z1257" s="75"/>
      <c r="AA1257"/>
      <c r="AC1257" s="51"/>
    </row>
    <row r="1258" spans="26:29" x14ac:dyDescent="0.55000000000000004">
      <c r="Z1258" s="75"/>
      <c r="AA1258"/>
      <c r="AC1258" s="51"/>
    </row>
    <row r="1259" spans="26:29" x14ac:dyDescent="0.55000000000000004">
      <c r="Z1259" s="75"/>
      <c r="AA1259"/>
      <c r="AC1259" s="51"/>
    </row>
    <row r="1260" spans="26:29" x14ac:dyDescent="0.55000000000000004">
      <c r="Z1260" s="75"/>
      <c r="AA1260"/>
      <c r="AC1260" s="51"/>
    </row>
    <row r="1261" spans="26:29" x14ac:dyDescent="0.55000000000000004">
      <c r="Z1261" s="75"/>
      <c r="AA1261"/>
      <c r="AC1261" s="51"/>
    </row>
    <row r="1262" spans="26:29" x14ac:dyDescent="0.55000000000000004">
      <c r="Z1262" s="75"/>
      <c r="AA1262"/>
      <c r="AC1262" s="51"/>
    </row>
    <row r="1263" spans="26:29" x14ac:dyDescent="0.55000000000000004">
      <c r="Z1263" s="75"/>
      <c r="AA1263"/>
      <c r="AC1263" s="51"/>
    </row>
    <row r="1264" spans="26:29" x14ac:dyDescent="0.55000000000000004">
      <c r="Z1264" s="75"/>
      <c r="AA1264"/>
      <c r="AC1264" s="51"/>
    </row>
    <row r="1265" spans="26:29" x14ac:dyDescent="0.55000000000000004">
      <c r="Z1265" s="75"/>
      <c r="AA1265"/>
      <c r="AC1265" s="51"/>
    </row>
    <row r="1266" spans="26:29" x14ac:dyDescent="0.55000000000000004">
      <c r="Z1266" s="75"/>
      <c r="AA1266"/>
      <c r="AC1266" s="51"/>
    </row>
    <row r="1267" spans="26:29" x14ac:dyDescent="0.55000000000000004">
      <c r="Z1267" s="75"/>
      <c r="AA1267"/>
      <c r="AC1267" s="51"/>
    </row>
    <row r="1268" spans="26:29" x14ac:dyDescent="0.55000000000000004">
      <c r="Z1268" s="75"/>
      <c r="AA1268"/>
      <c r="AC1268" s="51"/>
    </row>
    <row r="1269" spans="26:29" x14ac:dyDescent="0.55000000000000004">
      <c r="Z1269" s="75"/>
      <c r="AA1269"/>
      <c r="AC1269" s="51"/>
    </row>
    <row r="1270" spans="26:29" x14ac:dyDescent="0.55000000000000004">
      <c r="Z1270" s="75"/>
      <c r="AA1270"/>
      <c r="AC1270" s="51"/>
    </row>
    <row r="1271" spans="26:29" x14ac:dyDescent="0.55000000000000004">
      <c r="Z1271" s="75"/>
      <c r="AA1271"/>
      <c r="AC1271" s="51"/>
    </row>
    <row r="1272" spans="26:29" x14ac:dyDescent="0.55000000000000004">
      <c r="Z1272" s="75"/>
      <c r="AA1272"/>
      <c r="AC1272" s="51"/>
    </row>
    <row r="1273" spans="26:29" x14ac:dyDescent="0.55000000000000004">
      <c r="Z1273" s="75"/>
      <c r="AA1273"/>
      <c r="AC1273" s="51"/>
    </row>
    <row r="1274" spans="26:29" x14ac:dyDescent="0.55000000000000004">
      <c r="Z1274" s="75"/>
      <c r="AA1274"/>
      <c r="AC1274" s="51"/>
    </row>
    <row r="1275" spans="26:29" x14ac:dyDescent="0.55000000000000004">
      <c r="Z1275" s="75"/>
      <c r="AA1275"/>
      <c r="AC1275" s="51"/>
    </row>
    <row r="1276" spans="26:29" x14ac:dyDescent="0.55000000000000004">
      <c r="Z1276" s="75"/>
      <c r="AA1276"/>
      <c r="AC1276" s="51"/>
    </row>
    <row r="1277" spans="26:29" x14ac:dyDescent="0.55000000000000004">
      <c r="Z1277" s="75"/>
      <c r="AA1277"/>
      <c r="AC1277" s="51"/>
    </row>
    <row r="1278" spans="26:29" x14ac:dyDescent="0.55000000000000004">
      <c r="Z1278" s="75"/>
      <c r="AA1278"/>
      <c r="AC1278" s="51"/>
    </row>
    <row r="1279" spans="26:29" x14ac:dyDescent="0.55000000000000004">
      <c r="Z1279" s="75"/>
      <c r="AA1279"/>
      <c r="AC1279" s="51"/>
    </row>
    <row r="1280" spans="26:29" x14ac:dyDescent="0.55000000000000004">
      <c r="Z1280" s="75"/>
      <c r="AA1280"/>
      <c r="AC1280" s="51"/>
    </row>
    <row r="1281" spans="26:29" x14ac:dyDescent="0.55000000000000004">
      <c r="Z1281" s="75"/>
      <c r="AA1281"/>
      <c r="AC1281" s="51"/>
    </row>
    <row r="1282" spans="26:29" x14ac:dyDescent="0.55000000000000004">
      <c r="Z1282" s="75"/>
      <c r="AA1282"/>
      <c r="AC1282" s="51"/>
    </row>
    <row r="1283" spans="26:29" x14ac:dyDescent="0.55000000000000004">
      <c r="Z1283" s="75"/>
      <c r="AA1283"/>
      <c r="AC1283" s="51"/>
    </row>
    <row r="1284" spans="26:29" x14ac:dyDescent="0.55000000000000004">
      <c r="Z1284" s="75"/>
      <c r="AA1284"/>
      <c r="AC1284" s="51"/>
    </row>
    <row r="1285" spans="26:29" x14ac:dyDescent="0.55000000000000004">
      <c r="Z1285" s="75"/>
      <c r="AA1285"/>
      <c r="AC1285" s="51"/>
    </row>
    <row r="1286" spans="26:29" x14ac:dyDescent="0.55000000000000004">
      <c r="Z1286" s="75"/>
      <c r="AA1286"/>
      <c r="AC1286" s="51"/>
    </row>
    <row r="1287" spans="26:29" x14ac:dyDescent="0.55000000000000004">
      <c r="Z1287" s="75"/>
      <c r="AA1287"/>
      <c r="AC1287" s="51"/>
    </row>
    <row r="1288" spans="26:29" x14ac:dyDescent="0.55000000000000004">
      <c r="Z1288" s="75"/>
      <c r="AA1288"/>
      <c r="AC1288" s="51"/>
    </row>
    <row r="1289" spans="26:29" x14ac:dyDescent="0.55000000000000004">
      <c r="Z1289" s="75"/>
      <c r="AA1289"/>
      <c r="AC1289" s="51"/>
    </row>
    <row r="1290" spans="26:29" x14ac:dyDescent="0.55000000000000004">
      <c r="Z1290" s="75"/>
      <c r="AA1290"/>
      <c r="AC1290" s="51"/>
    </row>
    <row r="1291" spans="26:29" x14ac:dyDescent="0.55000000000000004">
      <c r="Z1291" s="75"/>
      <c r="AA1291"/>
      <c r="AC1291" s="51"/>
    </row>
    <row r="1292" spans="26:29" x14ac:dyDescent="0.55000000000000004">
      <c r="Z1292" s="75"/>
      <c r="AA1292"/>
      <c r="AC1292" s="51"/>
    </row>
    <row r="1293" spans="26:29" x14ac:dyDescent="0.55000000000000004">
      <c r="Z1293" s="75"/>
      <c r="AA1293"/>
      <c r="AC1293" s="51"/>
    </row>
    <row r="1294" spans="26:29" x14ac:dyDescent="0.55000000000000004">
      <c r="Z1294" s="75"/>
      <c r="AA1294"/>
      <c r="AC1294" s="51"/>
    </row>
    <row r="1295" spans="26:29" x14ac:dyDescent="0.55000000000000004">
      <c r="Z1295" s="75"/>
      <c r="AA1295"/>
      <c r="AC1295" s="51"/>
    </row>
    <row r="1296" spans="26:29" x14ac:dyDescent="0.55000000000000004">
      <c r="Z1296" s="75"/>
      <c r="AA1296"/>
      <c r="AC1296" s="51"/>
    </row>
    <row r="1297" spans="26:29" x14ac:dyDescent="0.55000000000000004">
      <c r="Z1297" s="75"/>
      <c r="AA1297"/>
      <c r="AC1297" s="51"/>
    </row>
    <row r="1298" spans="26:29" x14ac:dyDescent="0.55000000000000004">
      <c r="Z1298" s="75"/>
      <c r="AA1298"/>
      <c r="AC1298" s="51"/>
    </row>
    <row r="1299" spans="26:29" x14ac:dyDescent="0.55000000000000004">
      <c r="Z1299" s="75"/>
      <c r="AA1299"/>
      <c r="AC1299" s="51"/>
    </row>
    <row r="1300" spans="26:29" x14ac:dyDescent="0.55000000000000004">
      <c r="Z1300" s="75"/>
      <c r="AA1300"/>
      <c r="AC1300" s="51"/>
    </row>
    <row r="1301" spans="26:29" x14ac:dyDescent="0.55000000000000004">
      <c r="Z1301" s="75"/>
      <c r="AA1301"/>
      <c r="AC1301" s="51"/>
    </row>
    <row r="1302" spans="26:29" x14ac:dyDescent="0.55000000000000004">
      <c r="Z1302" s="75"/>
      <c r="AA1302"/>
      <c r="AC1302" s="51"/>
    </row>
    <row r="1303" spans="26:29" x14ac:dyDescent="0.55000000000000004">
      <c r="Z1303" s="75"/>
      <c r="AA1303"/>
      <c r="AC1303" s="51"/>
    </row>
    <row r="1304" spans="26:29" x14ac:dyDescent="0.55000000000000004">
      <c r="Z1304" s="75"/>
      <c r="AA1304"/>
      <c r="AC1304" s="51"/>
    </row>
    <row r="1305" spans="26:29" x14ac:dyDescent="0.55000000000000004">
      <c r="Z1305" s="75"/>
      <c r="AA1305"/>
      <c r="AC1305" s="51"/>
    </row>
    <row r="1306" spans="26:29" x14ac:dyDescent="0.55000000000000004">
      <c r="Z1306" s="75"/>
      <c r="AA1306"/>
      <c r="AC1306" s="51"/>
    </row>
    <row r="1307" spans="26:29" x14ac:dyDescent="0.55000000000000004">
      <c r="Z1307" s="75"/>
      <c r="AA1307"/>
      <c r="AC1307" s="51"/>
    </row>
    <row r="1308" spans="26:29" x14ac:dyDescent="0.55000000000000004">
      <c r="Z1308" s="75"/>
      <c r="AA1308"/>
      <c r="AC1308" s="51"/>
    </row>
    <row r="1309" spans="26:29" x14ac:dyDescent="0.55000000000000004">
      <c r="Z1309" s="75"/>
      <c r="AA1309"/>
      <c r="AC1309" s="51"/>
    </row>
    <row r="1310" spans="26:29" x14ac:dyDescent="0.55000000000000004">
      <c r="Z1310" s="75"/>
      <c r="AA1310"/>
      <c r="AC1310" s="51"/>
    </row>
    <row r="1311" spans="26:29" x14ac:dyDescent="0.55000000000000004">
      <c r="Z1311" s="75"/>
      <c r="AA1311"/>
      <c r="AC1311" s="51"/>
    </row>
    <row r="1312" spans="26:29" x14ac:dyDescent="0.55000000000000004">
      <c r="Z1312" s="75"/>
      <c r="AA1312"/>
      <c r="AC1312" s="51"/>
    </row>
    <row r="1313" spans="26:29" x14ac:dyDescent="0.55000000000000004">
      <c r="Z1313" s="75"/>
      <c r="AA1313"/>
      <c r="AC1313" s="51"/>
    </row>
    <row r="1314" spans="26:29" x14ac:dyDescent="0.55000000000000004">
      <c r="Z1314" s="75"/>
      <c r="AA1314"/>
      <c r="AC1314" s="51"/>
    </row>
    <row r="1315" spans="26:29" x14ac:dyDescent="0.55000000000000004">
      <c r="Z1315" s="75"/>
      <c r="AA1315"/>
      <c r="AC1315" s="51"/>
    </row>
    <row r="1316" spans="26:29" x14ac:dyDescent="0.55000000000000004">
      <c r="Z1316" s="75"/>
      <c r="AA1316"/>
      <c r="AC1316" s="51"/>
    </row>
    <row r="1317" spans="26:29" x14ac:dyDescent="0.55000000000000004">
      <c r="Z1317" s="75"/>
      <c r="AA1317"/>
      <c r="AC1317" s="51"/>
    </row>
    <row r="1318" spans="26:29" x14ac:dyDescent="0.55000000000000004">
      <c r="Z1318" s="75"/>
      <c r="AA1318"/>
      <c r="AC1318" s="51"/>
    </row>
    <row r="1319" spans="26:29" x14ac:dyDescent="0.55000000000000004">
      <c r="Z1319" s="75"/>
      <c r="AA1319"/>
      <c r="AC1319" s="51"/>
    </row>
    <row r="1320" spans="26:29" x14ac:dyDescent="0.55000000000000004">
      <c r="Z1320" s="75"/>
      <c r="AA1320"/>
      <c r="AC1320" s="51"/>
    </row>
    <row r="1321" spans="26:29" x14ac:dyDescent="0.55000000000000004">
      <c r="Z1321" s="75"/>
      <c r="AA1321"/>
      <c r="AC1321" s="51"/>
    </row>
    <row r="1322" spans="26:29" x14ac:dyDescent="0.55000000000000004">
      <c r="Z1322" s="75"/>
      <c r="AA1322"/>
      <c r="AC1322" s="51"/>
    </row>
    <row r="1323" spans="26:29" x14ac:dyDescent="0.55000000000000004">
      <c r="Z1323" s="75"/>
      <c r="AA1323"/>
      <c r="AC1323" s="51"/>
    </row>
    <row r="1324" spans="26:29" x14ac:dyDescent="0.55000000000000004">
      <c r="Z1324" s="75"/>
      <c r="AA1324"/>
      <c r="AC1324" s="51"/>
    </row>
    <row r="1325" spans="26:29" x14ac:dyDescent="0.55000000000000004">
      <c r="Z1325" s="75"/>
      <c r="AA1325"/>
      <c r="AC1325" s="51"/>
    </row>
    <row r="1326" spans="26:29" x14ac:dyDescent="0.55000000000000004">
      <c r="Z1326" s="75"/>
      <c r="AA1326"/>
      <c r="AC1326" s="51"/>
    </row>
    <row r="1327" spans="26:29" x14ac:dyDescent="0.55000000000000004">
      <c r="Z1327" s="75"/>
      <c r="AA1327"/>
      <c r="AC1327" s="51"/>
    </row>
    <row r="1328" spans="26:29" x14ac:dyDescent="0.55000000000000004">
      <c r="Z1328" s="75"/>
      <c r="AA1328"/>
      <c r="AC1328" s="51"/>
    </row>
    <row r="1329" spans="26:29" x14ac:dyDescent="0.55000000000000004">
      <c r="Z1329" s="75"/>
      <c r="AA1329"/>
      <c r="AC1329" s="51"/>
    </row>
    <row r="1330" spans="26:29" x14ac:dyDescent="0.55000000000000004">
      <c r="Z1330" s="75"/>
      <c r="AA1330"/>
      <c r="AC1330" s="51"/>
    </row>
    <row r="1331" spans="26:29" x14ac:dyDescent="0.55000000000000004">
      <c r="Z1331" s="75"/>
      <c r="AA1331"/>
      <c r="AC1331" s="51"/>
    </row>
    <row r="1332" spans="26:29" x14ac:dyDescent="0.55000000000000004">
      <c r="Z1332" s="75"/>
      <c r="AA1332"/>
      <c r="AC1332" s="51"/>
    </row>
    <row r="1333" spans="26:29" x14ac:dyDescent="0.55000000000000004">
      <c r="Z1333" s="75"/>
      <c r="AA1333"/>
      <c r="AC1333" s="51"/>
    </row>
    <row r="1334" spans="26:29" x14ac:dyDescent="0.55000000000000004">
      <c r="Z1334" s="75"/>
      <c r="AA1334"/>
      <c r="AC1334" s="51"/>
    </row>
    <row r="1335" spans="26:29" x14ac:dyDescent="0.55000000000000004">
      <c r="Z1335" s="75"/>
      <c r="AA1335"/>
      <c r="AC1335" s="51"/>
    </row>
    <row r="1336" spans="26:29" x14ac:dyDescent="0.55000000000000004">
      <c r="Z1336" s="75"/>
      <c r="AA1336"/>
      <c r="AC1336" s="51"/>
    </row>
    <row r="1337" spans="26:29" x14ac:dyDescent="0.55000000000000004">
      <c r="Z1337" s="75"/>
      <c r="AA1337"/>
      <c r="AC1337" s="51"/>
    </row>
    <row r="1338" spans="26:29" x14ac:dyDescent="0.55000000000000004">
      <c r="Z1338" s="75"/>
      <c r="AA1338"/>
      <c r="AC1338" s="51"/>
    </row>
    <row r="1339" spans="26:29" x14ac:dyDescent="0.55000000000000004">
      <c r="Z1339" s="75"/>
      <c r="AA1339"/>
      <c r="AC1339" s="51"/>
    </row>
    <row r="1340" spans="26:29" x14ac:dyDescent="0.55000000000000004">
      <c r="Z1340" s="75"/>
      <c r="AA1340"/>
      <c r="AC1340" s="51"/>
    </row>
    <row r="1341" spans="26:29" x14ac:dyDescent="0.55000000000000004">
      <c r="Z1341" s="75"/>
      <c r="AA1341"/>
      <c r="AC1341" s="51"/>
    </row>
    <row r="1342" spans="26:29" x14ac:dyDescent="0.55000000000000004">
      <c r="Z1342" s="75"/>
      <c r="AA1342"/>
      <c r="AC1342" s="51"/>
    </row>
    <row r="1343" spans="26:29" x14ac:dyDescent="0.55000000000000004">
      <c r="Z1343" s="75"/>
      <c r="AA1343"/>
      <c r="AC1343" s="51"/>
    </row>
    <row r="1344" spans="26:29" x14ac:dyDescent="0.55000000000000004">
      <c r="Z1344" s="75"/>
      <c r="AA1344"/>
      <c r="AC1344" s="51"/>
    </row>
    <row r="1345" spans="26:29" x14ac:dyDescent="0.55000000000000004">
      <c r="Z1345" s="75"/>
      <c r="AA1345"/>
      <c r="AC1345" s="51"/>
    </row>
    <row r="1346" spans="26:29" x14ac:dyDescent="0.55000000000000004">
      <c r="Z1346" s="75"/>
      <c r="AA1346"/>
      <c r="AC1346" s="51"/>
    </row>
    <row r="1347" spans="26:29" x14ac:dyDescent="0.55000000000000004">
      <c r="Z1347" s="75"/>
      <c r="AA1347"/>
      <c r="AC1347" s="51"/>
    </row>
    <row r="1348" spans="26:29" x14ac:dyDescent="0.55000000000000004">
      <c r="Z1348" s="75"/>
      <c r="AA1348"/>
      <c r="AC1348" s="51"/>
    </row>
    <row r="1349" spans="26:29" x14ac:dyDescent="0.55000000000000004">
      <c r="Z1349" s="75"/>
      <c r="AA1349"/>
      <c r="AC1349" s="51"/>
    </row>
    <row r="1350" spans="26:29" x14ac:dyDescent="0.55000000000000004">
      <c r="Z1350" s="75"/>
      <c r="AA1350"/>
      <c r="AC1350" s="51"/>
    </row>
    <row r="1351" spans="26:29" x14ac:dyDescent="0.55000000000000004">
      <c r="Z1351" s="75"/>
      <c r="AA1351"/>
      <c r="AC1351" s="51"/>
    </row>
    <row r="1352" spans="26:29" x14ac:dyDescent="0.55000000000000004">
      <c r="Z1352" s="75"/>
      <c r="AA1352"/>
      <c r="AC1352" s="51"/>
    </row>
    <row r="1353" spans="26:29" x14ac:dyDescent="0.55000000000000004">
      <c r="Z1353" s="75"/>
      <c r="AA1353"/>
      <c r="AC1353" s="51"/>
    </row>
    <row r="1354" spans="26:29" x14ac:dyDescent="0.55000000000000004">
      <c r="Z1354" s="75"/>
      <c r="AA1354"/>
      <c r="AC1354" s="51"/>
    </row>
    <row r="1355" spans="26:29" x14ac:dyDescent="0.55000000000000004">
      <c r="Z1355" s="75"/>
      <c r="AA1355"/>
    </row>
    <row r="1356" spans="26:29" x14ac:dyDescent="0.55000000000000004">
      <c r="Z1356" s="75"/>
      <c r="AA1356"/>
      <c r="AC1356" s="51"/>
    </row>
    <row r="1357" spans="26:29" x14ac:dyDescent="0.55000000000000004">
      <c r="Z1357" s="75"/>
      <c r="AA1357"/>
      <c r="AC1357" s="51"/>
    </row>
    <row r="1358" spans="26:29" x14ac:dyDescent="0.55000000000000004">
      <c r="Z1358" s="75"/>
      <c r="AA1358"/>
      <c r="AC1358" s="51"/>
    </row>
    <row r="1359" spans="26:29" x14ac:dyDescent="0.55000000000000004">
      <c r="Z1359" s="75"/>
      <c r="AA1359"/>
      <c r="AC1359" s="51"/>
    </row>
    <row r="1360" spans="26:29" x14ac:dyDescent="0.55000000000000004">
      <c r="Z1360" s="75"/>
      <c r="AA1360"/>
      <c r="AC1360" s="51"/>
    </row>
    <row r="1361" spans="26:29" x14ac:dyDescent="0.55000000000000004">
      <c r="Z1361" s="75"/>
      <c r="AA1361"/>
      <c r="AC1361" s="51"/>
    </row>
    <row r="1362" spans="26:29" x14ac:dyDescent="0.55000000000000004">
      <c r="Z1362" s="75"/>
      <c r="AA1362"/>
      <c r="AC1362" s="51"/>
    </row>
    <row r="1363" spans="26:29" x14ac:dyDescent="0.55000000000000004">
      <c r="Z1363" s="75"/>
      <c r="AA1363"/>
      <c r="AC1363" s="51"/>
    </row>
    <row r="1364" spans="26:29" x14ac:dyDescent="0.55000000000000004">
      <c r="Z1364" s="75"/>
      <c r="AA1364"/>
      <c r="AC1364" s="51"/>
    </row>
    <row r="1365" spans="26:29" x14ac:dyDescent="0.55000000000000004">
      <c r="Z1365" s="75"/>
      <c r="AA1365"/>
      <c r="AC1365" s="51"/>
    </row>
    <row r="1366" spans="26:29" x14ac:dyDescent="0.55000000000000004">
      <c r="Z1366" s="75"/>
      <c r="AA1366"/>
    </row>
    <row r="1367" spans="26:29" x14ac:dyDescent="0.55000000000000004">
      <c r="Z1367" s="75"/>
      <c r="AA1367"/>
      <c r="AC1367" s="51"/>
    </row>
    <row r="1368" spans="26:29" x14ac:dyDescent="0.55000000000000004">
      <c r="Z1368" s="75"/>
      <c r="AA1368"/>
      <c r="AC1368" s="51"/>
    </row>
    <row r="1369" spans="26:29" x14ac:dyDescent="0.55000000000000004">
      <c r="Z1369" s="75"/>
      <c r="AA1369"/>
      <c r="AC1369" s="51"/>
    </row>
    <row r="1370" spans="26:29" x14ac:dyDescent="0.55000000000000004">
      <c r="Z1370" s="75"/>
      <c r="AA1370"/>
      <c r="AC1370" s="51"/>
    </row>
    <row r="1371" spans="26:29" x14ac:dyDescent="0.55000000000000004">
      <c r="Z1371" s="75"/>
      <c r="AA1371"/>
      <c r="AC1371" s="51"/>
    </row>
    <row r="1372" spans="26:29" x14ac:dyDescent="0.55000000000000004">
      <c r="Z1372" s="75"/>
      <c r="AA1372"/>
      <c r="AC1372" s="51"/>
    </row>
    <row r="1373" spans="26:29" x14ac:dyDescent="0.55000000000000004">
      <c r="Z1373" s="75"/>
      <c r="AA1373"/>
      <c r="AC1373" s="51"/>
    </row>
    <row r="1374" spans="26:29" x14ac:dyDescent="0.55000000000000004">
      <c r="Z1374" s="75"/>
      <c r="AA1374"/>
      <c r="AC1374" s="51"/>
    </row>
    <row r="1375" spans="26:29" x14ac:dyDescent="0.55000000000000004">
      <c r="Z1375" s="75"/>
      <c r="AA1375"/>
      <c r="AC1375" s="51"/>
    </row>
    <row r="1376" spans="26:29" x14ac:dyDescent="0.55000000000000004">
      <c r="Z1376" s="75"/>
      <c r="AA1376"/>
      <c r="AC1376" s="51"/>
    </row>
    <row r="1377" spans="26:29" x14ac:dyDescent="0.55000000000000004">
      <c r="Z1377" s="75"/>
      <c r="AA1377"/>
      <c r="AC1377" s="51"/>
    </row>
    <row r="1378" spans="26:29" x14ac:dyDescent="0.55000000000000004">
      <c r="Z1378" s="75"/>
      <c r="AA1378"/>
      <c r="AC1378" s="51"/>
    </row>
    <row r="1379" spans="26:29" x14ac:dyDescent="0.55000000000000004">
      <c r="Z1379" s="75"/>
      <c r="AA1379"/>
      <c r="AC1379" s="51"/>
    </row>
    <row r="1380" spans="26:29" x14ac:dyDescent="0.55000000000000004">
      <c r="Z1380" s="75"/>
      <c r="AA1380"/>
      <c r="AC1380" s="51"/>
    </row>
    <row r="1381" spans="26:29" x14ac:dyDescent="0.55000000000000004">
      <c r="Z1381" s="75"/>
      <c r="AA1381"/>
      <c r="AC1381" s="51"/>
    </row>
    <row r="1382" spans="26:29" x14ac:dyDescent="0.55000000000000004">
      <c r="Z1382" s="75"/>
      <c r="AA1382"/>
      <c r="AC1382" s="51"/>
    </row>
    <row r="1383" spans="26:29" x14ac:dyDescent="0.55000000000000004">
      <c r="Z1383" s="75"/>
      <c r="AA1383"/>
      <c r="AC1383" s="51"/>
    </row>
    <row r="1384" spans="26:29" x14ac:dyDescent="0.55000000000000004">
      <c r="Z1384" s="75"/>
      <c r="AA1384"/>
      <c r="AC1384" s="51"/>
    </row>
    <row r="1385" spans="26:29" x14ac:dyDescent="0.55000000000000004">
      <c r="Z1385" s="75"/>
      <c r="AA1385"/>
      <c r="AC1385" s="51"/>
    </row>
    <row r="1386" spans="26:29" x14ac:dyDescent="0.55000000000000004">
      <c r="Z1386" s="75"/>
      <c r="AA1386"/>
      <c r="AC1386" s="51"/>
    </row>
    <row r="1387" spans="26:29" x14ac:dyDescent="0.55000000000000004">
      <c r="Z1387" s="75"/>
      <c r="AA1387"/>
      <c r="AC1387" s="51"/>
    </row>
    <row r="1388" spans="26:29" x14ac:dyDescent="0.55000000000000004">
      <c r="Z1388" s="75"/>
      <c r="AA1388"/>
      <c r="AC1388" s="51"/>
    </row>
    <row r="1389" spans="26:29" x14ac:dyDescent="0.55000000000000004">
      <c r="Z1389" s="75"/>
      <c r="AA1389"/>
      <c r="AC1389" s="51"/>
    </row>
    <row r="1390" spans="26:29" x14ac:dyDescent="0.55000000000000004">
      <c r="Z1390" s="75"/>
      <c r="AA1390"/>
      <c r="AC1390" s="51"/>
    </row>
    <row r="1391" spans="26:29" x14ac:dyDescent="0.55000000000000004">
      <c r="Z1391" s="75"/>
      <c r="AA1391"/>
      <c r="AC1391" s="51"/>
    </row>
    <row r="1392" spans="26:29" x14ac:dyDescent="0.55000000000000004">
      <c r="Z1392" s="75"/>
      <c r="AA1392"/>
      <c r="AC1392" s="51"/>
    </row>
    <row r="1393" spans="26:29" x14ac:dyDescent="0.55000000000000004">
      <c r="Z1393" s="75"/>
      <c r="AA1393"/>
      <c r="AC1393" s="51"/>
    </row>
    <row r="1394" spans="26:29" x14ac:dyDescent="0.55000000000000004">
      <c r="Z1394" s="75"/>
      <c r="AA1394"/>
      <c r="AC1394" s="51"/>
    </row>
    <row r="1395" spans="26:29" x14ac:dyDescent="0.55000000000000004">
      <c r="Z1395" s="75"/>
      <c r="AA1395"/>
      <c r="AC1395" s="51"/>
    </row>
    <row r="1396" spans="26:29" x14ac:dyDescent="0.55000000000000004">
      <c r="Z1396" s="75"/>
      <c r="AA1396"/>
      <c r="AC1396" s="51"/>
    </row>
    <row r="1397" spans="26:29" x14ac:dyDescent="0.55000000000000004">
      <c r="Z1397" s="75"/>
      <c r="AA1397"/>
      <c r="AC1397" s="51"/>
    </row>
    <row r="1398" spans="26:29" x14ac:dyDescent="0.55000000000000004">
      <c r="Z1398" s="75"/>
      <c r="AA1398"/>
      <c r="AC1398" s="51"/>
    </row>
    <row r="1399" spans="26:29" x14ac:dyDescent="0.55000000000000004">
      <c r="Z1399" s="75"/>
      <c r="AA1399"/>
      <c r="AC1399" s="51"/>
    </row>
    <row r="1400" spans="26:29" x14ac:dyDescent="0.55000000000000004">
      <c r="Z1400" s="75"/>
      <c r="AA1400"/>
      <c r="AC1400" s="51"/>
    </row>
    <row r="1401" spans="26:29" x14ac:dyDescent="0.55000000000000004">
      <c r="Z1401" s="75"/>
      <c r="AA1401"/>
    </row>
    <row r="1402" spans="26:29" x14ac:dyDescent="0.55000000000000004">
      <c r="Z1402" s="75"/>
      <c r="AA1402"/>
      <c r="AC1402" s="51"/>
    </row>
    <row r="1403" spans="26:29" x14ac:dyDescent="0.55000000000000004">
      <c r="Z1403" s="75"/>
      <c r="AA1403"/>
    </row>
    <row r="1404" spans="26:29" x14ac:dyDescent="0.55000000000000004">
      <c r="Z1404" s="75"/>
      <c r="AA1404"/>
    </row>
    <row r="1405" spans="26:29" x14ac:dyDescent="0.55000000000000004">
      <c r="Z1405" s="75"/>
      <c r="AA1405"/>
    </row>
    <row r="1406" spans="26:29" x14ac:dyDescent="0.55000000000000004">
      <c r="Z1406" s="75"/>
      <c r="AA1406"/>
    </row>
    <row r="1407" spans="26:29" x14ac:dyDescent="0.55000000000000004">
      <c r="Z1407" s="75"/>
      <c r="AA1407"/>
    </row>
    <row r="1408" spans="26:29" x14ac:dyDescent="0.55000000000000004">
      <c r="Z1408" s="75"/>
      <c r="AA1408"/>
    </row>
    <row r="1409" spans="26:27" x14ac:dyDescent="0.55000000000000004">
      <c r="Z1409" s="75"/>
      <c r="AA1409"/>
    </row>
    <row r="1410" spans="26:27" x14ac:dyDescent="0.55000000000000004">
      <c r="Z1410" s="75"/>
      <c r="AA1410"/>
    </row>
    <row r="1411" spans="26:27" x14ac:dyDescent="0.55000000000000004">
      <c r="Z1411" s="75"/>
      <c r="AA1411"/>
    </row>
    <row r="1412" spans="26:27" x14ac:dyDescent="0.55000000000000004">
      <c r="Z1412" s="75"/>
      <c r="AA1412"/>
    </row>
    <row r="1413" spans="26:27" x14ac:dyDescent="0.55000000000000004">
      <c r="Z1413" s="75"/>
      <c r="AA1413"/>
    </row>
    <row r="1414" spans="26:27" x14ac:dyDescent="0.55000000000000004">
      <c r="Z1414" s="75"/>
      <c r="AA1414"/>
    </row>
    <row r="1415" spans="26:27" x14ac:dyDescent="0.55000000000000004">
      <c r="Z1415" s="75"/>
      <c r="AA1415"/>
    </row>
    <row r="1416" spans="26:27" x14ac:dyDescent="0.55000000000000004">
      <c r="Z1416" s="75"/>
      <c r="AA1416"/>
    </row>
    <row r="1417" spans="26:27" x14ac:dyDescent="0.55000000000000004">
      <c r="Z1417" s="75"/>
      <c r="AA1417"/>
    </row>
    <row r="1418" spans="26:27" x14ac:dyDescent="0.55000000000000004">
      <c r="Z1418" s="75"/>
      <c r="AA1418"/>
    </row>
    <row r="1419" spans="26:27" x14ac:dyDescent="0.55000000000000004">
      <c r="Z1419" s="75"/>
      <c r="AA1419"/>
    </row>
    <row r="1420" spans="26:27" x14ac:dyDescent="0.55000000000000004">
      <c r="Z1420" s="75"/>
      <c r="AA1420"/>
    </row>
    <row r="1421" spans="26:27" x14ac:dyDescent="0.55000000000000004">
      <c r="Z1421" s="75"/>
      <c r="AA1421"/>
    </row>
    <row r="1422" spans="26:27" x14ac:dyDescent="0.55000000000000004">
      <c r="Z1422" s="75"/>
      <c r="AA1422"/>
    </row>
    <row r="1423" spans="26:27" x14ac:dyDescent="0.55000000000000004">
      <c r="Z1423" s="75"/>
      <c r="AA1423"/>
    </row>
    <row r="1424" spans="26:27" x14ac:dyDescent="0.55000000000000004">
      <c r="Z1424" s="75"/>
      <c r="AA1424"/>
    </row>
    <row r="1425" spans="26:27" x14ac:dyDescent="0.55000000000000004">
      <c r="Z1425" s="75"/>
      <c r="AA1425"/>
    </row>
    <row r="1426" spans="26:27" x14ac:dyDescent="0.55000000000000004">
      <c r="Z1426" s="75"/>
      <c r="AA1426"/>
    </row>
    <row r="1427" spans="26:27" x14ac:dyDescent="0.55000000000000004">
      <c r="Z1427" s="75"/>
      <c r="AA1427"/>
    </row>
    <row r="1428" spans="26:27" x14ac:dyDescent="0.55000000000000004">
      <c r="Z1428" s="75"/>
      <c r="AA1428"/>
    </row>
    <row r="1429" spans="26:27" x14ac:dyDescent="0.55000000000000004">
      <c r="Z1429" s="75"/>
      <c r="AA1429"/>
    </row>
    <row r="1430" spans="26:27" x14ac:dyDescent="0.55000000000000004">
      <c r="Z1430" s="75"/>
      <c r="AA1430"/>
    </row>
    <row r="1431" spans="26:27" x14ac:dyDescent="0.55000000000000004">
      <c r="Z1431" s="75"/>
      <c r="AA1431"/>
    </row>
    <row r="1432" spans="26:27" x14ac:dyDescent="0.55000000000000004">
      <c r="Z1432" s="75"/>
      <c r="AA1432"/>
    </row>
    <row r="1433" spans="26:27" x14ac:dyDescent="0.55000000000000004">
      <c r="Z1433" s="75"/>
      <c r="AA1433"/>
    </row>
    <row r="1434" spans="26:27" x14ac:dyDescent="0.55000000000000004">
      <c r="Z1434" s="75"/>
      <c r="AA1434"/>
    </row>
    <row r="1435" spans="26:27" x14ac:dyDescent="0.55000000000000004">
      <c r="Z1435" s="75"/>
      <c r="AA1435"/>
    </row>
    <row r="1436" spans="26:27" x14ac:dyDescent="0.55000000000000004">
      <c r="Z1436" s="75"/>
      <c r="AA1436"/>
    </row>
    <row r="1437" spans="26:27" x14ac:dyDescent="0.55000000000000004">
      <c r="Z1437" s="75"/>
      <c r="AA1437"/>
    </row>
    <row r="1438" spans="26:27" x14ac:dyDescent="0.55000000000000004">
      <c r="Z1438" s="75"/>
      <c r="AA1438"/>
    </row>
    <row r="1439" spans="26:27" x14ac:dyDescent="0.55000000000000004">
      <c r="Z1439" s="75"/>
      <c r="AA1439"/>
    </row>
    <row r="1440" spans="26:27" x14ac:dyDescent="0.55000000000000004">
      <c r="Z1440" s="75"/>
      <c r="AA1440"/>
    </row>
    <row r="1441" spans="26:27" x14ac:dyDescent="0.55000000000000004">
      <c r="Z1441" s="75"/>
      <c r="AA1441"/>
    </row>
    <row r="1442" spans="26:27" x14ac:dyDescent="0.55000000000000004">
      <c r="Z1442" s="75"/>
      <c r="AA1442"/>
    </row>
    <row r="1443" spans="26:27" x14ac:dyDescent="0.55000000000000004">
      <c r="Z1443" s="75"/>
      <c r="AA1443"/>
    </row>
    <row r="1444" spans="26:27" x14ac:dyDescent="0.55000000000000004">
      <c r="Z1444" s="75"/>
      <c r="AA1444"/>
    </row>
    <row r="1445" spans="26:27" x14ac:dyDescent="0.55000000000000004">
      <c r="Z1445" s="75"/>
      <c r="AA1445"/>
    </row>
    <row r="1446" spans="26:27" x14ac:dyDescent="0.55000000000000004">
      <c r="Z1446" s="75"/>
      <c r="AA1446"/>
    </row>
    <row r="1447" spans="26:27" x14ac:dyDescent="0.55000000000000004">
      <c r="Z1447" s="75"/>
      <c r="AA1447"/>
    </row>
    <row r="1448" spans="26:27" x14ac:dyDescent="0.55000000000000004">
      <c r="Z1448" s="75"/>
      <c r="AA1448"/>
    </row>
    <row r="1449" spans="26:27" x14ac:dyDescent="0.55000000000000004">
      <c r="Z1449" s="75"/>
      <c r="AA1449"/>
    </row>
    <row r="1450" spans="26:27" x14ac:dyDescent="0.55000000000000004">
      <c r="Z1450" s="75"/>
      <c r="AA1450"/>
    </row>
    <row r="1451" spans="26:27" x14ac:dyDescent="0.55000000000000004">
      <c r="Z1451" s="75"/>
      <c r="AA1451"/>
    </row>
    <row r="1452" spans="26:27" x14ac:dyDescent="0.55000000000000004">
      <c r="Z1452" s="75"/>
      <c r="AA1452"/>
    </row>
    <row r="1453" spans="26:27" x14ac:dyDescent="0.55000000000000004">
      <c r="Z1453" s="75"/>
      <c r="AA1453"/>
    </row>
    <row r="1454" spans="26:27" x14ac:dyDescent="0.55000000000000004">
      <c r="Z1454" s="75"/>
      <c r="AA1454"/>
    </row>
    <row r="1455" spans="26:27" x14ac:dyDescent="0.55000000000000004">
      <c r="Z1455" s="75"/>
      <c r="AA1455"/>
    </row>
    <row r="1456" spans="26:27" x14ac:dyDescent="0.55000000000000004">
      <c r="Z1456" s="75"/>
      <c r="AA1456"/>
    </row>
    <row r="1457" spans="26:27" x14ac:dyDescent="0.55000000000000004">
      <c r="Z1457" s="75"/>
      <c r="AA1457"/>
    </row>
    <row r="1458" spans="26:27" x14ac:dyDescent="0.55000000000000004">
      <c r="Z1458" s="75"/>
      <c r="AA1458"/>
    </row>
    <row r="1459" spans="26:27" x14ac:dyDescent="0.55000000000000004">
      <c r="Z1459" s="75"/>
      <c r="AA1459"/>
    </row>
    <row r="1460" spans="26:27" x14ac:dyDescent="0.55000000000000004">
      <c r="Z1460" s="75"/>
      <c r="AA1460"/>
    </row>
    <row r="1461" spans="26:27" x14ac:dyDescent="0.55000000000000004">
      <c r="Z1461" s="75"/>
      <c r="AA1461"/>
    </row>
    <row r="1462" spans="26:27" x14ac:dyDescent="0.55000000000000004">
      <c r="Z1462" s="75"/>
      <c r="AA1462"/>
    </row>
    <row r="1463" spans="26:27" x14ac:dyDescent="0.55000000000000004">
      <c r="Z1463" s="75"/>
      <c r="AA1463"/>
    </row>
    <row r="1464" spans="26:27" x14ac:dyDescent="0.55000000000000004">
      <c r="Z1464" s="75"/>
      <c r="AA1464"/>
    </row>
    <row r="1465" spans="26:27" x14ac:dyDescent="0.55000000000000004">
      <c r="Z1465" s="75"/>
      <c r="AA1465"/>
    </row>
    <row r="1466" spans="26:27" x14ac:dyDescent="0.55000000000000004">
      <c r="Z1466" s="75"/>
      <c r="AA1466"/>
    </row>
    <row r="1467" spans="26:27" x14ac:dyDescent="0.55000000000000004">
      <c r="Z1467" s="75"/>
      <c r="AA1467"/>
    </row>
    <row r="1468" spans="26:27" x14ac:dyDescent="0.55000000000000004">
      <c r="Z1468" s="75"/>
      <c r="AA1468"/>
    </row>
    <row r="1469" spans="26:27" x14ac:dyDescent="0.55000000000000004">
      <c r="Z1469" s="75"/>
      <c r="AA1469"/>
    </row>
    <row r="1470" spans="26:27" x14ac:dyDescent="0.55000000000000004">
      <c r="Z1470" s="75"/>
      <c r="AA1470"/>
    </row>
    <row r="1471" spans="26:27" x14ac:dyDescent="0.55000000000000004">
      <c r="Z1471" s="75"/>
      <c r="AA1471"/>
    </row>
    <row r="1472" spans="26:27" x14ac:dyDescent="0.55000000000000004">
      <c r="Z1472" s="75"/>
      <c r="AA1472"/>
    </row>
    <row r="1473" spans="26:27" x14ac:dyDescent="0.55000000000000004">
      <c r="Z1473" s="75"/>
      <c r="AA1473"/>
    </row>
    <row r="1474" spans="26:27" x14ac:dyDescent="0.55000000000000004">
      <c r="Z1474" s="75"/>
      <c r="AA1474"/>
    </row>
    <row r="1475" spans="26:27" x14ac:dyDescent="0.55000000000000004">
      <c r="Z1475" s="75"/>
      <c r="AA1475"/>
    </row>
    <row r="1476" spans="26:27" x14ac:dyDescent="0.55000000000000004">
      <c r="Z1476" s="75"/>
      <c r="AA1476"/>
    </row>
    <row r="1477" spans="26:27" x14ac:dyDescent="0.55000000000000004">
      <c r="Z1477" s="75"/>
      <c r="AA1477"/>
    </row>
    <row r="1478" spans="26:27" x14ac:dyDescent="0.55000000000000004">
      <c r="Z1478" s="75"/>
      <c r="AA1478"/>
    </row>
    <row r="1479" spans="26:27" x14ac:dyDescent="0.55000000000000004">
      <c r="Z1479" s="75"/>
      <c r="AA1479"/>
    </row>
    <row r="1480" spans="26:27" x14ac:dyDescent="0.55000000000000004">
      <c r="Z1480" s="75"/>
      <c r="AA1480"/>
    </row>
    <row r="1481" spans="26:27" x14ac:dyDescent="0.55000000000000004">
      <c r="Z1481" s="75"/>
      <c r="AA1481"/>
    </row>
    <row r="1482" spans="26:27" x14ac:dyDescent="0.55000000000000004">
      <c r="Z1482" s="75"/>
      <c r="AA1482"/>
    </row>
    <row r="1483" spans="26:27" x14ac:dyDescent="0.55000000000000004">
      <c r="Z1483" s="75"/>
      <c r="AA1483"/>
    </row>
    <row r="1484" spans="26:27" x14ac:dyDescent="0.55000000000000004">
      <c r="Z1484" s="75"/>
      <c r="AA1484"/>
    </row>
    <row r="1485" spans="26:27" x14ac:dyDescent="0.55000000000000004">
      <c r="Z1485" s="75"/>
      <c r="AA1485"/>
    </row>
    <row r="1486" spans="26:27" x14ac:dyDescent="0.55000000000000004">
      <c r="Z1486" s="75"/>
      <c r="AA1486"/>
    </row>
    <row r="1487" spans="26:27" x14ac:dyDescent="0.55000000000000004">
      <c r="Z1487" s="75"/>
      <c r="AA1487"/>
    </row>
    <row r="1488" spans="26:27" x14ac:dyDescent="0.55000000000000004">
      <c r="Z1488" s="75"/>
      <c r="AA1488"/>
    </row>
    <row r="1489" spans="26:27" x14ac:dyDescent="0.55000000000000004">
      <c r="Z1489" s="75"/>
      <c r="AA1489"/>
    </row>
    <row r="1490" spans="26:27" x14ac:dyDescent="0.55000000000000004">
      <c r="Z1490" s="75"/>
      <c r="AA1490"/>
    </row>
    <row r="1491" spans="26:27" x14ac:dyDescent="0.55000000000000004">
      <c r="Z1491" s="75"/>
      <c r="AA1491"/>
    </row>
    <row r="1492" spans="26:27" x14ac:dyDescent="0.55000000000000004">
      <c r="Z1492" s="75"/>
      <c r="AA1492"/>
    </row>
    <row r="1493" spans="26:27" x14ac:dyDescent="0.55000000000000004">
      <c r="Z1493" s="75"/>
      <c r="AA1493"/>
    </row>
    <row r="1494" spans="26:27" x14ac:dyDescent="0.55000000000000004">
      <c r="Z1494" s="75"/>
      <c r="AA1494"/>
    </row>
    <row r="1495" spans="26:27" x14ac:dyDescent="0.55000000000000004">
      <c r="Z1495" s="75"/>
      <c r="AA1495"/>
    </row>
    <row r="1496" spans="26:27" x14ac:dyDescent="0.55000000000000004">
      <c r="Z1496" s="75"/>
      <c r="AA1496"/>
    </row>
    <row r="1497" spans="26:27" x14ac:dyDescent="0.55000000000000004">
      <c r="Z1497" s="75"/>
      <c r="AA1497"/>
    </row>
    <row r="1498" spans="26:27" x14ac:dyDescent="0.55000000000000004">
      <c r="Z1498" s="75"/>
      <c r="AA1498"/>
    </row>
    <row r="1499" spans="26:27" x14ac:dyDescent="0.55000000000000004">
      <c r="Z1499" s="75"/>
      <c r="AA1499"/>
    </row>
    <row r="1500" spans="26:27" x14ac:dyDescent="0.55000000000000004">
      <c r="Z1500" s="75"/>
      <c r="AA1500"/>
    </row>
    <row r="1501" spans="26:27" x14ac:dyDescent="0.55000000000000004">
      <c r="Z1501" s="75"/>
      <c r="AA1501"/>
    </row>
    <row r="1502" spans="26:27" x14ac:dyDescent="0.55000000000000004">
      <c r="Z1502" s="75"/>
      <c r="AA1502"/>
    </row>
    <row r="1503" spans="26:27" x14ac:dyDescent="0.55000000000000004">
      <c r="Z1503" s="75"/>
      <c r="AA1503"/>
    </row>
    <row r="1504" spans="26:27" x14ac:dyDescent="0.55000000000000004">
      <c r="Z1504" s="75"/>
      <c r="AA1504"/>
    </row>
    <row r="1505" spans="26:27" x14ac:dyDescent="0.55000000000000004">
      <c r="Z1505" s="75"/>
      <c r="AA1505"/>
    </row>
    <row r="1506" spans="26:27" x14ac:dyDescent="0.55000000000000004">
      <c r="Z1506" s="75"/>
      <c r="AA1506"/>
    </row>
    <row r="1507" spans="26:27" x14ac:dyDescent="0.55000000000000004">
      <c r="Z1507" s="75"/>
      <c r="AA1507"/>
    </row>
    <row r="1508" spans="26:27" x14ac:dyDescent="0.55000000000000004">
      <c r="Z1508" s="75"/>
      <c r="AA1508"/>
    </row>
    <row r="1509" spans="26:27" x14ac:dyDescent="0.55000000000000004">
      <c r="Z1509" s="75"/>
      <c r="AA1509"/>
    </row>
    <row r="1510" spans="26:27" x14ac:dyDescent="0.55000000000000004">
      <c r="Z1510" s="75"/>
      <c r="AA1510"/>
    </row>
    <row r="1511" spans="26:27" x14ac:dyDescent="0.55000000000000004">
      <c r="Z1511" s="75"/>
      <c r="AA1511"/>
    </row>
    <row r="1512" spans="26:27" x14ac:dyDescent="0.55000000000000004">
      <c r="Z1512" s="75"/>
      <c r="AA1512"/>
    </row>
    <row r="1513" spans="26:27" x14ac:dyDescent="0.55000000000000004">
      <c r="Z1513" s="75"/>
      <c r="AA1513"/>
    </row>
    <row r="1514" spans="26:27" x14ac:dyDescent="0.55000000000000004">
      <c r="Z1514" s="75"/>
      <c r="AA1514"/>
    </row>
    <row r="1515" spans="26:27" x14ac:dyDescent="0.55000000000000004">
      <c r="Z1515" s="75"/>
      <c r="AA1515"/>
    </row>
    <row r="1516" spans="26:27" x14ac:dyDescent="0.55000000000000004">
      <c r="Z1516" s="75"/>
      <c r="AA1516"/>
    </row>
    <row r="1517" spans="26:27" x14ac:dyDescent="0.55000000000000004">
      <c r="Z1517" s="75"/>
      <c r="AA1517"/>
    </row>
    <row r="1518" spans="26:27" x14ac:dyDescent="0.55000000000000004">
      <c r="Z1518" s="75"/>
      <c r="AA1518"/>
    </row>
    <row r="1519" spans="26:27" x14ac:dyDescent="0.55000000000000004">
      <c r="Z1519" s="75"/>
      <c r="AA1519"/>
    </row>
    <row r="1520" spans="26:27" x14ac:dyDescent="0.55000000000000004">
      <c r="Z1520" s="75"/>
      <c r="AA1520"/>
    </row>
    <row r="1521" spans="26:27" x14ac:dyDescent="0.55000000000000004">
      <c r="Z1521" s="75"/>
      <c r="AA1521"/>
    </row>
    <row r="1522" spans="26:27" x14ac:dyDescent="0.55000000000000004">
      <c r="Z1522" s="75"/>
      <c r="AA1522"/>
    </row>
    <row r="1523" spans="26:27" x14ac:dyDescent="0.55000000000000004">
      <c r="Z1523" s="75"/>
      <c r="AA1523"/>
    </row>
    <row r="1524" spans="26:27" x14ac:dyDescent="0.55000000000000004">
      <c r="Z1524" s="75"/>
      <c r="AA1524"/>
    </row>
    <row r="1525" spans="26:27" x14ac:dyDescent="0.55000000000000004">
      <c r="Z1525" s="75"/>
      <c r="AA1525"/>
    </row>
    <row r="1526" spans="26:27" x14ac:dyDescent="0.55000000000000004">
      <c r="Z1526" s="75"/>
      <c r="AA1526"/>
    </row>
    <row r="1527" spans="26:27" x14ac:dyDescent="0.55000000000000004">
      <c r="Z1527" s="75"/>
      <c r="AA1527"/>
    </row>
    <row r="1528" spans="26:27" x14ac:dyDescent="0.55000000000000004">
      <c r="Z1528" s="75"/>
      <c r="AA1528"/>
    </row>
    <row r="1529" spans="26:27" x14ac:dyDescent="0.55000000000000004">
      <c r="Z1529" s="75"/>
      <c r="AA1529"/>
    </row>
    <row r="1530" spans="26:27" x14ac:dyDescent="0.55000000000000004">
      <c r="Z1530" s="75"/>
      <c r="AA1530"/>
    </row>
    <row r="1531" spans="26:27" x14ac:dyDescent="0.55000000000000004">
      <c r="Z1531" s="75"/>
      <c r="AA1531"/>
    </row>
    <row r="1532" spans="26:27" x14ac:dyDescent="0.55000000000000004">
      <c r="Z1532" s="75"/>
      <c r="AA1532"/>
    </row>
    <row r="1533" spans="26:27" x14ac:dyDescent="0.55000000000000004">
      <c r="Z1533" s="75"/>
      <c r="AA1533"/>
    </row>
    <row r="1534" spans="26:27" x14ac:dyDescent="0.55000000000000004">
      <c r="Z1534" s="75"/>
      <c r="AA1534"/>
    </row>
    <row r="1535" spans="26:27" x14ac:dyDescent="0.55000000000000004">
      <c r="Z1535" s="75"/>
      <c r="AA1535"/>
    </row>
    <row r="1536" spans="26:27" x14ac:dyDescent="0.55000000000000004">
      <c r="Z1536" s="75"/>
      <c r="AA1536"/>
    </row>
    <row r="1537" spans="26:27" x14ac:dyDescent="0.55000000000000004">
      <c r="Z1537" s="75"/>
      <c r="AA1537"/>
    </row>
    <row r="1538" spans="26:27" x14ac:dyDescent="0.55000000000000004">
      <c r="Z1538" s="75"/>
      <c r="AA1538"/>
    </row>
    <row r="1539" spans="26:27" x14ac:dyDescent="0.55000000000000004">
      <c r="Z1539" s="75"/>
      <c r="AA1539"/>
    </row>
    <row r="1540" spans="26:27" x14ac:dyDescent="0.55000000000000004">
      <c r="Z1540" s="75"/>
      <c r="AA1540"/>
    </row>
    <row r="1541" spans="26:27" x14ac:dyDescent="0.55000000000000004">
      <c r="Z1541" s="75"/>
      <c r="AA1541"/>
    </row>
    <row r="1542" spans="26:27" x14ac:dyDescent="0.55000000000000004">
      <c r="Z1542" s="75"/>
      <c r="AA1542"/>
    </row>
    <row r="1543" spans="26:27" x14ac:dyDescent="0.55000000000000004">
      <c r="Z1543" s="75"/>
      <c r="AA1543"/>
    </row>
    <row r="1544" spans="26:27" x14ac:dyDescent="0.55000000000000004">
      <c r="Z1544" s="75"/>
      <c r="AA1544"/>
    </row>
    <row r="1545" spans="26:27" x14ac:dyDescent="0.55000000000000004">
      <c r="Z1545" s="75"/>
      <c r="AA1545"/>
    </row>
    <row r="1546" spans="26:27" x14ac:dyDescent="0.55000000000000004">
      <c r="Z1546" s="75"/>
      <c r="AA1546"/>
    </row>
    <row r="1547" spans="26:27" x14ac:dyDescent="0.55000000000000004">
      <c r="Z1547" s="75"/>
      <c r="AA1547"/>
    </row>
    <row r="1548" spans="26:27" x14ac:dyDescent="0.55000000000000004">
      <c r="Z1548" s="75"/>
      <c r="AA1548"/>
    </row>
    <row r="1549" spans="26:27" x14ac:dyDescent="0.55000000000000004">
      <c r="Z1549" s="75"/>
      <c r="AA1549"/>
    </row>
    <row r="1550" spans="26:27" x14ac:dyDescent="0.55000000000000004">
      <c r="Z1550" s="75"/>
      <c r="AA1550"/>
    </row>
    <row r="1551" spans="26:27" x14ac:dyDescent="0.55000000000000004">
      <c r="Z1551" s="75"/>
      <c r="AA1551"/>
    </row>
    <row r="1552" spans="26:27" x14ac:dyDescent="0.55000000000000004">
      <c r="Z1552" s="75"/>
      <c r="AA1552"/>
    </row>
    <row r="1553" spans="26:27" x14ac:dyDescent="0.55000000000000004">
      <c r="Z1553" s="75"/>
      <c r="AA1553"/>
    </row>
    <row r="1554" spans="26:27" x14ac:dyDescent="0.55000000000000004">
      <c r="Z1554" s="75"/>
      <c r="AA1554"/>
    </row>
    <row r="1555" spans="26:27" x14ac:dyDescent="0.55000000000000004">
      <c r="Z1555" s="75"/>
      <c r="AA1555"/>
    </row>
    <row r="1556" spans="26:27" x14ac:dyDescent="0.55000000000000004">
      <c r="Z1556" s="75"/>
      <c r="AA1556"/>
    </row>
    <row r="1557" spans="26:27" x14ac:dyDescent="0.55000000000000004">
      <c r="Z1557" s="75"/>
      <c r="AA1557"/>
    </row>
    <row r="1558" spans="26:27" x14ac:dyDescent="0.55000000000000004">
      <c r="Z1558" s="75"/>
      <c r="AA1558"/>
    </row>
    <row r="1559" spans="26:27" x14ac:dyDescent="0.55000000000000004">
      <c r="Z1559" s="75"/>
      <c r="AA1559"/>
    </row>
    <row r="1560" spans="26:27" x14ac:dyDescent="0.55000000000000004">
      <c r="Z1560" s="75"/>
      <c r="AA1560"/>
    </row>
    <row r="1561" spans="26:27" x14ac:dyDescent="0.55000000000000004">
      <c r="Z1561" s="75"/>
      <c r="AA1561"/>
    </row>
    <row r="1562" spans="26:27" x14ac:dyDescent="0.55000000000000004">
      <c r="Z1562" s="75"/>
      <c r="AA1562"/>
    </row>
    <row r="1563" spans="26:27" x14ac:dyDescent="0.55000000000000004">
      <c r="Z1563" s="75"/>
      <c r="AA1563"/>
    </row>
    <row r="1564" spans="26:27" x14ac:dyDescent="0.55000000000000004">
      <c r="Z1564" s="75"/>
      <c r="AA1564"/>
    </row>
    <row r="1565" spans="26:27" x14ac:dyDescent="0.55000000000000004">
      <c r="Z1565" s="75"/>
      <c r="AA1565"/>
    </row>
    <row r="1566" spans="26:27" x14ac:dyDescent="0.55000000000000004">
      <c r="Z1566" s="75"/>
      <c r="AA1566"/>
    </row>
    <row r="1567" spans="26:27" x14ac:dyDescent="0.55000000000000004">
      <c r="Z1567" s="75"/>
      <c r="AA1567"/>
    </row>
    <row r="1568" spans="26:27" x14ac:dyDescent="0.55000000000000004">
      <c r="Z1568" s="75"/>
      <c r="AA1568"/>
    </row>
    <row r="1569" spans="26:27" x14ac:dyDescent="0.55000000000000004">
      <c r="Z1569" s="75"/>
      <c r="AA1569"/>
    </row>
    <row r="1570" spans="26:27" x14ac:dyDescent="0.55000000000000004">
      <c r="Z1570" s="75"/>
      <c r="AA1570"/>
    </row>
    <row r="1571" spans="26:27" x14ac:dyDescent="0.55000000000000004">
      <c r="Z1571" s="75"/>
      <c r="AA1571"/>
    </row>
    <row r="1572" spans="26:27" x14ac:dyDescent="0.55000000000000004">
      <c r="Z1572" s="75"/>
      <c r="AA1572"/>
    </row>
    <row r="1573" spans="26:27" x14ac:dyDescent="0.55000000000000004">
      <c r="Z1573" s="75"/>
      <c r="AA1573"/>
    </row>
    <row r="1574" spans="26:27" x14ac:dyDescent="0.55000000000000004">
      <c r="Z1574" s="75"/>
      <c r="AA1574"/>
    </row>
    <row r="1575" spans="26:27" x14ac:dyDescent="0.55000000000000004">
      <c r="Z1575" s="75"/>
      <c r="AA1575"/>
    </row>
    <row r="1576" spans="26:27" x14ac:dyDescent="0.55000000000000004">
      <c r="Z1576" s="75"/>
      <c r="AA1576"/>
    </row>
    <row r="1577" spans="26:27" x14ac:dyDescent="0.55000000000000004">
      <c r="Z1577" s="75"/>
      <c r="AA1577"/>
    </row>
    <row r="1578" spans="26:27" x14ac:dyDescent="0.55000000000000004">
      <c r="Z1578" s="75"/>
      <c r="AA1578"/>
    </row>
    <row r="1579" spans="26:27" x14ac:dyDescent="0.55000000000000004">
      <c r="Z1579" s="75"/>
      <c r="AA1579"/>
    </row>
    <row r="1580" spans="26:27" x14ac:dyDescent="0.55000000000000004">
      <c r="Z1580" s="75"/>
      <c r="AA1580"/>
    </row>
    <row r="1581" spans="26:27" x14ac:dyDescent="0.55000000000000004">
      <c r="Z1581" s="75"/>
      <c r="AA1581"/>
    </row>
    <row r="1582" spans="26:27" x14ac:dyDescent="0.55000000000000004">
      <c r="Z1582" s="75"/>
      <c r="AA1582"/>
    </row>
    <row r="1583" spans="26:27" x14ac:dyDescent="0.55000000000000004">
      <c r="Z1583" s="75"/>
      <c r="AA1583"/>
    </row>
    <row r="1584" spans="26:27" x14ac:dyDescent="0.55000000000000004">
      <c r="Z1584" s="75"/>
      <c r="AA1584"/>
    </row>
    <row r="1585" spans="26:27" x14ac:dyDescent="0.55000000000000004">
      <c r="Z1585" s="75"/>
      <c r="AA1585"/>
    </row>
    <row r="1586" spans="26:27" x14ac:dyDescent="0.55000000000000004">
      <c r="Z1586" s="75"/>
      <c r="AA1586"/>
    </row>
    <row r="1587" spans="26:27" x14ac:dyDescent="0.55000000000000004">
      <c r="Z1587" s="75"/>
      <c r="AA1587"/>
    </row>
    <row r="1588" spans="26:27" x14ac:dyDescent="0.55000000000000004">
      <c r="Z1588" s="75"/>
      <c r="AA1588"/>
    </row>
    <row r="1589" spans="26:27" x14ac:dyDescent="0.55000000000000004">
      <c r="Z1589" s="75"/>
      <c r="AA1589"/>
    </row>
    <row r="1590" spans="26:27" x14ac:dyDescent="0.55000000000000004">
      <c r="Z1590" s="75"/>
      <c r="AA1590"/>
    </row>
    <row r="1591" spans="26:27" x14ac:dyDescent="0.55000000000000004">
      <c r="Z1591" s="75"/>
      <c r="AA1591"/>
    </row>
    <row r="1592" spans="26:27" x14ac:dyDescent="0.55000000000000004">
      <c r="Z1592" s="75"/>
      <c r="AA1592"/>
    </row>
    <row r="1593" spans="26:27" x14ac:dyDescent="0.55000000000000004">
      <c r="Z1593" s="75"/>
      <c r="AA1593"/>
    </row>
    <row r="1594" spans="26:27" x14ac:dyDescent="0.55000000000000004">
      <c r="Z1594" s="75"/>
      <c r="AA1594"/>
    </row>
    <row r="1595" spans="26:27" x14ac:dyDescent="0.55000000000000004">
      <c r="Z1595" s="75"/>
      <c r="AA1595"/>
    </row>
    <row r="1596" spans="26:27" x14ac:dyDescent="0.55000000000000004">
      <c r="Z1596" s="75"/>
      <c r="AA1596"/>
    </row>
    <row r="1597" spans="26:27" x14ac:dyDescent="0.55000000000000004">
      <c r="Z1597" s="75"/>
      <c r="AA1597"/>
    </row>
    <row r="1598" spans="26:27" x14ac:dyDescent="0.55000000000000004">
      <c r="Z1598" s="75"/>
      <c r="AA1598"/>
    </row>
    <row r="1599" spans="26:27" x14ac:dyDescent="0.55000000000000004">
      <c r="Z1599" s="75"/>
      <c r="AA1599"/>
    </row>
    <row r="1600" spans="26:27" x14ac:dyDescent="0.55000000000000004">
      <c r="Z1600" s="75"/>
      <c r="AA1600"/>
    </row>
    <row r="1601" spans="26:27" x14ac:dyDescent="0.55000000000000004">
      <c r="Z1601" s="75"/>
      <c r="AA1601"/>
    </row>
    <row r="1602" spans="26:27" x14ac:dyDescent="0.55000000000000004">
      <c r="Z1602" s="75"/>
      <c r="AA1602"/>
    </row>
    <row r="1603" spans="26:27" x14ac:dyDescent="0.55000000000000004">
      <c r="Z1603" s="75"/>
      <c r="AA1603"/>
    </row>
    <row r="1604" spans="26:27" x14ac:dyDescent="0.55000000000000004">
      <c r="Z1604" s="75"/>
      <c r="AA1604"/>
    </row>
    <row r="1605" spans="26:27" x14ac:dyDescent="0.55000000000000004">
      <c r="Z1605" s="75"/>
      <c r="AA1605"/>
    </row>
    <row r="1606" spans="26:27" x14ac:dyDescent="0.55000000000000004">
      <c r="Z1606" s="75"/>
      <c r="AA1606"/>
    </row>
    <row r="1607" spans="26:27" x14ac:dyDescent="0.55000000000000004">
      <c r="Z1607" s="75"/>
      <c r="AA1607"/>
    </row>
    <row r="1608" spans="26:27" x14ac:dyDescent="0.55000000000000004">
      <c r="Z1608" s="75"/>
      <c r="AA1608"/>
    </row>
    <row r="1609" spans="26:27" x14ac:dyDescent="0.55000000000000004">
      <c r="Z1609" s="75"/>
      <c r="AA1609"/>
    </row>
    <row r="1610" spans="26:27" x14ac:dyDescent="0.55000000000000004">
      <c r="Z1610" s="75"/>
      <c r="AA1610"/>
    </row>
    <row r="1611" spans="26:27" x14ac:dyDescent="0.55000000000000004">
      <c r="Z1611" s="75"/>
      <c r="AA1611"/>
    </row>
    <row r="1612" spans="26:27" x14ac:dyDescent="0.55000000000000004">
      <c r="Z1612" s="75"/>
      <c r="AA1612"/>
    </row>
    <row r="1613" spans="26:27" x14ac:dyDescent="0.55000000000000004">
      <c r="Z1613" s="75"/>
      <c r="AA1613"/>
    </row>
    <row r="1614" spans="26:27" x14ac:dyDescent="0.55000000000000004">
      <c r="Z1614" s="75"/>
      <c r="AA1614"/>
    </row>
    <row r="1615" spans="26:27" x14ac:dyDescent="0.55000000000000004">
      <c r="Z1615" s="75"/>
      <c r="AA1615"/>
    </row>
    <row r="1616" spans="26:27" x14ac:dyDescent="0.55000000000000004">
      <c r="Z1616" s="75"/>
      <c r="AA1616"/>
    </row>
    <row r="1617" spans="26:27" x14ac:dyDescent="0.55000000000000004">
      <c r="Z1617" s="75"/>
      <c r="AA1617"/>
    </row>
    <row r="1618" spans="26:27" x14ac:dyDescent="0.55000000000000004">
      <c r="Z1618" s="75"/>
      <c r="AA1618"/>
    </row>
    <row r="1619" spans="26:27" x14ac:dyDescent="0.55000000000000004">
      <c r="Z1619" s="75"/>
      <c r="AA1619"/>
    </row>
    <row r="1620" spans="26:27" x14ac:dyDescent="0.55000000000000004">
      <c r="Z1620" s="75"/>
      <c r="AA1620"/>
    </row>
    <row r="1621" spans="26:27" x14ac:dyDescent="0.55000000000000004">
      <c r="Z1621" s="75"/>
      <c r="AA1621"/>
    </row>
    <row r="1622" spans="26:27" x14ac:dyDescent="0.55000000000000004">
      <c r="Z1622" s="75"/>
      <c r="AA1622"/>
    </row>
    <row r="1623" spans="26:27" x14ac:dyDescent="0.55000000000000004">
      <c r="Z1623" s="75"/>
      <c r="AA1623"/>
    </row>
    <row r="1624" spans="26:27" x14ac:dyDescent="0.55000000000000004">
      <c r="Z1624" s="75"/>
      <c r="AA1624"/>
    </row>
    <row r="1625" spans="26:27" x14ac:dyDescent="0.55000000000000004">
      <c r="Z1625" s="75"/>
      <c r="AA1625"/>
    </row>
    <row r="1626" spans="26:27" x14ac:dyDescent="0.55000000000000004">
      <c r="Z1626" s="75"/>
      <c r="AA1626"/>
    </row>
    <row r="1627" spans="26:27" x14ac:dyDescent="0.55000000000000004">
      <c r="Z1627" s="75"/>
      <c r="AA1627"/>
    </row>
    <row r="1628" spans="26:27" x14ac:dyDescent="0.55000000000000004">
      <c r="Z1628" s="75"/>
      <c r="AA1628"/>
    </row>
    <row r="1629" spans="26:27" x14ac:dyDescent="0.55000000000000004">
      <c r="Z1629" s="75"/>
      <c r="AA1629"/>
    </row>
    <row r="1630" spans="26:27" x14ac:dyDescent="0.55000000000000004">
      <c r="Z1630" s="75"/>
      <c r="AA1630"/>
    </row>
    <row r="1631" spans="26:27" x14ac:dyDescent="0.55000000000000004">
      <c r="Z1631" s="75"/>
      <c r="AA1631"/>
    </row>
    <row r="1632" spans="26:27" x14ac:dyDescent="0.55000000000000004">
      <c r="Z1632" s="75"/>
      <c r="AA1632"/>
    </row>
    <row r="1633" spans="26:27" x14ac:dyDescent="0.55000000000000004">
      <c r="Z1633" s="75"/>
      <c r="AA1633"/>
    </row>
    <row r="1634" spans="26:27" x14ac:dyDescent="0.55000000000000004">
      <c r="Z1634" s="75"/>
      <c r="AA1634"/>
    </row>
    <row r="1635" spans="26:27" x14ac:dyDescent="0.55000000000000004">
      <c r="Z1635" s="75"/>
      <c r="AA1635"/>
    </row>
    <row r="1636" spans="26:27" x14ac:dyDescent="0.55000000000000004">
      <c r="Z1636" s="75"/>
      <c r="AA1636"/>
    </row>
    <row r="1637" spans="26:27" x14ac:dyDescent="0.55000000000000004">
      <c r="Z1637" s="75"/>
      <c r="AA1637"/>
    </row>
    <row r="1638" spans="26:27" x14ac:dyDescent="0.55000000000000004">
      <c r="Z1638" s="75"/>
      <c r="AA1638"/>
    </row>
    <row r="1639" spans="26:27" x14ac:dyDescent="0.55000000000000004">
      <c r="Z1639" s="75"/>
      <c r="AA1639"/>
    </row>
    <row r="1640" spans="26:27" x14ac:dyDescent="0.55000000000000004">
      <c r="Z1640" s="75"/>
      <c r="AA1640"/>
    </row>
    <row r="1641" spans="26:27" x14ac:dyDescent="0.55000000000000004">
      <c r="Z1641" s="75"/>
      <c r="AA1641"/>
    </row>
    <row r="1642" spans="26:27" x14ac:dyDescent="0.55000000000000004">
      <c r="Z1642" s="75"/>
      <c r="AA1642"/>
    </row>
    <row r="1643" spans="26:27" x14ac:dyDescent="0.55000000000000004">
      <c r="Z1643" s="75"/>
      <c r="AA1643"/>
    </row>
    <row r="1644" spans="26:27" x14ac:dyDescent="0.55000000000000004">
      <c r="Z1644" s="75"/>
      <c r="AA1644"/>
    </row>
    <row r="1645" spans="26:27" x14ac:dyDescent="0.55000000000000004">
      <c r="Z1645" s="75"/>
      <c r="AA1645"/>
    </row>
    <row r="1646" spans="26:27" x14ac:dyDescent="0.55000000000000004">
      <c r="Z1646" s="75"/>
      <c r="AA1646"/>
    </row>
    <row r="1647" spans="26:27" x14ac:dyDescent="0.55000000000000004">
      <c r="Z1647" s="75"/>
      <c r="AA1647"/>
    </row>
    <row r="1648" spans="26:27" x14ac:dyDescent="0.55000000000000004">
      <c r="Z1648" s="75"/>
      <c r="AA1648"/>
    </row>
    <row r="1649" spans="26:27" x14ac:dyDescent="0.55000000000000004">
      <c r="Z1649" s="75"/>
      <c r="AA1649"/>
    </row>
    <row r="1650" spans="26:27" x14ac:dyDescent="0.55000000000000004">
      <c r="Z1650" s="75"/>
      <c r="AA1650"/>
    </row>
    <row r="1651" spans="26:27" x14ac:dyDescent="0.55000000000000004">
      <c r="Z1651" s="75"/>
      <c r="AA1651"/>
    </row>
    <row r="1652" spans="26:27" x14ac:dyDescent="0.55000000000000004">
      <c r="Z1652" s="75"/>
      <c r="AA1652"/>
    </row>
    <row r="1653" spans="26:27" x14ac:dyDescent="0.55000000000000004">
      <c r="Z1653" s="75"/>
      <c r="AA1653"/>
    </row>
    <row r="1654" spans="26:27" x14ac:dyDescent="0.55000000000000004">
      <c r="Z1654" s="75"/>
      <c r="AA1654"/>
    </row>
    <row r="1655" spans="26:27" x14ac:dyDescent="0.55000000000000004">
      <c r="Z1655" s="75"/>
      <c r="AA1655"/>
    </row>
    <row r="1656" spans="26:27" x14ac:dyDescent="0.55000000000000004">
      <c r="Z1656" s="75"/>
      <c r="AA1656"/>
    </row>
    <row r="1657" spans="26:27" x14ac:dyDescent="0.55000000000000004">
      <c r="Z1657" s="75"/>
      <c r="AA1657"/>
    </row>
    <row r="1658" spans="26:27" x14ac:dyDescent="0.55000000000000004">
      <c r="Z1658" s="75"/>
      <c r="AA1658"/>
    </row>
    <row r="1659" spans="26:27" x14ac:dyDescent="0.55000000000000004">
      <c r="Z1659" s="75"/>
      <c r="AA1659"/>
    </row>
    <row r="1660" spans="26:27" x14ac:dyDescent="0.55000000000000004">
      <c r="Z1660" s="75"/>
      <c r="AA1660"/>
    </row>
    <row r="1661" spans="26:27" x14ac:dyDescent="0.55000000000000004">
      <c r="Z1661" s="75"/>
      <c r="AA1661"/>
    </row>
    <row r="1662" spans="26:27" x14ac:dyDescent="0.55000000000000004">
      <c r="Z1662" s="75"/>
      <c r="AA1662"/>
    </row>
    <row r="1663" spans="26:27" x14ac:dyDescent="0.55000000000000004">
      <c r="Z1663" s="75"/>
      <c r="AA1663"/>
    </row>
    <row r="1664" spans="26:27" x14ac:dyDescent="0.55000000000000004">
      <c r="Z1664" s="75"/>
      <c r="AA1664"/>
    </row>
    <row r="1665" spans="26:27" x14ac:dyDescent="0.55000000000000004">
      <c r="Z1665" s="75"/>
      <c r="AA1665"/>
    </row>
    <row r="1666" spans="26:27" x14ac:dyDescent="0.55000000000000004">
      <c r="Z1666" s="75"/>
      <c r="AA1666"/>
    </row>
    <row r="1667" spans="26:27" x14ac:dyDescent="0.55000000000000004">
      <c r="Z1667" s="75"/>
      <c r="AA1667"/>
    </row>
    <row r="1668" spans="26:27" x14ac:dyDescent="0.55000000000000004">
      <c r="Z1668" s="75"/>
      <c r="AA1668"/>
    </row>
    <row r="1669" spans="26:27" x14ac:dyDescent="0.55000000000000004">
      <c r="Z1669" s="75"/>
      <c r="AA1669"/>
    </row>
    <row r="1670" spans="26:27" x14ac:dyDescent="0.55000000000000004">
      <c r="Z1670" s="75"/>
      <c r="AA1670"/>
    </row>
    <row r="1671" spans="26:27" x14ac:dyDescent="0.55000000000000004">
      <c r="Z1671" s="75"/>
      <c r="AA1671"/>
    </row>
    <row r="1672" spans="26:27" x14ac:dyDescent="0.55000000000000004">
      <c r="Z1672" s="75"/>
      <c r="AA1672"/>
    </row>
    <row r="1673" spans="26:27" x14ac:dyDescent="0.55000000000000004">
      <c r="Z1673" s="75"/>
      <c r="AA1673"/>
    </row>
    <row r="1674" spans="26:27" x14ac:dyDescent="0.55000000000000004">
      <c r="Z1674" s="75"/>
      <c r="AA1674"/>
    </row>
    <row r="1675" spans="26:27" x14ac:dyDescent="0.55000000000000004">
      <c r="Z1675" s="75"/>
      <c r="AA1675"/>
    </row>
    <row r="1676" spans="26:27" x14ac:dyDescent="0.55000000000000004">
      <c r="Z1676" s="75"/>
      <c r="AA1676"/>
    </row>
    <row r="1677" spans="26:27" x14ac:dyDescent="0.55000000000000004">
      <c r="Z1677" s="75"/>
      <c r="AA1677"/>
    </row>
    <row r="1678" spans="26:27" x14ac:dyDescent="0.55000000000000004">
      <c r="Z1678" s="75"/>
      <c r="AA1678"/>
    </row>
    <row r="1679" spans="26:27" x14ac:dyDescent="0.55000000000000004">
      <c r="Z1679" s="75"/>
      <c r="AA1679"/>
    </row>
    <row r="1680" spans="26:27" x14ac:dyDescent="0.55000000000000004">
      <c r="Z1680" s="75"/>
      <c r="AA1680"/>
    </row>
    <row r="1681" spans="26:27" x14ac:dyDescent="0.55000000000000004">
      <c r="Z1681" s="75"/>
      <c r="AA1681"/>
    </row>
    <row r="1682" spans="26:27" x14ac:dyDescent="0.55000000000000004">
      <c r="Z1682" s="75"/>
      <c r="AA1682"/>
    </row>
    <row r="1683" spans="26:27" x14ac:dyDescent="0.55000000000000004">
      <c r="Z1683" s="75"/>
      <c r="AA1683"/>
    </row>
    <row r="1684" spans="26:27" x14ac:dyDescent="0.55000000000000004">
      <c r="Z1684" s="75"/>
      <c r="AA1684"/>
    </row>
    <row r="1685" spans="26:27" x14ac:dyDescent="0.55000000000000004">
      <c r="Z1685" s="75"/>
      <c r="AA1685"/>
    </row>
    <row r="1686" spans="26:27" x14ac:dyDescent="0.55000000000000004">
      <c r="Z1686" s="75"/>
      <c r="AA1686"/>
    </row>
    <row r="1687" spans="26:27" x14ac:dyDescent="0.55000000000000004">
      <c r="Z1687" s="75"/>
      <c r="AA1687"/>
    </row>
    <row r="1688" spans="26:27" x14ac:dyDescent="0.55000000000000004">
      <c r="Z1688" s="75"/>
      <c r="AA1688"/>
    </row>
    <row r="1689" spans="26:27" x14ac:dyDescent="0.55000000000000004">
      <c r="Z1689" s="75"/>
      <c r="AA1689"/>
    </row>
    <row r="1690" spans="26:27" x14ac:dyDescent="0.55000000000000004">
      <c r="Z1690" s="75"/>
      <c r="AA1690"/>
    </row>
    <row r="1691" spans="26:27" x14ac:dyDescent="0.55000000000000004">
      <c r="Z1691" s="75"/>
      <c r="AA1691"/>
    </row>
    <row r="1692" spans="26:27" x14ac:dyDescent="0.55000000000000004">
      <c r="Z1692" s="75"/>
      <c r="AA1692"/>
    </row>
    <row r="1693" spans="26:27" x14ac:dyDescent="0.55000000000000004">
      <c r="Z1693" s="75"/>
      <c r="AA1693"/>
    </row>
    <row r="1694" spans="26:27" x14ac:dyDescent="0.55000000000000004">
      <c r="Z1694" s="75"/>
      <c r="AA1694"/>
    </row>
    <row r="1695" spans="26:27" x14ac:dyDescent="0.55000000000000004">
      <c r="Z1695" s="75"/>
      <c r="AA1695"/>
    </row>
    <row r="1696" spans="26:27" x14ac:dyDescent="0.55000000000000004">
      <c r="Z1696" s="75"/>
      <c r="AA1696"/>
    </row>
    <row r="1697" spans="26:27" x14ac:dyDescent="0.55000000000000004">
      <c r="Z1697" s="75"/>
      <c r="AA1697"/>
    </row>
    <row r="1698" spans="26:27" x14ac:dyDescent="0.55000000000000004">
      <c r="Z1698" s="75"/>
      <c r="AA1698"/>
    </row>
    <row r="1699" spans="26:27" x14ac:dyDescent="0.55000000000000004">
      <c r="Z1699" s="75"/>
      <c r="AA1699"/>
    </row>
    <row r="1700" spans="26:27" x14ac:dyDescent="0.55000000000000004">
      <c r="Z1700" s="75"/>
      <c r="AA1700"/>
    </row>
    <row r="1701" spans="26:27" x14ac:dyDescent="0.55000000000000004">
      <c r="Z1701" s="75"/>
      <c r="AA1701"/>
    </row>
    <row r="1702" spans="26:27" x14ac:dyDescent="0.55000000000000004">
      <c r="Z1702" s="75"/>
      <c r="AA1702"/>
    </row>
    <row r="1703" spans="26:27" x14ac:dyDescent="0.55000000000000004">
      <c r="Z1703" s="75"/>
      <c r="AA1703"/>
    </row>
    <row r="1704" spans="26:27" x14ac:dyDescent="0.55000000000000004">
      <c r="Z1704" s="75"/>
      <c r="AA1704"/>
    </row>
    <row r="1705" spans="26:27" x14ac:dyDescent="0.55000000000000004">
      <c r="Z1705" s="75"/>
      <c r="AA1705"/>
    </row>
    <row r="1706" spans="26:27" x14ac:dyDescent="0.55000000000000004">
      <c r="Z1706" s="75"/>
      <c r="AA1706"/>
    </row>
    <row r="1707" spans="26:27" x14ac:dyDescent="0.55000000000000004">
      <c r="Z1707" s="75"/>
      <c r="AA1707"/>
    </row>
    <row r="1708" spans="26:27" x14ac:dyDescent="0.55000000000000004">
      <c r="Z1708" s="75"/>
      <c r="AA1708"/>
    </row>
    <row r="1709" spans="26:27" x14ac:dyDescent="0.55000000000000004">
      <c r="Z1709" s="75"/>
      <c r="AA1709"/>
    </row>
    <row r="1710" spans="26:27" x14ac:dyDescent="0.55000000000000004">
      <c r="Z1710" s="75"/>
      <c r="AA1710"/>
    </row>
    <row r="1711" spans="26:27" x14ac:dyDescent="0.55000000000000004">
      <c r="Z1711" s="75"/>
      <c r="AA1711"/>
    </row>
    <row r="1712" spans="26:27" x14ac:dyDescent="0.55000000000000004">
      <c r="Z1712" s="75"/>
      <c r="AA1712"/>
    </row>
    <row r="1713" spans="26:27" x14ac:dyDescent="0.55000000000000004">
      <c r="Z1713" s="75"/>
      <c r="AA1713"/>
    </row>
    <row r="1714" spans="26:27" x14ac:dyDescent="0.55000000000000004">
      <c r="Z1714" s="75"/>
      <c r="AA1714"/>
    </row>
    <row r="1715" spans="26:27" x14ac:dyDescent="0.55000000000000004">
      <c r="Z1715" s="75"/>
      <c r="AA1715"/>
    </row>
    <row r="1716" spans="26:27" x14ac:dyDescent="0.55000000000000004">
      <c r="Z1716" s="75"/>
      <c r="AA1716"/>
    </row>
    <row r="1717" spans="26:27" x14ac:dyDescent="0.55000000000000004">
      <c r="Z1717" s="75"/>
      <c r="AA1717"/>
    </row>
    <row r="1718" spans="26:27" x14ac:dyDescent="0.55000000000000004">
      <c r="Z1718" s="75"/>
      <c r="AA1718"/>
    </row>
    <row r="1719" spans="26:27" x14ac:dyDescent="0.55000000000000004">
      <c r="Z1719" s="75"/>
      <c r="AA1719"/>
    </row>
    <row r="1720" spans="26:27" x14ac:dyDescent="0.55000000000000004">
      <c r="Z1720" s="75"/>
      <c r="AA1720"/>
    </row>
    <row r="1721" spans="26:27" x14ac:dyDescent="0.55000000000000004">
      <c r="Z1721" s="75"/>
      <c r="AA1721"/>
    </row>
    <row r="1722" spans="26:27" x14ac:dyDescent="0.55000000000000004">
      <c r="Z1722" s="75"/>
      <c r="AA1722"/>
    </row>
    <row r="1723" spans="26:27" x14ac:dyDescent="0.55000000000000004">
      <c r="Z1723" s="75"/>
      <c r="AA1723"/>
    </row>
    <row r="1724" spans="26:27" x14ac:dyDescent="0.55000000000000004">
      <c r="Z1724" s="75"/>
      <c r="AA1724"/>
    </row>
    <row r="1725" spans="26:27" x14ac:dyDescent="0.55000000000000004">
      <c r="Z1725" s="75"/>
      <c r="AA1725"/>
    </row>
    <row r="1726" spans="26:27" x14ac:dyDescent="0.55000000000000004">
      <c r="Z1726" s="75"/>
      <c r="AA1726"/>
    </row>
    <row r="1727" spans="26:27" x14ac:dyDescent="0.55000000000000004">
      <c r="Z1727" s="75"/>
      <c r="AA1727"/>
    </row>
    <row r="1728" spans="26:27" x14ac:dyDescent="0.55000000000000004">
      <c r="Z1728" s="75"/>
      <c r="AA1728"/>
    </row>
    <row r="1729" spans="26:27" x14ac:dyDescent="0.55000000000000004">
      <c r="Z1729" s="75"/>
      <c r="AA1729"/>
    </row>
    <row r="1730" spans="26:27" x14ac:dyDescent="0.55000000000000004">
      <c r="Z1730" s="75"/>
      <c r="AA1730"/>
    </row>
    <row r="1731" spans="26:27" x14ac:dyDescent="0.55000000000000004">
      <c r="Z1731" s="75"/>
      <c r="AA1731"/>
    </row>
    <row r="1732" spans="26:27" x14ac:dyDescent="0.55000000000000004">
      <c r="Z1732" s="75"/>
      <c r="AA1732"/>
    </row>
    <row r="1733" spans="26:27" x14ac:dyDescent="0.55000000000000004">
      <c r="Z1733" s="75"/>
      <c r="AA1733"/>
    </row>
    <row r="1734" spans="26:27" x14ac:dyDescent="0.55000000000000004">
      <c r="Z1734" s="75"/>
      <c r="AA1734"/>
    </row>
    <row r="1735" spans="26:27" x14ac:dyDescent="0.55000000000000004">
      <c r="Z1735" s="75"/>
      <c r="AA1735"/>
    </row>
    <row r="1736" spans="26:27" x14ac:dyDescent="0.55000000000000004">
      <c r="Z1736" s="75"/>
      <c r="AA1736"/>
    </row>
    <row r="1737" spans="26:27" x14ac:dyDescent="0.55000000000000004">
      <c r="Z1737" s="75"/>
      <c r="AA1737"/>
    </row>
    <row r="1738" spans="26:27" x14ac:dyDescent="0.55000000000000004">
      <c r="Z1738" s="75"/>
      <c r="AA1738"/>
    </row>
    <row r="1739" spans="26:27" x14ac:dyDescent="0.55000000000000004">
      <c r="Z1739" s="75"/>
      <c r="AA1739"/>
    </row>
    <row r="1740" spans="26:27" x14ac:dyDescent="0.55000000000000004">
      <c r="Z1740" s="75"/>
      <c r="AA1740"/>
    </row>
    <row r="1741" spans="26:27" x14ac:dyDescent="0.55000000000000004">
      <c r="Z1741" s="75"/>
      <c r="AA1741"/>
    </row>
    <row r="1742" spans="26:27" x14ac:dyDescent="0.55000000000000004">
      <c r="Z1742" s="75"/>
      <c r="AA1742"/>
    </row>
    <row r="1743" spans="26:27" x14ac:dyDescent="0.55000000000000004">
      <c r="Z1743" s="75"/>
      <c r="AA1743"/>
    </row>
    <row r="1744" spans="26:27" x14ac:dyDescent="0.55000000000000004">
      <c r="Z1744" s="75"/>
      <c r="AA1744"/>
    </row>
    <row r="1745" spans="26:27" x14ac:dyDescent="0.55000000000000004">
      <c r="Z1745" s="75"/>
      <c r="AA1745"/>
    </row>
    <row r="1746" spans="26:27" x14ac:dyDescent="0.55000000000000004">
      <c r="Z1746" s="75"/>
      <c r="AA1746"/>
    </row>
    <row r="1747" spans="26:27" x14ac:dyDescent="0.55000000000000004">
      <c r="Z1747" s="75"/>
      <c r="AA1747"/>
    </row>
    <row r="1748" spans="26:27" x14ac:dyDescent="0.55000000000000004">
      <c r="Z1748" s="75"/>
      <c r="AA1748"/>
    </row>
    <row r="1749" spans="26:27" x14ac:dyDescent="0.55000000000000004">
      <c r="Z1749" s="75"/>
      <c r="AA1749"/>
    </row>
    <row r="1750" spans="26:27" x14ac:dyDescent="0.55000000000000004">
      <c r="Z1750" s="75"/>
      <c r="AA1750"/>
    </row>
    <row r="1751" spans="26:27" x14ac:dyDescent="0.55000000000000004">
      <c r="Z1751" s="75"/>
      <c r="AA1751"/>
    </row>
    <row r="1752" spans="26:27" x14ac:dyDescent="0.55000000000000004">
      <c r="Z1752" s="75"/>
      <c r="AA1752"/>
    </row>
    <row r="1753" spans="26:27" x14ac:dyDescent="0.55000000000000004">
      <c r="Z1753" s="75"/>
      <c r="AA1753"/>
    </row>
    <row r="1754" spans="26:27" x14ac:dyDescent="0.55000000000000004">
      <c r="Z1754" s="75"/>
      <c r="AA1754"/>
    </row>
    <row r="1755" spans="26:27" x14ac:dyDescent="0.55000000000000004">
      <c r="Z1755" s="75"/>
      <c r="AA1755"/>
    </row>
    <row r="1756" spans="26:27" x14ac:dyDescent="0.55000000000000004">
      <c r="Z1756" s="75"/>
      <c r="AA1756"/>
    </row>
    <row r="1757" spans="26:27" x14ac:dyDescent="0.55000000000000004">
      <c r="Z1757" s="75"/>
      <c r="AA1757"/>
    </row>
    <row r="1758" spans="26:27" x14ac:dyDescent="0.55000000000000004">
      <c r="Z1758" s="75"/>
      <c r="AA1758"/>
    </row>
    <row r="1759" spans="26:27" x14ac:dyDescent="0.55000000000000004">
      <c r="Z1759" s="75"/>
      <c r="AA1759"/>
    </row>
    <row r="1760" spans="26:27" x14ac:dyDescent="0.55000000000000004">
      <c r="Z1760" s="75"/>
      <c r="AA1760"/>
    </row>
    <row r="1761" spans="26:27" x14ac:dyDescent="0.55000000000000004">
      <c r="Z1761" s="75"/>
      <c r="AA1761"/>
    </row>
    <row r="1762" spans="26:27" x14ac:dyDescent="0.55000000000000004">
      <c r="Z1762" s="75"/>
      <c r="AA1762"/>
    </row>
    <row r="1763" spans="26:27" x14ac:dyDescent="0.55000000000000004">
      <c r="Z1763" s="75"/>
      <c r="AA1763"/>
    </row>
    <row r="1764" spans="26:27" x14ac:dyDescent="0.55000000000000004">
      <c r="Z1764" s="75"/>
      <c r="AA1764"/>
    </row>
    <row r="1765" spans="26:27" x14ac:dyDescent="0.55000000000000004">
      <c r="Z1765" s="75"/>
      <c r="AA1765"/>
    </row>
    <row r="1766" spans="26:27" x14ac:dyDescent="0.55000000000000004">
      <c r="Z1766" s="75"/>
      <c r="AA1766"/>
    </row>
    <row r="1767" spans="26:27" x14ac:dyDescent="0.55000000000000004">
      <c r="Z1767" s="75"/>
      <c r="AA1767"/>
    </row>
    <row r="1768" spans="26:27" x14ac:dyDescent="0.55000000000000004">
      <c r="Z1768" s="75"/>
      <c r="AA1768"/>
    </row>
    <row r="1769" spans="26:27" x14ac:dyDescent="0.55000000000000004">
      <c r="Z1769" s="75"/>
      <c r="AA1769"/>
    </row>
    <row r="1770" spans="26:27" x14ac:dyDescent="0.55000000000000004">
      <c r="Z1770" s="75"/>
      <c r="AA1770"/>
    </row>
    <row r="1771" spans="26:27" x14ac:dyDescent="0.55000000000000004">
      <c r="Z1771" s="75"/>
      <c r="AA1771"/>
    </row>
    <row r="1772" spans="26:27" x14ac:dyDescent="0.55000000000000004">
      <c r="Z1772" s="75"/>
      <c r="AA1772"/>
    </row>
    <row r="1773" spans="26:27" x14ac:dyDescent="0.55000000000000004">
      <c r="Z1773" s="75"/>
      <c r="AA1773"/>
    </row>
    <row r="1774" spans="26:27" x14ac:dyDescent="0.55000000000000004">
      <c r="Z1774" s="75"/>
      <c r="AA1774"/>
    </row>
    <row r="1775" spans="26:27" x14ac:dyDescent="0.55000000000000004">
      <c r="Z1775" s="75"/>
      <c r="AA1775"/>
    </row>
    <row r="1776" spans="26:27" x14ac:dyDescent="0.55000000000000004">
      <c r="Z1776" s="75"/>
      <c r="AA1776"/>
    </row>
    <row r="1777" spans="26:27" x14ac:dyDescent="0.55000000000000004">
      <c r="Z1777" s="75"/>
      <c r="AA1777"/>
    </row>
    <row r="1778" spans="26:27" x14ac:dyDescent="0.55000000000000004">
      <c r="Z1778" s="75"/>
      <c r="AA1778"/>
    </row>
    <row r="1779" spans="26:27" x14ac:dyDescent="0.55000000000000004">
      <c r="Z1779" s="75"/>
      <c r="AA1779"/>
    </row>
    <row r="1780" spans="26:27" x14ac:dyDescent="0.55000000000000004">
      <c r="Z1780" s="75"/>
      <c r="AA1780"/>
    </row>
    <row r="1781" spans="26:27" x14ac:dyDescent="0.55000000000000004">
      <c r="Z1781" s="75"/>
      <c r="AA1781"/>
    </row>
    <row r="1782" spans="26:27" x14ac:dyDescent="0.55000000000000004">
      <c r="Z1782" s="75"/>
      <c r="AA1782"/>
    </row>
    <row r="1783" spans="26:27" x14ac:dyDescent="0.55000000000000004">
      <c r="Z1783" s="75"/>
      <c r="AA1783"/>
    </row>
    <row r="1784" spans="26:27" x14ac:dyDescent="0.55000000000000004">
      <c r="Z1784" s="75"/>
      <c r="AA1784"/>
    </row>
    <row r="1785" spans="26:27" x14ac:dyDescent="0.55000000000000004">
      <c r="Z1785" s="75"/>
      <c r="AA1785"/>
    </row>
    <row r="1786" spans="26:27" x14ac:dyDescent="0.55000000000000004">
      <c r="Z1786" s="75"/>
      <c r="AA1786"/>
    </row>
    <row r="1787" spans="26:27" x14ac:dyDescent="0.55000000000000004">
      <c r="Z1787" s="75"/>
      <c r="AA1787"/>
    </row>
    <row r="1788" spans="26:27" x14ac:dyDescent="0.55000000000000004">
      <c r="Z1788" s="75"/>
      <c r="AA1788"/>
    </row>
    <row r="1789" spans="26:27" x14ac:dyDescent="0.55000000000000004">
      <c r="Z1789" s="75"/>
      <c r="AA1789"/>
    </row>
    <row r="1790" spans="26:27" x14ac:dyDescent="0.55000000000000004">
      <c r="Z1790" s="75"/>
      <c r="AA1790"/>
    </row>
    <row r="1791" spans="26:27" x14ac:dyDescent="0.55000000000000004">
      <c r="Z1791" s="75"/>
      <c r="AA1791"/>
    </row>
    <row r="1792" spans="26:27" x14ac:dyDescent="0.55000000000000004">
      <c r="Z1792" s="75"/>
      <c r="AA1792"/>
    </row>
    <row r="1793" spans="26:27" x14ac:dyDescent="0.55000000000000004">
      <c r="Z1793" s="75"/>
      <c r="AA1793"/>
    </row>
    <row r="1794" spans="26:27" x14ac:dyDescent="0.55000000000000004">
      <c r="Z1794" s="75"/>
      <c r="AA1794"/>
    </row>
    <row r="1795" spans="26:27" x14ac:dyDescent="0.55000000000000004">
      <c r="Z1795" s="75"/>
      <c r="AA1795"/>
    </row>
    <row r="1796" spans="26:27" x14ac:dyDescent="0.55000000000000004">
      <c r="Z1796" s="75"/>
      <c r="AA1796"/>
    </row>
    <row r="1797" spans="26:27" x14ac:dyDescent="0.55000000000000004">
      <c r="Z1797" s="75"/>
      <c r="AA1797"/>
    </row>
    <row r="1798" spans="26:27" x14ac:dyDescent="0.55000000000000004">
      <c r="Z1798" s="75"/>
      <c r="AA1798"/>
    </row>
    <row r="1799" spans="26:27" x14ac:dyDescent="0.55000000000000004">
      <c r="Z1799" s="75"/>
      <c r="AA1799"/>
    </row>
    <row r="1800" spans="26:27" x14ac:dyDescent="0.55000000000000004">
      <c r="Z1800" s="75"/>
      <c r="AA1800"/>
    </row>
    <row r="1801" spans="26:27" x14ac:dyDescent="0.55000000000000004">
      <c r="Z1801" s="75"/>
      <c r="AA1801"/>
    </row>
    <row r="1802" spans="26:27" x14ac:dyDescent="0.55000000000000004">
      <c r="Z1802" s="75"/>
      <c r="AA1802"/>
    </row>
    <row r="1803" spans="26:27" x14ac:dyDescent="0.55000000000000004">
      <c r="Z1803" s="75"/>
      <c r="AA1803"/>
    </row>
    <row r="1804" spans="26:27" x14ac:dyDescent="0.55000000000000004">
      <c r="Z1804" s="75"/>
      <c r="AA1804"/>
    </row>
    <row r="1805" spans="26:27" x14ac:dyDescent="0.55000000000000004">
      <c r="Z1805" s="75"/>
      <c r="AA1805"/>
    </row>
    <row r="1806" spans="26:27" x14ac:dyDescent="0.55000000000000004">
      <c r="Z1806" s="75"/>
      <c r="AA1806"/>
    </row>
    <row r="1807" spans="26:27" x14ac:dyDescent="0.55000000000000004">
      <c r="Z1807" s="75"/>
      <c r="AA1807"/>
    </row>
    <row r="1808" spans="26:27" x14ac:dyDescent="0.55000000000000004">
      <c r="Z1808" s="75"/>
      <c r="AA1808"/>
    </row>
    <row r="1809" spans="26:27" x14ac:dyDescent="0.55000000000000004">
      <c r="Z1809" s="75"/>
      <c r="AA1809"/>
    </row>
    <row r="1810" spans="26:27" x14ac:dyDescent="0.55000000000000004">
      <c r="Z1810" s="75"/>
      <c r="AA1810"/>
    </row>
    <row r="1811" spans="26:27" x14ac:dyDescent="0.55000000000000004">
      <c r="Z1811" s="75"/>
      <c r="AA1811"/>
    </row>
    <row r="1812" spans="26:27" x14ac:dyDescent="0.55000000000000004">
      <c r="Z1812" s="75"/>
      <c r="AA1812"/>
    </row>
    <row r="1813" spans="26:27" x14ac:dyDescent="0.55000000000000004">
      <c r="Z1813" s="75"/>
      <c r="AA1813"/>
    </row>
    <row r="1814" spans="26:27" x14ac:dyDescent="0.55000000000000004">
      <c r="Z1814" s="75"/>
      <c r="AA1814"/>
    </row>
    <row r="1815" spans="26:27" x14ac:dyDescent="0.55000000000000004">
      <c r="Z1815" s="75"/>
      <c r="AA1815"/>
    </row>
    <row r="1816" spans="26:27" x14ac:dyDescent="0.55000000000000004">
      <c r="Z1816" s="75"/>
      <c r="AA1816"/>
    </row>
    <row r="1817" spans="26:27" x14ac:dyDescent="0.55000000000000004">
      <c r="Z1817" s="75"/>
      <c r="AA1817"/>
    </row>
    <row r="1818" spans="26:27" x14ac:dyDescent="0.55000000000000004">
      <c r="Z1818" s="75"/>
      <c r="AA1818"/>
    </row>
    <row r="1819" spans="26:27" x14ac:dyDescent="0.55000000000000004">
      <c r="Z1819" s="75"/>
      <c r="AA1819"/>
    </row>
    <row r="1820" spans="26:27" x14ac:dyDescent="0.55000000000000004">
      <c r="Z1820" s="75"/>
      <c r="AA1820"/>
    </row>
    <row r="1821" spans="26:27" x14ac:dyDescent="0.55000000000000004">
      <c r="Z1821" s="75"/>
      <c r="AA1821"/>
    </row>
    <row r="1822" spans="26:27" x14ac:dyDescent="0.55000000000000004">
      <c r="Z1822" s="75"/>
      <c r="AA1822"/>
    </row>
    <row r="1823" spans="26:27" x14ac:dyDescent="0.55000000000000004">
      <c r="Z1823" s="75"/>
      <c r="AA1823"/>
    </row>
    <row r="1824" spans="26:27" x14ac:dyDescent="0.55000000000000004">
      <c r="Z1824" s="75"/>
      <c r="AA1824"/>
    </row>
    <row r="1825" spans="26:27" x14ac:dyDescent="0.55000000000000004">
      <c r="Z1825" s="75"/>
      <c r="AA1825"/>
    </row>
    <row r="1826" spans="26:27" x14ac:dyDescent="0.55000000000000004">
      <c r="Z1826" s="75"/>
      <c r="AA1826"/>
    </row>
    <row r="1827" spans="26:27" x14ac:dyDescent="0.55000000000000004">
      <c r="Z1827" s="75"/>
      <c r="AA1827"/>
    </row>
    <row r="1828" spans="26:27" x14ac:dyDescent="0.55000000000000004">
      <c r="Z1828" s="75"/>
      <c r="AA1828"/>
    </row>
    <row r="1829" spans="26:27" x14ac:dyDescent="0.55000000000000004">
      <c r="Z1829" s="75"/>
      <c r="AA1829"/>
    </row>
    <row r="1830" spans="26:27" x14ac:dyDescent="0.55000000000000004">
      <c r="Z1830" s="75"/>
      <c r="AA1830"/>
    </row>
    <row r="1831" spans="26:27" x14ac:dyDescent="0.55000000000000004">
      <c r="Z1831" s="75"/>
      <c r="AA1831"/>
    </row>
    <row r="1832" spans="26:27" x14ac:dyDescent="0.55000000000000004">
      <c r="Z1832" s="75"/>
      <c r="AA1832"/>
    </row>
    <row r="1833" spans="26:27" x14ac:dyDescent="0.55000000000000004">
      <c r="Z1833" s="75"/>
      <c r="AA1833"/>
    </row>
    <row r="1834" spans="26:27" x14ac:dyDescent="0.55000000000000004">
      <c r="Z1834" s="75"/>
      <c r="AA1834"/>
    </row>
    <row r="1835" spans="26:27" x14ac:dyDescent="0.55000000000000004">
      <c r="Z1835" s="75"/>
      <c r="AA1835"/>
    </row>
    <row r="1836" spans="26:27" x14ac:dyDescent="0.55000000000000004">
      <c r="Z1836" s="75"/>
      <c r="AA1836"/>
    </row>
    <row r="1837" spans="26:27" x14ac:dyDescent="0.55000000000000004">
      <c r="Z1837" s="75"/>
      <c r="AA1837"/>
    </row>
    <row r="1838" spans="26:27" x14ac:dyDescent="0.55000000000000004">
      <c r="Z1838" s="75"/>
      <c r="AA1838"/>
    </row>
    <row r="1839" spans="26:27" x14ac:dyDescent="0.55000000000000004">
      <c r="Z1839" s="75"/>
      <c r="AA1839"/>
    </row>
    <row r="1840" spans="26:27" x14ac:dyDescent="0.55000000000000004">
      <c r="Z1840" s="75"/>
      <c r="AA1840"/>
    </row>
    <row r="1841" spans="26:27" x14ac:dyDescent="0.55000000000000004">
      <c r="Z1841" s="75"/>
      <c r="AA1841"/>
    </row>
    <row r="1842" spans="26:27" x14ac:dyDescent="0.55000000000000004">
      <c r="Z1842" s="75"/>
      <c r="AA1842"/>
    </row>
    <row r="1843" spans="26:27" x14ac:dyDescent="0.55000000000000004">
      <c r="Z1843" s="75"/>
      <c r="AA1843"/>
    </row>
    <row r="1844" spans="26:27" x14ac:dyDescent="0.55000000000000004">
      <c r="Z1844" s="75"/>
      <c r="AA1844"/>
    </row>
    <row r="1845" spans="26:27" x14ac:dyDescent="0.55000000000000004">
      <c r="Z1845" s="75"/>
      <c r="AA1845"/>
    </row>
    <row r="1846" spans="26:27" x14ac:dyDescent="0.55000000000000004">
      <c r="Z1846" s="75"/>
      <c r="AA1846"/>
    </row>
    <row r="1847" spans="26:27" x14ac:dyDescent="0.55000000000000004">
      <c r="Z1847" s="75"/>
      <c r="AA1847"/>
    </row>
    <row r="1848" spans="26:27" x14ac:dyDescent="0.55000000000000004">
      <c r="Z1848" s="75"/>
      <c r="AA1848"/>
    </row>
    <row r="1849" spans="26:27" x14ac:dyDescent="0.55000000000000004">
      <c r="Z1849" s="75"/>
      <c r="AA1849"/>
    </row>
    <row r="1850" spans="26:27" x14ac:dyDescent="0.55000000000000004">
      <c r="Z1850" s="75"/>
      <c r="AA1850"/>
    </row>
    <row r="1851" spans="26:27" x14ac:dyDescent="0.55000000000000004">
      <c r="Z1851" s="75"/>
      <c r="AA1851"/>
    </row>
    <row r="1852" spans="26:27" x14ac:dyDescent="0.55000000000000004">
      <c r="Z1852" s="75"/>
      <c r="AA1852"/>
    </row>
    <row r="1853" spans="26:27" x14ac:dyDescent="0.55000000000000004">
      <c r="Z1853" s="75"/>
      <c r="AA1853"/>
    </row>
    <row r="1854" spans="26:27" x14ac:dyDescent="0.55000000000000004">
      <c r="Z1854" s="75"/>
      <c r="AA1854"/>
    </row>
    <row r="1855" spans="26:27" x14ac:dyDescent="0.55000000000000004">
      <c r="Z1855" s="75"/>
      <c r="AA1855"/>
    </row>
    <row r="1856" spans="26:27" x14ac:dyDescent="0.55000000000000004">
      <c r="Z1856" s="75"/>
      <c r="AA1856"/>
    </row>
    <row r="1857" spans="26:27" x14ac:dyDescent="0.55000000000000004">
      <c r="Z1857" s="75"/>
      <c r="AA1857"/>
    </row>
    <row r="1858" spans="26:27" x14ac:dyDescent="0.55000000000000004">
      <c r="Z1858" s="75"/>
      <c r="AA1858"/>
    </row>
    <row r="1859" spans="26:27" x14ac:dyDescent="0.55000000000000004">
      <c r="Z1859" s="75"/>
      <c r="AA1859"/>
    </row>
    <row r="1860" spans="26:27" x14ac:dyDescent="0.55000000000000004">
      <c r="Z1860" s="75"/>
      <c r="AA1860"/>
    </row>
    <row r="1861" spans="26:27" x14ac:dyDescent="0.55000000000000004">
      <c r="Z1861" s="75"/>
      <c r="AA1861"/>
    </row>
    <row r="1862" spans="26:27" x14ac:dyDescent="0.55000000000000004">
      <c r="Z1862" s="75"/>
      <c r="AA1862"/>
    </row>
    <row r="1863" spans="26:27" x14ac:dyDescent="0.55000000000000004">
      <c r="Z1863" s="75"/>
      <c r="AA1863"/>
    </row>
    <row r="1864" spans="26:27" x14ac:dyDescent="0.55000000000000004">
      <c r="Z1864" s="75"/>
      <c r="AA1864"/>
    </row>
    <row r="1865" spans="26:27" x14ac:dyDescent="0.55000000000000004">
      <c r="Z1865" s="75"/>
      <c r="AA1865"/>
    </row>
    <row r="1866" spans="26:27" x14ac:dyDescent="0.55000000000000004">
      <c r="Z1866" s="75"/>
      <c r="AA1866"/>
    </row>
    <row r="1867" spans="26:27" x14ac:dyDescent="0.55000000000000004">
      <c r="Z1867" s="75"/>
      <c r="AA1867"/>
    </row>
    <row r="1868" spans="26:27" x14ac:dyDescent="0.55000000000000004">
      <c r="Z1868" s="75"/>
      <c r="AA1868"/>
    </row>
    <row r="1869" spans="26:27" x14ac:dyDescent="0.55000000000000004">
      <c r="Z1869" s="75"/>
      <c r="AA1869"/>
    </row>
    <row r="1870" spans="26:27" x14ac:dyDescent="0.55000000000000004">
      <c r="Z1870" s="75"/>
      <c r="AA1870"/>
    </row>
    <row r="1871" spans="26:27" x14ac:dyDescent="0.55000000000000004">
      <c r="Z1871" s="75"/>
      <c r="AA1871"/>
    </row>
    <row r="1872" spans="26:27" x14ac:dyDescent="0.55000000000000004">
      <c r="Z1872" s="75"/>
      <c r="AA1872"/>
    </row>
    <row r="1873" spans="26:27" x14ac:dyDescent="0.55000000000000004">
      <c r="Z1873" s="75"/>
      <c r="AA1873"/>
    </row>
    <row r="1874" spans="26:27" x14ac:dyDescent="0.55000000000000004">
      <c r="Z1874" s="75"/>
      <c r="AA1874"/>
    </row>
    <row r="1875" spans="26:27" x14ac:dyDescent="0.55000000000000004">
      <c r="Z1875" s="75"/>
      <c r="AA1875"/>
    </row>
    <row r="1876" spans="26:27" x14ac:dyDescent="0.55000000000000004">
      <c r="Z1876" s="75"/>
      <c r="AA1876"/>
    </row>
    <row r="1877" spans="26:27" x14ac:dyDescent="0.55000000000000004">
      <c r="Z1877" s="75"/>
      <c r="AA1877"/>
    </row>
    <row r="1878" spans="26:27" x14ac:dyDescent="0.55000000000000004">
      <c r="Z1878" s="75"/>
      <c r="AA1878"/>
    </row>
    <row r="1879" spans="26:27" x14ac:dyDescent="0.55000000000000004">
      <c r="Z1879" s="75"/>
      <c r="AA1879"/>
    </row>
    <row r="1880" spans="26:27" x14ac:dyDescent="0.55000000000000004">
      <c r="Z1880" s="75"/>
      <c r="AA1880"/>
    </row>
    <row r="1881" spans="26:27" x14ac:dyDescent="0.55000000000000004">
      <c r="Z1881" s="75"/>
      <c r="AA1881"/>
    </row>
    <row r="1882" spans="26:27" x14ac:dyDescent="0.55000000000000004">
      <c r="Z1882" s="75"/>
      <c r="AA1882"/>
    </row>
    <row r="1883" spans="26:27" x14ac:dyDescent="0.55000000000000004">
      <c r="Z1883" s="75"/>
      <c r="AA1883"/>
    </row>
    <row r="1884" spans="26:27" x14ac:dyDescent="0.55000000000000004">
      <c r="Z1884" s="75"/>
      <c r="AA1884"/>
    </row>
    <row r="1885" spans="26:27" x14ac:dyDescent="0.55000000000000004">
      <c r="Z1885" s="75"/>
      <c r="AA1885"/>
    </row>
    <row r="1886" spans="26:27" x14ac:dyDescent="0.55000000000000004">
      <c r="Z1886" s="75"/>
      <c r="AA1886"/>
    </row>
    <row r="1887" spans="26:27" x14ac:dyDescent="0.55000000000000004">
      <c r="Z1887" s="75"/>
      <c r="AA1887"/>
    </row>
    <row r="1888" spans="26:27" x14ac:dyDescent="0.55000000000000004">
      <c r="Z1888" s="75"/>
      <c r="AA1888"/>
    </row>
    <row r="1889" spans="26:27" x14ac:dyDescent="0.55000000000000004">
      <c r="Z1889" s="75"/>
      <c r="AA1889"/>
    </row>
    <row r="1890" spans="26:27" x14ac:dyDescent="0.55000000000000004">
      <c r="Z1890" s="75"/>
      <c r="AA1890"/>
    </row>
    <row r="1891" spans="26:27" x14ac:dyDescent="0.55000000000000004">
      <c r="Z1891" s="75"/>
      <c r="AA1891"/>
    </row>
    <row r="1892" spans="26:27" x14ac:dyDescent="0.55000000000000004">
      <c r="Z1892" s="75"/>
      <c r="AA1892"/>
    </row>
  </sheetData>
  <autoFilter ref="A1:AB1892" xr:uid="{D69CF28A-F334-4295-AF44-78C741A1982D}"/>
  <sortState xmlns:xlrd2="http://schemas.microsoft.com/office/spreadsheetml/2017/richdata2" ref="A2:AB101">
    <sortCondition descending="1" ref="F1:F10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A2E7B-3F36-4E82-A90C-4AE162955073}">
  <sheetPr codeName="Feuil8"/>
  <dimension ref="A1:AB598"/>
  <sheetViews>
    <sheetView topLeftCell="F96" workbookViewId="0">
      <selection activeCell="F2" sqref="A2:XFD101"/>
    </sheetView>
  </sheetViews>
  <sheetFormatPr baseColWidth="10" defaultRowHeight="14.4" x14ac:dyDescent="0.55000000000000004"/>
  <cols>
    <col min="26" max="26" width="37.83984375" bestFit="1" customWidth="1"/>
  </cols>
  <sheetData>
    <row r="1" spans="1:28" x14ac:dyDescent="0.55000000000000004">
      <c r="A1" t="s">
        <v>114</v>
      </c>
      <c r="B1" t="s">
        <v>115</v>
      </c>
      <c r="C1" t="s">
        <v>116</v>
      </c>
      <c r="D1" t="s">
        <v>70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182</v>
      </c>
      <c r="M1" t="s">
        <v>124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  <c r="W1" t="s">
        <v>171</v>
      </c>
      <c r="X1" t="s">
        <v>172</v>
      </c>
      <c r="Y1" t="s">
        <v>186</v>
      </c>
      <c r="Z1" t="s">
        <v>1417</v>
      </c>
      <c r="AA1" t="s">
        <v>1410</v>
      </c>
      <c r="AB1" t="s">
        <v>811</v>
      </c>
    </row>
    <row r="2" spans="1:28" x14ac:dyDescent="0.55000000000000004">
      <c r="A2" s="24" t="s">
        <v>213</v>
      </c>
      <c r="B2" s="24" t="s">
        <v>1147</v>
      </c>
      <c r="C2" s="24" t="s">
        <v>127</v>
      </c>
      <c r="D2" s="24" t="s">
        <v>72</v>
      </c>
      <c r="E2" s="24" t="s">
        <v>88</v>
      </c>
      <c r="F2" s="70">
        <v>3.133673316192289E-2</v>
      </c>
      <c r="G2" s="24">
        <v>8.0158749999999994</v>
      </c>
      <c r="H2" s="24">
        <v>5.6710459999999996</v>
      </c>
      <c r="I2" s="24">
        <v>5.4531970000000003</v>
      </c>
      <c r="J2" s="24">
        <v>6.0528719999999998</v>
      </c>
      <c r="K2" s="24">
        <v>1.4071229999999999</v>
      </c>
      <c r="L2" s="24">
        <v>3.2833519999999998</v>
      </c>
      <c r="M2" s="24">
        <v>11.078799999999999</v>
      </c>
      <c r="N2" s="24">
        <v>10</v>
      </c>
      <c r="O2" s="24">
        <v>7.8</v>
      </c>
      <c r="P2" s="24">
        <v>10</v>
      </c>
      <c r="Q2" s="24">
        <v>0.6293794370667336</v>
      </c>
      <c r="R2" s="24">
        <v>6.18</v>
      </c>
      <c r="S2" s="24">
        <v>4.7987742594511555</v>
      </c>
      <c r="T2" s="21">
        <v>1</v>
      </c>
      <c r="U2" s="21" t="s">
        <v>2044</v>
      </c>
      <c r="V2" s="70">
        <v>1.33711765117496E-3</v>
      </c>
      <c r="W2" s="70">
        <v>6.1337117651174958E-2</v>
      </c>
      <c r="X2" s="24">
        <v>0.8861827516770806</v>
      </c>
      <c r="Y2" s="24" t="s">
        <v>1440</v>
      </c>
      <c r="Z2" s="75">
        <v>325934.3</v>
      </c>
      <c r="AA2" t="s">
        <v>1415</v>
      </c>
      <c r="AB2" s="24">
        <v>0</v>
      </c>
    </row>
    <row r="3" spans="1:28" x14ac:dyDescent="0.55000000000000004">
      <c r="A3" s="24" t="s">
        <v>214</v>
      </c>
      <c r="B3" s="24" t="s">
        <v>1046</v>
      </c>
      <c r="C3" s="24" t="s">
        <v>125</v>
      </c>
      <c r="D3" s="24" t="s">
        <v>72</v>
      </c>
      <c r="E3" s="24" t="s">
        <v>96</v>
      </c>
      <c r="F3" s="70">
        <v>2.7559452877890068E-2</v>
      </c>
      <c r="G3" s="24">
        <v>8.6471599999999995</v>
      </c>
      <c r="H3" s="24">
        <v>7.2372120000000004</v>
      </c>
      <c r="I3" s="24">
        <v>9.1862619999999993</v>
      </c>
      <c r="J3" s="24">
        <v>8.3859060000000003</v>
      </c>
      <c r="K3" s="24">
        <v>0.90880139999999998</v>
      </c>
      <c r="L3" s="24">
        <v>2.755547</v>
      </c>
      <c r="M3" s="24">
        <v>9.9080999999999992</v>
      </c>
      <c r="N3" s="24">
        <v>6.8750003826531403</v>
      </c>
      <c r="O3" s="24">
        <v>7.2</v>
      </c>
      <c r="P3" s="24">
        <v>7.3755656108597298</v>
      </c>
      <c r="Q3" s="24">
        <v>1.7854782245635923</v>
      </c>
      <c r="R3" s="24">
        <v>5.26</v>
      </c>
      <c r="S3" s="24">
        <v>3.3599176646378677</v>
      </c>
      <c r="T3" s="21">
        <v>1</v>
      </c>
      <c r="U3" s="21" t="s">
        <v>2044</v>
      </c>
      <c r="V3" s="70">
        <v>-2.4401626328578625E-3</v>
      </c>
      <c r="W3" s="70">
        <v>5.7559837367142139E-2</v>
      </c>
      <c r="X3" s="24">
        <v>1.9913768480085625</v>
      </c>
      <c r="Y3" s="24" t="s">
        <v>1492</v>
      </c>
      <c r="Z3" s="75">
        <v>293269.7</v>
      </c>
      <c r="AA3" t="s">
        <v>1415</v>
      </c>
      <c r="AB3" s="24">
        <v>0</v>
      </c>
    </row>
    <row r="4" spans="1:28" x14ac:dyDescent="0.55000000000000004">
      <c r="A4" s="24" t="s">
        <v>215</v>
      </c>
      <c r="B4" s="24" t="s">
        <v>1295</v>
      </c>
      <c r="C4" s="24" t="s">
        <v>110</v>
      </c>
      <c r="D4" s="24" t="s">
        <v>72</v>
      </c>
      <c r="E4" s="24" t="s">
        <v>87</v>
      </c>
      <c r="F4" s="70">
        <v>2.1653049055963311E-2</v>
      </c>
      <c r="G4" s="24">
        <v>5.8251400000000002</v>
      </c>
      <c r="H4" s="24">
        <v>4.7902909999999999</v>
      </c>
      <c r="I4" s="24">
        <v>7.4553839999999996</v>
      </c>
      <c r="J4" s="24">
        <v>6.0037580000000004</v>
      </c>
      <c r="K4" s="24">
        <v>3.6381320000000001</v>
      </c>
      <c r="L4" s="24">
        <v>4.8509440000000001</v>
      </c>
      <c r="M4" s="24">
        <v>70.783600000000007</v>
      </c>
      <c r="N4" s="24">
        <v>1.5271140026131724</v>
      </c>
      <c r="O4" s="24">
        <v>1.8</v>
      </c>
      <c r="P4" s="24">
        <v>6.6527196652719667</v>
      </c>
      <c r="Q4" s="24">
        <v>2.9018513235061025</v>
      </c>
      <c r="R4" s="24">
        <v>6.6900009999999996</v>
      </c>
      <c r="S4" s="24">
        <v>3.4189459298229257</v>
      </c>
      <c r="T4" s="21">
        <v>1</v>
      </c>
      <c r="U4" s="21" t="s">
        <v>2044</v>
      </c>
      <c r="V4" s="70">
        <v>-8.3473354332887564E-3</v>
      </c>
      <c r="W4" s="70">
        <v>5.1652664566711241E-2</v>
      </c>
      <c r="X4" s="24">
        <v>0.52451595784426219</v>
      </c>
      <c r="Y4" s="24" t="s">
        <v>1427</v>
      </c>
      <c r="Z4" s="75">
        <v>232045.9</v>
      </c>
      <c r="AA4" t="s">
        <v>1415</v>
      </c>
      <c r="AB4" s="24">
        <v>0</v>
      </c>
    </row>
    <row r="5" spans="1:28" x14ac:dyDescent="0.55000000000000004">
      <c r="A5" s="24" t="s">
        <v>216</v>
      </c>
      <c r="B5" s="24" t="s">
        <v>998</v>
      </c>
      <c r="C5" s="24" t="s">
        <v>106</v>
      </c>
      <c r="D5" s="24" t="s">
        <v>72</v>
      </c>
      <c r="E5" s="24" t="s">
        <v>88</v>
      </c>
      <c r="F5" s="70">
        <v>1.9746729449951331E-2</v>
      </c>
      <c r="G5" s="24">
        <v>7.8589820000000001</v>
      </c>
      <c r="H5" s="24">
        <v>6.6279779999999997</v>
      </c>
      <c r="I5" s="24">
        <v>5.6537499999999996</v>
      </c>
      <c r="J5" s="24">
        <v>6.4844879999999998</v>
      </c>
      <c r="K5" s="24">
        <v>2.0035379999999998</v>
      </c>
      <c r="L5" s="24">
        <v>6.0049789999999996</v>
      </c>
      <c r="M5" s="24">
        <v>13.7652</v>
      </c>
      <c r="N5" s="24">
        <v>7.8723901474386384</v>
      </c>
      <c r="O5" s="24">
        <v>6.7</v>
      </c>
      <c r="P5" s="24">
        <v>5.89041095890411</v>
      </c>
      <c r="Q5" s="24">
        <v>3.6508065369303155</v>
      </c>
      <c r="R5" s="24">
        <v>5.95</v>
      </c>
      <c r="S5" s="24">
        <v>6.9025968412247156</v>
      </c>
      <c r="T5" s="21">
        <v>1</v>
      </c>
      <c r="U5" s="21" t="s">
        <v>141</v>
      </c>
      <c r="V5" s="70">
        <v>-1.0253655039300737E-2</v>
      </c>
      <c r="W5" s="70">
        <v>4.9746344960699261E-2</v>
      </c>
      <c r="X5" s="24">
        <v>0.71241825750248</v>
      </c>
      <c r="Y5" s="24" t="s">
        <v>1464</v>
      </c>
      <c r="Z5" s="75">
        <v>208589.7</v>
      </c>
      <c r="AA5" t="s">
        <v>1415</v>
      </c>
      <c r="AB5" s="24">
        <v>5.2083333333333329E-2</v>
      </c>
    </row>
    <row r="6" spans="1:28" x14ac:dyDescent="0.55000000000000004">
      <c r="A6" s="24" t="s">
        <v>220</v>
      </c>
      <c r="B6" s="24" t="s">
        <v>1209</v>
      </c>
      <c r="C6" s="24" t="s">
        <v>112</v>
      </c>
      <c r="D6" s="24" t="s">
        <v>72</v>
      </c>
      <c r="E6" s="24" t="s">
        <v>96</v>
      </c>
      <c r="F6" s="70">
        <v>1.9265697556782369E-2</v>
      </c>
      <c r="G6" s="24">
        <v>7.8684859999999999</v>
      </c>
      <c r="H6" s="24">
        <v>6.1056569999999999</v>
      </c>
      <c r="I6" s="24">
        <v>4.679589</v>
      </c>
      <c r="J6" s="24">
        <v>6.217911</v>
      </c>
      <c r="K6" s="24">
        <v>1.049836</v>
      </c>
      <c r="L6" s="24">
        <v>3.197012</v>
      </c>
      <c r="M6" s="24">
        <v>7.4637000000000002</v>
      </c>
      <c r="N6" s="24">
        <v>3.4744905049980619</v>
      </c>
      <c r="O6" s="24">
        <v>8.8000000000000007</v>
      </c>
      <c r="P6" s="24">
        <v>0.90497737556561098</v>
      </c>
      <c r="Q6" s="24">
        <v>3.7000066985459834</v>
      </c>
      <c r="R6" s="24">
        <v>5.12</v>
      </c>
      <c r="S6" s="24">
        <v>3.5089364683646229</v>
      </c>
      <c r="T6" s="21">
        <v>1</v>
      </c>
      <c r="U6" s="21" t="s">
        <v>141</v>
      </c>
      <c r="V6" s="70">
        <v>-1.0733917953965562E-2</v>
      </c>
      <c r="W6" s="70">
        <v>4.9266082046034436E-2</v>
      </c>
      <c r="X6" s="24">
        <v>1.1054815610153526</v>
      </c>
      <c r="Y6" s="24" t="s">
        <v>1606</v>
      </c>
      <c r="Z6" s="75">
        <v>224107.5</v>
      </c>
      <c r="AA6" t="s">
        <v>1415</v>
      </c>
      <c r="AB6" s="24">
        <v>0.10398613518197575</v>
      </c>
    </row>
    <row r="7" spans="1:28" x14ac:dyDescent="0.55000000000000004">
      <c r="A7" s="24" t="s">
        <v>217</v>
      </c>
      <c r="B7" s="24" t="s">
        <v>1129</v>
      </c>
      <c r="C7" s="24" t="s">
        <v>110</v>
      </c>
      <c r="D7" s="24" t="s">
        <v>72</v>
      </c>
      <c r="E7" s="24" t="s">
        <v>88</v>
      </c>
      <c r="F7" s="70">
        <v>1.8994723890785561E-2</v>
      </c>
      <c r="G7" s="24">
        <v>6.7750940000000002</v>
      </c>
      <c r="H7" s="24">
        <v>6.2529620000000001</v>
      </c>
      <c r="I7" s="24">
        <v>7.3265269999999996</v>
      </c>
      <c r="J7" s="24">
        <v>6.7868139999999997</v>
      </c>
      <c r="K7" s="24">
        <v>3.2785869999999999</v>
      </c>
      <c r="L7" s="24">
        <v>7.321885</v>
      </c>
      <c r="M7" s="24" t="e">
        <v>#N/A</v>
      </c>
      <c r="N7" s="24">
        <v>6.3254542863103689</v>
      </c>
      <c r="O7" s="24">
        <v>7.5</v>
      </c>
      <c r="P7" s="24">
        <v>7.095890410958904</v>
      </c>
      <c r="Q7" s="24">
        <v>5.8592945237896377</v>
      </c>
      <c r="R7" s="24">
        <v>7.57</v>
      </c>
      <c r="S7" s="24">
        <v>7.7037221144800316</v>
      </c>
      <c r="T7" s="21">
        <v>1</v>
      </c>
      <c r="U7" s="21" t="s">
        <v>117</v>
      </c>
      <c r="V7" s="70">
        <v>-1.100507979800517E-2</v>
      </c>
      <c r="W7" s="70">
        <v>4.8994920201994828E-2</v>
      </c>
      <c r="X7" s="24">
        <v>0.42853949180757156</v>
      </c>
      <c r="Y7" s="24" t="s">
        <v>1425</v>
      </c>
      <c r="Z7" s="75">
        <v>210472.3</v>
      </c>
      <c r="AA7" t="s">
        <v>1415</v>
      </c>
      <c r="AB7" s="24">
        <v>6.9444444444444448E-2</v>
      </c>
    </row>
    <row r="8" spans="1:28" x14ac:dyDescent="0.55000000000000004">
      <c r="A8" s="24" t="s">
        <v>218</v>
      </c>
      <c r="B8" s="24" t="s">
        <v>1142</v>
      </c>
      <c r="C8" s="24" t="s">
        <v>110</v>
      </c>
      <c r="D8" s="24" t="s">
        <v>72</v>
      </c>
      <c r="E8" s="24" t="s">
        <v>88</v>
      </c>
      <c r="F8" s="70">
        <v>1.828863654900903E-2</v>
      </c>
      <c r="G8" s="24">
        <v>6.8718859999999999</v>
      </c>
      <c r="H8" s="24">
        <v>7.8329519999999997</v>
      </c>
      <c r="I8" s="24">
        <v>7.0892939999999998</v>
      </c>
      <c r="J8" s="24">
        <v>7.3432760000000004</v>
      </c>
      <c r="K8" s="24">
        <v>3.632558</v>
      </c>
      <c r="L8" s="24">
        <v>7.4947739999999996</v>
      </c>
      <c r="M8" s="24">
        <v>1.5907</v>
      </c>
      <c r="N8" s="24">
        <v>4.184072110184097</v>
      </c>
      <c r="O8" s="24">
        <v>8.3000000000000007</v>
      </c>
      <c r="P8" s="24">
        <v>8.712328767123287</v>
      </c>
      <c r="Q8" s="24">
        <v>6.0573323310782605</v>
      </c>
      <c r="R8" s="24">
        <v>8.0999990000000004</v>
      </c>
      <c r="S8" s="24">
        <v>7.296314390495148</v>
      </c>
      <c r="T8" s="21">
        <v>1</v>
      </c>
      <c r="U8" s="21" t="s">
        <v>117</v>
      </c>
      <c r="V8" s="70">
        <v>-1.1711747940243038E-2</v>
      </c>
      <c r="W8" s="70">
        <v>4.828825205975696E-2</v>
      </c>
      <c r="X8" s="24">
        <v>0.4377912395065201</v>
      </c>
      <c r="Y8" s="24" t="s">
        <v>1426</v>
      </c>
      <c r="Z8" s="75">
        <v>198605.1</v>
      </c>
      <c r="AA8" t="s">
        <v>1415</v>
      </c>
      <c r="AB8" s="24">
        <v>8.6805555555555552E-2</v>
      </c>
    </row>
    <row r="9" spans="1:28" x14ac:dyDescent="0.55000000000000004">
      <c r="A9" s="24" t="s">
        <v>219</v>
      </c>
      <c r="B9" s="24" t="s">
        <v>1009</v>
      </c>
      <c r="C9" s="24" t="s">
        <v>106</v>
      </c>
      <c r="D9" s="24" t="s">
        <v>72</v>
      </c>
      <c r="E9" s="24" t="s">
        <v>92</v>
      </c>
      <c r="F9" s="70">
        <v>1.6787129780751316E-2</v>
      </c>
      <c r="G9" s="24">
        <v>6.1710779999999996</v>
      </c>
      <c r="H9" s="24">
        <v>4.0047959999999998</v>
      </c>
      <c r="I9" s="24">
        <v>6.6688739999999997</v>
      </c>
      <c r="J9" s="24">
        <v>5.8871599999999997</v>
      </c>
      <c r="K9" s="24">
        <v>4.2632209999999997</v>
      </c>
      <c r="L9" s="24">
        <v>12.365959999999999</v>
      </c>
      <c r="M9" s="24">
        <v>300.07769999999999</v>
      </c>
      <c r="N9" s="24">
        <v>7.2212386678675511</v>
      </c>
      <c r="O9" s="24">
        <v>6.3</v>
      </c>
      <c r="P9" s="24">
        <v>3.4146341463414638</v>
      </c>
      <c r="Q9" s="24">
        <v>5.7904824471836323</v>
      </c>
      <c r="R9" s="24">
        <v>3.04</v>
      </c>
      <c r="S9" s="24">
        <v>6.9066273092645769</v>
      </c>
      <c r="T9" s="21">
        <v>1</v>
      </c>
      <c r="U9" s="21" t="s">
        <v>117</v>
      </c>
      <c r="V9" s="70">
        <v>-1.3212485729996615E-2</v>
      </c>
      <c r="W9" s="70">
        <v>4.6787514270003383E-2</v>
      </c>
      <c r="X9" s="24">
        <v>0.63160193957546173</v>
      </c>
      <c r="Y9" s="24" t="s">
        <v>1850</v>
      </c>
      <c r="Z9" s="75">
        <v>183392.6</v>
      </c>
      <c r="AA9" t="s">
        <v>1415</v>
      </c>
      <c r="AB9" s="24">
        <v>0</v>
      </c>
    </row>
    <row r="10" spans="1:28" x14ac:dyDescent="0.55000000000000004">
      <c r="A10" s="24" t="s">
        <v>221</v>
      </c>
      <c r="B10" s="24" t="s">
        <v>812</v>
      </c>
      <c r="C10" s="24" t="s">
        <v>107</v>
      </c>
      <c r="D10" s="24" t="s">
        <v>72</v>
      </c>
      <c r="E10" s="24" t="s">
        <v>93</v>
      </c>
      <c r="F10" s="70">
        <v>1.5871338899545128E-2</v>
      </c>
      <c r="G10" s="24">
        <v>7.2046109999999999</v>
      </c>
      <c r="H10" s="24">
        <v>7.491606</v>
      </c>
      <c r="I10" s="24">
        <v>6.4579079999999998</v>
      </c>
      <c r="J10" s="24">
        <v>7.0513750000000002</v>
      </c>
      <c r="K10" s="24">
        <v>1.939195</v>
      </c>
      <c r="L10" s="24">
        <v>4.0106840000000004</v>
      </c>
      <c r="M10" s="24">
        <v>8.6640999999999995</v>
      </c>
      <c r="N10" s="24">
        <v>6.1173759885040599</v>
      </c>
      <c r="O10" s="24">
        <v>1.9</v>
      </c>
      <c r="P10" s="24">
        <v>6.8944099378881996</v>
      </c>
      <c r="Q10" s="24">
        <v>2.3425776136024119</v>
      </c>
      <c r="R10" s="24">
        <v>4.12</v>
      </c>
      <c r="S10" s="24">
        <v>3.2550955553849534</v>
      </c>
      <c r="T10" s="21">
        <v>1</v>
      </c>
      <c r="U10" s="21" t="s">
        <v>141</v>
      </c>
      <c r="V10" s="70">
        <v>-1.4129045589706939E-2</v>
      </c>
      <c r="W10" s="70">
        <v>4.5870954410293055E-2</v>
      </c>
      <c r="X10" s="24">
        <v>1.6968464479270775</v>
      </c>
      <c r="Y10" s="24" t="s">
        <v>1715</v>
      </c>
      <c r="Z10" s="75">
        <v>169451</v>
      </c>
      <c r="AA10" t="s">
        <v>1415</v>
      </c>
      <c r="AB10" s="24">
        <v>0</v>
      </c>
    </row>
    <row r="11" spans="1:28" x14ac:dyDescent="0.55000000000000004">
      <c r="A11" s="24" t="s">
        <v>222</v>
      </c>
      <c r="B11" s="24" t="s">
        <v>1133</v>
      </c>
      <c r="C11" s="24" t="s">
        <v>106</v>
      </c>
      <c r="D11" s="24" t="s">
        <v>72</v>
      </c>
      <c r="E11" s="24" t="s">
        <v>82</v>
      </c>
      <c r="F11" s="70">
        <v>1.3553874576747466E-2</v>
      </c>
      <c r="G11" s="24">
        <v>6.2225659999999996</v>
      </c>
      <c r="H11" s="24">
        <v>5.880986</v>
      </c>
      <c r="I11" s="24">
        <v>6.0196389999999997</v>
      </c>
      <c r="J11" s="24">
        <v>6.0319880000000001</v>
      </c>
      <c r="K11" s="24">
        <v>9.0972659999999994</v>
      </c>
      <c r="L11" s="24">
        <v>15.228960000000001</v>
      </c>
      <c r="M11" s="24">
        <v>9.1919000000000004</v>
      </c>
      <c r="N11" s="24">
        <v>4.742209658213091</v>
      </c>
      <c r="O11" s="24">
        <v>1.9</v>
      </c>
      <c r="P11" s="24">
        <v>4.4892477945427736</v>
      </c>
      <c r="Q11" s="24">
        <v>7.0398535417546837</v>
      </c>
      <c r="R11" s="24">
        <v>7.61</v>
      </c>
      <c r="S11" s="24">
        <v>6.3063279265833874</v>
      </c>
      <c r="T11" s="21">
        <v>1</v>
      </c>
      <c r="U11" s="21" t="s">
        <v>141</v>
      </c>
      <c r="V11" s="70">
        <v>-1.6445740934000461E-2</v>
      </c>
      <c r="W11" s="70">
        <v>4.3554259065999537E-2</v>
      </c>
      <c r="X11" s="24">
        <v>1.1993348903893366</v>
      </c>
      <c r="Y11" s="24" t="s">
        <v>1779</v>
      </c>
      <c r="Z11" s="75">
        <v>148917</v>
      </c>
      <c r="AA11" t="s">
        <v>1415</v>
      </c>
      <c r="AB11" s="24">
        <v>0</v>
      </c>
    </row>
    <row r="12" spans="1:28" x14ac:dyDescent="0.55000000000000004">
      <c r="A12" s="24" t="s">
        <v>224</v>
      </c>
      <c r="B12" s="24" t="s">
        <v>887</v>
      </c>
      <c r="C12" s="24" t="s">
        <v>106</v>
      </c>
      <c r="D12" s="24" t="s">
        <v>72</v>
      </c>
      <c r="E12" s="24" t="s">
        <v>93</v>
      </c>
      <c r="F12" s="70">
        <v>1.3421574688404681E-2</v>
      </c>
      <c r="G12" s="24">
        <v>7.2249610000000004</v>
      </c>
      <c r="H12" s="24">
        <v>4.8786440000000004</v>
      </c>
      <c r="I12" s="24">
        <v>6.8226560000000003</v>
      </c>
      <c r="J12" s="24">
        <v>6.4003740000000002</v>
      </c>
      <c r="K12" s="24">
        <v>3.0619130000000001</v>
      </c>
      <c r="L12" s="24">
        <v>6.608962</v>
      </c>
      <c r="M12" s="24">
        <v>34.522399999999998</v>
      </c>
      <c r="N12" s="24">
        <v>5.2441306775761189</v>
      </c>
      <c r="O12" s="24">
        <v>8.3000000000000007</v>
      </c>
      <c r="P12" s="24">
        <v>8.0753138075313817</v>
      </c>
      <c r="Q12" s="24">
        <v>2.8814212500660434</v>
      </c>
      <c r="R12" s="24">
        <v>4.97</v>
      </c>
      <c r="S12" s="24">
        <v>6.5610589335763159</v>
      </c>
      <c r="T12" s="21">
        <v>1</v>
      </c>
      <c r="U12" s="21" t="s">
        <v>117</v>
      </c>
      <c r="V12" s="70">
        <v>-1.6578809800847388E-2</v>
      </c>
      <c r="W12" s="70">
        <v>4.3421190199152609E-2</v>
      </c>
      <c r="X12" s="24">
        <v>0.26566875867022188</v>
      </c>
      <c r="Y12" s="24" t="s">
        <v>1470</v>
      </c>
      <c r="Z12" s="75">
        <v>143275.4</v>
      </c>
      <c r="AA12" t="s">
        <v>1415</v>
      </c>
      <c r="AB12" s="24">
        <v>0.15985790408525755</v>
      </c>
    </row>
    <row r="13" spans="1:28" x14ac:dyDescent="0.55000000000000004">
      <c r="A13" s="24" t="s">
        <v>223</v>
      </c>
      <c r="B13" s="24" t="s">
        <v>813</v>
      </c>
      <c r="C13" s="24" t="s">
        <v>107</v>
      </c>
      <c r="D13" s="24" t="s">
        <v>72</v>
      </c>
      <c r="E13" s="24" t="s">
        <v>92</v>
      </c>
      <c r="F13" s="70">
        <v>1.2682161407195169E-2</v>
      </c>
      <c r="G13" s="24">
        <v>6.364859</v>
      </c>
      <c r="H13" s="24">
        <v>6.2390489999999996</v>
      </c>
      <c r="I13" s="24">
        <v>5.3448060000000002</v>
      </c>
      <c r="J13" s="24">
        <v>6.0336809999999996</v>
      </c>
      <c r="K13" s="24">
        <v>5.1855580000000003</v>
      </c>
      <c r="L13" s="24">
        <v>12.197509999999999</v>
      </c>
      <c r="M13" s="24">
        <v>217.88910000000001</v>
      </c>
      <c r="N13" s="24">
        <v>5.4734510014488933</v>
      </c>
      <c r="O13" s="24">
        <v>4.7</v>
      </c>
      <c r="P13" s="24">
        <v>7.7560975609756087</v>
      </c>
      <c r="Q13" s="24">
        <v>5.7645941236246632</v>
      </c>
      <c r="R13" s="24">
        <v>4.3499999999999996</v>
      </c>
      <c r="S13" s="24">
        <v>6.7952570218035406</v>
      </c>
      <c r="T13" s="21">
        <v>1</v>
      </c>
      <c r="U13" s="21" t="s">
        <v>141</v>
      </c>
      <c r="V13" s="70">
        <v>-1.731745410355276E-2</v>
      </c>
      <c r="W13" s="70">
        <v>4.2682545896447238E-2</v>
      </c>
      <c r="X13" s="24">
        <v>0.72217609740990929</v>
      </c>
      <c r="Y13" s="24" t="s">
        <v>1708</v>
      </c>
      <c r="Z13" s="75">
        <v>117437.3</v>
      </c>
      <c r="AA13" t="s">
        <v>1415</v>
      </c>
      <c r="AB13" s="24">
        <v>7.9051383399209474E-2</v>
      </c>
    </row>
    <row r="14" spans="1:28" x14ac:dyDescent="0.55000000000000004">
      <c r="A14" s="24" t="s">
        <v>226</v>
      </c>
      <c r="B14" s="24" t="s">
        <v>945</v>
      </c>
      <c r="C14" s="24" t="s">
        <v>112</v>
      </c>
      <c r="D14" s="24" t="s">
        <v>72</v>
      </c>
      <c r="E14" s="24" t="s">
        <v>89</v>
      </c>
      <c r="F14" s="70">
        <v>1.243791993674627E-2</v>
      </c>
      <c r="G14" s="24">
        <v>7.8793150000000001</v>
      </c>
      <c r="H14" s="24">
        <v>5.205203</v>
      </c>
      <c r="I14" s="24">
        <v>8.0613890000000001</v>
      </c>
      <c r="J14" s="24">
        <v>7.1317029999999999</v>
      </c>
      <c r="K14" s="24">
        <v>2.69929</v>
      </c>
      <c r="L14" s="24">
        <v>7.7725010000000001</v>
      </c>
      <c r="M14" s="24">
        <v>18.3249</v>
      </c>
      <c r="N14" s="24">
        <v>5.5186939477547456</v>
      </c>
      <c r="O14" s="24">
        <v>3</v>
      </c>
      <c r="P14" s="24">
        <v>4.1141141141141135</v>
      </c>
      <c r="Q14" s="24">
        <v>5.4199867197875173</v>
      </c>
      <c r="R14" s="24">
        <v>5.68</v>
      </c>
      <c r="S14" s="24">
        <v>5.5599376446211757</v>
      </c>
      <c r="T14" s="21">
        <v>1</v>
      </c>
      <c r="U14" s="21" t="s">
        <v>141</v>
      </c>
      <c r="V14" s="70">
        <v>-1.7562464552505798E-2</v>
      </c>
      <c r="W14" s="70">
        <v>4.24375354474942E-2</v>
      </c>
      <c r="X14" s="24">
        <v>1.4867118030512818</v>
      </c>
      <c r="Y14" s="24" t="s">
        <v>1608</v>
      </c>
      <c r="Z14" s="75">
        <v>134635.1</v>
      </c>
      <c r="AA14" t="s">
        <v>1415</v>
      </c>
      <c r="AB14" s="24">
        <v>1.7301038062283738E-2</v>
      </c>
    </row>
    <row r="15" spans="1:28" x14ac:dyDescent="0.55000000000000004">
      <c r="A15" s="24" t="s">
        <v>225</v>
      </c>
      <c r="B15" s="24" t="s">
        <v>814</v>
      </c>
      <c r="C15" s="24" t="s">
        <v>107</v>
      </c>
      <c r="D15" s="24" t="s">
        <v>72</v>
      </c>
      <c r="E15" s="24" t="s">
        <v>89</v>
      </c>
      <c r="F15" s="70">
        <v>1.2424800854324477E-2</v>
      </c>
      <c r="G15" s="24">
        <v>8.2668379999999999</v>
      </c>
      <c r="H15" s="24">
        <v>6.7470379999999999</v>
      </c>
      <c r="I15" s="24">
        <v>6.3593919999999997</v>
      </c>
      <c r="J15" s="24">
        <v>7.238664</v>
      </c>
      <c r="K15" s="24">
        <v>1.5880449999999999</v>
      </c>
      <c r="L15" s="24">
        <v>4.5186219999999997</v>
      </c>
      <c r="M15" s="24">
        <v>19.394200000000001</v>
      </c>
      <c r="N15" s="24">
        <v>7.7415168471356441</v>
      </c>
      <c r="O15" s="24">
        <v>5.3</v>
      </c>
      <c r="P15" s="24">
        <v>5.6756756756756745</v>
      </c>
      <c r="Q15" s="24">
        <v>2.4125719344842853</v>
      </c>
      <c r="R15" s="24">
        <v>4.53</v>
      </c>
      <c r="S15" s="24">
        <v>4.0274989967979593</v>
      </c>
      <c r="T15" s="21">
        <v>1</v>
      </c>
      <c r="U15" s="21" t="s">
        <v>141</v>
      </c>
      <c r="V15" s="70">
        <v>-1.7574814656423451E-2</v>
      </c>
      <c r="W15" s="70">
        <v>4.2425185343576546E-2</v>
      </c>
      <c r="X15" s="24">
        <v>1.6075267253514911</v>
      </c>
      <c r="Y15" s="24" t="s">
        <v>1723</v>
      </c>
      <c r="Z15" s="75">
        <v>125768.7</v>
      </c>
      <c r="AA15" t="s">
        <v>1415</v>
      </c>
      <c r="AB15" s="24">
        <v>0</v>
      </c>
    </row>
    <row r="16" spans="1:28" x14ac:dyDescent="0.55000000000000004">
      <c r="A16" s="24" t="s">
        <v>227</v>
      </c>
      <c r="B16" s="24" t="s">
        <v>815</v>
      </c>
      <c r="C16" s="24" t="s">
        <v>107</v>
      </c>
      <c r="D16" s="24" t="s">
        <v>72</v>
      </c>
      <c r="E16" s="24" t="s">
        <v>88</v>
      </c>
      <c r="F16" s="70">
        <v>1.079260386401505E-2</v>
      </c>
      <c r="G16" s="24">
        <v>7.6535589999999996</v>
      </c>
      <c r="H16" s="24">
        <v>5.2358880000000001</v>
      </c>
      <c r="I16" s="24">
        <v>6.3652170000000003</v>
      </c>
      <c r="J16" s="24">
        <v>6.1711539999999996</v>
      </c>
      <c r="K16" s="24">
        <v>3.7522769999999999</v>
      </c>
      <c r="L16" s="24">
        <v>8.6137080000000008</v>
      </c>
      <c r="M16" s="24">
        <v>22.8447</v>
      </c>
      <c r="N16" s="24">
        <v>4.5283457719407325</v>
      </c>
      <c r="O16" s="24">
        <v>4.2</v>
      </c>
      <c r="P16" s="24">
        <v>4.6575342465753424</v>
      </c>
      <c r="Q16" s="24">
        <v>7.6184381525098139</v>
      </c>
      <c r="R16" s="24">
        <v>8.5</v>
      </c>
      <c r="S16" s="24">
        <v>7.5662027313780227</v>
      </c>
      <c r="T16" s="21">
        <v>1</v>
      </c>
      <c r="U16" s="21" t="s">
        <v>117</v>
      </c>
      <c r="V16" s="70">
        <v>-1.9207780625237019E-2</v>
      </c>
      <c r="W16" s="70">
        <v>4.0792219374762975E-2</v>
      </c>
      <c r="X16" s="24">
        <v>0.62435236758764412</v>
      </c>
      <c r="Y16" s="24" t="s">
        <v>1451</v>
      </c>
      <c r="Z16" s="75">
        <v>113112.6</v>
      </c>
      <c r="AA16" t="s">
        <v>1415</v>
      </c>
      <c r="AB16" s="24">
        <v>0.24305555555555555</v>
      </c>
    </row>
    <row r="17" spans="1:28" x14ac:dyDescent="0.55000000000000004">
      <c r="A17" s="24" t="s">
        <v>228</v>
      </c>
      <c r="B17" s="24" t="s">
        <v>985</v>
      </c>
      <c r="C17" s="24" t="s">
        <v>112</v>
      </c>
      <c r="D17" s="24" t="s">
        <v>72</v>
      </c>
      <c r="E17" s="24" t="s">
        <v>90</v>
      </c>
      <c r="F17" s="70">
        <v>1.0549211320718802E-2</v>
      </c>
      <c r="G17" s="24">
        <v>7.2843879999999999</v>
      </c>
      <c r="H17" s="24">
        <v>7.3959979999999996</v>
      </c>
      <c r="I17" s="24">
        <v>7.2265819999999996</v>
      </c>
      <c r="J17" s="24">
        <v>7.3032190000000003</v>
      </c>
      <c r="K17" s="24">
        <v>5.0516389999999998</v>
      </c>
      <c r="L17" s="24">
        <v>10.211449999999999</v>
      </c>
      <c r="M17" s="24">
        <v>4.2564000000000002</v>
      </c>
      <c r="N17" s="24">
        <v>4.6104488822387193</v>
      </c>
      <c r="O17" s="24">
        <v>3.8</v>
      </c>
      <c r="P17" s="24">
        <v>5.1344091542375434</v>
      </c>
      <c r="Q17" s="24">
        <v>3.0967469370511198</v>
      </c>
      <c r="R17" s="24">
        <v>5.4</v>
      </c>
      <c r="S17" s="24">
        <v>4.7241062399000979</v>
      </c>
      <c r="T17" s="21">
        <v>1</v>
      </c>
      <c r="U17" s="21" t="s">
        <v>141</v>
      </c>
      <c r="V17" s="70">
        <v>-1.9450819461165926E-2</v>
      </c>
      <c r="W17" s="70">
        <v>4.0549180538834072E-2</v>
      </c>
      <c r="X17" s="24">
        <v>0.82595911731853167</v>
      </c>
      <c r="Y17" s="24" t="s">
        <v>1613</v>
      </c>
      <c r="Z17" s="75">
        <v>115076.1</v>
      </c>
      <c r="AA17" t="s">
        <v>1415</v>
      </c>
      <c r="AB17" s="24">
        <v>0.10256410256410256</v>
      </c>
    </row>
    <row r="18" spans="1:28" x14ac:dyDescent="0.55000000000000004">
      <c r="A18" s="24" t="s">
        <v>229</v>
      </c>
      <c r="B18" s="24" t="s">
        <v>816</v>
      </c>
      <c r="C18" s="24" t="s">
        <v>107</v>
      </c>
      <c r="D18" s="24" t="s">
        <v>72</v>
      </c>
      <c r="E18" s="24" t="s">
        <v>84</v>
      </c>
      <c r="F18" s="70">
        <v>9.1122861556021412E-3</v>
      </c>
      <c r="G18" s="24">
        <v>5.3920409999999999</v>
      </c>
      <c r="H18" s="24">
        <v>6.1697389999999999</v>
      </c>
      <c r="I18" s="24">
        <v>7.2395240000000003</v>
      </c>
      <c r="J18" s="24">
        <v>6.2671010000000003</v>
      </c>
      <c r="K18" s="24">
        <v>1.8783179999999999</v>
      </c>
      <c r="L18" s="24">
        <v>3.9375209999999998</v>
      </c>
      <c r="M18" s="24">
        <v>901.52530000000002</v>
      </c>
      <c r="N18" s="24">
        <v>7.9779269522353937</v>
      </c>
      <c r="O18" s="24">
        <v>8.1</v>
      </c>
      <c r="P18" s="24">
        <v>6.5671641791044779</v>
      </c>
      <c r="Q18" s="24">
        <v>1.3761971134705759</v>
      </c>
      <c r="R18" s="24">
        <v>4.32</v>
      </c>
      <c r="S18" s="24">
        <v>4.8774228160635822</v>
      </c>
      <c r="T18" s="21">
        <v>1</v>
      </c>
      <c r="U18" s="21" t="s">
        <v>141</v>
      </c>
      <c r="V18" s="70">
        <v>-2.0888098333649928E-2</v>
      </c>
      <c r="W18" s="70">
        <v>3.911190166635007E-2</v>
      </c>
      <c r="X18" s="24">
        <v>0.92439047990066558</v>
      </c>
      <c r="Y18" s="24" t="s">
        <v>1707</v>
      </c>
      <c r="Z18" s="75">
        <v>97905.25</v>
      </c>
      <c r="AA18" t="s">
        <v>1415</v>
      </c>
      <c r="AB18" s="24">
        <v>0</v>
      </c>
    </row>
    <row r="19" spans="1:28" x14ac:dyDescent="0.55000000000000004">
      <c r="A19" s="24" t="s">
        <v>230</v>
      </c>
      <c r="B19" s="24" t="s">
        <v>817</v>
      </c>
      <c r="C19" s="24" t="s">
        <v>107</v>
      </c>
      <c r="D19" s="24" t="s">
        <v>72</v>
      </c>
      <c r="E19" s="24" t="s">
        <v>93</v>
      </c>
      <c r="F19" s="70">
        <v>8.7034847204316059E-3</v>
      </c>
      <c r="G19" s="24">
        <v>7.4309919999999998</v>
      </c>
      <c r="H19" s="24">
        <v>8.2413290000000003</v>
      </c>
      <c r="I19" s="24">
        <v>5.4181609999999996</v>
      </c>
      <c r="J19" s="24">
        <v>7.0702439999999998</v>
      </c>
      <c r="K19" s="24">
        <v>1.727703</v>
      </c>
      <c r="L19" s="24">
        <v>2.837796</v>
      </c>
      <c r="M19" s="24">
        <v>5.8238000000000003</v>
      </c>
      <c r="N19" s="24">
        <v>7.6002506566384636</v>
      </c>
      <c r="O19" s="24">
        <v>3.1</v>
      </c>
      <c r="P19" s="24">
        <v>7.2981366459627335</v>
      </c>
      <c r="Q19" s="24">
        <v>1.0469804709780808</v>
      </c>
      <c r="R19" s="24">
        <v>4.28</v>
      </c>
      <c r="S19" s="24">
        <v>3.7006549699641371</v>
      </c>
      <c r="T19" s="21">
        <v>1</v>
      </c>
      <c r="U19" s="21" t="s">
        <v>141</v>
      </c>
      <c r="V19" s="70">
        <v>-2.129656250803498E-2</v>
      </c>
      <c r="W19" s="70">
        <v>3.8703437491965018E-2</v>
      </c>
      <c r="X19" s="24">
        <v>1.0222731872391322</v>
      </c>
      <c r="Y19" s="24" t="s">
        <v>1709</v>
      </c>
      <c r="Z19" s="75">
        <v>92727.25</v>
      </c>
      <c r="AA19" t="s">
        <v>1415</v>
      </c>
      <c r="AB19" s="24">
        <v>0.15437392795883362</v>
      </c>
    </row>
    <row r="20" spans="1:28" x14ac:dyDescent="0.55000000000000004">
      <c r="A20" s="24" t="s">
        <v>231</v>
      </c>
      <c r="B20" s="24" t="s">
        <v>927</v>
      </c>
      <c r="C20" s="24" t="s">
        <v>112</v>
      </c>
      <c r="D20" s="24" t="s">
        <v>72</v>
      </c>
      <c r="E20" s="24" t="s">
        <v>97</v>
      </c>
      <c r="F20" s="70">
        <v>8.6391418685918854E-3</v>
      </c>
      <c r="G20" s="24">
        <v>7.7227880000000004</v>
      </c>
      <c r="H20" s="24">
        <v>6.6526620000000003</v>
      </c>
      <c r="I20" s="24">
        <v>6.0290270000000001</v>
      </c>
      <c r="J20" s="24">
        <v>6.8014919999999996</v>
      </c>
      <c r="K20" s="24">
        <v>3.2303630000000001</v>
      </c>
      <c r="L20" s="24">
        <v>8.2729429999999997</v>
      </c>
      <c r="M20" s="24">
        <v>43.461799999999997</v>
      </c>
      <c r="N20" s="24">
        <v>10</v>
      </c>
      <c r="O20" s="24">
        <v>4.5</v>
      </c>
      <c r="P20" s="24">
        <v>5.2631578947368407</v>
      </c>
      <c r="Q20" s="24">
        <v>6.6660793047325821</v>
      </c>
      <c r="R20" s="24">
        <v>3.78</v>
      </c>
      <c r="S20" s="24">
        <v>6.9522539682148885</v>
      </c>
      <c r="T20" s="21">
        <v>1</v>
      </c>
      <c r="U20" s="21" t="s">
        <v>117</v>
      </c>
      <c r="V20" s="70">
        <v>-2.1360688971440139E-2</v>
      </c>
      <c r="W20" s="70">
        <v>3.8639311028559858E-2</v>
      </c>
      <c r="X20" s="24">
        <v>0.30766542601646957</v>
      </c>
      <c r="Y20" s="24" t="s">
        <v>1430</v>
      </c>
      <c r="Z20" s="75">
        <v>88218.93</v>
      </c>
      <c r="AA20" t="s">
        <v>1415</v>
      </c>
      <c r="AB20" s="24">
        <v>0</v>
      </c>
    </row>
    <row r="21" spans="1:28" x14ac:dyDescent="0.55000000000000004">
      <c r="A21" s="24" t="s">
        <v>233</v>
      </c>
      <c r="B21" s="24" t="s">
        <v>935</v>
      </c>
      <c r="C21" s="24" t="s">
        <v>110</v>
      </c>
      <c r="D21" s="24" t="s">
        <v>72</v>
      </c>
      <c r="E21" s="24" t="s">
        <v>86</v>
      </c>
      <c r="F21" s="70">
        <v>8.0746793155407805E-3</v>
      </c>
      <c r="G21" s="24">
        <v>7.4029509999999998</v>
      </c>
      <c r="H21" s="24">
        <v>6.1333089999999997</v>
      </c>
      <c r="I21" s="24">
        <v>6.687665</v>
      </c>
      <c r="J21" s="24">
        <v>6.7082259999999998</v>
      </c>
      <c r="K21" s="24">
        <v>2.6794229999999999</v>
      </c>
      <c r="L21" s="24">
        <v>5.1212780000000002</v>
      </c>
      <c r="M21" s="24">
        <v>4.2816000000000001</v>
      </c>
      <c r="N21" s="24">
        <v>9.4408808176388987</v>
      </c>
      <c r="O21" s="24">
        <v>5.5</v>
      </c>
      <c r="P21" s="24">
        <v>1.4247313359926168</v>
      </c>
      <c r="Q21" s="24">
        <v>3.2234896493451632</v>
      </c>
      <c r="R21" s="24">
        <v>2.2200000000000002</v>
      </c>
      <c r="S21" s="24">
        <v>2.6898033645675481</v>
      </c>
      <c r="T21" s="21">
        <v>1</v>
      </c>
      <c r="U21" s="21" t="s">
        <v>141</v>
      </c>
      <c r="V21" s="70">
        <v>-2.1925333921081383E-2</v>
      </c>
      <c r="W21" s="70">
        <v>3.8074666078918615E-2</v>
      </c>
      <c r="X21" s="24">
        <v>1.4016906046404973</v>
      </c>
      <c r="Y21" s="24" t="s">
        <v>1564</v>
      </c>
      <c r="Z21" s="75">
        <v>88775.96</v>
      </c>
      <c r="AA21" t="s">
        <v>1415</v>
      </c>
      <c r="AB21" s="24">
        <v>0.18803418803418803</v>
      </c>
    </row>
    <row r="22" spans="1:28" x14ac:dyDescent="0.55000000000000004">
      <c r="A22" s="24" t="s">
        <v>235</v>
      </c>
      <c r="B22" s="24" t="s">
        <v>960</v>
      </c>
      <c r="C22" s="24" t="s">
        <v>110</v>
      </c>
      <c r="D22" s="24" t="s">
        <v>72</v>
      </c>
      <c r="E22" s="24" t="s">
        <v>89</v>
      </c>
      <c r="F22" s="70">
        <v>7.7151557801868791E-3</v>
      </c>
      <c r="G22" s="24">
        <v>7.4069050000000001</v>
      </c>
      <c r="H22" s="24">
        <v>8.1198390000000007</v>
      </c>
      <c r="I22" s="24">
        <v>8.0507910000000003</v>
      </c>
      <c r="J22" s="24">
        <v>7.8139510000000003</v>
      </c>
      <c r="K22" s="24">
        <v>1.727641</v>
      </c>
      <c r="L22" s="24">
        <v>5.2040769999999998</v>
      </c>
      <c r="M22" s="24">
        <v>22.0381</v>
      </c>
      <c r="N22" s="24">
        <v>5.6753838048245591</v>
      </c>
      <c r="O22" s="24">
        <v>6.5</v>
      </c>
      <c r="P22" s="24">
        <v>7.6876876876876867</v>
      </c>
      <c r="Q22" s="24">
        <v>2.6955146082337316</v>
      </c>
      <c r="R22" s="24">
        <v>4.4400000000000004</v>
      </c>
      <c r="S22" s="24">
        <v>4.8125947851150528</v>
      </c>
      <c r="T22" s="21">
        <v>1</v>
      </c>
      <c r="U22" s="21" t="s">
        <v>141</v>
      </c>
      <c r="V22" s="70">
        <v>-2.2284459730561049E-2</v>
      </c>
      <c r="W22" s="70">
        <v>3.7715540269438949E-2</v>
      </c>
      <c r="X22" s="24">
        <v>1.3358954836641725</v>
      </c>
      <c r="Y22" s="24" t="s">
        <v>1540</v>
      </c>
      <c r="Z22" s="75">
        <v>82428.58</v>
      </c>
      <c r="AA22" t="s">
        <v>1415</v>
      </c>
      <c r="AB22" s="24">
        <v>0.17301038062283738</v>
      </c>
    </row>
    <row r="23" spans="1:28" x14ac:dyDescent="0.55000000000000004">
      <c r="A23" s="24" t="s">
        <v>237</v>
      </c>
      <c r="B23" s="24" t="s">
        <v>1184</v>
      </c>
      <c r="C23" s="24" t="s">
        <v>106</v>
      </c>
      <c r="D23" s="24" t="s">
        <v>72</v>
      </c>
      <c r="E23" s="24" t="s">
        <v>91</v>
      </c>
      <c r="F23" s="70">
        <v>7.3943246498914461E-3</v>
      </c>
      <c r="G23" s="24">
        <v>8.6428320000000003</v>
      </c>
      <c r="H23" s="24">
        <v>6.9004500000000002</v>
      </c>
      <c r="I23" s="24">
        <v>6.5819380000000001</v>
      </c>
      <c r="J23" s="24">
        <v>7.501849</v>
      </c>
      <c r="K23" s="24">
        <v>1.788192</v>
      </c>
      <c r="L23" s="24">
        <v>4.0876469999999996</v>
      </c>
      <c r="M23" s="24">
        <v>5.6430999999999996</v>
      </c>
      <c r="N23" s="24">
        <v>5.284043918746316</v>
      </c>
      <c r="O23" s="24">
        <v>6.6</v>
      </c>
      <c r="P23" s="24">
        <v>7.0186335403726723</v>
      </c>
      <c r="Q23" s="24">
        <v>0.85123720020642635</v>
      </c>
      <c r="R23" s="24">
        <v>4.37</v>
      </c>
      <c r="S23" s="24">
        <v>4.3305253388884912</v>
      </c>
      <c r="T23" s="21">
        <v>1</v>
      </c>
      <c r="U23" s="21" t="s">
        <v>141</v>
      </c>
      <c r="V23" s="70">
        <v>-2.260605983936062E-2</v>
      </c>
      <c r="W23" s="70">
        <v>3.7393940160639377E-2</v>
      </c>
      <c r="X23" s="24">
        <v>0.5888376315377174</v>
      </c>
      <c r="Y23" s="24" t="s">
        <v>1816</v>
      </c>
      <c r="Z23" s="75">
        <v>78805.399999999994</v>
      </c>
      <c r="AA23" t="s">
        <v>1415</v>
      </c>
      <c r="AB23" s="24">
        <v>0.274442538593482</v>
      </c>
    </row>
    <row r="24" spans="1:28" x14ac:dyDescent="0.55000000000000004">
      <c r="A24" s="24" t="s">
        <v>241</v>
      </c>
      <c r="B24" s="24" t="s">
        <v>860</v>
      </c>
      <c r="C24" s="24" t="s">
        <v>111</v>
      </c>
      <c r="D24" s="24" t="s">
        <v>72</v>
      </c>
      <c r="E24" s="24" t="s">
        <v>99</v>
      </c>
      <c r="F24" s="70">
        <v>7.3628441185483104E-3</v>
      </c>
      <c r="G24" s="24">
        <v>5.3933270000000002</v>
      </c>
      <c r="H24" s="24">
        <v>7.5209169999999999</v>
      </c>
      <c r="I24" s="24">
        <v>6.7238819999999997</v>
      </c>
      <c r="J24" s="24">
        <v>6.084956</v>
      </c>
      <c r="K24" s="24">
        <v>4.2859959999999999</v>
      </c>
      <c r="L24" s="24">
        <v>6.9558150000000003</v>
      </c>
      <c r="M24" s="24">
        <v>392.21080000000001</v>
      </c>
      <c r="N24" s="24">
        <v>9.2641935962695712</v>
      </c>
      <c r="O24" s="24">
        <v>9.1</v>
      </c>
      <c r="P24" s="24">
        <v>6.1370716510903431</v>
      </c>
      <c r="Q24" s="24">
        <v>4.140560217980461</v>
      </c>
      <c r="R24" s="24">
        <v>5.4</v>
      </c>
      <c r="S24" s="24">
        <v>6.2647950593344461</v>
      </c>
      <c r="T24" s="21">
        <v>1</v>
      </c>
      <c r="U24" s="21" t="s">
        <v>141</v>
      </c>
      <c r="V24" s="70">
        <v>-2.2636925090966813E-2</v>
      </c>
      <c r="W24" s="70">
        <v>3.7363074909033185E-2</v>
      </c>
      <c r="X24" s="24">
        <v>0.4551563727144245</v>
      </c>
      <c r="Y24" s="24" t="s">
        <v>1675</v>
      </c>
      <c r="Z24" s="75">
        <v>83524.160000000003</v>
      </c>
      <c r="AA24" t="s">
        <v>1415</v>
      </c>
      <c r="AB24" s="24">
        <v>0</v>
      </c>
    </row>
    <row r="25" spans="1:28" x14ac:dyDescent="0.55000000000000004">
      <c r="A25" s="24" t="s">
        <v>242</v>
      </c>
      <c r="B25" s="24" t="s">
        <v>820</v>
      </c>
      <c r="C25" s="24" t="s">
        <v>107</v>
      </c>
      <c r="D25" s="24" t="s">
        <v>72</v>
      </c>
      <c r="E25" s="24" t="s">
        <v>89</v>
      </c>
      <c r="F25" s="70">
        <v>7.2759856874893957E-3</v>
      </c>
      <c r="G25" s="24">
        <v>7.0540669999999999</v>
      </c>
      <c r="H25" s="24">
        <v>7.9818720000000001</v>
      </c>
      <c r="I25" s="24">
        <v>4.9638210000000003</v>
      </c>
      <c r="J25" s="24">
        <v>6.7053349999999998</v>
      </c>
      <c r="K25" s="24">
        <v>1.364379</v>
      </c>
      <c r="L25" s="24">
        <v>4.4044030000000003</v>
      </c>
      <c r="M25" s="24">
        <v>27.114899999999999</v>
      </c>
      <c r="N25" s="24">
        <v>6.2048854028577729</v>
      </c>
      <c r="O25" s="24">
        <v>7.8</v>
      </c>
      <c r="P25" s="24">
        <v>5.3153153153153143</v>
      </c>
      <c r="Q25" s="24">
        <v>2.1036221779548474</v>
      </c>
      <c r="R25" s="24">
        <v>3.67</v>
      </c>
      <c r="S25" s="24">
        <v>4.1113741958625951</v>
      </c>
      <c r="T25" s="21">
        <v>1</v>
      </c>
      <c r="U25" s="21" t="s">
        <v>141</v>
      </c>
      <c r="V25" s="70">
        <v>-2.2723702085317217E-2</v>
      </c>
      <c r="W25" s="70">
        <v>3.7276297914682781E-2</v>
      </c>
      <c r="X25" s="24">
        <v>1.0605526209098983</v>
      </c>
      <c r="Y25" s="24" t="s">
        <v>1705</v>
      </c>
      <c r="Z25" s="75">
        <v>71163.34</v>
      </c>
      <c r="AA25" t="s">
        <v>1415</v>
      </c>
      <c r="AB25" s="24">
        <v>0.29411764705882354</v>
      </c>
    </row>
    <row r="26" spans="1:28" x14ac:dyDescent="0.55000000000000004">
      <c r="A26" s="24" t="s">
        <v>232</v>
      </c>
      <c r="B26" s="24" t="s">
        <v>1273</v>
      </c>
      <c r="C26" s="24" t="s">
        <v>106</v>
      </c>
      <c r="D26" s="24" t="s">
        <v>72</v>
      </c>
      <c r="E26" s="24" t="s">
        <v>92</v>
      </c>
      <c r="F26" s="70">
        <v>7.2722454245507931E-3</v>
      </c>
      <c r="G26" s="24">
        <v>6.7327190000000003</v>
      </c>
      <c r="H26" s="24">
        <v>3.2824119999999999</v>
      </c>
      <c r="I26" s="24">
        <v>5.6865199999999998</v>
      </c>
      <c r="J26" s="24">
        <v>5.7287980000000003</v>
      </c>
      <c r="K26" s="24">
        <v>5.8987059999999998</v>
      </c>
      <c r="L26" s="24">
        <v>11.046379999999999</v>
      </c>
      <c r="M26" s="24">
        <v>258.2294</v>
      </c>
      <c r="N26" s="24">
        <v>3.5066368348148598</v>
      </c>
      <c r="O26" s="24">
        <v>1.3</v>
      </c>
      <c r="P26" s="24">
        <v>4.9268292682926838</v>
      </c>
      <c r="Q26" s="24">
        <v>7.186421970232387</v>
      </c>
      <c r="R26" s="24">
        <v>5.01</v>
      </c>
      <c r="S26" s="24">
        <v>5.5691110815296181</v>
      </c>
      <c r="T26" s="21">
        <v>1</v>
      </c>
      <c r="U26" s="21" t="s">
        <v>141</v>
      </c>
      <c r="V26" s="70">
        <v>-2.2727370086197136E-2</v>
      </c>
      <c r="W26" s="70">
        <v>3.7272629913802861E-2</v>
      </c>
      <c r="X26" s="24">
        <v>0.61295642335461875</v>
      </c>
      <c r="Y26" s="24" t="s">
        <v>1789</v>
      </c>
      <c r="Z26" s="75">
        <v>77602.59</v>
      </c>
      <c r="AA26" t="s">
        <v>1415</v>
      </c>
      <c r="AB26" s="24">
        <v>0.25691699604743085</v>
      </c>
    </row>
    <row r="27" spans="1:28" x14ac:dyDescent="0.55000000000000004">
      <c r="A27" s="24" t="s">
        <v>238</v>
      </c>
      <c r="B27" s="24" t="s">
        <v>1050</v>
      </c>
      <c r="C27" s="24" t="s">
        <v>110</v>
      </c>
      <c r="D27" s="24" t="s">
        <v>72</v>
      </c>
      <c r="E27" s="24" t="s">
        <v>90</v>
      </c>
      <c r="F27" s="70">
        <v>7.2370934072361207E-3</v>
      </c>
      <c r="G27" s="24">
        <v>5.2592230000000004</v>
      </c>
      <c r="H27" s="24">
        <v>5.8012699999999997</v>
      </c>
      <c r="I27" s="24">
        <v>2.9022559999999999</v>
      </c>
      <c r="J27" s="24">
        <v>4.6240009999999998</v>
      </c>
      <c r="K27" s="24">
        <v>5.1732009999999997</v>
      </c>
      <c r="L27" s="24">
        <v>7.667154</v>
      </c>
      <c r="M27" s="24">
        <v>0.70515000000000005</v>
      </c>
      <c r="N27" s="24">
        <v>6.3714489629444966</v>
      </c>
      <c r="O27" s="24">
        <v>2.9</v>
      </c>
      <c r="P27" s="24">
        <v>6.747312553474468</v>
      </c>
      <c r="Q27" s="24">
        <v>3.1432192648922692</v>
      </c>
      <c r="R27" s="24">
        <v>5.29</v>
      </c>
      <c r="S27" s="24">
        <v>4.8484369779024972</v>
      </c>
      <c r="T27" s="21">
        <v>1</v>
      </c>
      <c r="U27" s="21" t="s">
        <v>141</v>
      </c>
      <c r="V27" s="70">
        <v>-2.2762920170577926E-2</v>
      </c>
      <c r="W27" s="70">
        <v>3.7237079829422072E-2</v>
      </c>
      <c r="X27" s="24">
        <v>0.53291413395879339</v>
      </c>
      <c r="Y27" s="24" t="s">
        <v>1535</v>
      </c>
      <c r="Z27" s="75">
        <v>77964.12</v>
      </c>
      <c r="AA27" t="s">
        <v>1415</v>
      </c>
      <c r="AB27" s="24">
        <v>0.27350427350427353</v>
      </c>
    </row>
    <row r="28" spans="1:28" x14ac:dyDescent="0.55000000000000004">
      <c r="A28" s="24" t="s">
        <v>236</v>
      </c>
      <c r="B28" s="24" t="s">
        <v>818</v>
      </c>
      <c r="C28" s="24" t="s">
        <v>107</v>
      </c>
      <c r="D28" s="24" t="s">
        <v>72</v>
      </c>
      <c r="E28" s="24" t="s">
        <v>89</v>
      </c>
      <c r="F28" s="70">
        <v>7.1065348527383689E-3</v>
      </c>
      <c r="G28" s="24">
        <v>5.5340550000000004</v>
      </c>
      <c r="H28" s="24">
        <v>7.3809709999999997</v>
      </c>
      <c r="I28" s="24">
        <v>6.6698510000000004</v>
      </c>
      <c r="J28" s="24">
        <v>6.4288689999999997</v>
      </c>
      <c r="K28" s="24">
        <v>1.672479</v>
      </c>
      <c r="L28" s="24">
        <v>3.7940269999999998</v>
      </c>
      <c r="M28" s="24">
        <v>17.278400000000001</v>
      </c>
      <c r="N28" s="24">
        <v>7.3546575597727433</v>
      </c>
      <c r="O28" s="24">
        <v>3.5</v>
      </c>
      <c r="P28" s="24">
        <v>5.0150150150150141</v>
      </c>
      <c r="Q28" s="24">
        <v>3.323741699867198</v>
      </c>
      <c r="R28" s="24">
        <v>2.74</v>
      </c>
      <c r="S28" s="24">
        <v>3.5249560711217267</v>
      </c>
      <c r="T28" s="21">
        <v>1</v>
      </c>
      <c r="U28" s="21" t="s">
        <v>141</v>
      </c>
      <c r="V28" s="70">
        <v>-2.289308065800956E-2</v>
      </c>
      <c r="W28" s="70">
        <v>3.7106919341990438E-2</v>
      </c>
      <c r="X28" s="24">
        <v>1.0883322139005045</v>
      </c>
      <c r="Y28" s="24" t="s">
        <v>1906</v>
      </c>
      <c r="Z28" s="75">
        <v>76969.41</v>
      </c>
      <c r="AA28" t="s">
        <v>1415</v>
      </c>
      <c r="AB28" s="24">
        <v>0.19031141868512111</v>
      </c>
    </row>
    <row r="29" spans="1:28" x14ac:dyDescent="0.55000000000000004">
      <c r="A29" s="24" t="s">
        <v>234</v>
      </c>
      <c r="B29" s="24" t="s">
        <v>1214</v>
      </c>
      <c r="C29" s="24" t="s">
        <v>106</v>
      </c>
      <c r="D29" s="24" t="s">
        <v>72</v>
      </c>
      <c r="E29" s="24" t="s">
        <v>88</v>
      </c>
      <c r="F29" s="70">
        <v>7.0183520576527969E-3</v>
      </c>
      <c r="G29" s="24">
        <v>7.9945680000000001</v>
      </c>
      <c r="H29" s="24">
        <v>6.7633429999999999</v>
      </c>
      <c r="I29" s="24">
        <v>7.1152189999999997</v>
      </c>
      <c r="J29" s="24">
        <v>7.1503379999999996</v>
      </c>
      <c r="K29" s="24">
        <v>3.9797609999999999</v>
      </c>
      <c r="L29" s="24">
        <v>11.366849999999999</v>
      </c>
      <c r="M29" s="24">
        <v>27.1754</v>
      </c>
      <c r="N29" s="24">
        <v>2.8827176687440135</v>
      </c>
      <c r="O29" s="24">
        <v>5.3</v>
      </c>
      <c r="P29" s="24">
        <v>7.3972602739726021</v>
      </c>
      <c r="Q29" s="24">
        <v>8.0308471839416473</v>
      </c>
      <c r="R29" s="24">
        <v>7.06</v>
      </c>
      <c r="S29" s="24">
        <v>8.0522343733912756</v>
      </c>
      <c r="T29" s="21">
        <v>1</v>
      </c>
      <c r="U29" s="21" t="s">
        <v>117</v>
      </c>
      <c r="V29" s="70">
        <v>-2.298203243159927E-2</v>
      </c>
      <c r="W29" s="70">
        <v>3.7017967568400728E-2</v>
      </c>
      <c r="X29" s="24">
        <v>0.30442758538165754</v>
      </c>
      <c r="Y29" s="24" t="s">
        <v>1475</v>
      </c>
      <c r="Z29" s="75">
        <v>72857.440000000002</v>
      </c>
      <c r="AA29" t="s">
        <v>1415</v>
      </c>
      <c r="AB29" s="24">
        <v>0.36458333333333337</v>
      </c>
    </row>
    <row r="30" spans="1:28" x14ac:dyDescent="0.55000000000000004">
      <c r="A30" s="24" t="s">
        <v>239</v>
      </c>
      <c r="B30" s="24" t="s">
        <v>1068</v>
      </c>
      <c r="C30" s="24" t="s">
        <v>110</v>
      </c>
      <c r="D30" s="24" t="s">
        <v>72</v>
      </c>
      <c r="E30" s="24" t="s">
        <v>93</v>
      </c>
      <c r="F30" s="70">
        <v>6.9498089809098247E-3</v>
      </c>
      <c r="G30" s="24">
        <v>7.1074529999999996</v>
      </c>
      <c r="H30" s="24">
        <v>5.6904579999999996</v>
      </c>
      <c r="I30" s="24">
        <v>4.0620440000000002</v>
      </c>
      <c r="J30" s="24">
        <v>5.6199849999999998</v>
      </c>
      <c r="K30" s="24">
        <v>2.3771520000000002</v>
      </c>
      <c r="L30" s="24">
        <v>4.7066210000000002</v>
      </c>
      <c r="M30" s="24">
        <v>4.2588999999999997</v>
      </c>
      <c r="N30" s="24">
        <v>4.4966579637010282</v>
      </c>
      <c r="O30" s="24">
        <v>3.4</v>
      </c>
      <c r="P30" s="24">
        <v>6.4285714285714288</v>
      </c>
      <c r="Q30" s="24">
        <v>2.6105690306108587</v>
      </c>
      <c r="R30" s="24">
        <v>5.8</v>
      </c>
      <c r="S30" s="24">
        <v>3.6848028557172601</v>
      </c>
      <c r="T30" s="21">
        <v>1</v>
      </c>
      <c r="U30" s="21" t="s">
        <v>141</v>
      </c>
      <c r="V30" s="70">
        <v>-2.3050575508342244E-2</v>
      </c>
      <c r="W30" s="70">
        <v>3.6949424491657751E-2</v>
      </c>
      <c r="X30" s="24">
        <v>1.5903637806463535</v>
      </c>
      <c r="Y30" s="24" t="s">
        <v>1561</v>
      </c>
      <c r="Z30" s="75">
        <v>75408.09</v>
      </c>
      <c r="AA30" t="s">
        <v>1415</v>
      </c>
      <c r="AB30" s="24">
        <v>0.30874785591766724</v>
      </c>
    </row>
    <row r="31" spans="1:28" x14ac:dyDescent="0.55000000000000004">
      <c r="A31" s="24" t="s">
        <v>240</v>
      </c>
      <c r="B31" s="24" t="s">
        <v>821</v>
      </c>
      <c r="C31" s="24" t="s">
        <v>107</v>
      </c>
      <c r="D31" s="24" t="s">
        <v>72</v>
      </c>
      <c r="E31" s="24" t="s">
        <v>93</v>
      </c>
      <c r="F31" s="70">
        <v>6.9467181028036633E-3</v>
      </c>
      <c r="G31" s="24">
        <v>8.2216330000000006</v>
      </c>
      <c r="H31" s="24">
        <v>9.0853319999999993</v>
      </c>
      <c r="I31" s="24">
        <v>5.9882999999999997</v>
      </c>
      <c r="J31" s="24">
        <v>7.7650889999999997</v>
      </c>
      <c r="K31" s="24">
        <v>0.82527470000000003</v>
      </c>
      <c r="L31" s="24">
        <v>2.261755</v>
      </c>
      <c r="M31" s="24">
        <v>6.2603999999999997</v>
      </c>
      <c r="N31" s="24">
        <v>8.3375100458958649</v>
      </c>
      <c r="O31" s="24">
        <v>4.5</v>
      </c>
      <c r="P31" s="24">
        <v>8.6645962732919273</v>
      </c>
      <c r="Q31" s="24">
        <v>0.10031594100551371</v>
      </c>
      <c r="R31" s="24">
        <v>3.08</v>
      </c>
      <c r="S31" s="24">
        <v>3.3125232957440525</v>
      </c>
      <c r="T31" s="21">
        <v>1</v>
      </c>
      <c r="U31" s="21" t="s">
        <v>141</v>
      </c>
      <c r="V31" s="70">
        <v>-2.3052897407944264E-2</v>
      </c>
      <c r="W31" s="70">
        <v>3.6947102592055733E-2</v>
      </c>
      <c r="X31" s="24">
        <v>1.3662067245170351</v>
      </c>
      <c r="Y31" s="24" t="s">
        <v>1702</v>
      </c>
      <c r="Z31" s="75">
        <v>74647.67</v>
      </c>
      <c r="AA31" t="s">
        <v>1415</v>
      </c>
      <c r="AB31" s="24">
        <v>0.32590051457975988</v>
      </c>
    </row>
    <row r="32" spans="1:28" x14ac:dyDescent="0.55000000000000004">
      <c r="A32" s="24" t="s">
        <v>243</v>
      </c>
      <c r="B32" s="24" t="s">
        <v>1161</v>
      </c>
      <c r="C32" s="24" t="s">
        <v>111</v>
      </c>
      <c r="D32" s="24" t="s">
        <v>72</v>
      </c>
      <c r="E32" s="24" t="s">
        <v>82</v>
      </c>
      <c r="F32" s="70">
        <v>6.4323392770898177E-3</v>
      </c>
      <c r="G32" s="24">
        <v>6.8551820000000001</v>
      </c>
      <c r="H32" s="24">
        <v>6.3371919999999999</v>
      </c>
      <c r="I32" s="24">
        <v>6.3678410000000003</v>
      </c>
      <c r="J32" s="24">
        <v>6.5033159999999999</v>
      </c>
      <c r="K32" s="24">
        <v>4.7151649999999998</v>
      </c>
      <c r="L32" s="24">
        <v>19.82893</v>
      </c>
      <c r="M32" s="24">
        <v>7.5701000000000001</v>
      </c>
      <c r="N32" s="24">
        <v>8.3764898431021901</v>
      </c>
      <c r="O32" s="24">
        <v>5</v>
      </c>
      <c r="P32" s="24">
        <v>2.7956992253440029</v>
      </c>
      <c r="Q32" s="24">
        <v>8.645260104210676</v>
      </c>
      <c r="R32" s="24">
        <v>4.12</v>
      </c>
      <c r="S32" s="24">
        <v>6.9352024212976939</v>
      </c>
      <c r="T32" s="21">
        <v>1</v>
      </c>
      <c r="U32" s="21" t="s">
        <v>141</v>
      </c>
      <c r="V32" s="70">
        <v>-2.3567276233658112E-2</v>
      </c>
      <c r="W32" s="70">
        <v>3.6432723766341886E-2</v>
      </c>
      <c r="X32" s="24">
        <v>1.4416642508578634</v>
      </c>
      <c r="Y32" s="24" t="s">
        <v>1668</v>
      </c>
      <c r="Z32" s="75">
        <v>69071.13</v>
      </c>
      <c r="AA32" t="s">
        <v>1415</v>
      </c>
      <c r="AB32" s="24">
        <v>0.35897435897435892</v>
      </c>
    </row>
    <row r="33" spans="1:28" x14ac:dyDescent="0.55000000000000004">
      <c r="A33" s="24" t="s">
        <v>249</v>
      </c>
      <c r="B33" s="24" t="s">
        <v>1287</v>
      </c>
      <c r="C33" s="24" t="s">
        <v>106</v>
      </c>
      <c r="D33" s="24" t="s">
        <v>72</v>
      </c>
      <c r="E33" s="24" t="s">
        <v>87</v>
      </c>
      <c r="F33" s="70">
        <v>6.4065311628495828E-3</v>
      </c>
      <c r="G33" s="24">
        <v>6.0372599999999998</v>
      </c>
      <c r="H33" s="24">
        <v>6.8963789999999996</v>
      </c>
      <c r="I33" s="24">
        <v>7.2030010000000004</v>
      </c>
      <c r="J33" s="24">
        <v>6.6447180000000001</v>
      </c>
      <c r="K33" s="24">
        <v>2.999336</v>
      </c>
      <c r="L33" s="24">
        <v>5.3440770000000004</v>
      </c>
      <c r="M33" s="24">
        <v>39.612699999999997</v>
      </c>
      <c r="N33" s="24">
        <v>2.3976737004914312</v>
      </c>
      <c r="O33" s="24">
        <v>1.1000000000000001</v>
      </c>
      <c r="P33" s="24">
        <v>6.6108786610878667</v>
      </c>
      <c r="Q33" s="24">
        <v>2.1218365298251176</v>
      </c>
      <c r="R33" s="24">
        <v>4.6100000000000003</v>
      </c>
      <c r="S33" s="24">
        <v>3.5563236457143041</v>
      </c>
      <c r="T33" s="21">
        <v>1</v>
      </c>
      <c r="U33" s="21" t="s">
        <v>141</v>
      </c>
      <c r="V33" s="70">
        <v>-2.3593084347898346E-2</v>
      </c>
      <c r="W33" s="70">
        <v>3.6406915652101648E-2</v>
      </c>
      <c r="X33" s="24">
        <v>1.0996894955364158</v>
      </c>
      <c r="Y33" s="24" t="s">
        <v>1767</v>
      </c>
      <c r="Z33" s="75">
        <v>69514.429999999993</v>
      </c>
      <c r="AA33" t="s">
        <v>1415</v>
      </c>
      <c r="AB33" s="24">
        <v>0.60390763765541744</v>
      </c>
    </row>
    <row r="34" spans="1:28" x14ac:dyDescent="0.55000000000000004">
      <c r="A34" s="24" t="s">
        <v>254</v>
      </c>
      <c r="B34" s="24" t="s">
        <v>1257</v>
      </c>
      <c r="C34" s="24" t="s">
        <v>106</v>
      </c>
      <c r="D34" s="24" t="s">
        <v>72</v>
      </c>
      <c r="E34" s="24" t="s">
        <v>83</v>
      </c>
      <c r="F34" s="70">
        <v>6.1920643498125658E-3</v>
      </c>
      <c r="G34" s="24">
        <v>4.7434070000000004</v>
      </c>
      <c r="H34" s="24">
        <v>6.5643739999999999</v>
      </c>
      <c r="I34" s="24">
        <v>4.4808519999999996</v>
      </c>
      <c r="J34" s="24">
        <v>5.2628779999999997</v>
      </c>
      <c r="K34" s="24">
        <v>5.692666</v>
      </c>
      <c r="L34" s="24">
        <v>9.3148689999999998</v>
      </c>
      <c r="M34" s="24">
        <v>2952.614</v>
      </c>
      <c r="N34" s="24">
        <v>4.0263433212754247</v>
      </c>
      <c r="O34" s="24">
        <v>1.2</v>
      </c>
      <c r="P34" s="24">
        <v>8.2089552238805972</v>
      </c>
      <c r="Q34" s="24">
        <v>5.9325796039606047</v>
      </c>
      <c r="R34" s="24">
        <v>6.94</v>
      </c>
      <c r="S34" s="24">
        <v>6.9927015400956307</v>
      </c>
      <c r="T34" s="21">
        <v>1</v>
      </c>
      <c r="U34" s="21" t="s">
        <v>141</v>
      </c>
      <c r="V34" s="70">
        <v>-2.3807697928440775E-2</v>
      </c>
      <c r="W34" s="70">
        <v>3.6192302071559219E-2</v>
      </c>
      <c r="X34" s="24">
        <v>1.1001398761506296</v>
      </c>
      <c r="Y34" s="24" t="s">
        <v>1463</v>
      </c>
      <c r="Z34" s="75">
        <v>68053.77</v>
      </c>
      <c r="AA34" t="s">
        <v>1415</v>
      </c>
      <c r="AB34" s="24">
        <v>0.43402777777777779</v>
      </c>
    </row>
    <row r="35" spans="1:28" x14ac:dyDescent="0.55000000000000004">
      <c r="A35" s="24" t="s">
        <v>248</v>
      </c>
      <c r="B35" s="24" t="s">
        <v>822</v>
      </c>
      <c r="C35" s="24" t="s">
        <v>107</v>
      </c>
      <c r="D35" s="24" t="s">
        <v>72</v>
      </c>
      <c r="E35" s="24" t="s">
        <v>88</v>
      </c>
      <c r="F35" s="70">
        <v>5.9876352351283654E-3</v>
      </c>
      <c r="G35" s="24">
        <v>5.5731020000000004</v>
      </c>
      <c r="H35" s="24">
        <v>6.6835579999999997</v>
      </c>
      <c r="I35" s="24">
        <v>4.7061210000000004</v>
      </c>
      <c r="J35" s="24">
        <v>5.6704920000000003</v>
      </c>
      <c r="K35" s="24">
        <v>1.8447450000000001</v>
      </c>
      <c r="L35" s="24">
        <v>3.8235450000000002</v>
      </c>
      <c r="M35" s="24">
        <v>36.6905</v>
      </c>
      <c r="N35" s="24">
        <v>7.9894431924358953</v>
      </c>
      <c r="O35" s="24">
        <v>5</v>
      </c>
      <c r="P35" s="24">
        <v>3.9999999999999996</v>
      </c>
      <c r="Q35" s="24">
        <v>4.3824527408892235</v>
      </c>
      <c r="R35" s="24">
        <v>6.87</v>
      </c>
      <c r="S35" s="24">
        <v>4.8136725216629133</v>
      </c>
      <c r="T35" s="21">
        <v>1</v>
      </c>
      <c r="U35" s="21" t="s">
        <v>141</v>
      </c>
      <c r="V35" s="70">
        <v>-2.4012737676400039E-2</v>
      </c>
      <c r="W35" s="70">
        <v>3.5987262323599958E-2</v>
      </c>
      <c r="X35" s="24">
        <v>0.93939077678449634</v>
      </c>
      <c r="Y35" s="24" t="s">
        <v>1721</v>
      </c>
      <c r="Z35" s="75">
        <v>64816.24</v>
      </c>
      <c r="AA35" t="s">
        <v>1415</v>
      </c>
      <c r="AB35" s="24">
        <v>0.60763888888888884</v>
      </c>
    </row>
    <row r="36" spans="1:28" x14ac:dyDescent="0.55000000000000004">
      <c r="A36" s="24" t="s">
        <v>245</v>
      </c>
      <c r="B36" s="24" t="s">
        <v>819</v>
      </c>
      <c r="C36" s="24" t="s">
        <v>107</v>
      </c>
      <c r="D36" s="24" t="s">
        <v>72</v>
      </c>
      <c r="E36" s="24" t="s">
        <v>82</v>
      </c>
      <c r="F36" s="70">
        <v>5.9773533915559946E-3</v>
      </c>
      <c r="G36" s="24">
        <v>7.5949540000000004</v>
      </c>
      <c r="H36" s="24">
        <v>6.1831889999999996</v>
      </c>
      <c r="I36" s="24">
        <v>7.940537</v>
      </c>
      <c r="J36" s="24">
        <v>7.2217900000000004</v>
      </c>
      <c r="K36" s="24">
        <v>7.8231900000000003</v>
      </c>
      <c r="L36" s="24">
        <v>15.42062</v>
      </c>
      <c r="M36" s="24">
        <v>10.139699999999999</v>
      </c>
      <c r="N36" s="24">
        <v>9.5543102453854374</v>
      </c>
      <c r="O36" s="24">
        <v>4.5</v>
      </c>
      <c r="P36" s="24">
        <v>1.6397851225575399</v>
      </c>
      <c r="Q36" s="24">
        <v>8.1213902267286304</v>
      </c>
      <c r="R36" s="24">
        <v>6.86</v>
      </c>
      <c r="S36" s="24">
        <v>6.1087927761871459</v>
      </c>
      <c r="T36" s="21">
        <v>1</v>
      </c>
      <c r="U36" s="21" t="s">
        <v>141</v>
      </c>
      <c r="V36" s="70">
        <v>-2.4023031097696074E-2</v>
      </c>
      <c r="W36" s="70">
        <v>3.5976968902303924E-2</v>
      </c>
      <c r="X36" s="24">
        <v>1.2479914886886434</v>
      </c>
      <c r="Y36" s="24" t="s">
        <v>1732</v>
      </c>
      <c r="Z36" s="75">
        <v>61622.47</v>
      </c>
      <c r="AA36" t="s">
        <v>1415</v>
      </c>
      <c r="AB36" s="24">
        <v>0.39316239316239315</v>
      </c>
    </row>
    <row r="37" spans="1:28" x14ac:dyDescent="0.55000000000000004">
      <c r="A37" s="24" t="s">
        <v>246</v>
      </c>
      <c r="B37" s="24" t="s">
        <v>1213</v>
      </c>
      <c r="C37" s="24" t="s">
        <v>112</v>
      </c>
      <c r="D37" s="24" t="s">
        <v>72</v>
      </c>
      <c r="E37" s="24" t="s">
        <v>90</v>
      </c>
      <c r="F37" s="70">
        <v>5.9349343381217895E-3</v>
      </c>
      <c r="G37" s="24">
        <v>8.0972849999999994</v>
      </c>
      <c r="H37" s="24">
        <v>6.145194</v>
      </c>
      <c r="I37" s="24">
        <v>6.1645459999999996</v>
      </c>
      <c r="J37" s="24">
        <v>6.7375949999999998</v>
      </c>
      <c r="K37" s="24">
        <v>3.2779940000000001</v>
      </c>
      <c r="L37" s="24">
        <v>12.562849999999999</v>
      </c>
      <c r="M37" s="24">
        <v>1.496</v>
      </c>
      <c r="N37" s="24">
        <v>6.5857014933868676</v>
      </c>
      <c r="O37" s="24">
        <v>7</v>
      </c>
      <c r="P37" s="24">
        <v>6.6129039368713913</v>
      </c>
      <c r="Q37" s="24">
        <v>5.1499788762146181</v>
      </c>
      <c r="R37" s="24">
        <v>4.0199999999999996</v>
      </c>
      <c r="S37" s="24">
        <v>5.5064722486202342</v>
      </c>
      <c r="T37" s="21">
        <v>1</v>
      </c>
      <c r="U37" s="21" t="s">
        <v>141</v>
      </c>
      <c r="V37" s="70">
        <v>-2.406468117262614E-2</v>
      </c>
      <c r="W37" s="70">
        <v>3.5935318827373858E-2</v>
      </c>
      <c r="X37" s="24">
        <v>0.69261778805167817</v>
      </c>
      <c r="Y37" s="24" t="s">
        <v>1614</v>
      </c>
      <c r="Z37" s="75">
        <v>65174.78</v>
      </c>
      <c r="AA37" t="s">
        <v>1415</v>
      </c>
      <c r="AB37" s="24">
        <v>0.41025641025641024</v>
      </c>
    </row>
    <row r="38" spans="1:28" x14ac:dyDescent="0.55000000000000004">
      <c r="A38" s="24" t="s">
        <v>244</v>
      </c>
      <c r="B38" s="24" t="s">
        <v>1045</v>
      </c>
      <c r="C38" s="24" t="s">
        <v>106</v>
      </c>
      <c r="D38" s="24" t="s">
        <v>72</v>
      </c>
      <c r="E38" s="24" t="s">
        <v>87</v>
      </c>
      <c r="F38" s="70">
        <v>5.9300777141849939E-3</v>
      </c>
      <c r="G38" s="24">
        <v>7.7184280000000003</v>
      </c>
      <c r="H38" s="24">
        <v>6.0460459999999996</v>
      </c>
      <c r="I38" s="24">
        <v>5.706099</v>
      </c>
      <c r="J38" s="24">
        <v>6.6130149999999999</v>
      </c>
      <c r="K38" s="24">
        <v>8.7035990000000005</v>
      </c>
      <c r="L38" s="24">
        <v>16.454249999999998</v>
      </c>
      <c r="M38" s="24">
        <v>23.473700000000001</v>
      </c>
      <c r="N38" s="24">
        <v>0.28672344538859562</v>
      </c>
      <c r="O38" s="24">
        <v>5.3</v>
      </c>
      <c r="P38" s="24">
        <v>2.4267782426778246</v>
      </c>
      <c r="Q38" s="24">
        <v>7.9083679399799234</v>
      </c>
      <c r="R38" s="24">
        <v>6.31</v>
      </c>
      <c r="S38" s="24">
        <v>6.592505009905671</v>
      </c>
      <c r="T38" s="21">
        <v>1</v>
      </c>
      <c r="U38" s="21" t="s">
        <v>141</v>
      </c>
      <c r="V38" s="70">
        <v>-2.4070306775067073E-2</v>
      </c>
      <c r="W38" s="70">
        <v>3.5929693224932925E-2</v>
      </c>
      <c r="X38" s="24">
        <v>0.47357995053357532</v>
      </c>
      <c r="Y38" s="24" t="s">
        <v>1771</v>
      </c>
      <c r="Z38" s="75">
        <v>65375.9</v>
      </c>
      <c r="AA38" t="s">
        <v>1415</v>
      </c>
      <c r="AB38" s="24">
        <v>0.51509769094138536</v>
      </c>
    </row>
    <row r="39" spans="1:28" x14ac:dyDescent="0.55000000000000004">
      <c r="A39" s="24" t="s">
        <v>250</v>
      </c>
      <c r="B39" s="24" t="s">
        <v>1121</v>
      </c>
      <c r="C39" s="24" t="s">
        <v>113</v>
      </c>
      <c r="D39" s="24" t="s">
        <v>72</v>
      </c>
      <c r="E39" s="24" t="s">
        <v>82</v>
      </c>
      <c r="F39" s="70">
        <v>5.8753539433492302E-3</v>
      </c>
      <c r="G39" s="24">
        <v>5.8570489999999999</v>
      </c>
      <c r="H39" s="24">
        <v>5.9708699999999997</v>
      </c>
      <c r="I39" s="24">
        <v>6.5402509999999996</v>
      </c>
      <c r="J39" s="24">
        <v>6.1360070000000002</v>
      </c>
      <c r="K39" s="24">
        <v>5.9814939999999996</v>
      </c>
      <c r="L39" s="24">
        <v>23.21144</v>
      </c>
      <c r="M39" s="24">
        <v>13.2736</v>
      </c>
      <c r="N39" s="24">
        <v>7.6283239059726817</v>
      </c>
      <c r="O39" s="24">
        <v>9.6</v>
      </c>
      <c r="P39" s="24">
        <v>7.2580652965661603</v>
      </c>
      <c r="Q39" s="24">
        <v>7.2060273200957621</v>
      </c>
      <c r="R39" s="24">
        <v>5.93</v>
      </c>
      <c r="S39" s="24">
        <v>7.5425250403300579</v>
      </c>
      <c r="T39" s="21">
        <v>1</v>
      </c>
      <c r="U39" s="21" t="s">
        <v>117</v>
      </c>
      <c r="V39" s="70">
        <v>-2.4125030545902839E-2</v>
      </c>
      <c r="W39" s="70">
        <v>3.5874969454097162E-2</v>
      </c>
      <c r="X39" s="24">
        <v>1.359492031479228</v>
      </c>
      <c r="Y39" s="24" t="s">
        <v>1487</v>
      </c>
      <c r="Z39" s="75">
        <v>62440.02</v>
      </c>
      <c r="AA39" t="s">
        <v>1415</v>
      </c>
      <c r="AB39" s="24">
        <v>0.47863247863247865</v>
      </c>
    </row>
    <row r="40" spans="1:28" x14ac:dyDescent="0.55000000000000004">
      <c r="A40" s="24" t="s">
        <v>247</v>
      </c>
      <c r="B40" s="24" t="s">
        <v>823</v>
      </c>
      <c r="C40" s="24" t="s">
        <v>107</v>
      </c>
      <c r="D40" s="24" t="s">
        <v>72</v>
      </c>
      <c r="E40" s="24" t="s">
        <v>90</v>
      </c>
      <c r="F40" s="70">
        <v>5.8071191187948025E-3</v>
      </c>
      <c r="G40" s="24">
        <v>6.6529179999999997</v>
      </c>
      <c r="H40" s="24">
        <v>5.8369010000000001</v>
      </c>
      <c r="I40" s="24">
        <v>6.5143550000000001</v>
      </c>
      <c r="J40" s="24">
        <v>6.3188149999999998</v>
      </c>
      <c r="K40" s="24">
        <v>6.2571919999999999</v>
      </c>
      <c r="L40" s="24">
        <v>12.024570000000001</v>
      </c>
      <c r="M40" s="24">
        <v>0.62907000000000002</v>
      </c>
      <c r="N40" s="24">
        <v>4.5119163387679349</v>
      </c>
      <c r="O40" s="24">
        <v>5.0999999999999996</v>
      </c>
      <c r="P40" s="24">
        <v>5.8064522372529295</v>
      </c>
      <c r="Q40" s="24">
        <v>4.8936769469088865</v>
      </c>
      <c r="R40" s="24">
        <v>6.3</v>
      </c>
      <c r="S40" s="24">
        <v>5.3085193961536099</v>
      </c>
      <c r="T40" s="21">
        <v>1</v>
      </c>
      <c r="U40" s="21" t="s">
        <v>141</v>
      </c>
      <c r="V40" s="70">
        <v>-2.4193265370457268E-2</v>
      </c>
      <c r="W40" s="70">
        <v>3.580673462954273E-2</v>
      </c>
      <c r="X40" s="24">
        <v>0.90539646324605383</v>
      </c>
      <c r="Y40" s="24" t="s">
        <v>1712</v>
      </c>
      <c r="Z40" s="75">
        <v>61926.06</v>
      </c>
      <c r="AA40" t="s">
        <v>1415</v>
      </c>
      <c r="AB40" s="24">
        <v>0.42735042735042739</v>
      </c>
    </row>
    <row r="41" spans="1:28" x14ac:dyDescent="0.55000000000000004">
      <c r="A41" s="24" t="s">
        <v>255</v>
      </c>
      <c r="B41" s="24" t="s">
        <v>1025</v>
      </c>
      <c r="C41" s="24" t="s">
        <v>106</v>
      </c>
      <c r="D41" s="24" t="s">
        <v>72</v>
      </c>
      <c r="E41" s="24" t="s">
        <v>99</v>
      </c>
      <c r="F41" s="70">
        <v>5.8000203110891374E-3</v>
      </c>
      <c r="G41" s="24">
        <v>6.6645479999999999</v>
      </c>
      <c r="H41" s="24">
        <v>4.9034769999999996</v>
      </c>
      <c r="I41" s="24">
        <v>6.9140860000000002</v>
      </c>
      <c r="J41" s="24">
        <v>6.362241</v>
      </c>
      <c r="K41" s="24">
        <v>4.5031059999999998</v>
      </c>
      <c r="L41" s="24">
        <v>7.4723490000000004</v>
      </c>
      <c r="M41" s="24">
        <v>465.4264</v>
      </c>
      <c r="N41" s="24">
        <v>7.4681341288372947</v>
      </c>
      <c r="O41" s="24">
        <v>6.6</v>
      </c>
      <c r="P41" s="24">
        <v>3.4267912772585674</v>
      </c>
      <c r="Q41" s="24">
        <v>4.1003073126355343</v>
      </c>
      <c r="R41" s="24">
        <v>4.9800000000000004</v>
      </c>
      <c r="S41" s="24">
        <v>5.4587228932670175</v>
      </c>
      <c r="T41" s="21">
        <v>1</v>
      </c>
      <c r="U41" s="21" t="s">
        <v>141</v>
      </c>
      <c r="V41" s="70">
        <v>-2.4200364178162931E-2</v>
      </c>
      <c r="W41" s="70">
        <v>3.5799635821837067E-2</v>
      </c>
      <c r="X41" s="24">
        <v>0.49173010921373145</v>
      </c>
      <c r="Y41" s="24" t="s">
        <v>1828</v>
      </c>
      <c r="Z41" s="75">
        <v>60455.98</v>
      </c>
      <c r="AA41" t="s">
        <v>1415</v>
      </c>
      <c r="AB41" s="24">
        <v>0.25134649910233392</v>
      </c>
    </row>
    <row r="42" spans="1:28" x14ac:dyDescent="0.55000000000000004">
      <c r="A42" s="24" t="s">
        <v>252</v>
      </c>
      <c r="B42" s="24" t="s">
        <v>941</v>
      </c>
      <c r="C42" s="24" t="s">
        <v>106</v>
      </c>
      <c r="D42" s="24" t="s">
        <v>72</v>
      </c>
      <c r="E42" s="24" t="s">
        <v>86</v>
      </c>
      <c r="F42" s="70">
        <v>5.7877137025458096E-3</v>
      </c>
      <c r="G42" s="24">
        <v>7.9991250000000003</v>
      </c>
      <c r="H42" s="24">
        <v>2.956013</v>
      </c>
      <c r="I42" s="24">
        <v>7.3372979999999997</v>
      </c>
      <c r="J42" s="24">
        <v>6.0023970000000002</v>
      </c>
      <c r="K42" s="24">
        <v>1.2225200000000001</v>
      </c>
      <c r="L42" s="24">
        <v>3.921408</v>
      </c>
      <c r="M42" s="24">
        <v>13.4041</v>
      </c>
      <c r="N42" s="24">
        <v>6.5719526384946194</v>
      </c>
      <c r="O42" s="24">
        <v>4.2</v>
      </c>
      <c r="P42" s="24">
        <v>2.9569895652676954</v>
      </c>
      <c r="Q42" s="24">
        <v>1.1439707083509367</v>
      </c>
      <c r="R42" s="24">
        <v>3.89</v>
      </c>
      <c r="S42" s="24">
        <v>3.2869816446426841</v>
      </c>
      <c r="T42" s="21">
        <v>1</v>
      </c>
      <c r="U42" s="21" t="s">
        <v>141</v>
      </c>
      <c r="V42" s="70">
        <v>-2.421199569418651E-2</v>
      </c>
      <c r="W42" s="70">
        <v>3.5788004305813491E-2</v>
      </c>
      <c r="X42" s="24">
        <v>0.33876664288941044</v>
      </c>
      <c r="Y42" s="24" t="s">
        <v>1807</v>
      </c>
      <c r="Z42" s="75">
        <v>61013.64</v>
      </c>
      <c r="AA42" t="s">
        <v>1415</v>
      </c>
      <c r="AB42" s="24">
        <v>0.51282051282051277</v>
      </c>
    </row>
    <row r="43" spans="1:28" x14ac:dyDescent="0.55000000000000004">
      <c r="A43" s="24" t="s">
        <v>253</v>
      </c>
      <c r="B43" s="24" t="s">
        <v>1165</v>
      </c>
      <c r="C43" s="24" t="s">
        <v>113</v>
      </c>
      <c r="D43" s="24" t="s">
        <v>72</v>
      </c>
      <c r="E43" s="24" t="s">
        <v>82</v>
      </c>
      <c r="F43" s="70">
        <v>5.630369515684833E-3</v>
      </c>
      <c r="G43" s="24">
        <v>7.460477</v>
      </c>
      <c r="H43" s="24">
        <v>6.7647760000000003</v>
      </c>
      <c r="I43" s="24">
        <v>6.7848839999999999</v>
      </c>
      <c r="J43" s="24">
        <v>6.980524</v>
      </c>
      <c r="K43" s="24">
        <v>8.8478359999999991</v>
      </c>
      <c r="L43" s="24">
        <v>18.208410000000001</v>
      </c>
      <c r="M43" s="24">
        <v>10.1189</v>
      </c>
      <c r="N43" s="24">
        <v>6.3290557437697395</v>
      </c>
      <c r="O43" s="24">
        <v>9.1999999999999993</v>
      </c>
      <c r="P43" s="24">
        <v>5.1881726008787741</v>
      </c>
      <c r="Q43" s="24">
        <v>6.0653429094493738</v>
      </c>
      <c r="R43" s="24">
        <v>7.71</v>
      </c>
      <c r="S43" s="24">
        <v>6.7818945025166437</v>
      </c>
      <c r="T43" s="21">
        <v>1</v>
      </c>
      <c r="U43" s="21" t="s">
        <v>141</v>
      </c>
      <c r="V43" s="70">
        <v>-2.4370014973567236E-2</v>
      </c>
      <c r="W43" s="70">
        <v>3.5629985026432762E-2</v>
      </c>
      <c r="X43" s="24">
        <v>1.1051229925874302</v>
      </c>
      <c r="Y43" s="24" t="s">
        <v>1871</v>
      </c>
      <c r="Z43" s="75">
        <v>61098.44</v>
      </c>
      <c r="AA43" t="s">
        <v>1415</v>
      </c>
      <c r="AB43" s="24">
        <v>0.52991452991452992</v>
      </c>
    </row>
    <row r="44" spans="1:28" x14ac:dyDescent="0.55000000000000004">
      <c r="A44" s="24" t="s">
        <v>251</v>
      </c>
      <c r="B44" s="24" t="s">
        <v>824</v>
      </c>
      <c r="C44" s="24" t="s">
        <v>107</v>
      </c>
      <c r="D44" s="24" t="s">
        <v>72</v>
      </c>
      <c r="E44" s="24" t="s">
        <v>85</v>
      </c>
      <c r="F44" s="70">
        <v>5.6290754569842238E-3</v>
      </c>
      <c r="G44" s="24">
        <v>5.4763489999999999</v>
      </c>
      <c r="H44" s="24">
        <v>4.1837419999999996</v>
      </c>
      <c r="I44" s="24">
        <v>6.3611040000000001</v>
      </c>
      <c r="J44" s="24">
        <v>5.353993</v>
      </c>
      <c r="K44" s="24">
        <v>4.5046559999999998</v>
      </c>
      <c r="L44" s="24">
        <v>7.4739230000000001</v>
      </c>
      <c r="M44" s="24">
        <v>45.8033</v>
      </c>
      <c r="N44" s="24">
        <v>6.8964764687064415</v>
      </c>
      <c r="O44" s="24">
        <v>2.2000000000000002</v>
      </c>
      <c r="P44" s="24">
        <v>4.7147147147147139</v>
      </c>
      <c r="Q44" s="24">
        <v>8.6103729526339094</v>
      </c>
      <c r="R44" s="24">
        <v>7.340001</v>
      </c>
      <c r="S44" s="24">
        <v>6.7398417777600699</v>
      </c>
      <c r="T44" s="21">
        <v>1</v>
      </c>
      <c r="U44" s="21" t="s">
        <v>141</v>
      </c>
      <c r="V44" s="70">
        <v>-2.4371309032267845E-2</v>
      </c>
      <c r="W44" s="70">
        <v>3.5628690967732156E-2</v>
      </c>
      <c r="X44" s="24">
        <v>1.0250353656659148</v>
      </c>
      <c r="Y44" s="24" t="s">
        <v>1727</v>
      </c>
      <c r="Z44" s="75">
        <v>51992.04</v>
      </c>
      <c r="AA44" t="s">
        <v>1415</v>
      </c>
      <c r="AB44" s="24">
        <v>0.44982698961937717</v>
      </c>
    </row>
    <row r="45" spans="1:28" x14ac:dyDescent="0.55000000000000004">
      <c r="A45" s="24" t="s">
        <v>258</v>
      </c>
      <c r="B45" s="24" t="s">
        <v>1151</v>
      </c>
      <c r="C45" s="24" t="s">
        <v>111</v>
      </c>
      <c r="D45" s="24" t="s">
        <v>72</v>
      </c>
      <c r="E45" s="24" t="s">
        <v>95</v>
      </c>
      <c r="F45" s="70">
        <v>5.3827896152172936E-3</v>
      </c>
      <c r="G45" s="24">
        <v>7.9295030000000004</v>
      </c>
      <c r="H45" s="24">
        <v>5.9642419999999996</v>
      </c>
      <c r="I45" s="24">
        <v>2.3997299999999999</v>
      </c>
      <c r="J45" s="24">
        <v>4.931489</v>
      </c>
      <c r="K45" s="24">
        <v>3.2853029999999999</v>
      </c>
      <c r="L45" s="24">
        <v>4.8466779999999998</v>
      </c>
      <c r="M45" s="24">
        <v>27.255600000000001</v>
      </c>
      <c r="N45" s="24">
        <v>7.829991255263268</v>
      </c>
      <c r="O45" s="24">
        <v>8.5</v>
      </c>
      <c r="P45" s="24">
        <v>8.975156521739132</v>
      </c>
      <c r="Q45" s="24">
        <v>1.8547594861069614</v>
      </c>
      <c r="R45" s="24">
        <v>5.52</v>
      </c>
      <c r="S45" s="24">
        <v>5.1515553038877737</v>
      </c>
      <c r="T45" s="21">
        <v>1</v>
      </c>
      <c r="U45" s="21" t="s">
        <v>141</v>
      </c>
      <c r="V45" s="70">
        <v>-2.4616825895530638E-2</v>
      </c>
      <c r="W45" s="70">
        <v>3.538317410446936E-2</v>
      </c>
      <c r="X45" s="24">
        <v>1.1089200159294306</v>
      </c>
      <c r="Y45" s="24" t="s">
        <v>1676</v>
      </c>
      <c r="Z45" s="75">
        <v>55770.91</v>
      </c>
      <c r="AA45" t="s">
        <v>1415</v>
      </c>
      <c r="AB45" s="24">
        <v>0.63464837049742706</v>
      </c>
    </row>
    <row r="46" spans="1:28" x14ac:dyDescent="0.55000000000000004">
      <c r="A46" s="24" t="s">
        <v>260</v>
      </c>
      <c r="B46" s="24" t="s">
        <v>1134</v>
      </c>
      <c r="C46" s="24" t="s">
        <v>109</v>
      </c>
      <c r="D46" s="24" t="s">
        <v>72</v>
      </c>
      <c r="E46" s="24" t="s">
        <v>87</v>
      </c>
      <c r="F46" s="70">
        <v>5.3126515829870907E-3</v>
      </c>
      <c r="G46" s="24">
        <v>5.7753839999999999</v>
      </c>
      <c r="H46" s="24">
        <v>4.55898</v>
      </c>
      <c r="I46" s="24">
        <v>5.2925589999999998</v>
      </c>
      <c r="J46" s="24">
        <v>5.2656150000000004</v>
      </c>
      <c r="K46" s="24">
        <v>1.586203</v>
      </c>
      <c r="L46" s="24">
        <v>5.1496430000000002</v>
      </c>
      <c r="M46" s="24">
        <v>128.92679999999999</v>
      </c>
      <c r="N46" s="24">
        <v>2.137959603658441</v>
      </c>
      <c r="O46" s="24">
        <v>4.3</v>
      </c>
      <c r="P46" s="24">
        <v>2.0502092050209209</v>
      </c>
      <c r="Q46" s="24">
        <v>5.8149733185396526</v>
      </c>
      <c r="R46" s="24">
        <v>2.98</v>
      </c>
      <c r="S46" s="24">
        <v>3.1865084921673628</v>
      </c>
      <c r="T46" s="21">
        <v>1</v>
      </c>
      <c r="U46" s="21" t="s">
        <v>141</v>
      </c>
      <c r="V46" s="70">
        <v>-2.4687732906264977E-2</v>
      </c>
      <c r="W46" s="70">
        <v>3.5312267093735021E-2</v>
      </c>
      <c r="X46" s="24">
        <v>0.69125417381648369</v>
      </c>
      <c r="Y46" s="24" t="s">
        <v>1519</v>
      </c>
      <c r="Z46" s="75">
        <v>53891.72</v>
      </c>
      <c r="AA46" t="s">
        <v>1415</v>
      </c>
      <c r="AB46" s="24">
        <v>0.79928952042628776</v>
      </c>
    </row>
    <row r="47" spans="1:28" x14ac:dyDescent="0.55000000000000004">
      <c r="A47" s="24" t="s">
        <v>263</v>
      </c>
      <c r="B47" s="24" t="s">
        <v>943</v>
      </c>
      <c r="C47" s="24" t="s">
        <v>125</v>
      </c>
      <c r="D47" s="24" t="s">
        <v>72</v>
      </c>
      <c r="E47" s="24" t="s">
        <v>96</v>
      </c>
      <c r="F47" s="70">
        <v>5.247415152692796E-3</v>
      </c>
      <c r="G47" s="24">
        <v>6.6598300000000004</v>
      </c>
      <c r="H47" s="24">
        <v>3.3732350000000002</v>
      </c>
      <c r="I47" s="24">
        <v>4.156034</v>
      </c>
      <c r="J47" s="24">
        <v>4.343674</v>
      </c>
      <c r="K47" s="24">
        <v>0.26330510000000001</v>
      </c>
      <c r="L47" s="24">
        <v>9.0593699999999995</v>
      </c>
      <c r="M47" s="24">
        <v>2.5953E-2</v>
      </c>
      <c r="N47" s="24">
        <v>7.4285724344025379</v>
      </c>
      <c r="O47" s="24">
        <v>7.2</v>
      </c>
      <c r="P47" s="24">
        <v>0.95022624434389225</v>
      </c>
      <c r="Q47" s="24">
        <v>4.1237677616508481</v>
      </c>
      <c r="R47" s="24">
        <v>2.73</v>
      </c>
      <c r="S47" s="24">
        <v>6.628271348116737</v>
      </c>
      <c r="T47" s="21">
        <v>1</v>
      </c>
      <c r="U47" s="21" t="s">
        <v>141</v>
      </c>
      <c r="V47" s="70">
        <v>-2.4752851181094965E-2</v>
      </c>
      <c r="W47" s="70">
        <v>3.5247148818905033E-2</v>
      </c>
      <c r="X47" s="24">
        <v>1.3497306184722293</v>
      </c>
      <c r="Y47" s="24" t="s">
        <v>1926</v>
      </c>
      <c r="Z47" s="75">
        <v>50879.9</v>
      </c>
      <c r="AA47" t="s">
        <v>1415</v>
      </c>
      <c r="AB47" s="24">
        <v>0.84922010398613523</v>
      </c>
    </row>
    <row r="48" spans="1:28" x14ac:dyDescent="0.55000000000000004">
      <c r="A48" s="24" t="s">
        <v>256</v>
      </c>
      <c r="B48" s="24" t="s">
        <v>1271</v>
      </c>
      <c r="C48" s="24" t="s">
        <v>111</v>
      </c>
      <c r="D48" s="24" t="s">
        <v>72</v>
      </c>
      <c r="E48" s="24" t="s">
        <v>82</v>
      </c>
      <c r="F48" s="70">
        <v>5.1064705519323298E-3</v>
      </c>
      <c r="G48" s="24">
        <v>7.4303229999999996</v>
      </c>
      <c r="H48" s="24">
        <v>7.011736</v>
      </c>
      <c r="I48" s="24">
        <v>5.4516650000000002</v>
      </c>
      <c r="J48" s="24">
        <v>6.5912870000000003</v>
      </c>
      <c r="K48" s="24">
        <v>7.640898</v>
      </c>
      <c r="L48" s="24">
        <v>19.154150000000001</v>
      </c>
      <c r="M48" s="24">
        <v>16.8569</v>
      </c>
      <c r="N48" s="24">
        <v>9.2758931840464349</v>
      </c>
      <c r="O48" s="24">
        <v>5.3</v>
      </c>
      <c r="P48" s="24">
        <v>5.6989253439704672</v>
      </c>
      <c r="Q48" s="24">
        <v>7.6820166173778359</v>
      </c>
      <c r="R48" s="24">
        <v>6.87</v>
      </c>
      <c r="S48" s="24">
        <v>7.037650851699226</v>
      </c>
      <c r="T48" s="21">
        <v>1</v>
      </c>
      <c r="U48" s="21" t="s">
        <v>141</v>
      </c>
      <c r="V48" s="70">
        <v>-2.4893144958815599E-2</v>
      </c>
      <c r="W48" s="70">
        <v>3.5106855041184395E-2</v>
      </c>
      <c r="X48" s="24">
        <v>1.3388044995655717</v>
      </c>
      <c r="Y48" s="24" t="s">
        <v>1665</v>
      </c>
      <c r="Z48" s="75">
        <v>55189.32</v>
      </c>
      <c r="AA48" t="s">
        <v>1415</v>
      </c>
      <c r="AB48" s="24">
        <v>0.58119658119658124</v>
      </c>
    </row>
    <row r="49" spans="1:28" x14ac:dyDescent="0.55000000000000004">
      <c r="A49" s="24" t="s">
        <v>259</v>
      </c>
      <c r="B49" s="24" t="s">
        <v>863</v>
      </c>
      <c r="C49" s="24" t="s">
        <v>113</v>
      </c>
      <c r="D49" s="24" t="s">
        <v>72</v>
      </c>
      <c r="E49" s="24" t="s">
        <v>99</v>
      </c>
      <c r="F49" s="70">
        <v>5.0340048881833393E-3</v>
      </c>
      <c r="G49" s="24">
        <v>6.0792830000000002</v>
      </c>
      <c r="H49" s="24">
        <v>7.4054330000000004</v>
      </c>
      <c r="I49" s="24">
        <v>8.8351810000000004</v>
      </c>
      <c r="J49" s="24">
        <v>6.8956920000000004</v>
      </c>
      <c r="K49" s="24">
        <v>6.3567809999999998</v>
      </c>
      <c r="L49" s="24">
        <v>10.005269999999999</v>
      </c>
      <c r="M49" s="24">
        <v>821.21320000000003</v>
      </c>
      <c r="N49" s="24">
        <v>9.5365000537079894</v>
      </c>
      <c r="O49" s="24">
        <v>5.6</v>
      </c>
      <c r="P49" s="24">
        <v>6.4797507788161983</v>
      </c>
      <c r="Q49" s="24">
        <v>6.3438981352658637</v>
      </c>
      <c r="R49" s="24">
        <v>7.7</v>
      </c>
      <c r="S49" s="24">
        <v>7.6609894168432433</v>
      </c>
      <c r="T49" s="21">
        <v>1</v>
      </c>
      <c r="U49" s="21" t="s">
        <v>117</v>
      </c>
      <c r="V49" s="70">
        <v>-2.4932764372412691E-2</v>
      </c>
      <c r="W49" s="70">
        <v>3.5067235627587304E-2</v>
      </c>
      <c r="X49" s="24">
        <v>0.74946462961306182</v>
      </c>
      <c r="Y49" s="24" t="s">
        <v>1483</v>
      </c>
      <c r="Z49" s="75">
        <v>55684.37</v>
      </c>
      <c r="AA49" t="s">
        <v>1415</v>
      </c>
      <c r="AB49" s="24">
        <v>0.3231597845601436</v>
      </c>
    </row>
    <row r="50" spans="1:28" x14ac:dyDescent="0.55000000000000004">
      <c r="A50" s="24" t="s">
        <v>264</v>
      </c>
      <c r="B50" s="24" t="s">
        <v>937</v>
      </c>
      <c r="C50" s="24" t="s">
        <v>106</v>
      </c>
      <c r="D50" s="24" t="s">
        <v>72</v>
      </c>
      <c r="E50" s="24" t="s">
        <v>89</v>
      </c>
      <c r="F50" s="70">
        <v>4.9738307071548532E-3</v>
      </c>
      <c r="G50" s="24">
        <v>4.9702859999999998</v>
      </c>
      <c r="H50" s="24">
        <v>6.18</v>
      </c>
      <c r="I50" s="24">
        <v>5.1481940000000002</v>
      </c>
      <c r="J50" s="24">
        <v>5.3865730000000003</v>
      </c>
      <c r="K50" s="24">
        <v>0.84488949999999996</v>
      </c>
      <c r="L50" s="24">
        <v>6.2575260000000004</v>
      </c>
      <c r="M50" s="24">
        <v>29.448699999999999</v>
      </c>
      <c r="N50" s="24">
        <v>8.2623731029879774</v>
      </c>
      <c r="O50" s="24">
        <v>9.8000000000000007</v>
      </c>
      <c r="P50" s="24">
        <v>5.9459459459459456</v>
      </c>
      <c r="Q50" s="24">
        <v>4.5747565294378045</v>
      </c>
      <c r="R50" s="24">
        <v>0</v>
      </c>
      <c r="S50" s="24">
        <v>5.5552356102721312</v>
      </c>
      <c r="T50" s="21">
        <v>1</v>
      </c>
      <c r="U50" s="21" t="s">
        <v>141</v>
      </c>
      <c r="V50" s="70">
        <v>-2.5051573573083061E-2</v>
      </c>
      <c r="W50" s="70">
        <v>3.4948426426916937E-2</v>
      </c>
      <c r="X50" s="24">
        <v>1.4047915889362041</v>
      </c>
      <c r="Y50" s="24" t="s">
        <v>1822</v>
      </c>
      <c r="Z50" s="75">
        <v>53878.94</v>
      </c>
      <c r="AA50" t="s">
        <v>1415</v>
      </c>
      <c r="AB50" s="24">
        <v>0.67474048442906587</v>
      </c>
    </row>
    <row r="51" spans="1:28" x14ac:dyDescent="0.55000000000000004">
      <c r="A51" s="24" t="s">
        <v>257</v>
      </c>
      <c r="B51" s="24" t="s">
        <v>1118</v>
      </c>
      <c r="C51" s="24" t="s">
        <v>125</v>
      </c>
      <c r="D51" s="24" t="s">
        <v>72</v>
      </c>
      <c r="E51" s="24" t="s">
        <v>82</v>
      </c>
      <c r="F51" s="70">
        <v>4.8977555051817482E-3</v>
      </c>
      <c r="G51" s="24">
        <v>8.351718</v>
      </c>
      <c r="H51" s="24">
        <v>4.8727080000000003</v>
      </c>
      <c r="I51" s="24">
        <v>7.1767300000000001</v>
      </c>
      <c r="J51" s="24">
        <v>6.7228190000000003</v>
      </c>
      <c r="K51" s="24">
        <v>6.2859020000000001</v>
      </c>
      <c r="L51" s="24">
        <v>14.67853</v>
      </c>
      <c r="M51" s="24">
        <v>10.139699999999999</v>
      </c>
      <c r="N51" s="24">
        <v>4.5176441117160442</v>
      </c>
      <c r="O51" s="24">
        <v>5.7</v>
      </c>
      <c r="P51" s="24">
        <v>4.7580650277489278</v>
      </c>
      <c r="Q51" s="24">
        <v>6.0766100549218427</v>
      </c>
      <c r="R51" s="24">
        <v>4.92</v>
      </c>
      <c r="S51" s="24">
        <v>5.7397269397125426</v>
      </c>
      <c r="T51" s="21">
        <v>1</v>
      </c>
      <c r="U51" s="21" t="s">
        <v>141</v>
      </c>
      <c r="V51" s="70">
        <v>-2.5102431180917699E-2</v>
      </c>
      <c r="W51" s="70">
        <v>3.4897568819082299E-2</v>
      </c>
      <c r="X51" s="24">
        <v>0.96077676777805354</v>
      </c>
      <c r="Y51" s="24" t="s">
        <v>1918</v>
      </c>
      <c r="Z51" s="75">
        <v>52536.53</v>
      </c>
      <c r="AA51" t="s">
        <v>1415</v>
      </c>
      <c r="AB51" s="24">
        <v>0.59829059829059827</v>
      </c>
    </row>
    <row r="52" spans="1:28" x14ac:dyDescent="0.55000000000000004">
      <c r="A52" s="24" t="s">
        <v>262</v>
      </c>
      <c r="B52" s="24" t="s">
        <v>1098</v>
      </c>
      <c r="C52" s="24" t="s">
        <v>106</v>
      </c>
      <c r="D52" s="24" t="s">
        <v>72</v>
      </c>
      <c r="E52" s="24" t="s">
        <v>98</v>
      </c>
      <c r="F52" s="70">
        <v>4.6869827082020093E-3</v>
      </c>
      <c r="G52" s="24">
        <v>6.6855700000000002</v>
      </c>
      <c r="H52" s="24">
        <v>4.003514</v>
      </c>
      <c r="I52" s="24">
        <v>6.2565419999999996</v>
      </c>
      <c r="J52" s="24">
        <v>5.4411360000000002</v>
      </c>
      <c r="K52" s="24">
        <v>1.8630199999999999</v>
      </c>
      <c r="L52" s="24">
        <v>4.6791650000000002</v>
      </c>
      <c r="M52" s="24">
        <v>6.0837000000000003</v>
      </c>
      <c r="N52" s="24">
        <v>5.1691729928675052</v>
      </c>
      <c r="O52" s="24">
        <v>6.1</v>
      </c>
      <c r="P52" s="24">
        <v>6.3354037267080763</v>
      </c>
      <c r="Q52" s="24">
        <v>2.448506939728929</v>
      </c>
      <c r="R52" s="24">
        <v>3.98</v>
      </c>
      <c r="S52" s="24">
        <v>4.712964630708635</v>
      </c>
      <c r="T52" s="21">
        <v>1</v>
      </c>
      <c r="U52" s="21" t="s">
        <v>141</v>
      </c>
      <c r="V52" s="70">
        <v>-2.5313401781050057E-2</v>
      </c>
      <c r="W52" s="70">
        <v>3.4686598218949941E-2</v>
      </c>
      <c r="X52" s="24">
        <v>0.4096963658595853</v>
      </c>
      <c r="Y52" s="24" t="s">
        <v>1827</v>
      </c>
      <c r="Z52" s="75">
        <v>48972.02</v>
      </c>
      <c r="AA52" t="s">
        <v>1415</v>
      </c>
      <c r="AB52" s="24">
        <v>0.70325900514579764</v>
      </c>
    </row>
    <row r="53" spans="1:28" x14ac:dyDescent="0.55000000000000004">
      <c r="A53" s="24" t="s">
        <v>268</v>
      </c>
      <c r="B53" s="24" t="s">
        <v>976</v>
      </c>
      <c r="C53" s="24" t="s">
        <v>106</v>
      </c>
      <c r="D53" s="24" t="s">
        <v>72</v>
      </c>
      <c r="E53" s="24" t="s">
        <v>83</v>
      </c>
      <c r="F53" s="70">
        <v>4.6654716513349912E-3</v>
      </c>
      <c r="G53" s="24">
        <v>5.9916919999999996</v>
      </c>
      <c r="H53" s="24">
        <v>4.7464139999999997</v>
      </c>
      <c r="I53" s="24">
        <v>4.546322</v>
      </c>
      <c r="J53" s="24">
        <v>5.0948099999999998</v>
      </c>
      <c r="K53" s="24">
        <v>2.5246390000000001</v>
      </c>
      <c r="L53" s="24">
        <v>5.528816</v>
      </c>
      <c r="M53" s="24">
        <v>133.32050000000001</v>
      </c>
      <c r="N53" s="24">
        <v>6.3759335883327042</v>
      </c>
      <c r="O53" s="24">
        <v>0.6</v>
      </c>
      <c r="P53" s="24">
        <v>4.6268656716417915</v>
      </c>
      <c r="Q53" s="24">
        <v>6.4117337480526544</v>
      </c>
      <c r="R53" s="24">
        <v>2.5099999999999998</v>
      </c>
      <c r="S53" s="24">
        <v>4.4913988283127022</v>
      </c>
      <c r="T53" s="21">
        <v>1</v>
      </c>
      <c r="U53" s="21" t="s">
        <v>141</v>
      </c>
      <c r="V53" s="70">
        <v>-2.5334791280314895E-2</v>
      </c>
      <c r="W53" s="70">
        <v>3.4665208719685106E-2</v>
      </c>
      <c r="X53" s="24">
        <v>1.4496528243530276</v>
      </c>
      <c r="Y53" s="24" t="s">
        <v>1893</v>
      </c>
      <c r="Z53" s="75">
        <v>62454.36</v>
      </c>
      <c r="AA53" t="s">
        <v>1415</v>
      </c>
      <c r="AB53" s="24">
        <v>0.67708333333333326</v>
      </c>
    </row>
    <row r="54" spans="1:28" x14ac:dyDescent="0.55000000000000004">
      <c r="A54" s="24" t="s">
        <v>266</v>
      </c>
      <c r="B54" s="24" t="s">
        <v>1110</v>
      </c>
      <c r="C54" s="24" t="s">
        <v>105</v>
      </c>
      <c r="D54" s="24" t="s">
        <v>72</v>
      </c>
      <c r="E54" s="24" t="s">
        <v>86</v>
      </c>
      <c r="F54" s="70">
        <v>4.5919696263256185E-3</v>
      </c>
      <c r="G54" s="24" t="e">
        <v>#N/A</v>
      </c>
      <c r="H54" s="24" t="e">
        <v>#N/A</v>
      </c>
      <c r="I54" s="24" t="e">
        <v>#N/A</v>
      </c>
      <c r="J54" s="24" t="e">
        <v>#N/A</v>
      </c>
      <c r="K54" s="24">
        <v>1.6469370000000001</v>
      </c>
      <c r="L54" s="24">
        <v>5.904293</v>
      </c>
      <c r="M54" s="24" t="e">
        <v>#N/A</v>
      </c>
      <c r="N54" s="24">
        <v>0.16498625870697778</v>
      </c>
      <c r="O54" s="24">
        <v>4.0999999999999996</v>
      </c>
      <c r="P54" s="24">
        <v>9.7311838420627801</v>
      </c>
      <c r="Q54" s="24">
        <v>3.2009576116040002</v>
      </c>
      <c r="R54" s="24">
        <v>2.0099999999999998</v>
      </c>
      <c r="S54" s="24">
        <v>3.5417116136723439</v>
      </c>
      <c r="T54" s="21">
        <v>1</v>
      </c>
      <c r="U54" s="21" t="s">
        <v>141</v>
      </c>
      <c r="V54" s="70">
        <v>-2.5407645884422313E-2</v>
      </c>
      <c r="W54" s="70">
        <v>3.4592354115577685E-2</v>
      </c>
      <c r="X54" s="24">
        <v>1.3845761969783488</v>
      </c>
      <c r="Y54" s="24" t="s">
        <v>1999</v>
      </c>
      <c r="Z54" s="75">
        <v>48476.93</v>
      </c>
      <c r="AA54" t="s">
        <v>1415</v>
      </c>
      <c r="AB54" s="24">
        <v>0.75213675213675213</v>
      </c>
    </row>
    <row r="55" spans="1:28" x14ac:dyDescent="0.55000000000000004">
      <c r="A55" s="24" t="s">
        <v>261</v>
      </c>
      <c r="B55" s="24" t="s">
        <v>1203</v>
      </c>
      <c r="C55" s="24" t="s">
        <v>113</v>
      </c>
      <c r="D55" s="24" t="s">
        <v>72</v>
      </c>
      <c r="E55" s="24" t="s">
        <v>100</v>
      </c>
      <c r="F55" s="70">
        <v>4.4659104943116932E-3</v>
      </c>
      <c r="G55" s="24">
        <v>6.1958929999999999</v>
      </c>
      <c r="H55" s="24">
        <v>7.9488649999999996</v>
      </c>
      <c r="I55" s="24">
        <v>6.1875390000000001</v>
      </c>
      <c r="J55" s="24">
        <v>6.7192790000000002</v>
      </c>
      <c r="K55" s="24">
        <v>0.60287840000000004</v>
      </c>
      <c r="L55" s="24">
        <v>2.629343</v>
      </c>
      <c r="M55" s="24">
        <v>23.985399999999998</v>
      </c>
      <c r="N55" s="24">
        <v>8.3980777143098031</v>
      </c>
      <c r="O55" s="24">
        <v>9.5</v>
      </c>
      <c r="P55" s="24">
        <v>7.8260869565217392</v>
      </c>
      <c r="Q55" s="24">
        <v>0</v>
      </c>
      <c r="R55" s="24">
        <v>3.55</v>
      </c>
      <c r="S55" s="24">
        <v>3.7488763756588037</v>
      </c>
      <c r="T55" s="21">
        <v>1</v>
      </c>
      <c r="U55" s="21" t="s">
        <v>141</v>
      </c>
      <c r="V55" s="70">
        <v>-2.5533705016436238E-2</v>
      </c>
      <c r="W55" s="70">
        <v>3.446629498356376E-2</v>
      </c>
      <c r="X55" s="24">
        <v>0.90473724087579588</v>
      </c>
      <c r="Y55" s="24" t="s">
        <v>1917</v>
      </c>
      <c r="Z55" s="75">
        <v>49206.59</v>
      </c>
      <c r="AA55" t="s">
        <v>1415</v>
      </c>
      <c r="AB55" s="24">
        <v>0.68610634648370494</v>
      </c>
    </row>
    <row r="56" spans="1:28" x14ac:dyDescent="0.55000000000000004">
      <c r="A56" s="24" t="s">
        <v>269</v>
      </c>
      <c r="B56" s="24" t="s">
        <v>1402</v>
      </c>
      <c r="C56" s="24" t="s">
        <v>110</v>
      </c>
      <c r="D56" s="24" t="s">
        <v>72</v>
      </c>
      <c r="E56" s="24" t="s">
        <v>85</v>
      </c>
      <c r="F56" s="70">
        <v>4.3632134754055278E-3</v>
      </c>
      <c r="G56" s="24">
        <v>5.1189710000000002</v>
      </c>
      <c r="H56" s="24">
        <v>6.0483760000000002</v>
      </c>
      <c r="I56" s="24">
        <v>6.6686439999999996</v>
      </c>
      <c r="J56" s="24">
        <v>5.9453300000000002</v>
      </c>
      <c r="K56" s="24">
        <v>3.6088990000000001</v>
      </c>
      <c r="L56" s="24">
        <v>8.7969089999999994</v>
      </c>
      <c r="M56" s="24">
        <v>4885.2139999999999</v>
      </c>
      <c r="N56" s="24">
        <v>6.174627353592939</v>
      </c>
      <c r="O56" s="24">
        <v>8</v>
      </c>
      <c r="P56" s="24">
        <v>4.5345345345345329</v>
      </c>
      <c r="Q56" s="24">
        <v>7.5243470562195665</v>
      </c>
      <c r="R56" s="24">
        <v>6.93</v>
      </c>
      <c r="S56" s="24">
        <v>7.0783229736400628</v>
      </c>
      <c r="T56" s="21">
        <v>1</v>
      </c>
      <c r="U56" s="21" t="s">
        <v>141</v>
      </c>
      <c r="V56" s="70">
        <v>-2.5636402035342402E-2</v>
      </c>
      <c r="W56" s="70">
        <v>3.43635979646576E-2</v>
      </c>
      <c r="X56" s="24">
        <v>1.1182231379069596</v>
      </c>
      <c r="Y56" s="24" t="s">
        <v>1539</v>
      </c>
      <c r="Z56" s="75">
        <v>49198.19</v>
      </c>
      <c r="AA56" t="s">
        <v>1415</v>
      </c>
      <c r="AB56" s="24">
        <v>0.76124567474048443</v>
      </c>
    </row>
    <row r="57" spans="1:28" x14ac:dyDescent="0.55000000000000004">
      <c r="A57" s="24" t="s">
        <v>271</v>
      </c>
      <c r="B57" s="24" t="s">
        <v>931</v>
      </c>
      <c r="C57" s="24" t="s">
        <v>110</v>
      </c>
      <c r="D57" s="24" t="s">
        <v>72</v>
      </c>
      <c r="E57" s="24" t="s">
        <v>85</v>
      </c>
      <c r="F57" s="70">
        <v>4.1267663817241042E-3</v>
      </c>
      <c r="G57" s="24">
        <v>7.9595320000000003</v>
      </c>
      <c r="H57" s="24">
        <v>5.5364750000000003</v>
      </c>
      <c r="I57" s="24">
        <v>7.6212669999999996</v>
      </c>
      <c r="J57" s="24">
        <v>7.039091</v>
      </c>
      <c r="K57" s="24">
        <v>1.2968679999999999</v>
      </c>
      <c r="L57" s="24">
        <v>2.9265140000000001</v>
      </c>
      <c r="M57" s="24">
        <v>35.3611</v>
      </c>
      <c r="N57" s="24">
        <v>7.3114334423413236</v>
      </c>
      <c r="O57" s="24">
        <v>5.0999999999999996</v>
      </c>
      <c r="P57" s="24">
        <v>6.306306306306305</v>
      </c>
      <c r="Q57" s="24">
        <v>1.3968204957945995</v>
      </c>
      <c r="R57" s="24">
        <v>4.43</v>
      </c>
      <c r="S57" s="24">
        <v>3.4989665622567268</v>
      </c>
      <c r="T57" s="21">
        <v>1</v>
      </c>
      <c r="U57" s="21" t="s">
        <v>141</v>
      </c>
      <c r="V57" s="70">
        <v>-2.5873618107527963E-2</v>
      </c>
      <c r="W57" s="70">
        <v>3.4126381892472031E-2</v>
      </c>
      <c r="X57" s="24">
        <v>1.3487181533193329</v>
      </c>
      <c r="Y57" s="24" t="s">
        <v>1569</v>
      </c>
      <c r="Z57" s="75">
        <v>45101.75</v>
      </c>
      <c r="AA57" t="s">
        <v>1415</v>
      </c>
      <c r="AB57" s="24">
        <v>0.79584775086505188</v>
      </c>
    </row>
    <row r="58" spans="1:28" x14ac:dyDescent="0.55000000000000004">
      <c r="A58" s="24" t="s">
        <v>272</v>
      </c>
      <c r="B58" s="24" t="s">
        <v>1292</v>
      </c>
      <c r="C58" s="24" t="s">
        <v>110</v>
      </c>
      <c r="D58" s="24" t="s">
        <v>72</v>
      </c>
      <c r="E58" s="24" t="s">
        <v>88</v>
      </c>
      <c r="F58" s="70">
        <v>4.1149513661908619E-3</v>
      </c>
      <c r="G58" s="24">
        <v>3.8823449999999999</v>
      </c>
      <c r="H58" s="24">
        <v>5.3537540000000003</v>
      </c>
      <c r="I58" s="24">
        <v>6.9757800000000003</v>
      </c>
      <c r="J58" s="24">
        <v>5.7082819999999996</v>
      </c>
      <c r="K58" s="24">
        <v>0.30084169999999999</v>
      </c>
      <c r="L58" s="24">
        <v>3.8989760000000002</v>
      </c>
      <c r="M58" s="24">
        <v>39.942799999999998</v>
      </c>
      <c r="N58" s="24">
        <v>6.0959394298690448</v>
      </c>
      <c r="O58" s="24">
        <v>3</v>
      </c>
      <c r="P58" s="24">
        <v>3.4794520547945202</v>
      </c>
      <c r="Q58" s="24">
        <v>3.6808741891478052</v>
      </c>
      <c r="R58" s="24">
        <v>3.9</v>
      </c>
      <c r="S58" s="24">
        <v>4.4500544895582372</v>
      </c>
      <c r="T58" s="21">
        <v>1</v>
      </c>
      <c r="U58" s="21" t="s">
        <v>141</v>
      </c>
      <c r="V58" s="70">
        <v>-2.5884664144557069E-2</v>
      </c>
      <c r="W58" s="70">
        <v>3.4115335855442928E-2</v>
      </c>
      <c r="X58" s="24">
        <v>0.904442637219385</v>
      </c>
      <c r="Y58" s="24" t="s">
        <v>1570</v>
      </c>
      <c r="Z58" s="75">
        <v>44160.07</v>
      </c>
      <c r="AA58" t="s">
        <v>1415</v>
      </c>
      <c r="AB58" s="24">
        <v>1.0243055555555556</v>
      </c>
    </row>
    <row r="59" spans="1:28" x14ac:dyDescent="0.55000000000000004">
      <c r="A59" s="24" t="s">
        <v>267</v>
      </c>
      <c r="B59" s="24" t="s">
        <v>1000</v>
      </c>
      <c r="C59" s="24" t="s">
        <v>106</v>
      </c>
      <c r="D59" s="24" t="s">
        <v>72</v>
      </c>
      <c r="E59" s="24" t="s">
        <v>89</v>
      </c>
      <c r="F59" s="70">
        <v>4.101731550741246E-3</v>
      </c>
      <c r="G59" s="24">
        <v>5.0977269999999999</v>
      </c>
      <c r="H59" s="24">
        <v>6.2354700000000003</v>
      </c>
      <c r="I59" s="24">
        <v>3.3784079999999999</v>
      </c>
      <c r="J59" s="24">
        <v>4.923254</v>
      </c>
      <c r="K59" s="24">
        <v>2.6580789999999999</v>
      </c>
      <c r="L59" s="24">
        <v>6.3644559999999997</v>
      </c>
      <c r="M59" s="24">
        <v>17.682300000000001</v>
      </c>
      <c r="N59" s="24">
        <v>7.291981098250222</v>
      </c>
      <c r="O59" s="24">
        <v>7.8</v>
      </c>
      <c r="P59" s="24">
        <v>4.3543543543543537</v>
      </c>
      <c r="Q59" s="24">
        <v>5.1933012394864981</v>
      </c>
      <c r="R59" s="24">
        <v>5.9400009999999996</v>
      </c>
      <c r="S59" s="24">
        <v>5.8747444260695163</v>
      </c>
      <c r="T59" s="21">
        <v>1</v>
      </c>
      <c r="U59" s="21" t="s">
        <v>141</v>
      </c>
      <c r="V59" s="70">
        <v>-2.5897883960006682E-2</v>
      </c>
      <c r="W59" s="70">
        <v>3.4102116039993316E-2</v>
      </c>
      <c r="X59" s="24">
        <v>0.54031124403964681</v>
      </c>
      <c r="Y59" s="24" t="s">
        <v>1768</v>
      </c>
      <c r="Z59" s="75">
        <v>45137.64</v>
      </c>
      <c r="AA59" t="s">
        <v>1415</v>
      </c>
      <c r="AB59" s="24">
        <v>0.72664359861591699</v>
      </c>
    </row>
    <row r="60" spans="1:28" x14ac:dyDescent="0.55000000000000004">
      <c r="A60" s="24" t="s">
        <v>275</v>
      </c>
      <c r="B60" s="24" t="s">
        <v>1088</v>
      </c>
      <c r="C60" s="24" t="s">
        <v>105</v>
      </c>
      <c r="D60" s="24" t="s">
        <v>72</v>
      </c>
      <c r="E60" s="24" t="s">
        <v>89</v>
      </c>
      <c r="F60" s="70">
        <v>4.0799327165896744E-3</v>
      </c>
      <c r="G60" s="24">
        <v>7.5987280000000004</v>
      </c>
      <c r="H60" s="24">
        <v>7.2691280000000003</v>
      </c>
      <c r="I60" s="24">
        <v>6.0960460000000003</v>
      </c>
      <c r="J60" s="24">
        <v>7.0490440000000003</v>
      </c>
      <c r="K60" s="24">
        <v>1.5243450000000001</v>
      </c>
      <c r="L60" s="24">
        <v>3.5151599999999998</v>
      </c>
      <c r="M60" s="24">
        <v>30.402000000000001</v>
      </c>
      <c r="N60" s="24">
        <v>5.4160365067630645</v>
      </c>
      <c r="O60" s="24">
        <v>3.6</v>
      </c>
      <c r="P60" s="24">
        <v>9.0690690690690676</v>
      </c>
      <c r="Q60" s="24">
        <v>1.3274679061531653</v>
      </c>
      <c r="R60" s="24">
        <v>3.95</v>
      </c>
      <c r="S60" s="24">
        <v>3.4547739615430131</v>
      </c>
      <c r="T60" s="21">
        <v>1</v>
      </c>
      <c r="U60" s="21" t="s">
        <v>141</v>
      </c>
      <c r="V60" s="70">
        <v>-2.5919682794158256E-2</v>
      </c>
      <c r="W60" s="70">
        <v>3.4080317205841745E-2</v>
      </c>
      <c r="X60" s="24">
        <v>1.4716570965972617</v>
      </c>
      <c r="Y60" s="24" t="s">
        <v>2006</v>
      </c>
      <c r="Z60" s="75">
        <v>43963.19</v>
      </c>
      <c r="AA60" t="s">
        <v>1415</v>
      </c>
      <c r="AB60" s="24">
        <v>0.86505190311418678</v>
      </c>
    </row>
    <row r="61" spans="1:28" x14ac:dyDescent="0.55000000000000004">
      <c r="A61" s="24" t="s">
        <v>270</v>
      </c>
      <c r="B61" s="24" t="s">
        <v>1221</v>
      </c>
      <c r="C61" s="24" t="s">
        <v>106</v>
      </c>
      <c r="D61" s="24" t="s">
        <v>72</v>
      </c>
      <c r="E61" s="24" t="s">
        <v>82</v>
      </c>
      <c r="F61" s="70">
        <v>4.0067230816437779E-3</v>
      </c>
      <c r="G61" s="24">
        <v>6.8792499999999999</v>
      </c>
      <c r="H61" s="24">
        <v>5.9451879999999999</v>
      </c>
      <c r="I61" s="24">
        <v>4.9925449999999998</v>
      </c>
      <c r="J61" s="24">
        <v>5.8919810000000004</v>
      </c>
      <c r="K61" s="24">
        <v>5.2370130000000001</v>
      </c>
      <c r="L61" s="24">
        <v>14.228</v>
      </c>
      <c r="M61" s="24">
        <v>5.3159000000000001</v>
      </c>
      <c r="N61" s="24">
        <v>1.756416212484702</v>
      </c>
      <c r="O61" s="24">
        <v>6.2</v>
      </c>
      <c r="P61" s="24">
        <v>4.1935488380160049</v>
      </c>
      <c r="Q61" s="24">
        <v>5.8090409801436422</v>
      </c>
      <c r="R61" s="24">
        <v>4.63</v>
      </c>
      <c r="S61" s="24">
        <v>5.0061972783075985</v>
      </c>
      <c r="T61" s="21">
        <v>1</v>
      </c>
      <c r="U61" s="21" t="s">
        <v>141</v>
      </c>
      <c r="V61" s="70">
        <v>-2.5993514197408592E-2</v>
      </c>
      <c r="W61" s="70">
        <v>3.4006485802591406E-2</v>
      </c>
      <c r="X61" s="24">
        <v>1.2634946534453333</v>
      </c>
      <c r="Y61" s="24" t="s">
        <v>1791</v>
      </c>
      <c r="Z61" s="75">
        <v>44039.43</v>
      </c>
      <c r="AA61" t="s">
        <v>1415</v>
      </c>
      <c r="AB61" s="24">
        <v>0.82051282051282048</v>
      </c>
    </row>
    <row r="62" spans="1:28" x14ac:dyDescent="0.55000000000000004">
      <c r="A62" s="24" t="s">
        <v>279</v>
      </c>
      <c r="B62" s="24" t="s">
        <v>1268</v>
      </c>
      <c r="C62" s="24" t="s">
        <v>106</v>
      </c>
      <c r="D62" s="24" t="s">
        <v>72</v>
      </c>
      <c r="E62" s="24" t="s">
        <v>89</v>
      </c>
      <c r="F62" s="70">
        <v>3.9795819666069527E-3</v>
      </c>
      <c r="G62" s="24">
        <v>7.0231349999999999</v>
      </c>
      <c r="H62" s="24">
        <v>5.6746129999999999</v>
      </c>
      <c r="I62" s="24">
        <v>6.2105940000000004</v>
      </c>
      <c r="J62" s="24">
        <v>6.374816</v>
      </c>
      <c r="K62" s="24">
        <v>1.2056340000000001</v>
      </c>
      <c r="L62" s="24">
        <v>3.4864799999999998</v>
      </c>
      <c r="M62" s="24">
        <v>5.1576000000000004</v>
      </c>
      <c r="N62" s="24">
        <v>3.0581364573963059</v>
      </c>
      <c r="O62" s="24">
        <v>4.4000000000000004</v>
      </c>
      <c r="P62" s="24">
        <v>7.2372372372372364</v>
      </c>
      <c r="Q62" s="24">
        <v>1.2658621071270473</v>
      </c>
      <c r="R62" s="24">
        <v>2.69</v>
      </c>
      <c r="S62" s="24">
        <v>3.3376014722407703</v>
      </c>
      <c r="T62" s="21">
        <v>1</v>
      </c>
      <c r="U62" s="21" t="s">
        <v>141</v>
      </c>
      <c r="V62" s="70">
        <v>-2.6020802522645117E-2</v>
      </c>
      <c r="W62" s="70">
        <v>3.397919747735488E-2</v>
      </c>
      <c r="X62" s="24">
        <v>1.2246655913196502</v>
      </c>
      <c r="Y62" s="24" t="s">
        <v>1808</v>
      </c>
      <c r="Z62" s="75">
        <v>43315.97</v>
      </c>
      <c r="AA62" t="s">
        <v>1415</v>
      </c>
      <c r="AB62" s="24">
        <v>0.93425605536332179</v>
      </c>
    </row>
    <row r="63" spans="1:28" x14ac:dyDescent="0.55000000000000004">
      <c r="A63" s="24" t="s">
        <v>278</v>
      </c>
      <c r="B63" s="24" t="s">
        <v>1282</v>
      </c>
      <c r="C63" s="24" t="s">
        <v>112</v>
      </c>
      <c r="D63" s="24" t="s">
        <v>72</v>
      </c>
      <c r="E63" s="24" t="s">
        <v>84</v>
      </c>
      <c r="F63" s="70">
        <v>3.85837645607344E-3</v>
      </c>
      <c r="G63" s="24">
        <v>5</v>
      </c>
      <c r="H63" s="24">
        <v>5.5</v>
      </c>
      <c r="I63" s="24">
        <v>6</v>
      </c>
      <c r="J63" s="24">
        <v>5.5</v>
      </c>
      <c r="K63" s="24">
        <v>6.1092690000000003</v>
      </c>
      <c r="L63" s="24">
        <v>7.0986469999999997</v>
      </c>
      <c r="M63" s="24">
        <v>284.20569999999998</v>
      </c>
      <c r="N63" s="24">
        <v>4.6434083811451217</v>
      </c>
      <c r="O63" s="24">
        <v>4.4000000000000004</v>
      </c>
      <c r="P63" s="24">
        <v>3.9402985074626864</v>
      </c>
      <c r="Q63" s="24">
        <v>5.5961510610773857</v>
      </c>
      <c r="R63" s="24">
        <v>7.57</v>
      </c>
      <c r="S63" s="24">
        <v>5.6398676701931034</v>
      </c>
      <c r="T63" s="21">
        <v>1</v>
      </c>
      <c r="U63" s="21" t="s">
        <v>141</v>
      </c>
      <c r="V63" s="70">
        <v>-2.6141239054674491E-2</v>
      </c>
      <c r="W63" s="70">
        <v>3.3858760945325507E-2</v>
      </c>
      <c r="X63" s="24">
        <v>1.1332937790117386</v>
      </c>
      <c r="Y63" s="24" t="s">
        <v>1626</v>
      </c>
      <c r="Z63" s="75">
        <v>42263.93</v>
      </c>
      <c r="AA63" t="s">
        <v>1415</v>
      </c>
      <c r="AB63" s="24">
        <v>0.85069444444444442</v>
      </c>
    </row>
    <row r="64" spans="1:28" x14ac:dyDescent="0.55000000000000004">
      <c r="A64" s="24" t="s">
        <v>277</v>
      </c>
      <c r="B64" s="24" t="s">
        <v>825</v>
      </c>
      <c r="C64" s="24" t="s">
        <v>107</v>
      </c>
      <c r="D64" s="24" t="s">
        <v>72</v>
      </c>
      <c r="E64" s="24" t="s">
        <v>87</v>
      </c>
      <c r="F64" s="70">
        <v>3.8321813746303016E-3</v>
      </c>
      <c r="G64" s="24">
        <v>6.2355539999999996</v>
      </c>
      <c r="H64" s="24">
        <v>6.2065659999999996</v>
      </c>
      <c r="I64" s="24">
        <v>7.9319860000000002</v>
      </c>
      <c r="J64" s="24">
        <v>6.7357870000000002</v>
      </c>
      <c r="K64" s="24">
        <v>3.2147960000000002</v>
      </c>
      <c r="L64" s="24">
        <v>6.0218239999999996</v>
      </c>
      <c r="M64" s="24">
        <v>61.596400000000003</v>
      </c>
      <c r="N64" s="24">
        <v>0.18907167300761768</v>
      </c>
      <c r="O64" s="24">
        <v>6.3</v>
      </c>
      <c r="P64" s="24">
        <v>3.1799163179916317</v>
      </c>
      <c r="Q64" s="24">
        <v>4.7089691974428067</v>
      </c>
      <c r="R64" s="24">
        <v>5.63</v>
      </c>
      <c r="S64" s="24">
        <v>4.6298166970038785</v>
      </c>
      <c r="T64" s="21">
        <v>1</v>
      </c>
      <c r="U64" s="21" t="s">
        <v>141</v>
      </c>
      <c r="V64" s="70">
        <v>-2.6168203114621764E-2</v>
      </c>
      <c r="W64" s="70">
        <v>3.3831796885378233E-2</v>
      </c>
      <c r="X64" s="24">
        <v>0.12545536248229211</v>
      </c>
      <c r="Y64" s="24" t="s">
        <v>1713</v>
      </c>
      <c r="Z64" s="75">
        <v>40869.79</v>
      </c>
      <c r="AA64" t="s">
        <v>1415</v>
      </c>
      <c r="AB64" s="24">
        <v>1.1012433392539964</v>
      </c>
    </row>
    <row r="65" spans="1:28" x14ac:dyDescent="0.55000000000000004">
      <c r="A65" s="24" t="s">
        <v>280</v>
      </c>
      <c r="B65" s="24" t="s">
        <v>826</v>
      </c>
      <c r="C65" s="24" t="s">
        <v>107</v>
      </c>
      <c r="D65" s="24" t="s">
        <v>72</v>
      </c>
      <c r="E65" s="24" t="s">
        <v>85</v>
      </c>
      <c r="F65" s="70">
        <v>3.8072896607349825E-3</v>
      </c>
      <c r="G65" s="24">
        <v>6.5703430000000003</v>
      </c>
      <c r="H65" s="24">
        <v>6.5264689999999996</v>
      </c>
      <c r="I65" s="24">
        <v>6.6223479999999997</v>
      </c>
      <c r="J65" s="24">
        <v>6.5727830000000003</v>
      </c>
      <c r="K65" s="24">
        <v>2.7382789999999999</v>
      </c>
      <c r="L65" s="24">
        <v>9.4432720000000003</v>
      </c>
      <c r="M65" s="24">
        <v>233.92689999999999</v>
      </c>
      <c r="N65" s="24">
        <v>4.43916081957377</v>
      </c>
      <c r="O65" s="24">
        <v>7.1</v>
      </c>
      <c r="P65" s="24">
        <v>5.1351351351351333</v>
      </c>
      <c r="Q65" s="24">
        <v>8.6000442673749458</v>
      </c>
      <c r="R65" s="24">
        <v>5.73</v>
      </c>
      <c r="S65" s="24">
        <v>6.8479549557814092</v>
      </c>
      <c r="T65" s="21">
        <v>1</v>
      </c>
      <c r="U65" s="21" t="s">
        <v>141</v>
      </c>
      <c r="V65" s="70">
        <v>-2.6192325850012948E-2</v>
      </c>
      <c r="W65" s="70">
        <v>3.3807674149987053E-2</v>
      </c>
      <c r="X65" s="24">
        <v>1.6115628516898182</v>
      </c>
      <c r="Y65" s="24" t="s">
        <v>1725</v>
      </c>
      <c r="Z65" s="75">
        <v>37429</v>
      </c>
      <c r="AA65" t="s">
        <v>1415</v>
      </c>
      <c r="AB65" s="24">
        <v>0.95155709342560557</v>
      </c>
    </row>
    <row r="66" spans="1:28" x14ac:dyDescent="0.55000000000000004">
      <c r="A66" s="24" t="s">
        <v>273</v>
      </c>
      <c r="B66" s="24" t="s">
        <v>898</v>
      </c>
      <c r="C66" s="24" t="s">
        <v>110</v>
      </c>
      <c r="D66" s="24" t="s">
        <v>72</v>
      </c>
      <c r="E66" s="24" t="s">
        <v>88</v>
      </c>
      <c r="F66" s="70">
        <v>3.7969545547199674E-3</v>
      </c>
      <c r="G66" s="24">
        <v>3.3283149999999999</v>
      </c>
      <c r="H66" s="24">
        <v>5.6086470000000004</v>
      </c>
      <c r="I66" s="24">
        <v>6.7849700000000004</v>
      </c>
      <c r="J66" s="24">
        <v>5.6231099999999996</v>
      </c>
      <c r="K66" s="24">
        <v>0.85566880000000001</v>
      </c>
      <c r="L66" s="24">
        <v>3.8108610000000001</v>
      </c>
      <c r="M66" s="24">
        <v>100.2436</v>
      </c>
      <c r="N66" s="24">
        <v>5.2605015516413935</v>
      </c>
      <c r="O66" s="24">
        <v>9.3000000000000007</v>
      </c>
      <c r="P66" s="24">
        <v>5.2328767123287676</v>
      </c>
      <c r="Q66" s="24">
        <v>1.7628553133439131</v>
      </c>
      <c r="R66" s="24">
        <v>5.29</v>
      </c>
      <c r="S66" s="24">
        <v>3.4099008186370119</v>
      </c>
      <c r="T66" s="21">
        <v>1</v>
      </c>
      <c r="U66" s="21" t="s">
        <v>141</v>
      </c>
      <c r="V66" s="70">
        <v>-2.6203429934532101E-2</v>
      </c>
      <c r="W66" s="70">
        <v>3.3796570065467893E-2</v>
      </c>
      <c r="X66" s="24">
        <v>1.1587296501901632</v>
      </c>
      <c r="Y66" s="24" t="s">
        <v>1545</v>
      </c>
      <c r="Z66" s="75">
        <v>39721.29</v>
      </c>
      <c r="AA66" t="s">
        <v>1415</v>
      </c>
      <c r="AB66" s="24">
        <v>1.0416666666666667</v>
      </c>
    </row>
    <row r="67" spans="1:28" x14ac:dyDescent="0.55000000000000004">
      <c r="A67" s="24" t="s">
        <v>274</v>
      </c>
      <c r="B67" s="24" t="s">
        <v>1174</v>
      </c>
      <c r="C67" s="24" t="s">
        <v>112</v>
      </c>
      <c r="D67" s="24" t="s">
        <v>72</v>
      </c>
      <c r="E67" s="24" t="s">
        <v>96</v>
      </c>
      <c r="F67" s="70">
        <v>3.73675130098719E-3</v>
      </c>
      <c r="G67" s="24">
        <v>7.0958129999999997</v>
      </c>
      <c r="H67" s="24">
        <v>6.533855</v>
      </c>
      <c r="I67" s="24">
        <v>6.522062</v>
      </c>
      <c r="J67" s="24">
        <v>6.7551009999999998</v>
      </c>
      <c r="K67" s="24">
        <v>1.109316</v>
      </c>
      <c r="L67" s="24">
        <v>5.8387149999999997</v>
      </c>
      <c r="M67" s="24">
        <v>110.5257</v>
      </c>
      <c r="N67" s="24">
        <v>3.6135206354123754</v>
      </c>
      <c r="O67" s="24">
        <v>1.1000000000000001</v>
      </c>
      <c r="P67" s="24">
        <v>0.67873303167420818</v>
      </c>
      <c r="Q67" s="24">
        <v>8.1452950637478292</v>
      </c>
      <c r="R67" s="24">
        <v>3.89</v>
      </c>
      <c r="S67" s="24">
        <v>5.4163619014761002</v>
      </c>
      <c r="T67" s="21">
        <v>1</v>
      </c>
      <c r="U67" s="21" t="s">
        <v>141</v>
      </c>
      <c r="V67" s="70">
        <v>-2.6263633188264877E-2</v>
      </c>
      <c r="W67" s="70">
        <v>3.373636681173512E-2</v>
      </c>
      <c r="X67" s="24">
        <v>1.8911123869251496</v>
      </c>
      <c r="Y67" s="24" t="s">
        <v>1597</v>
      </c>
      <c r="Z67" s="75">
        <v>40813.550000000003</v>
      </c>
      <c r="AA67" t="s">
        <v>1415</v>
      </c>
      <c r="AB67" s="24">
        <v>1.0398613518197573</v>
      </c>
    </row>
    <row r="68" spans="1:28" x14ac:dyDescent="0.55000000000000004">
      <c r="A68" s="24" t="s">
        <v>265</v>
      </c>
      <c r="B68" s="24" t="s">
        <v>934</v>
      </c>
      <c r="C68" s="24" t="s">
        <v>112</v>
      </c>
      <c r="D68" s="24" t="s">
        <v>72</v>
      </c>
      <c r="E68" s="24" t="s">
        <v>100</v>
      </c>
      <c r="F68" s="70">
        <v>3.700320146397337E-3</v>
      </c>
      <c r="G68" s="24">
        <v>4.6746699999999999</v>
      </c>
      <c r="H68" s="24">
        <v>5.1984389999999996</v>
      </c>
      <c r="I68" s="24">
        <v>6.0451699999999997</v>
      </c>
      <c r="J68" s="24">
        <v>5.2429500000000004</v>
      </c>
      <c r="K68" s="24">
        <v>7.9381539999999999</v>
      </c>
      <c r="L68" s="24">
        <v>15.13034</v>
      </c>
      <c r="M68" s="24">
        <v>13.4734</v>
      </c>
      <c r="N68" s="24">
        <v>2.7067670086871303</v>
      </c>
      <c r="O68" s="24">
        <v>1.6</v>
      </c>
      <c r="P68" s="24">
        <v>3.1366459627329202</v>
      </c>
      <c r="Q68" s="24">
        <v>8.8151310535893739</v>
      </c>
      <c r="R68" s="24">
        <v>6.69</v>
      </c>
      <c r="S68" s="24">
        <v>6.7294626836593983</v>
      </c>
      <c r="T68" s="21">
        <v>1</v>
      </c>
      <c r="U68" s="21" t="s">
        <v>141</v>
      </c>
      <c r="V68" s="70">
        <v>-2.6299295364350592E-2</v>
      </c>
      <c r="W68" s="70">
        <v>3.3700704635649406E-2</v>
      </c>
      <c r="X68" s="24">
        <v>1.3449079645207727</v>
      </c>
      <c r="Y68" s="24" t="s">
        <v>1433</v>
      </c>
      <c r="Z68" s="75">
        <v>48536.25</v>
      </c>
      <c r="AA68" t="s">
        <v>1415</v>
      </c>
      <c r="AB68" s="24">
        <v>0.75471698113207542</v>
      </c>
    </row>
    <row r="69" spans="1:28" x14ac:dyDescent="0.55000000000000004">
      <c r="A69" s="24" t="s">
        <v>288</v>
      </c>
      <c r="B69" s="24" t="s">
        <v>858</v>
      </c>
      <c r="C69" s="24" t="s">
        <v>125</v>
      </c>
      <c r="D69" s="24" t="s">
        <v>72</v>
      </c>
      <c r="E69" s="24" t="s">
        <v>89</v>
      </c>
      <c r="F69" s="70">
        <v>3.6924256877504617E-3</v>
      </c>
      <c r="G69" s="24">
        <v>5.0316450000000001</v>
      </c>
      <c r="H69" s="24">
        <v>6.7865890000000002</v>
      </c>
      <c r="I69" s="24">
        <v>5.6041840000000001</v>
      </c>
      <c r="J69" s="24">
        <v>5.8462639999999997</v>
      </c>
      <c r="K69" s="24">
        <v>0</v>
      </c>
      <c r="L69" s="24">
        <v>2.4599440000000001</v>
      </c>
      <c r="M69" s="24">
        <v>2.0621999999999998</v>
      </c>
      <c r="N69" s="24">
        <v>8.0354442171841693</v>
      </c>
      <c r="O69" s="24">
        <v>9</v>
      </c>
      <c r="P69" s="24">
        <v>8.0180180180180169</v>
      </c>
      <c r="Q69" s="24">
        <v>0.28109783089862772</v>
      </c>
      <c r="R69" s="24">
        <v>0</v>
      </c>
      <c r="S69" s="24">
        <v>2.5656255212478887</v>
      </c>
      <c r="T69" s="21">
        <v>1</v>
      </c>
      <c r="U69" s="21" t="s">
        <v>141</v>
      </c>
      <c r="V69" s="70">
        <v>-2.6307189822997467E-2</v>
      </c>
      <c r="W69" s="70">
        <v>3.3692810177002527E-2</v>
      </c>
      <c r="X69" s="24">
        <v>2.3486816556712187</v>
      </c>
      <c r="Y69" s="24" t="s">
        <v>1924</v>
      </c>
      <c r="Z69" s="75">
        <v>41330.120000000003</v>
      </c>
      <c r="AA69" t="s">
        <v>1415</v>
      </c>
      <c r="AB69" s="24">
        <v>1.0899653979238755</v>
      </c>
    </row>
    <row r="70" spans="1:28" x14ac:dyDescent="0.55000000000000004">
      <c r="A70" s="24" t="s">
        <v>281</v>
      </c>
      <c r="B70" s="24" t="s">
        <v>1262</v>
      </c>
      <c r="C70" s="24" t="s">
        <v>112</v>
      </c>
      <c r="D70" s="24" t="s">
        <v>72</v>
      </c>
      <c r="E70" s="24" t="s">
        <v>86</v>
      </c>
      <c r="F70" s="70">
        <v>3.6660394499176741E-3</v>
      </c>
      <c r="G70" s="24">
        <v>7.9805739999999998</v>
      </c>
      <c r="H70" s="24">
        <v>5.0413839999999999</v>
      </c>
      <c r="I70" s="24">
        <v>7.291156</v>
      </c>
      <c r="J70" s="24">
        <v>6.7105610000000002</v>
      </c>
      <c r="K70" s="24">
        <v>1.927603</v>
      </c>
      <c r="L70" s="24">
        <v>5.6428510000000003</v>
      </c>
      <c r="M70" s="24">
        <v>6.2900999999999998</v>
      </c>
      <c r="N70" s="24">
        <v>8.4509632653970339</v>
      </c>
      <c r="O70" s="24">
        <v>6.9</v>
      </c>
      <c r="P70" s="24">
        <v>8.4946245693144711</v>
      </c>
      <c r="Q70" s="24">
        <v>1.9269590198563584</v>
      </c>
      <c r="R70" s="24">
        <v>2.95</v>
      </c>
      <c r="S70" s="24">
        <v>4.5729350655498662</v>
      </c>
      <c r="T70" s="21">
        <v>1</v>
      </c>
      <c r="U70" s="21" t="s">
        <v>141</v>
      </c>
      <c r="V70" s="70">
        <v>-2.6334345039334392E-2</v>
      </c>
      <c r="W70" s="70">
        <v>3.3665654960665606E-2</v>
      </c>
      <c r="X70" s="24">
        <v>0.4974560008334647</v>
      </c>
      <c r="Y70" s="24" t="s">
        <v>1594</v>
      </c>
      <c r="Z70" s="75">
        <v>39003.19</v>
      </c>
      <c r="AA70" t="s">
        <v>1415</v>
      </c>
      <c r="AB70" s="24">
        <v>1.0085470085470085</v>
      </c>
    </row>
    <row r="71" spans="1:28" x14ac:dyDescent="0.55000000000000004">
      <c r="A71" s="24" t="s">
        <v>287</v>
      </c>
      <c r="B71" s="24" t="s">
        <v>1323</v>
      </c>
      <c r="C71" s="24" t="s">
        <v>112</v>
      </c>
      <c r="D71" s="24" t="s">
        <v>72</v>
      </c>
      <c r="E71" s="24" t="s">
        <v>89</v>
      </c>
      <c r="F71" s="70">
        <v>3.6398290065222608E-3</v>
      </c>
      <c r="G71" s="24">
        <v>6.8353190000000001</v>
      </c>
      <c r="H71" s="24">
        <v>6.7132949999999996</v>
      </c>
      <c r="I71" s="24">
        <v>6.3850249999999997</v>
      </c>
      <c r="J71" s="24">
        <v>6.6636230000000003</v>
      </c>
      <c r="K71" s="24">
        <v>4.6432479999999998</v>
      </c>
      <c r="L71" s="24">
        <v>6.5632590000000004</v>
      </c>
      <c r="M71" s="24">
        <v>134.94499999999999</v>
      </c>
      <c r="N71" s="24">
        <v>2.4573156491326706</v>
      </c>
      <c r="O71" s="24">
        <v>1.9</v>
      </c>
      <c r="P71" s="24">
        <v>5.2552552552552543</v>
      </c>
      <c r="Q71" s="24">
        <v>8.6990925188136341</v>
      </c>
      <c r="R71" s="24">
        <v>7.05</v>
      </c>
      <c r="S71" s="24">
        <v>5.5796508194990881</v>
      </c>
      <c r="T71" s="21">
        <v>1</v>
      </c>
      <c r="U71" s="21" t="s">
        <v>141</v>
      </c>
      <c r="V71" s="70">
        <v>-2.6360555482729808E-2</v>
      </c>
      <c r="W71" s="70">
        <v>3.3639444517270189E-2</v>
      </c>
      <c r="X71" s="24">
        <v>1.1799419854504447</v>
      </c>
      <c r="Y71" s="24" t="s">
        <v>1591</v>
      </c>
      <c r="Z71" s="75">
        <v>38916.17</v>
      </c>
      <c r="AA71" t="s">
        <v>1415</v>
      </c>
      <c r="AB71" s="24">
        <v>1.0726643598615917</v>
      </c>
    </row>
    <row r="72" spans="1:28" x14ac:dyDescent="0.55000000000000004">
      <c r="A72" s="24" t="s">
        <v>284</v>
      </c>
      <c r="B72" s="24" t="s">
        <v>1220</v>
      </c>
      <c r="C72" s="24" t="s">
        <v>112</v>
      </c>
      <c r="D72" s="24" t="s">
        <v>72</v>
      </c>
      <c r="E72" s="24" t="s">
        <v>93</v>
      </c>
      <c r="F72" s="70">
        <v>3.6257172924620208E-3</v>
      </c>
      <c r="G72" s="24">
        <v>5.6379330000000003</v>
      </c>
      <c r="H72" s="24">
        <v>6.8559340000000004</v>
      </c>
      <c r="I72" s="24">
        <v>5.0689659999999996</v>
      </c>
      <c r="J72" s="24">
        <v>5.8542779999999999</v>
      </c>
      <c r="K72" s="24">
        <v>0.57891269999999995</v>
      </c>
      <c r="L72" s="24">
        <v>1.917556</v>
      </c>
      <c r="M72" s="24">
        <v>12.930999999999999</v>
      </c>
      <c r="N72" s="24">
        <v>5.1294912891041191</v>
      </c>
      <c r="O72" s="24">
        <v>9.6999999999999993</v>
      </c>
      <c r="P72" s="24">
        <v>2.5776397515527956</v>
      </c>
      <c r="Q72" s="24">
        <v>1.3209473884346903</v>
      </c>
      <c r="R72" s="24">
        <v>2.5499999999999998</v>
      </c>
      <c r="S72" s="24">
        <v>2.0302292749056621</v>
      </c>
      <c r="T72" s="21">
        <v>1</v>
      </c>
      <c r="U72" s="21" t="s">
        <v>141</v>
      </c>
      <c r="V72" s="70">
        <v>-2.637428771740194E-2</v>
      </c>
      <c r="W72" s="70">
        <v>3.3625712282598058E-2</v>
      </c>
      <c r="X72" s="24">
        <v>1.2633311813083894</v>
      </c>
      <c r="Y72" s="24" t="s">
        <v>1621</v>
      </c>
      <c r="Z72" s="75">
        <v>39246.769999999997</v>
      </c>
      <c r="AA72" t="s">
        <v>1415</v>
      </c>
      <c r="AB72" s="24">
        <v>1.0806174957118353</v>
      </c>
    </row>
    <row r="73" spans="1:28" x14ac:dyDescent="0.55000000000000004">
      <c r="A73" s="24" t="s">
        <v>276</v>
      </c>
      <c r="B73" s="24" t="s">
        <v>1205</v>
      </c>
      <c r="C73" s="24" t="s">
        <v>106</v>
      </c>
      <c r="D73" s="24" t="s">
        <v>72</v>
      </c>
      <c r="E73" s="24" t="s">
        <v>82</v>
      </c>
      <c r="F73" s="70">
        <v>3.619987424261339E-3</v>
      </c>
      <c r="G73" s="24">
        <v>7.1055820000000001</v>
      </c>
      <c r="H73" s="24">
        <v>6.6397009999999996</v>
      </c>
      <c r="I73" s="24">
        <v>7.5660949999999998</v>
      </c>
      <c r="J73" s="24">
        <v>7.1037030000000003</v>
      </c>
      <c r="K73" s="24">
        <v>3.8031139999999999</v>
      </c>
      <c r="L73" s="24">
        <v>22.141490000000001</v>
      </c>
      <c r="M73" s="24">
        <v>5.4353999999999996</v>
      </c>
      <c r="N73" s="24">
        <v>6.5937212004455166</v>
      </c>
      <c r="O73" s="24">
        <v>8.6999999999999993</v>
      </c>
      <c r="P73" s="24">
        <v>3.4408605850387728</v>
      </c>
      <c r="Q73" s="24">
        <v>9.0818194620475996</v>
      </c>
      <c r="R73" s="24">
        <v>2.84</v>
      </c>
      <c r="S73" s="24">
        <v>6.9108354976264375</v>
      </c>
      <c r="T73" s="21">
        <v>1</v>
      </c>
      <c r="U73" s="21" t="s">
        <v>141</v>
      </c>
      <c r="V73" s="70">
        <v>-2.6379628086486591E-2</v>
      </c>
      <c r="W73" s="70">
        <v>3.3620371913513407E-2</v>
      </c>
      <c r="X73" s="24">
        <v>1.5571087927716412</v>
      </c>
      <c r="Y73" s="24" t="s">
        <v>1796</v>
      </c>
      <c r="Z73" s="75">
        <v>39705.339999999997</v>
      </c>
      <c r="AA73" t="s">
        <v>1415</v>
      </c>
      <c r="AB73" s="24">
        <v>0.92307692307692313</v>
      </c>
    </row>
    <row r="74" spans="1:28" x14ac:dyDescent="0.55000000000000004">
      <c r="A74" s="24" t="s">
        <v>290</v>
      </c>
      <c r="B74" s="24" t="s">
        <v>1365</v>
      </c>
      <c r="C74" s="24" t="s">
        <v>110</v>
      </c>
      <c r="D74" s="24" t="s">
        <v>72</v>
      </c>
      <c r="E74" s="24" t="s">
        <v>84</v>
      </c>
      <c r="F74" s="70">
        <v>3.5594732655540012E-3</v>
      </c>
      <c r="G74" s="24">
        <v>6.9143530000000002</v>
      </c>
      <c r="H74" s="24">
        <v>5.2628050000000002</v>
      </c>
      <c r="I74" s="24">
        <v>7.1813960000000003</v>
      </c>
      <c r="J74" s="24">
        <v>6.4528509999999999</v>
      </c>
      <c r="K74" s="24">
        <v>1.58586</v>
      </c>
      <c r="L74" s="24">
        <v>3.514348</v>
      </c>
      <c r="M74" s="24">
        <v>41.120699999999999</v>
      </c>
      <c r="N74" s="24">
        <v>10</v>
      </c>
      <c r="O74" s="24">
        <v>9.8000000000000007</v>
      </c>
      <c r="P74" s="24">
        <v>6.8059701492537314</v>
      </c>
      <c r="Q74" s="24">
        <v>0</v>
      </c>
      <c r="R74" s="24">
        <v>4.24</v>
      </c>
      <c r="S74" s="24">
        <v>4.7132032146957519</v>
      </c>
      <c r="T74" s="21">
        <v>1</v>
      </c>
      <c r="U74" s="21" t="s">
        <v>141</v>
      </c>
      <c r="V74" s="70">
        <v>-2.6440911223698068E-2</v>
      </c>
      <c r="W74" s="70">
        <v>3.3559088776301933E-2</v>
      </c>
      <c r="X74" s="24">
        <v>0.33307320884655173</v>
      </c>
      <c r="Y74" s="24" t="s">
        <v>1532</v>
      </c>
      <c r="Z74" s="75">
        <v>39127.1</v>
      </c>
      <c r="AA74" t="s">
        <v>1415</v>
      </c>
      <c r="AB74" s="24">
        <v>1.0590277777777777</v>
      </c>
    </row>
    <row r="75" spans="1:28" x14ac:dyDescent="0.55000000000000004">
      <c r="A75" s="24" t="s">
        <v>289</v>
      </c>
      <c r="B75" s="24" t="s">
        <v>995</v>
      </c>
      <c r="C75" s="24" t="s">
        <v>106</v>
      </c>
      <c r="D75" s="24" t="s">
        <v>72</v>
      </c>
      <c r="E75" s="24" t="s">
        <v>86</v>
      </c>
      <c r="F75" s="70">
        <v>3.4793793894393969E-3</v>
      </c>
      <c r="G75" s="24">
        <v>7.4963470000000001</v>
      </c>
      <c r="H75" s="24">
        <v>8.993938</v>
      </c>
      <c r="I75" s="24">
        <v>6.0755460000000001</v>
      </c>
      <c r="J75" s="24">
        <v>7.5232239999999999</v>
      </c>
      <c r="K75" s="24">
        <v>1.9846820000000001</v>
      </c>
      <c r="L75" s="24">
        <v>17.75132</v>
      </c>
      <c r="M75" s="24">
        <v>0.20957999999999999</v>
      </c>
      <c r="N75" s="24">
        <v>9.3011003346058807</v>
      </c>
      <c r="O75" s="24">
        <v>5.2</v>
      </c>
      <c r="P75" s="24">
        <v>9.7311827667938449</v>
      </c>
      <c r="Q75" s="24">
        <v>4.5162653147444027</v>
      </c>
      <c r="R75" s="24">
        <v>2.6</v>
      </c>
      <c r="S75" s="24">
        <v>7.6452922606920639</v>
      </c>
      <c r="T75" s="21">
        <v>1</v>
      </c>
      <c r="U75" s="21" t="s">
        <v>117</v>
      </c>
      <c r="V75" s="70">
        <v>-2.6520236121308532E-2</v>
      </c>
      <c r="W75" s="70">
        <v>3.3479763878691463E-2</v>
      </c>
      <c r="X75" s="24">
        <v>1.1882343077536646</v>
      </c>
      <c r="Y75" s="24" t="s">
        <v>1473</v>
      </c>
      <c r="Z75" s="75">
        <v>36872.93</v>
      </c>
      <c r="AA75" t="s">
        <v>1415</v>
      </c>
      <c r="AB75" s="24">
        <v>1.1452991452991452</v>
      </c>
    </row>
    <row r="76" spans="1:28" x14ac:dyDescent="0.55000000000000004">
      <c r="A76" s="24" t="s">
        <v>285</v>
      </c>
      <c r="B76" s="24" t="s">
        <v>1274</v>
      </c>
      <c r="C76" s="24" t="s">
        <v>106</v>
      </c>
      <c r="D76" s="24" t="s">
        <v>72</v>
      </c>
      <c r="E76" s="24" t="s">
        <v>93</v>
      </c>
      <c r="F76" s="70">
        <v>3.4743606328579788E-3</v>
      </c>
      <c r="G76" s="24">
        <v>4.6812579999999997</v>
      </c>
      <c r="H76" s="24">
        <v>7.117597</v>
      </c>
      <c r="I76" s="24">
        <v>7.3734719999999996</v>
      </c>
      <c r="J76" s="24">
        <v>6.219824</v>
      </c>
      <c r="K76" s="24">
        <v>4.3997809999999999</v>
      </c>
      <c r="L76" s="24">
        <v>6.065461</v>
      </c>
      <c r="M76" s="24">
        <v>23.808700000000002</v>
      </c>
      <c r="N76" s="24">
        <v>2.4226061740034828</v>
      </c>
      <c r="O76" s="24">
        <v>2.2999999999999998</v>
      </c>
      <c r="P76" s="24">
        <v>6.0669456066945617</v>
      </c>
      <c r="Q76" s="24">
        <v>4.9122069001954891</v>
      </c>
      <c r="R76" s="24">
        <v>7.48</v>
      </c>
      <c r="S76" s="24">
        <v>4.7914391866204298</v>
      </c>
      <c r="T76" s="21">
        <v>1</v>
      </c>
      <c r="U76" s="21" t="s">
        <v>141</v>
      </c>
      <c r="V76" s="70">
        <v>-2.652602385639409E-2</v>
      </c>
      <c r="W76" s="70">
        <v>3.3473976143605907E-2</v>
      </c>
      <c r="X76" s="24">
        <v>0.57123590933414758</v>
      </c>
      <c r="Y76" s="24" t="s">
        <v>1815</v>
      </c>
      <c r="Z76" s="75">
        <v>38380.629999999997</v>
      </c>
      <c r="AA76" t="s">
        <v>1415</v>
      </c>
      <c r="AB76" s="24">
        <v>1.2433392539964476</v>
      </c>
    </row>
    <row r="77" spans="1:28" x14ac:dyDescent="0.55000000000000004">
      <c r="A77" s="24" t="s">
        <v>283</v>
      </c>
      <c r="B77" s="24" t="s">
        <v>1169</v>
      </c>
      <c r="C77" s="24" t="s">
        <v>105</v>
      </c>
      <c r="D77" s="24" t="s">
        <v>72</v>
      </c>
      <c r="E77" s="24" t="s">
        <v>89</v>
      </c>
      <c r="F77" s="70">
        <v>3.4607424915283603E-3</v>
      </c>
      <c r="G77" s="24">
        <v>5.9929680000000003</v>
      </c>
      <c r="H77" s="24">
        <v>7.088133</v>
      </c>
      <c r="I77" s="24">
        <v>7.4159189999999997</v>
      </c>
      <c r="J77" s="24">
        <v>6.7484029999999997</v>
      </c>
      <c r="K77" s="24">
        <v>6.7741369999999996</v>
      </c>
      <c r="L77" s="24">
        <v>9.5183820000000008</v>
      </c>
      <c r="M77" s="24">
        <v>32.866</v>
      </c>
      <c r="N77" s="24">
        <v>4.5688344686045186</v>
      </c>
      <c r="O77" s="24">
        <v>5.7</v>
      </c>
      <c r="P77" s="24">
        <v>7.0870870870870846</v>
      </c>
      <c r="Q77" s="24">
        <v>7.8043393094289515</v>
      </c>
      <c r="R77" s="24">
        <v>6.33</v>
      </c>
      <c r="S77" s="24">
        <v>7.5347105040121667</v>
      </c>
      <c r="T77" s="21">
        <v>1</v>
      </c>
      <c r="U77" s="21" t="s">
        <v>117</v>
      </c>
      <c r="V77" s="70">
        <v>-2.6539641997723708E-2</v>
      </c>
      <c r="W77" s="70">
        <v>3.3460358002276286E-2</v>
      </c>
      <c r="X77" s="24">
        <v>1.3415846077155029</v>
      </c>
      <c r="Y77" s="24" t="s">
        <v>1500</v>
      </c>
      <c r="Z77" s="75">
        <v>37139.74</v>
      </c>
      <c r="AA77" t="s">
        <v>1415</v>
      </c>
      <c r="AB77" s="24">
        <v>1.0034602076124568</v>
      </c>
    </row>
    <row r="78" spans="1:28" x14ac:dyDescent="0.55000000000000004">
      <c r="A78" s="24" t="s">
        <v>282</v>
      </c>
      <c r="B78" s="24" t="s">
        <v>1315</v>
      </c>
      <c r="C78" s="24" t="s">
        <v>125</v>
      </c>
      <c r="D78" s="24" t="s">
        <v>72</v>
      </c>
      <c r="E78" s="24" t="s">
        <v>91</v>
      </c>
      <c r="F78" s="70">
        <v>3.4316982158250678E-3</v>
      </c>
      <c r="G78" s="24">
        <v>6.8593590000000004</v>
      </c>
      <c r="H78" s="24">
        <v>5.0726550000000001</v>
      </c>
      <c r="I78" s="24">
        <v>5.8794890000000004</v>
      </c>
      <c r="J78" s="24">
        <v>6.0293869999999998</v>
      </c>
      <c r="K78" s="24">
        <v>1.488092</v>
      </c>
      <c r="L78" s="24">
        <v>3.8055110000000001</v>
      </c>
      <c r="M78" s="24">
        <v>3.8424</v>
      </c>
      <c r="N78" s="24">
        <v>5.9085213545298068</v>
      </c>
      <c r="O78" s="24">
        <v>7.8</v>
      </c>
      <c r="P78" s="24">
        <v>6.925465838509318</v>
      </c>
      <c r="Q78" s="24">
        <v>0.78097943884618526</v>
      </c>
      <c r="R78" s="24">
        <v>4.08</v>
      </c>
      <c r="S78" s="24">
        <v>4.1013401741410282</v>
      </c>
      <c r="T78" s="21">
        <v>1</v>
      </c>
      <c r="U78" s="21" t="s">
        <v>141</v>
      </c>
      <c r="V78" s="70">
        <v>-2.6568308450439539E-2</v>
      </c>
      <c r="W78" s="70">
        <v>3.3431691549560459E-2</v>
      </c>
      <c r="X78" s="24">
        <v>0.49122776187701783</v>
      </c>
      <c r="Y78" s="24" t="s">
        <v>1909</v>
      </c>
      <c r="Z78" s="75">
        <v>36389.339999999997</v>
      </c>
      <c r="AA78" t="s">
        <v>1415</v>
      </c>
      <c r="AB78" s="24">
        <v>1.0463121783876501</v>
      </c>
    </row>
    <row r="79" spans="1:28" x14ac:dyDescent="0.55000000000000004">
      <c r="A79" s="24" t="s">
        <v>286</v>
      </c>
      <c r="B79" s="24" t="s">
        <v>987</v>
      </c>
      <c r="C79" s="24" t="s">
        <v>177</v>
      </c>
      <c r="D79" s="24" t="s">
        <v>72</v>
      </c>
      <c r="E79" s="24" t="s">
        <v>82</v>
      </c>
      <c r="F79" s="70">
        <v>3.3515257101215997E-3</v>
      </c>
      <c r="G79" s="24">
        <v>7.3249950000000004</v>
      </c>
      <c r="H79" s="24">
        <v>5.9005669999999997</v>
      </c>
      <c r="I79" s="24">
        <v>7.0716299999999999</v>
      </c>
      <c r="J79" s="24">
        <v>6.7377669999999998</v>
      </c>
      <c r="K79" s="24">
        <v>9.0763149999999992</v>
      </c>
      <c r="L79" s="24">
        <v>12.780989999999999</v>
      </c>
      <c r="M79" s="24">
        <v>1.2385999999999999</v>
      </c>
      <c r="N79" s="24">
        <v>6.0861602239303494</v>
      </c>
      <c r="O79" s="24">
        <v>0.7</v>
      </c>
      <c r="P79" s="24">
        <v>6.9354846167187763</v>
      </c>
      <c r="Q79" s="24">
        <v>5.0232361639205756</v>
      </c>
      <c r="R79" s="24">
        <v>6.82</v>
      </c>
      <c r="S79" s="24">
        <v>6.2514600213000753</v>
      </c>
      <c r="T79" s="21">
        <v>1</v>
      </c>
      <c r="U79" s="21" t="s">
        <v>141</v>
      </c>
      <c r="V79" s="70">
        <v>-2.664841098425292E-2</v>
      </c>
      <c r="W79" s="70">
        <v>3.3351589015747078E-2</v>
      </c>
      <c r="X79" s="24">
        <v>1.0718289779429435</v>
      </c>
      <c r="Y79" s="24" t="s">
        <v>1696</v>
      </c>
      <c r="Z79" s="75">
        <v>35198.6</v>
      </c>
      <c r="AA79" t="s">
        <v>1415</v>
      </c>
      <c r="AB79" s="24">
        <v>1.0940170940170941</v>
      </c>
    </row>
    <row r="80" spans="1:28" x14ac:dyDescent="0.55000000000000004">
      <c r="A80" s="24" t="s">
        <v>291</v>
      </c>
      <c r="B80" s="24" t="s">
        <v>1304</v>
      </c>
      <c r="C80" s="24" t="s">
        <v>110</v>
      </c>
      <c r="D80" s="24" t="s">
        <v>72</v>
      </c>
      <c r="E80" s="24" t="s">
        <v>90</v>
      </c>
      <c r="F80" s="70">
        <v>3.2855498127914492E-3</v>
      </c>
      <c r="G80" s="24">
        <v>6.8928380000000002</v>
      </c>
      <c r="H80" s="24">
        <v>6.9316899999999997</v>
      </c>
      <c r="I80" s="24">
        <v>7.4173840000000002</v>
      </c>
      <c r="J80" s="24">
        <v>7.0900270000000001</v>
      </c>
      <c r="K80" s="24">
        <v>5.3738080000000004</v>
      </c>
      <c r="L80" s="24">
        <v>11.835979999999999</v>
      </c>
      <c r="M80" s="24">
        <v>0.24657000000000001</v>
      </c>
      <c r="N80" s="24">
        <v>7.6638413228158244</v>
      </c>
      <c r="O80" s="24">
        <v>3.8</v>
      </c>
      <c r="P80" s="24">
        <v>6.8548394467569294</v>
      </c>
      <c r="Q80" s="24">
        <v>4.9950711167441222</v>
      </c>
      <c r="R80" s="24">
        <v>4.8600009999999996</v>
      </c>
      <c r="S80" s="24">
        <v>5.5186662543939597</v>
      </c>
      <c r="T80" s="21">
        <v>1</v>
      </c>
      <c r="U80" s="21" t="s">
        <v>141</v>
      </c>
      <c r="V80" s="70">
        <v>-2.6714065697956479E-2</v>
      </c>
      <c r="W80" s="70">
        <v>3.3285934302043518E-2</v>
      </c>
      <c r="X80" s="24">
        <v>0.5922757903607706</v>
      </c>
      <c r="Y80" s="24" t="s">
        <v>1558</v>
      </c>
      <c r="Z80" s="75">
        <v>35938.519999999997</v>
      </c>
      <c r="AA80" t="s">
        <v>1415</v>
      </c>
      <c r="AB80" s="24">
        <v>1.1794871794871795</v>
      </c>
    </row>
    <row r="81" spans="1:28" x14ac:dyDescent="0.55000000000000004">
      <c r="A81" s="24" t="s">
        <v>296</v>
      </c>
      <c r="B81" s="24" t="s">
        <v>1105</v>
      </c>
      <c r="C81" s="24" t="s">
        <v>106</v>
      </c>
      <c r="D81" s="24" t="s">
        <v>72</v>
      </c>
      <c r="E81" s="24" t="s">
        <v>83</v>
      </c>
      <c r="F81" s="70">
        <v>3.2648302109701492E-3</v>
      </c>
      <c r="G81" s="24">
        <v>5.249117</v>
      </c>
      <c r="H81" s="24">
        <v>4.8630050000000002</v>
      </c>
      <c r="I81" s="24">
        <v>6.8472309999999998</v>
      </c>
      <c r="J81" s="24">
        <v>5.6531180000000001</v>
      </c>
      <c r="K81" s="24">
        <v>2.3889779999999998</v>
      </c>
      <c r="L81" s="24">
        <v>7.7102599999999999</v>
      </c>
      <c r="M81" s="24">
        <v>404.1277</v>
      </c>
      <c r="N81" s="24">
        <v>3.4709856217891604</v>
      </c>
      <c r="O81" s="24">
        <v>2.9</v>
      </c>
      <c r="P81" s="24">
        <v>4.1492537313432827</v>
      </c>
      <c r="Q81" s="24">
        <v>5.051944969685418</v>
      </c>
      <c r="R81" s="24">
        <v>3.95</v>
      </c>
      <c r="S81" s="24">
        <v>4.5328457845537926</v>
      </c>
      <c r="T81" s="21">
        <v>1</v>
      </c>
      <c r="U81" s="21" t="s">
        <v>141</v>
      </c>
      <c r="V81" s="70">
        <v>-2.673555427828192E-2</v>
      </c>
      <c r="W81" s="70">
        <v>3.3264445721718078E-2</v>
      </c>
      <c r="X81" s="24">
        <v>1.5782468855196696</v>
      </c>
      <c r="Y81" s="24" t="s">
        <v>1814</v>
      </c>
      <c r="Z81" s="75">
        <v>36305.99</v>
      </c>
      <c r="AA81" t="s">
        <v>1415</v>
      </c>
      <c r="AB81" s="24">
        <v>1.1631944444444444</v>
      </c>
    </row>
    <row r="82" spans="1:28" x14ac:dyDescent="0.55000000000000004">
      <c r="A82" s="24" t="s">
        <v>294</v>
      </c>
      <c r="B82" s="24" t="s">
        <v>1141</v>
      </c>
      <c r="C82" s="24" t="s">
        <v>106</v>
      </c>
      <c r="D82" s="24" t="s">
        <v>72</v>
      </c>
      <c r="E82" s="24" t="s">
        <v>88</v>
      </c>
      <c r="F82" s="70">
        <v>3.2100263746308675E-3</v>
      </c>
      <c r="G82" s="24">
        <v>0</v>
      </c>
      <c r="H82" s="24">
        <v>5.1014039999999996</v>
      </c>
      <c r="I82" s="24">
        <v>0</v>
      </c>
      <c r="J82" s="24">
        <v>1.530421</v>
      </c>
      <c r="K82" s="24">
        <v>1.609923</v>
      </c>
      <c r="L82" s="24">
        <v>5.8562240000000001</v>
      </c>
      <c r="M82" s="24">
        <v>25.479600000000001</v>
      </c>
      <c r="N82" s="24">
        <v>4.4365390031074146</v>
      </c>
      <c r="O82" s="24">
        <v>4.4000000000000004</v>
      </c>
      <c r="P82" s="24">
        <v>3.6986301369863011</v>
      </c>
      <c r="Q82" s="24">
        <v>5.7692764275174717</v>
      </c>
      <c r="R82" s="24">
        <v>6.17</v>
      </c>
      <c r="S82" s="24">
        <v>6.4472030137658045</v>
      </c>
      <c r="T82" s="21">
        <v>1</v>
      </c>
      <c r="U82" s="21" t="s">
        <v>141</v>
      </c>
      <c r="V82" s="70">
        <v>-2.6790358114621202E-2</v>
      </c>
      <c r="W82" s="70">
        <v>3.3209641885378796E-2</v>
      </c>
      <c r="X82" s="24">
        <v>0.17712984356235775</v>
      </c>
      <c r="Y82" s="24" t="s">
        <v>1846</v>
      </c>
      <c r="Z82" s="75">
        <v>32583.9</v>
      </c>
      <c r="AA82" t="s">
        <v>1415</v>
      </c>
      <c r="AB82" s="24">
        <v>1.40625</v>
      </c>
    </row>
    <row r="83" spans="1:28" x14ac:dyDescent="0.55000000000000004">
      <c r="A83" s="24" t="s">
        <v>297</v>
      </c>
      <c r="B83" s="24" t="s">
        <v>828</v>
      </c>
      <c r="C83" s="24" t="s">
        <v>107</v>
      </c>
      <c r="D83" s="24" t="s">
        <v>72</v>
      </c>
      <c r="E83" s="24" t="s">
        <v>96</v>
      </c>
      <c r="F83" s="70">
        <v>3.0310399415163628E-3</v>
      </c>
      <c r="G83" s="24">
        <v>8.0769339999999996</v>
      </c>
      <c r="H83" s="24">
        <v>6.7147379999999997</v>
      </c>
      <c r="I83" s="24">
        <v>7.3348709999999997</v>
      </c>
      <c r="J83" s="24">
        <v>7.3755139999999999</v>
      </c>
      <c r="K83" s="24">
        <v>1.8310010000000001</v>
      </c>
      <c r="L83" s="24">
        <v>6.2039999999999997</v>
      </c>
      <c r="M83" s="24">
        <v>5.5373000000000001</v>
      </c>
      <c r="N83" s="24">
        <v>6.2346946397336005</v>
      </c>
      <c r="O83" s="24">
        <v>2.5</v>
      </c>
      <c r="P83" s="24">
        <v>2.0361990950226247</v>
      </c>
      <c r="Q83" s="24">
        <v>10</v>
      </c>
      <c r="R83" s="24">
        <v>6.78</v>
      </c>
      <c r="S83" s="24">
        <v>7.0372787166622768</v>
      </c>
      <c r="T83" s="21">
        <v>1</v>
      </c>
      <c r="U83" s="21" t="s">
        <v>141</v>
      </c>
      <c r="V83" s="70">
        <v>-2.6969344547735703E-2</v>
      </c>
      <c r="W83" s="70">
        <v>3.3030655452264295E-2</v>
      </c>
      <c r="X83" s="24">
        <v>0.94916516832639808</v>
      </c>
      <c r="Y83" s="24" t="s">
        <v>1726</v>
      </c>
      <c r="Z83" s="75">
        <v>31041.64</v>
      </c>
      <c r="AA83" t="s">
        <v>1415</v>
      </c>
      <c r="AB83" s="24">
        <v>1.4384748700173311</v>
      </c>
    </row>
    <row r="84" spans="1:28" x14ac:dyDescent="0.55000000000000004">
      <c r="A84" s="24" t="s">
        <v>306</v>
      </c>
      <c r="B84" s="24" t="s">
        <v>1239</v>
      </c>
      <c r="C84" s="24" t="s">
        <v>127</v>
      </c>
      <c r="D84" s="24" t="s">
        <v>72</v>
      </c>
      <c r="E84" s="24" t="s">
        <v>89</v>
      </c>
      <c r="F84" s="70">
        <v>2.9545133332538522E-3</v>
      </c>
      <c r="G84" s="24">
        <v>7.7381279999999997</v>
      </c>
      <c r="H84" s="24">
        <v>4.1577190000000002</v>
      </c>
      <c r="I84" s="24">
        <v>7.1232189999999997</v>
      </c>
      <c r="J84" s="24">
        <v>6.479533</v>
      </c>
      <c r="K84" s="24">
        <v>0.51020069999999995</v>
      </c>
      <c r="L84" s="24">
        <v>4.5285739999999999</v>
      </c>
      <c r="M84" s="24">
        <v>39.328600000000002</v>
      </c>
      <c r="N84" s="24">
        <v>4.1690078163385422</v>
      </c>
      <c r="O84" s="24">
        <v>2.9</v>
      </c>
      <c r="P84" s="24">
        <v>5.8558558558558547</v>
      </c>
      <c r="Q84" s="24">
        <v>4.3389397963700755</v>
      </c>
      <c r="R84" s="24">
        <v>1.48</v>
      </c>
      <c r="S84" s="24">
        <v>3.4180376955683505</v>
      </c>
      <c r="T84" s="21">
        <v>1</v>
      </c>
      <c r="U84" s="21" t="s">
        <v>141</v>
      </c>
      <c r="V84" s="70">
        <v>-2.7045871155998217E-2</v>
      </c>
      <c r="W84" s="70">
        <v>3.2954128844001784E-2</v>
      </c>
      <c r="X84" s="24">
        <v>1.1451252222574695</v>
      </c>
      <c r="Y84" s="24" t="s">
        <v>1649</v>
      </c>
      <c r="Z84" s="75">
        <v>31668.84</v>
      </c>
      <c r="AA84" t="s">
        <v>1415</v>
      </c>
      <c r="AB84" s="24">
        <v>1.4013840830449829</v>
      </c>
    </row>
    <row r="85" spans="1:28" x14ac:dyDescent="0.55000000000000004">
      <c r="A85" s="24" t="s">
        <v>292</v>
      </c>
      <c r="B85" s="24" t="s">
        <v>1241</v>
      </c>
      <c r="C85" s="24" t="s">
        <v>113</v>
      </c>
      <c r="D85" s="24" t="s">
        <v>72</v>
      </c>
      <c r="E85" s="24" t="s">
        <v>92</v>
      </c>
      <c r="F85" s="70">
        <v>2.8514920490584398E-3</v>
      </c>
      <c r="G85" s="24">
        <v>5.7721419999999997</v>
      </c>
      <c r="H85" s="24">
        <v>7.5307170000000001</v>
      </c>
      <c r="I85" s="24">
        <v>6.9270680000000002</v>
      </c>
      <c r="J85" s="24">
        <v>6.4703350000000004</v>
      </c>
      <c r="K85" s="24">
        <v>7.267862</v>
      </c>
      <c r="L85" s="24">
        <v>12.295769999999999</v>
      </c>
      <c r="M85" s="24">
        <v>526.4896</v>
      </c>
      <c r="N85" s="24">
        <v>5.5553098328960537</v>
      </c>
      <c r="O85" s="24">
        <v>4.0999999999999996</v>
      </c>
      <c r="P85" s="24">
        <v>1.9999999999999998</v>
      </c>
      <c r="Q85" s="24">
        <v>7.7125640755043623</v>
      </c>
      <c r="R85" s="24">
        <v>5.87</v>
      </c>
      <c r="S85" s="24">
        <v>6.6036239846520273</v>
      </c>
      <c r="T85" s="21">
        <v>1</v>
      </c>
      <c r="U85" s="21" t="s">
        <v>141</v>
      </c>
      <c r="V85" s="70">
        <v>-2.7148892440193629E-2</v>
      </c>
      <c r="W85" s="70">
        <v>3.2851107559806372E-2</v>
      </c>
      <c r="X85" s="24">
        <v>0.71549034979486803</v>
      </c>
      <c r="Y85" s="24" t="s">
        <v>1484</v>
      </c>
      <c r="Z85" s="75">
        <v>30818.09</v>
      </c>
      <c r="AA85" t="s">
        <v>1415</v>
      </c>
      <c r="AB85" s="24">
        <v>1.4426877470355732</v>
      </c>
    </row>
    <row r="86" spans="1:28" x14ac:dyDescent="0.55000000000000004">
      <c r="A86" s="24" t="s">
        <v>305</v>
      </c>
      <c r="B86" s="24" t="s">
        <v>1130</v>
      </c>
      <c r="C86" s="24" t="s">
        <v>106</v>
      </c>
      <c r="D86" s="24" t="s">
        <v>72</v>
      </c>
      <c r="E86" s="24" t="s">
        <v>89</v>
      </c>
      <c r="F86" s="70">
        <v>2.8493707842654811E-3</v>
      </c>
      <c r="G86" s="24">
        <v>5.0813889999999997</v>
      </c>
      <c r="H86" s="24">
        <v>4.923832</v>
      </c>
      <c r="I86" s="24">
        <v>4.4691380000000001</v>
      </c>
      <c r="J86" s="24">
        <v>4.850447</v>
      </c>
      <c r="K86" s="24">
        <v>1.3980079999999999</v>
      </c>
      <c r="L86" s="24">
        <v>5.120025</v>
      </c>
      <c r="M86" s="24">
        <v>60.085500000000003</v>
      </c>
      <c r="N86" s="24">
        <v>3.8988548131033145</v>
      </c>
      <c r="O86" s="24">
        <v>2.6</v>
      </c>
      <c r="P86" s="24">
        <v>6.2462462462462458</v>
      </c>
      <c r="Q86" s="24">
        <v>4.1849269588313422</v>
      </c>
      <c r="R86" s="24">
        <v>2.4</v>
      </c>
      <c r="S86" s="24">
        <v>4.3016469840789782</v>
      </c>
      <c r="T86" s="21">
        <v>1</v>
      </c>
      <c r="U86" s="21" t="s">
        <v>141</v>
      </c>
      <c r="V86" s="70">
        <v>-2.7150851042573438E-2</v>
      </c>
      <c r="W86" s="70">
        <v>3.2849148957426556E-2</v>
      </c>
      <c r="X86" s="24">
        <v>1.656088967826143</v>
      </c>
      <c r="Y86" s="24" t="s">
        <v>1761</v>
      </c>
      <c r="Z86" s="75">
        <v>30353.42</v>
      </c>
      <c r="AA86" t="s">
        <v>1415</v>
      </c>
      <c r="AB86" s="24">
        <v>1.3840830449826991</v>
      </c>
    </row>
    <row r="87" spans="1:28" x14ac:dyDescent="0.55000000000000004">
      <c r="A87" s="24" t="s">
        <v>301</v>
      </c>
      <c r="B87" s="24" t="s">
        <v>1272</v>
      </c>
      <c r="C87" s="24" t="s">
        <v>112</v>
      </c>
      <c r="D87" s="24" t="s">
        <v>72</v>
      </c>
      <c r="E87" s="24" t="s">
        <v>82</v>
      </c>
      <c r="F87" s="70">
        <v>2.8250460635760762E-3</v>
      </c>
      <c r="G87" s="24">
        <v>6.1524580000000002</v>
      </c>
      <c r="H87" s="24">
        <v>5.9995139999999996</v>
      </c>
      <c r="I87" s="24">
        <v>6.3787349999999998</v>
      </c>
      <c r="J87" s="24">
        <v>6.1781240000000004</v>
      </c>
      <c r="K87" s="24">
        <v>4.2801220000000004</v>
      </c>
      <c r="L87" s="24">
        <v>19.18683</v>
      </c>
      <c r="M87" s="24">
        <v>11.999499999999999</v>
      </c>
      <c r="N87" s="24">
        <v>7.6008248213026954</v>
      </c>
      <c r="O87" s="24">
        <v>8.1999999999999993</v>
      </c>
      <c r="P87" s="24">
        <v>1.2365592727483088</v>
      </c>
      <c r="Q87" s="24">
        <v>9.1832136318828343</v>
      </c>
      <c r="R87" s="24">
        <v>4.3</v>
      </c>
      <c r="S87" s="24">
        <v>6.417070936570644</v>
      </c>
      <c r="T87" s="21">
        <v>1</v>
      </c>
      <c r="U87" s="21" t="s">
        <v>141</v>
      </c>
      <c r="V87" s="70">
        <v>-2.7174569447171854E-2</v>
      </c>
      <c r="W87" s="70">
        <v>3.2825430552828147E-2</v>
      </c>
      <c r="X87" s="24">
        <v>1.3664822400177263</v>
      </c>
      <c r="Y87" s="24" t="s">
        <v>1584</v>
      </c>
      <c r="Z87" s="75">
        <v>30285.17</v>
      </c>
      <c r="AA87" t="s">
        <v>1415</v>
      </c>
      <c r="AB87" s="24">
        <v>1.3504273504273503</v>
      </c>
    </row>
    <row r="88" spans="1:28" x14ac:dyDescent="0.55000000000000004">
      <c r="A88" s="24" t="s">
        <v>303</v>
      </c>
      <c r="B88" s="24" t="s">
        <v>1087</v>
      </c>
      <c r="C88" s="24" t="s">
        <v>110</v>
      </c>
      <c r="D88" s="24" t="s">
        <v>72</v>
      </c>
      <c r="E88" s="24" t="s">
        <v>86</v>
      </c>
      <c r="F88" s="70">
        <v>2.8078549991519663E-3</v>
      </c>
      <c r="G88" s="24">
        <v>7.2912179999999998</v>
      </c>
      <c r="H88" s="24">
        <v>5.5927790000000002</v>
      </c>
      <c r="I88" s="24">
        <v>5.5509269999999997</v>
      </c>
      <c r="J88" s="24">
        <v>6.087663</v>
      </c>
      <c r="K88" s="24">
        <v>3.2360530000000001</v>
      </c>
      <c r="L88" s="24">
        <v>3.4274680000000002</v>
      </c>
      <c r="M88" s="24">
        <v>0.49591000000000002</v>
      </c>
      <c r="N88" s="24">
        <v>6.07470192826315</v>
      </c>
      <c r="O88" s="24">
        <v>2.1</v>
      </c>
      <c r="P88" s="24">
        <v>10</v>
      </c>
      <c r="Q88" s="24">
        <v>7.886213209407128E-2</v>
      </c>
      <c r="R88" s="24">
        <v>4.47</v>
      </c>
      <c r="S88" s="24">
        <v>2.8000037274365672</v>
      </c>
      <c r="T88" s="21">
        <v>1</v>
      </c>
      <c r="U88" s="21" t="s">
        <v>141</v>
      </c>
      <c r="V88" s="70">
        <v>-2.7191760511595962E-2</v>
      </c>
      <c r="W88" s="70">
        <v>3.2808239488404035E-2</v>
      </c>
      <c r="X88" s="24">
        <v>1.4612074077538217</v>
      </c>
      <c r="Y88" s="24" t="s">
        <v>1551</v>
      </c>
      <c r="Z88" s="75">
        <v>29779.59</v>
      </c>
      <c r="AA88" t="s">
        <v>1415</v>
      </c>
      <c r="AB88" s="24">
        <v>1.3846153846153846</v>
      </c>
    </row>
    <row r="89" spans="1:28" x14ac:dyDescent="0.55000000000000004">
      <c r="A89" s="24" t="s">
        <v>310</v>
      </c>
      <c r="B89" s="24" t="s">
        <v>965</v>
      </c>
      <c r="C89" s="24" t="s">
        <v>112</v>
      </c>
      <c r="D89" s="24" t="s">
        <v>72</v>
      </c>
      <c r="E89" s="24" t="s">
        <v>88</v>
      </c>
      <c r="F89" s="70">
        <v>2.7779799070033811E-3</v>
      </c>
      <c r="G89" s="24">
        <v>5.5168059999999999</v>
      </c>
      <c r="H89" s="24">
        <v>5.3044659999999997</v>
      </c>
      <c r="I89" s="24">
        <v>7.0594739999999998</v>
      </c>
      <c r="J89" s="24">
        <v>6.0489369999999996</v>
      </c>
      <c r="K89" s="24">
        <v>0.36377340000000002</v>
      </c>
      <c r="L89" s="24">
        <v>15.07095</v>
      </c>
      <c r="M89" s="24">
        <v>79.172399999999996</v>
      </c>
      <c r="N89" s="24">
        <v>3.5529041893284798</v>
      </c>
      <c r="O89" s="24">
        <v>1.6</v>
      </c>
      <c r="P89" s="24">
        <v>2.493150684931507</v>
      </c>
      <c r="Q89" s="24">
        <v>10</v>
      </c>
      <c r="R89" s="24">
        <v>2.14</v>
      </c>
      <c r="S89" s="24">
        <v>6.6951645182237636</v>
      </c>
      <c r="T89" s="21">
        <v>1</v>
      </c>
      <c r="U89" s="21" t="s">
        <v>141</v>
      </c>
      <c r="V89" s="70">
        <v>-2.7222404582248685E-2</v>
      </c>
      <c r="W89" s="70">
        <v>3.2777595417751312E-2</v>
      </c>
      <c r="X89" s="24">
        <v>1.1347237073841423</v>
      </c>
      <c r="Y89" s="24" t="s">
        <v>1627</v>
      </c>
      <c r="Z89" s="75">
        <v>29792.01</v>
      </c>
      <c r="AA89" t="s">
        <v>1415</v>
      </c>
      <c r="AB89" s="24">
        <v>1.6840277777777779</v>
      </c>
    </row>
    <row r="90" spans="1:28" x14ac:dyDescent="0.55000000000000004">
      <c r="A90" s="24" t="s">
        <v>304</v>
      </c>
      <c r="B90" s="24" t="s">
        <v>1143</v>
      </c>
      <c r="C90" s="24" t="s">
        <v>105</v>
      </c>
      <c r="D90" s="24" t="s">
        <v>72</v>
      </c>
      <c r="E90" s="24" t="s">
        <v>85</v>
      </c>
      <c r="F90" s="70">
        <v>2.7543985352543338E-3</v>
      </c>
      <c r="G90" s="24">
        <v>7.9266550000000002</v>
      </c>
      <c r="H90" s="24">
        <v>3.5833300000000001</v>
      </c>
      <c r="I90" s="24">
        <v>4.1214120000000003</v>
      </c>
      <c r="J90" s="24">
        <v>5.4820849999999997</v>
      </c>
      <c r="K90" s="24">
        <v>1.690912</v>
      </c>
      <c r="L90" s="24">
        <v>4.7919119999999999</v>
      </c>
      <c r="M90" s="24">
        <v>26.972999999999999</v>
      </c>
      <c r="N90" s="24">
        <v>6.077370820083388</v>
      </c>
      <c r="O90" s="24">
        <v>4.8</v>
      </c>
      <c r="P90" s="24">
        <v>5.4954954954954953</v>
      </c>
      <c r="Q90" s="24">
        <v>4.3317474546259414</v>
      </c>
      <c r="R90" s="24">
        <v>3.89</v>
      </c>
      <c r="S90" s="24">
        <v>4.8042718566419085</v>
      </c>
      <c r="T90" s="21">
        <v>1</v>
      </c>
      <c r="U90" s="21" t="s">
        <v>141</v>
      </c>
      <c r="V90" s="70">
        <v>-2.7245713651960365E-2</v>
      </c>
      <c r="W90" s="70">
        <v>3.2754286348039632E-2</v>
      </c>
      <c r="X90" s="24">
        <v>1.3930613148640538</v>
      </c>
      <c r="Y90" s="24" t="s">
        <v>1983</v>
      </c>
      <c r="Z90" s="75">
        <v>29326.73</v>
      </c>
      <c r="AA90" t="s">
        <v>1415</v>
      </c>
      <c r="AB90" s="24">
        <v>1.3667820069204153</v>
      </c>
    </row>
    <row r="91" spans="1:28" x14ac:dyDescent="0.55000000000000004">
      <c r="A91" s="24" t="s">
        <v>300</v>
      </c>
      <c r="B91" s="24" t="s">
        <v>1131</v>
      </c>
      <c r="C91" s="24" t="s">
        <v>106</v>
      </c>
      <c r="D91" s="24" t="s">
        <v>72</v>
      </c>
      <c r="E91" s="24" t="s">
        <v>95</v>
      </c>
      <c r="F91" s="70">
        <v>2.7443220505761414E-3</v>
      </c>
      <c r="G91" s="24">
        <v>7.55335</v>
      </c>
      <c r="H91" s="24">
        <v>4.345631</v>
      </c>
      <c r="I91" s="24">
        <v>7.8842160000000003</v>
      </c>
      <c r="J91" s="24">
        <v>6.4026079999999999</v>
      </c>
      <c r="K91" s="24">
        <v>3.6414439999999999</v>
      </c>
      <c r="L91" s="24">
        <v>9.5336689999999997</v>
      </c>
      <c r="M91" s="24">
        <v>26.302900000000001</v>
      </c>
      <c r="N91" s="24">
        <v>4.5356333041498722</v>
      </c>
      <c r="O91" s="24">
        <v>8.8000000000000007</v>
      </c>
      <c r="P91" s="24">
        <v>4.8535564853556492</v>
      </c>
      <c r="Q91" s="24">
        <v>7.9066941406456381</v>
      </c>
      <c r="R91" s="24">
        <v>7.2</v>
      </c>
      <c r="S91" s="24">
        <v>7.5561907396332497</v>
      </c>
      <c r="T91" s="21">
        <v>1</v>
      </c>
      <c r="U91" s="21" t="s">
        <v>1410</v>
      </c>
      <c r="V91" s="70">
        <v>-2.7255486647483534E-2</v>
      </c>
      <c r="W91" s="70">
        <v>3.2744513352516463E-2</v>
      </c>
      <c r="X91" s="24">
        <v>0.41641217851346957</v>
      </c>
      <c r="Y91" s="24" t="s">
        <v>1474</v>
      </c>
      <c r="Z91" s="75">
        <v>29823</v>
      </c>
      <c r="AA91" t="s">
        <v>1415</v>
      </c>
      <c r="AB91" s="24">
        <v>1.5097690941385435</v>
      </c>
    </row>
    <row r="92" spans="1:28" x14ac:dyDescent="0.55000000000000004">
      <c r="A92" s="24" t="s">
        <v>309</v>
      </c>
      <c r="B92" s="24" t="s">
        <v>1010</v>
      </c>
      <c r="C92" s="24" t="s">
        <v>111</v>
      </c>
      <c r="D92" s="24" t="s">
        <v>72</v>
      </c>
      <c r="E92" s="24" t="s">
        <v>96</v>
      </c>
      <c r="F92" s="70">
        <v>2.6952372132114915E-3</v>
      </c>
      <c r="G92" s="24">
        <v>9.8570770000000003</v>
      </c>
      <c r="H92" s="24">
        <v>7.4232360000000002</v>
      </c>
      <c r="I92" s="24">
        <v>4.7498259999999997</v>
      </c>
      <c r="J92" s="24">
        <v>6.8406399999999996</v>
      </c>
      <c r="K92" s="24">
        <v>2.0889899999999999</v>
      </c>
      <c r="L92" s="24">
        <v>4.3862160000000001</v>
      </c>
      <c r="M92" s="24">
        <v>19.1328</v>
      </c>
      <c r="N92" s="24">
        <v>10</v>
      </c>
      <c r="O92" s="24">
        <v>4.3</v>
      </c>
      <c r="P92" s="24">
        <v>4.02714932126697</v>
      </c>
      <c r="Q92" s="24">
        <v>6.9958581857792499</v>
      </c>
      <c r="R92" s="24">
        <v>7.83</v>
      </c>
      <c r="S92" s="24">
        <v>6.939715668077568</v>
      </c>
      <c r="T92" s="21">
        <v>1</v>
      </c>
      <c r="U92" s="21" t="s">
        <v>141</v>
      </c>
      <c r="V92" s="70">
        <v>-2.7305147276040578E-2</v>
      </c>
      <c r="W92" s="70">
        <v>3.2694852723959424E-2</v>
      </c>
      <c r="X92" s="24">
        <v>1.034468329766101</v>
      </c>
      <c r="Y92" s="24" t="s">
        <v>1664</v>
      </c>
      <c r="Z92" s="75">
        <v>28256.959999999999</v>
      </c>
      <c r="AA92" t="s">
        <v>1415</v>
      </c>
      <c r="AB92" s="24">
        <v>1.6464471403812824</v>
      </c>
    </row>
    <row r="93" spans="1:28" x14ac:dyDescent="0.55000000000000004">
      <c r="A93" s="24" t="s">
        <v>312</v>
      </c>
      <c r="B93" s="24" t="s">
        <v>1064</v>
      </c>
      <c r="C93" s="24" t="s">
        <v>106</v>
      </c>
      <c r="D93" s="24" t="s">
        <v>72</v>
      </c>
      <c r="E93" s="24" t="s">
        <v>82</v>
      </c>
      <c r="F93" s="70">
        <v>2.6608891122022662E-3</v>
      </c>
      <c r="G93" s="24">
        <v>8.5583670000000005</v>
      </c>
      <c r="H93" s="24">
        <v>5.6977989999999998</v>
      </c>
      <c r="I93" s="24">
        <v>5.4992570000000001</v>
      </c>
      <c r="J93" s="24">
        <v>6.4864800000000002</v>
      </c>
      <c r="K93" s="24">
        <v>5.2820609999999997</v>
      </c>
      <c r="L93" s="24">
        <v>21.80255</v>
      </c>
      <c r="M93" s="24">
        <v>7.4158999999999997</v>
      </c>
      <c r="N93" s="24">
        <v>3.822181660044988</v>
      </c>
      <c r="O93" s="24">
        <v>9.6999999999999993</v>
      </c>
      <c r="P93" s="24">
        <v>3.9784950514510813</v>
      </c>
      <c r="Q93" s="24">
        <v>7.9411350514012122</v>
      </c>
      <c r="R93" s="24">
        <v>4.05</v>
      </c>
      <c r="S93" s="24">
        <v>6.2961407458084411</v>
      </c>
      <c r="T93" s="21">
        <v>1</v>
      </c>
      <c r="U93" s="21" t="s">
        <v>141</v>
      </c>
      <c r="V93" s="70">
        <v>-2.7339495377049803E-2</v>
      </c>
      <c r="W93" s="70">
        <v>3.2660504622950198E-2</v>
      </c>
      <c r="X93" s="24">
        <v>1.723075125366623</v>
      </c>
      <c r="Y93" s="24" t="s">
        <v>1842</v>
      </c>
      <c r="Z93" s="75">
        <v>27451.06</v>
      </c>
      <c r="AA93" t="s">
        <v>1415</v>
      </c>
      <c r="AB93" s="24">
        <v>1.5384615384615385</v>
      </c>
    </row>
    <row r="94" spans="1:28" x14ac:dyDescent="0.55000000000000004">
      <c r="A94" s="24" t="s">
        <v>302</v>
      </c>
      <c r="B94" s="24" t="s">
        <v>1340</v>
      </c>
      <c r="C94" s="24" t="s">
        <v>125</v>
      </c>
      <c r="D94" s="24" t="s">
        <v>72</v>
      </c>
      <c r="E94" s="24" t="s">
        <v>95</v>
      </c>
      <c r="F94" s="70">
        <v>2.6499211390390931E-3</v>
      </c>
      <c r="G94" s="24">
        <v>4.7880880000000001</v>
      </c>
      <c r="H94" s="24">
        <v>5.6864189999999999</v>
      </c>
      <c r="I94" s="24">
        <v>7.9802330000000001</v>
      </c>
      <c r="J94" s="24">
        <v>6.4242780000000002</v>
      </c>
      <c r="K94" s="24">
        <v>3.626261</v>
      </c>
      <c r="L94" s="24">
        <v>9.7423319999999993</v>
      </c>
      <c r="M94" s="24">
        <v>45.978200000000001</v>
      </c>
      <c r="N94" s="24">
        <v>3.8063584539223578</v>
      </c>
      <c r="O94" s="24">
        <v>5.6</v>
      </c>
      <c r="P94" s="24">
        <v>4.5188284518828459</v>
      </c>
      <c r="Q94" s="24">
        <v>9.0762751624663185</v>
      </c>
      <c r="R94" s="24">
        <v>5.75</v>
      </c>
      <c r="S94" s="24">
        <v>7.7278341235459838</v>
      </c>
      <c r="T94" s="21">
        <v>1</v>
      </c>
      <c r="U94" s="21" t="s">
        <v>117</v>
      </c>
      <c r="V94" s="70">
        <v>-2.7350463350212975E-2</v>
      </c>
      <c r="W94" s="70">
        <v>3.2649536649787023E-2</v>
      </c>
      <c r="X94" s="24">
        <v>0.33050572952413343</v>
      </c>
      <c r="Y94" s="24" t="s">
        <v>1494</v>
      </c>
      <c r="Z94" s="75">
        <v>29098.42</v>
      </c>
      <c r="AA94" t="s">
        <v>1415</v>
      </c>
      <c r="AB94" s="24">
        <v>1.5452930728241563</v>
      </c>
    </row>
    <row r="95" spans="1:28" x14ac:dyDescent="0.55000000000000004">
      <c r="A95" s="24" t="s">
        <v>299</v>
      </c>
      <c r="B95" s="24" t="s">
        <v>829</v>
      </c>
      <c r="C95" s="24" t="s">
        <v>107</v>
      </c>
      <c r="D95" s="24" t="s">
        <v>72</v>
      </c>
      <c r="E95" s="24" t="s">
        <v>99</v>
      </c>
      <c r="F95" s="70">
        <v>2.6220443323517108E-3</v>
      </c>
      <c r="G95" s="24">
        <v>5.4433959999999999</v>
      </c>
      <c r="H95" s="24">
        <v>5.7404349999999997</v>
      </c>
      <c r="I95" s="24">
        <v>6.3258669999999997</v>
      </c>
      <c r="J95" s="24">
        <v>5.6792980000000002</v>
      </c>
      <c r="K95" s="24">
        <v>8.8555299999999999</v>
      </c>
      <c r="L95" s="24">
        <v>13.098850000000001</v>
      </c>
      <c r="M95" s="24">
        <v>681.77120000000002</v>
      </c>
      <c r="N95" s="24">
        <v>4.9999999999999991</v>
      </c>
      <c r="O95" s="24">
        <v>8.1999999999999993</v>
      </c>
      <c r="P95" s="24">
        <v>5.3894080996884721</v>
      </c>
      <c r="Q95" s="24">
        <v>9.2443444058097892</v>
      </c>
      <c r="R95" s="24">
        <v>7.98</v>
      </c>
      <c r="S95" s="24">
        <v>7.3816336624528471</v>
      </c>
      <c r="T95" s="21">
        <v>1</v>
      </c>
      <c r="U95" s="21" t="s">
        <v>1410</v>
      </c>
      <c r="V95" s="70">
        <v>-2.7378340156900358E-2</v>
      </c>
      <c r="W95" s="70">
        <v>3.2621659843099643E-2</v>
      </c>
      <c r="X95" s="24">
        <v>0.15596729004243451</v>
      </c>
      <c r="Y95" s="24" t="s">
        <v>1738</v>
      </c>
      <c r="Z95" s="75">
        <v>27167.45</v>
      </c>
      <c r="AA95" t="s">
        <v>1415</v>
      </c>
      <c r="AB95" s="24">
        <v>1.0412926391382407</v>
      </c>
    </row>
    <row r="96" spans="1:28" x14ac:dyDescent="0.55000000000000004">
      <c r="A96" s="24" t="s">
        <v>307</v>
      </c>
      <c r="B96" s="24" t="s">
        <v>921</v>
      </c>
      <c r="C96" s="24" t="s">
        <v>109</v>
      </c>
      <c r="D96" s="24" t="s">
        <v>72</v>
      </c>
      <c r="E96" s="24" t="s">
        <v>88</v>
      </c>
      <c r="F96" s="70">
        <v>2.611397272351039E-3</v>
      </c>
      <c r="G96" s="24">
        <v>4.4962179999999998</v>
      </c>
      <c r="H96" s="24">
        <v>5.5119749999999996</v>
      </c>
      <c r="I96" s="24">
        <v>4.5893280000000001</v>
      </c>
      <c r="J96" s="24">
        <v>4.9397640000000003</v>
      </c>
      <c r="K96" s="24">
        <v>0</v>
      </c>
      <c r="L96" s="24">
        <v>-0.22153249999999999</v>
      </c>
      <c r="M96" s="24">
        <v>5.0831999999999997</v>
      </c>
      <c r="N96" s="24">
        <v>7.4064735842262053</v>
      </c>
      <c r="O96" s="24">
        <v>3.4</v>
      </c>
      <c r="P96" s="24">
        <v>0.43835616438356162</v>
      </c>
      <c r="Q96" s="24">
        <v>3.568398897519419</v>
      </c>
      <c r="R96" s="24">
        <v>0</v>
      </c>
      <c r="S96" s="24">
        <v>2.1253437257785426</v>
      </c>
      <c r="T96" s="21">
        <v>1</v>
      </c>
      <c r="U96" s="21" t="s">
        <v>141</v>
      </c>
      <c r="V96" s="70">
        <v>-2.7388218238396891E-2</v>
      </c>
      <c r="W96" s="70">
        <v>3.2611781761603106E-2</v>
      </c>
      <c r="X96" s="24">
        <v>0.60643161992040162</v>
      </c>
      <c r="Y96" s="24" t="s">
        <v>1915</v>
      </c>
      <c r="Z96" s="75">
        <v>28859.73</v>
      </c>
      <c r="AA96" t="s">
        <v>1415</v>
      </c>
      <c r="AB96" s="24">
        <v>1.6319444444444444</v>
      </c>
    </row>
    <row r="97" spans="1:28" x14ac:dyDescent="0.55000000000000004">
      <c r="A97" s="24" t="s">
        <v>308</v>
      </c>
      <c r="B97" s="24" t="s">
        <v>1362</v>
      </c>
      <c r="C97" s="24" t="s">
        <v>113</v>
      </c>
      <c r="D97" s="24" t="s">
        <v>72</v>
      </c>
      <c r="E97" s="24" t="s">
        <v>90</v>
      </c>
      <c r="F97" s="70">
        <v>2.6012222973430602E-3</v>
      </c>
      <c r="G97" s="24">
        <v>7.4733510000000001</v>
      </c>
      <c r="H97" s="24">
        <v>7.8364839999999996</v>
      </c>
      <c r="I97" s="24">
        <v>7.2592990000000004</v>
      </c>
      <c r="J97" s="24">
        <v>7.5255289999999997</v>
      </c>
      <c r="K97" s="24">
        <v>5.304303</v>
      </c>
      <c r="L97" s="24">
        <v>13.06165</v>
      </c>
      <c r="M97" s="24">
        <v>0.76890000000000003</v>
      </c>
      <c r="N97" s="24">
        <v>4.8487632836280143</v>
      </c>
      <c r="O97" s="24">
        <v>3.9</v>
      </c>
      <c r="P97" s="24">
        <v>3.8709681581686195</v>
      </c>
      <c r="Q97" s="24">
        <v>5.0612589776087891</v>
      </c>
      <c r="R97" s="24">
        <v>5.2</v>
      </c>
      <c r="S97" s="24">
        <v>5.5076386168823532</v>
      </c>
      <c r="T97" s="21">
        <v>1</v>
      </c>
      <c r="U97" s="21" t="s">
        <v>141</v>
      </c>
      <c r="V97" s="70">
        <v>-2.7399162191909007E-2</v>
      </c>
      <c r="W97" s="70">
        <v>3.2600837808090991E-2</v>
      </c>
      <c r="X97" s="24">
        <v>0.78308517045467174</v>
      </c>
      <c r="Y97" s="24" t="s">
        <v>1868</v>
      </c>
      <c r="Z97" s="75">
        <v>32454.33</v>
      </c>
      <c r="AA97" t="s">
        <v>1415</v>
      </c>
      <c r="AB97" s="24">
        <v>1.4700854700854702</v>
      </c>
    </row>
    <row r="98" spans="1:28" x14ac:dyDescent="0.55000000000000004">
      <c r="A98" s="24" t="s">
        <v>314</v>
      </c>
      <c r="B98" s="24" t="s">
        <v>942</v>
      </c>
      <c r="C98" s="24" t="s">
        <v>112</v>
      </c>
      <c r="D98" s="24" t="s">
        <v>72</v>
      </c>
      <c r="E98" s="24" t="s">
        <v>99</v>
      </c>
      <c r="F98" s="70">
        <v>2.5422610597336057E-3</v>
      </c>
      <c r="G98" s="24">
        <v>7.275315</v>
      </c>
      <c r="H98" s="24">
        <v>7.7541399999999996</v>
      </c>
      <c r="I98" s="24">
        <v>7.5080710000000002</v>
      </c>
      <c r="J98" s="24">
        <v>7.4176310000000001</v>
      </c>
      <c r="K98" s="24">
        <v>4.1162919999999996</v>
      </c>
      <c r="L98" s="24">
        <v>9.1696629999999999</v>
      </c>
      <c r="M98" s="24">
        <v>97.466300000000004</v>
      </c>
      <c r="N98" s="24">
        <v>3.8731160054326756</v>
      </c>
      <c r="O98" s="24">
        <v>2.7</v>
      </c>
      <c r="P98" s="24">
        <v>4.1433021806853576</v>
      </c>
      <c r="Q98" s="24">
        <v>5.9565151522913791</v>
      </c>
      <c r="R98" s="24">
        <v>5.34</v>
      </c>
      <c r="S98" s="24">
        <v>6.2199813367676251</v>
      </c>
      <c r="T98" s="21">
        <v>1</v>
      </c>
      <c r="U98" s="21" t="s">
        <v>141</v>
      </c>
      <c r="V98" s="70">
        <v>-2.7458123429518463E-2</v>
      </c>
      <c r="W98" s="70">
        <v>3.2541876570481534E-2</v>
      </c>
      <c r="X98" s="24">
        <v>0.39410320423331241</v>
      </c>
      <c r="Y98" s="24" t="s">
        <v>1629</v>
      </c>
      <c r="Z98" s="75">
        <v>29578.77</v>
      </c>
      <c r="AA98" t="s">
        <v>1415</v>
      </c>
      <c r="AB98" s="24">
        <v>1.3105924596050269</v>
      </c>
    </row>
    <row r="99" spans="1:28" x14ac:dyDescent="0.55000000000000004">
      <c r="A99" s="24" t="s">
        <v>311</v>
      </c>
      <c r="B99" s="24" t="s">
        <v>983</v>
      </c>
      <c r="C99" s="24" t="s">
        <v>125</v>
      </c>
      <c r="D99" s="24" t="s">
        <v>72</v>
      </c>
      <c r="E99" s="24" t="s">
        <v>96</v>
      </c>
      <c r="F99" s="70">
        <v>2.5242820012482715E-3</v>
      </c>
      <c r="G99" s="24">
        <v>6.0703319999999996</v>
      </c>
      <c r="H99" s="24">
        <v>5.9357769999999999</v>
      </c>
      <c r="I99" s="24">
        <v>7.3705790000000002</v>
      </c>
      <c r="J99" s="24">
        <v>6.4200400000000002</v>
      </c>
      <c r="K99" s="24">
        <v>0.58880690000000002</v>
      </c>
      <c r="L99" s="24">
        <v>2.9652989999999999</v>
      </c>
      <c r="M99" s="24">
        <v>14.8032</v>
      </c>
      <c r="N99" s="24">
        <v>9.0153079623077499</v>
      </c>
      <c r="O99" s="24">
        <v>8.4</v>
      </c>
      <c r="P99" s="24">
        <v>5.1583710407239831</v>
      </c>
      <c r="Q99" s="24">
        <v>2.5923853138100728</v>
      </c>
      <c r="R99" s="24">
        <v>4.13</v>
      </c>
      <c r="S99" s="24">
        <v>3.6490804658645901</v>
      </c>
      <c r="T99" s="21">
        <v>1</v>
      </c>
      <c r="U99" s="21" t="s">
        <v>141</v>
      </c>
      <c r="V99" s="70">
        <v>-2.7475333509499659E-2</v>
      </c>
      <c r="W99" s="70">
        <v>3.2524666490500342E-2</v>
      </c>
      <c r="X99" s="24">
        <v>1.7318290915334376</v>
      </c>
      <c r="Y99" s="24" t="s">
        <v>1907</v>
      </c>
      <c r="Z99" s="75">
        <v>27392.73</v>
      </c>
      <c r="AA99" t="s">
        <v>1415</v>
      </c>
      <c r="AB99" s="24">
        <v>1.6811091854419411</v>
      </c>
    </row>
    <row r="100" spans="1:28" x14ac:dyDescent="0.55000000000000004">
      <c r="A100" s="24" t="s">
        <v>313</v>
      </c>
      <c r="B100" s="24" t="s">
        <v>830</v>
      </c>
      <c r="C100" s="24" t="s">
        <v>107</v>
      </c>
      <c r="D100" s="24" t="s">
        <v>72</v>
      </c>
      <c r="E100" s="24" t="s">
        <v>89</v>
      </c>
      <c r="F100" s="70">
        <v>2.4982621173283547E-3</v>
      </c>
      <c r="G100" s="24">
        <v>7.7899050000000001</v>
      </c>
      <c r="H100" s="24">
        <v>7.6486140000000002</v>
      </c>
      <c r="I100" s="24">
        <v>7.4014329999999999</v>
      </c>
      <c r="J100" s="24">
        <v>7.6309760000000004</v>
      </c>
      <c r="K100" s="24">
        <v>2.091313</v>
      </c>
      <c r="L100" s="24">
        <v>4.9962330000000001</v>
      </c>
      <c r="M100" s="24">
        <v>20.492899999999999</v>
      </c>
      <c r="N100" s="24">
        <v>4.9665007578776414</v>
      </c>
      <c r="O100" s="24">
        <v>5</v>
      </c>
      <c r="P100" s="24">
        <v>5.9159159159159147</v>
      </c>
      <c r="Q100" s="24">
        <v>4.2620252324037189</v>
      </c>
      <c r="R100" s="24">
        <v>4.88</v>
      </c>
      <c r="S100" s="24">
        <v>4.8135894413318718</v>
      </c>
      <c r="T100" s="21">
        <v>1</v>
      </c>
      <c r="U100" s="21" t="s">
        <v>141</v>
      </c>
      <c r="V100" s="70">
        <v>-2.7502094403231758E-2</v>
      </c>
      <c r="W100" s="70">
        <v>3.249790559676824E-2</v>
      </c>
      <c r="X100" s="24">
        <v>1.2852944121524204</v>
      </c>
      <c r="Y100" s="24" t="s">
        <v>1740</v>
      </c>
      <c r="Z100" s="75">
        <v>26082.63</v>
      </c>
      <c r="AA100" t="s">
        <v>1415</v>
      </c>
      <c r="AB100" s="24">
        <v>1.5224913494809689</v>
      </c>
    </row>
    <row r="101" spans="1:28" x14ac:dyDescent="0.55000000000000004">
      <c r="A101" s="24" t="s">
        <v>315</v>
      </c>
      <c r="B101" s="24" t="s">
        <v>831</v>
      </c>
      <c r="C101" s="24" t="s">
        <v>107</v>
      </c>
      <c r="D101" s="24" t="s">
        <v>72</v>
      </c>
      <c r="E101" s="24" t="s">
        <v>87</v>
      </c>
      <c r="F101" s="70">
        <v>2.4553339425641054E-3</v>
      </c>
      <c r="G101" s="24">
        <v>6.7700120000000004</v>
      </c>
      <c r="H101" s="24">
        <v>7.4014930000000003</v>
      </c>
      <c r="I101" s="24">
        <v>5.7089999999999996</v>
      </c>
      <c r="J101" s="24">
        <v>6.6411530000000001</v>
      </c>
      <c r="K101" s="24">
        <v>3.273828</v>
      </c>
      <c r="L101" s="24">
        <v>6.065671</v>
      </c>
      <c r="M101" s="24">
        <v>37.377499999999998</v>
      </c>
      <c r="N101" s="24">
        <v>2.7654276847941954</v>
      </c>
      <c r="O101" s="24">
        <v>0.3</v>
      </c>
      <c r="P101" s="24">
        <v>3.1799163179916317</v>
      </c>
      <c r="Q101" s="24">
        <v>3.8069075923284199</v>
      </c>
      <c r="R101" s="24">
        <v>4.25</v>
      </c>
      <c r="S101" s="24">
        <v>4.0528494785729068</v>
      </c>
      <c r="T101" s="21">
        <v>1</v>
      </c>
      <c r="U101" s="21" t="s">
        <v>141</v>
      </c>
      <c r="V101" s="70">
        <v>-2.7545050546687964E-2</v>
      </c>
      <c r="W101" s="70">
        <v>3.2454949453312038E-2</v>
      </c>
      <c r="X101" s="24">
        <v>1.0772351656230119</v>
      </c>
      <c r="Y101" s="24" t="s">
        <v>1714</v>
      </c>
      <c r="Z101" s="75">
        <v>27363.97</v>
      </c>
      <c r="AA101" t="s">
        <v>1415</v>
      </c>
      <c r="AB101" s="24">
        <v>1.7761989342806395</v>
      </c>
    </row>
    <row r="102" spans="1:28" x14ac:dyDescent="0.55000000000000004">
      <c r="A102" s="24" t="s">
        <v>298</v>
      </c>
      <c r="B102" s="24" t="s">
        <v>827</v>
      </c>
      <c r="C102" s="24" t="s">
        <v>113</v>
      </c>
      <c r="D102" s="24" t="s">
        <v>72</v>
      </c>
      <c r="E102" s="24" t="s">
        <v>100</v>
      </c>
      <c r="F102" s="70">
        <v>2.4484993510200496E-3</v>
      </c>
      <c r="G102" s="24">
        <v>5.7005480000000004</v>
      </c>
      <c r="H102" s="24">
        <v>6.5237949999999998</v>
      </c>
      <c r="I102" s="24">
        <v>6.2196610000000003</v>
      </c>
      <c r="J102" s="24">
        <v>6.103256</v>
      </c>
      <c r="K102" s="24">
        <v>9.3763710000000007</v>
      </c>
      <c r="L102" s="24">
        <v>17.652470000000001</v>
      </c>
      <c r="M102" s="24">
        <v>27.273299999999999</v>
      </c>
      <c r="N102" s="24">
        <v>4.3128647329214953</v>
      </c>
      <c r="O102" s="24">
        <v>0.7</v>
      </c>
      <c r="P102" s="24">
        <v>6.6149068322981375</v>
      </c>
      <c r="Q102" s="24">
        <v>9.6265312219898416</v>
      </c>
      <c r="R102" s="24">
        <v>5.37</v>
      </c>
      <c r="S102" s="24">
        <v>7.138038929551211</v>
      </c>
      <c r="T102" s="21">
        <v>1</v>
      </c>
      <c r="U102" s="21" t="s">
        <v>1410</v>
      </c>
      <c r="V102" s="70">
        <v>-2.7551885138232018E-2</v>
      </c>
      <c r="W102" s="70">
        <v>3.2448114861767977E-2</v>
      </c>
      <c r="X102" s="24">
        <v>1.5604568461140129</v>
      </c>
      <c r="Y102" s="24" t="s">
        <v>1497</v>
      </c>
      <c r="Z102" s="75">
        <v>25270.12</v>
      </c>
      <c r="AA102" t="s">
        <v>1415</v>
      </c>
      <c r="AB102" s="24">
        <v>1.320754716981132</v>
      </c>
    </row>
    <row r="103" spans="1:28" x14ac:dyDescent="0.55000000000000004">
      <c r="A103" s="24" t="s">
        <v>317</v>
      </c>
      <c r="B103" s="24" t="s">
        <v>833</v>
      </c>
      <c r="C103" s="24" t="s">
        <v>107</v>
      </c>
      <c r="D103" s="24" t="s">
        <v>72</v>
      </c>
      <c r="E103" s="24" t="s">
        <v>96</v>
      </c>
      <c r="F103" s="70">
        <v>2.3723436968597373E-3</v>
      </c>
      <c r="G103" s="24">
        <v>7.956906</v>
      </c>
      <c r="H103" s="24">
        <v>7.3915319999999998</v>
      </c>
      <c r="I103" s="24">
        <v>4.5400510000000001</v>
      </c>
      <c r="J103" s="24">
        <v>6.6294959999999996</v>
      </c>
      <c r="K103" s="24">
        <v>0.71133389999999996</v>
      </c>
      <c r="L103" s="24">
        <v>2.9126069999999999</v>
      </c>
      <c r="M103" s="24">
        <v>22.519400000000001</v>
      </c>
      <c r="N103" s="24">
        <v>6.4158166154727798</v>
      </c>
      <c r="O103" s="24">
        <v>1.5</v>
      </c>
      <c r="P103" s="24">
        <v>1.8552036199095032</v>
      </c>
      <c r="Q103" s="24">
        <v>4.6955846978319524</v>
      </c>
      <c r="R103" s="24">
        <v>3.34</v>
      </c>
      <c r="S103" s="24">
        <v>3.8381982989598433</v>
      </c>
      <c r="T103" s="21">
        <v>1</v>
      </c>
      <c r="U103" s="21" t="s">
        <v>141</v>
      </c>
      <c r="V103" s="70">
        <v>-2.7627271813888191E-2</v>
      </c>
      <c r="W103" s="70">
        <v>3.2372728186111803E-2</v>
      </c>
      <c r="X103" s="24">
        <v>0.97836601100055676</v>
      </c>
      <c r="Y103" s="24" t="s">
        <v>1758</v>
      </c>
      <c r="Z103" s="75">
        <v>23844.46</v>
      </c>
      <c r="AA103" t="s">
        <v>1415</v>
      </c>
      <c r="AB103" s="24">
        <v>1.7850953206239168</v>
      </c>
    </row>
    <row r="104" spans="1:28" x14ac:dyDescent="0.55000000000000004">
      <c r="A104" s="24" t="s">
        <v>316</v>
      </c>
      <c r="B104" s="24" t="s">
        <v>832</v>
      </c>
      <c r="C104" s="24" t="s">
        <v>107</v>
      </c>
      <c r="D104" s="24" t="s">
        <v>72</v>
      </c>
      <c r="E104" s="24" t="s">
        <v>100</v>
      </c>
      <c r="F104" s="70">
        <v>2.3511868146537333E-3</v>
      </c>
      <c r="G104" s="24">
        <v>6.9636779999999998</v>
      </c>
      <c r="H104" s="24">
        <v>6.5974000000000004</v>
      </c>
      <c r="I104" s="24">
        <v>6.894444</v>
      </c>
      <c r="J104" s="24">
        <v>6.8330250000000001</v>
      </c>
      <c r="K104" s="24">
        <v>4.3550630000000004</v>
      </c>
      <c r="L104" s="24">
        <v>10.581239999999999</v>
      </c>
      <c r="M104" s="24">
        <v>97.852099999999993</v>
      </c>
      <c r="N104" s="24">
        <v>4.7117795148899813</v>
      </c>
      <c r="O104" s="24">
        <v>6.8</v>
      </c>
      <c r="P104" s="24">
        <v>5.3105590062111823</v>
      </c>
      <c r="Q104" s="24">
        <v>7.5340196105060162</v>
      </c>
      <c r="R104" s="24">
        <v>7.34</v>
      </c>
      <c r="S104" s="24">
        <v>7.2747774879606659</v>
      </c>
      <c r="T104" s="21">
        <v>1</v>
      </c>
      <c r="U104" s="21" t="s">
        <v>1410</v>
      </c>
      <c r="V104" s="70">
        <v>-2.7649013601368507E-2</v>
      </c>
      <c r="W104" s="70">
        <v>3.2350986398631494E-2</v>
      </c>
      <c r="X104" s="24">
        <v>0.61437267210177859</v>
      </c>
      <c r="Y104" s="24" t="s">
        <v>1459</v>
      </c>
      <c r="Z104" s="75">
        <v>25546.02</v>
      </c>
      <c r="AA104" t="s">
        <v>1415</v>
      </c>
      <c r="AB104" s="24">
        <v>1.6295025728987995</v>
      </c>
    </row>
    <row r="105" spans="1:28" x14ac:dyDescent="0.55000000000000004">
      <c r="A105" s="24" t="s">
        <v>321</v>
      </c>
      <c r="B105" s="24" t="s">
        <v>1385</v>
      </c>
      <c r="C105" s="24" t="s">
        <v>105</v>
      </c>
      <c r="D105" s="24" t="s">
        <v>72</v>
      </c>
      <c r="E105" s="24" t="s">
        <v>86</v>
      </c>
      <c r="F105" s="70">
        <v>2.2837852450560588E-3</v>
      </c>
      <c r="G105" s="24">
        <v>6.2473419999999997</v>
      </c>
      <c r="H105" s="24">
        <v>6.1283839999999996</v>
      </c>
      <c r="I105" s="24">
        <v>5.4150450000000001</v>
      </c>
      <c r="J105" s="24">
        <v>5.9144019999999999</v>
      </c>
      <c r="K105" s="24">
        <v>1.1261099999999999</v>
      </c>
      <c r="L105" s="24">
        <v>3.8752439999999999</v>
      </c>
      <c r="M105" s="24">
        <v>6.4115000000000002</v>
      </c>
      <c r="N105" s="24">
        <v>5.8432633292054685</v>
      </c>
      <c r="O105" s="24">
        <v>6.3</v>
      </c>
      <c r="P105" s="24">
        <v>4.9462370909932352</v>
      </c>
      <c r="Q105" s="24">
        <v>0</v>
      </c>
      <c r="R105" s="24">
        <v>4.01</v>
      </c>
      <c r="S105" s="24">
        <v>1.873211097655251</v>
      </c>
      <c r="T105" s="21">
        <v>1</v>
      </c>
      <c r="U105" s="21" t="s">
        <v>141</v>
      </c>
      <c r="V105" s="70">
        <v>-2.7715830265691872E-2</v>
      </c>
      <c r="W105" s="70">
        <v>3.228416973430813E-2</v>
      </c>
      <c r="X105" s="24">
        <v>2.1791534406211195</v>
      </c>
      <c r="Y105" s="24" t="s">
        <v>1992</v>
      </c>
      <c r="Z105" s="75">
        <v>19329.73</v>
      </c>
      <c r="AA105" t="s">
        <v>1415</v>
      </c>
      <c r="AB105" s="24">
        <v>1.6923076923076925</v>
      </c>
    </row>
    <row r="106" spans="1:28" x14ac:dyDescent="0.55000000000000004">
      <c r="A106" s="24" t="s">
        <v>319</v>
      </c>
      <c r="B106" s="24" t="s">
        <v>1327</v>
      </c>
      <c r="C106" s="24" t="s">
        <v>106</v>
      </c>
      <c r="D106" s="24" t="s">
        <v>72</v>
      </c>
      <c r="E106" s="24" t="s">
        <v>99</v>
      </c>
      <c r="F106" s="70">
        <v>2.2816648597019911E-3</v>
      </c>
      <c r="G106" s="24">
        <v>5.3625569999999998</v>
      </c>
      <c r="H106" s="24">
        <v>6.4610810000000001</v>
      </c>
      <c r="I106" s="24">
        <v>5.5470870000000003</v>
      </c>
      <c r="J106" s="24">
        <v>5.6191680000000002</v>
      </c>
      <c r="K106" s="24">
        <v>3.4216679999999999</v>
      </c>
      <c r="L106" s="24">
        <v>10.15794</v>
      </c>
      <c r="M106" s="24">
        <v>778.54740000000004</v>
      </c>
      <c r="N106" s="24">
        <v>5.515643625070263</v>
      </c>
      <c r="O106" s="24">
        <v>6.9</v>
      </c>
      <c r="P106" s="24">
        <v>6.6978193146417446</v>
      </c>
      <c r="Q106" s="24">
        <v>4.6284742221613957</v>
      </c>
      <c r="R106" s="24">
        <v>3.36</v>
      </c>
      <c r="S106" s="24">
        <v>6.9010427598631479</v>
      </c>
      <c r="T106" s="21">
        <v>1</v>
      </c>
      <c r="U106" s="21" t="s">
        <v>141</v>
      </c>
      <c r="V106" s="70">
        <v>-2.7718719629550078E-2</v>
      </c>
      <c r="W106" s="70">
        <v>3.2281280370449923E-2</v>
      </c>
      <c r="X106" s="24">
        <v>0.57002162777994725</v>
      </c>
      <c r="Y106" s="24" t="s">
        <v>1787</v>
      </c>
      <c r="Z106" s="75">
        <v>24727.73</v>
      </c>
      <c r="AA106" t="s">
        <v>1415</v>
      </c>
      <c r="AB106" s="24">
        <v>1.4003590664272891</v>
      </c>
    </row>
    <row r="107" spans="1:28" x14ac:dyDescent="0.55000000000000004">
      <c r="A107" s="24" t="s">
        <v>322</v>
      </c>
      <c r="B107" s="24" t="s">
        <v>834</v>
      </c>
      <c r="C107" s="24" t="s">
        <v>107</v>
      </c>
      <c r="D107" s="24" t="s">
        <v>72</v>
      </c>
      <c r="E107" s="24" t="s">
        <v>91</v>
      </c>
      <c r="F107" s="70">
        <v>2.1339916953430141E-3</v>
      </c>
      <c r="G107" s="24">
        <v>8.7902070000000005</v>
      </c>
      <c r="H107" s="24">
        <v>6.6672159999999998</v>
      </c>
      <c r="I107" s="24">
        <v>4.7035830000000001</v>
      </c>
      <c r="J107" s="24">
        <v>6.3063609999999999</v>
      </c>
      <c r="K107" s="24">
        <v>3.604838</v>
      </c>
      <c r="L107" s="24">
        <v>8.6681209999999993</v>
      </c>
      <c r="M107" s="24">
        <v>3.8748999999999998</v>
      </c>
      <c r="N107" s="24">
        <v>5.8354223579521003</v>
      </c>
      <c r="O107" s="24">
        <v>7.6</v>
      </c>
      <c r="P107" s="24">
        <v>4.8136645962732931</v>
      </c>
      <c r="Q107" s="24">
        <v>5.3585756579840833</v>
      </c>
      <c r="R107" s="24">
        <v>6.5</v>
      </c>
      <c r="S107" s="24">
        <v>6.3838391739708324</v>
      </c>
      <c r="T107" s="21">
        <v>1</v>
      </c>
      <c r="U107" s="21" t="s">
        <v>141</v>
      </c>
      <c r="V107" s="70">
        <v>-2.7865623815404916E-2</v>
      </c>
      <c r="W107" s="70">
        <v>3.2134376184595081E-2</v>
      </c>
      <c r="X107" s="24">
        <v>1.0651149886342206</v>
      </c>
      <c r="Y107" s="24" t="s">
        <v>1730</v>
      </c>
      <c r="Z107" s="75">
        <v>22320.48</v>
      </c>
      <c r="AA107" t="s">
        <v>1415</v>
      </c>
      <c r="AB107" s="24">
        <v>1.7324185248713551</v>
      </c>
    </row>
    <row r="108" spans="1:28" x14ac:dyDescent="0.55000000000000004">
      <c r="A108" s="24" t="s">
        <v>328</v>
      </c>
      <c r="B108" s="24" t="s">
        <v>1408</v>
      </c>
      <c r="C108" s="24" t="s">
        <v>112</v>
      </c>
      <c r="D108" s="24" t="s">
        <v>72</v>
      </c>
      <c r="E108" s="24" t="s">
        <v>94</v>
      </c>
      <c r="F108" s="70">
        <v>2.1304391382947676E-3</v>
      </c>
      <c r="G108" s="24">
        <v>4.7866660000000003</v>
      </c>
      <c r="H108" s="24">
        <v>4.6049889999999998</v>
      </c>
      <c r="I108" s="24">
        <v>7.9886650000000001</v>
      </c>
      <c r="J108" s="24">
        <v>6.0311300000000001</v>
      </c>
      <c r="K108" s="24">
        <v>3.644701</v>
      </c>
      <c r="L108" s="24">
        <v>6.713279</v>
      </c>
      <c r="M108" s="24">
        <v>166.24420000000001</v>
      </c>
      <c r="N108" s="24">
        <v>0.61076200797372071</v>
      </c>
      <c r="O108" s="24">
        <v>6.4</v>
      </c>
      <c r="P108" s="24">
        <v>0</v>
      </c>
      <c r="Q108" s="24">
        <v>7.1614313880126179</v>
      </c>
      <c r="R108" s="24">
        <v>5.0599999999999996</v>
      </c>
      <c r="S108" s="24">
        <v>4.2405988187162915</v>
      </c>
      <c r="T108" s="21">
        <v>1</v>
      </c>
      <c r="U108" s="21" t="s">
        <v>141</v>
      </c>
      <c r="V108" s="70">
        <v>-2.7869945350957302E-2</v>
      </c>
      <c r="W108" s="70">
        <v>3.21300546490427E-2</v>
      </c>
      <c r="X108" s="24">
        <v>1.250718098749519</v>
      </c>
      <c r="Y108" s="24" t="s">
        <v>1622</v>
      </c>
      <c r="Z108" s="75">
        <v>22999.91</v>
      </c>
      <c r="AA108" t="s">
        <v>1415</v>
      </c>
      <c r="AB108" s="24">
        <v>0</v>
      </c>
    </row>
    <row r="109" spans="1:28" x14ac:dyDescent="0.55000000000000004">
      <c r="A109" s="24" t="s">
        <v>318</v>
      </c>
      <c r="B109" s="24" t="s">
        <v>1261</v>
      </c>
      <c r="C109" s="24" t="s">
        <v>112</v>
      </c>
      <c r="D109" s="24" t="s">
        <v>72</v>
      </c>
      <c r="E109" s="24" t="s">
        <v>100</v>
      </c>
      <c r="F109" s="70">
        <v>2.1211882205116901E-3</v>
      </c>
      <c r="G109" s="24">
        <v>6.3361999999999998</v>
      </c>
      <c r="H109" s="24">
        <v>7.0277659999999997</v>
      </c>
      <c r="I109" s="24">
        <v>4.8913570000000002</v>
      </c>
      <c r="J109" s="24">
        <v>6.1102169999999996</v>
      </c>
      <c r="K109" s="24">
        <v>6.3156780000000001</v>
      </c>
      <c r="L109" s="24">
        <v>13.76031</v>
      </c>
      <c r="M109" s="24">
        <v>18.9148</v>
      </c>
      <c r="N109" s="24">
        <v>4.3838760102271186</v>
      </c>
      <c r="O109" s="24">
        <v>1.7</v>
      </c>
      <c r="P109" s="24">
        <v>3.60248447204969</v>
      </c>
      <c r="Q109" s="24">
        <v>9.0520683379960349</v>
      </c>
      <c r="R109" s="24">
        <v>6.03</v>
      </c>
      <c r="S109" s="24">
        <v>6.6857120786649764</v>
      </c>
      <c r="T109" s="21">
        <v>1</v>
      </c>
      <c r="U109" s="21" t="s">
        <v>141</v>
      </c>
      <c r="V109" s="70">
        <v>-2.7878427290236239E-2</v>
      </c>
      <c r="W109" s="70">
        <v>3.2121572709763756E-2</v>
      </c>
      <c r="X109" s="24">
        <v>1.3318651722874875</v>
      </c>
      <c r="Y109" s="24" t="s">
        <v>1429</v>
      </c>
      <c r="Z109" s="75">
        <v>23316.34</v>
      </c>
      <c r="AA109" t="s">
        <v>1415</v>
      </c>
      <c r="AB109" s="24">
        <v>1.6638078902229847</v>
      </c>
    </row>
    <row r="110" spans="1:28" x14ac:dyDescent="0.55000000000000004">
      <c r="A110" s="24" t="s">
        <v>332</v>
      </c>
      <c r="B110" s="24" t="s">
        <v>1369</v>
      </c>
      <c r="C110" s="24" t="s">
        <v>125</v>
      </c>
      <c r="D110" s="24" t="s">
        <v>72</v>
      </c>
      <c r="E110" s="24" t="s">
        <v>88</v>
      </c>
      <c r="F110" s="70">
        <v>2.1096431245747598E-3</v>
      </c>
      <c r="G110" s="24">
        <v>7.3478199999999996</v>
      </c>
      <c r="H110" s="24">
        <v>5.6816430000000002</v>
      </c>
      <c r="I110" s="24">
        <v>6.1175369999999996</v>
      </c>
      <c r="J110" s="24">
        <v>6.1892370000000003</v>
      </c>
      <c r="K110" s="24">
        <v>2.7594820000000002</v>
      </c>
      <c r="L110" s="24">
        <v>7.3080829999999999</v>
      </c>
      <c r="M110" s="24">
        <v>11.8988</v>
      </c>
      <c r="N110" s="24">
        <v>3.0273126066818006</v>
      </c>
      <c r="O110" s="24">
        <v>8.9</v>
      </c>
      <c r="P110" s="24">
        <v>2.657534246575342</v>
      </c>
      <c r="Q110" s="24">
        <v>6.8795534396837335</v>
      </c>
      <c r="R110" s="24">
        <v>4.96</v>
      </c>
      <c r="S110" s="24">
        <v>5.4502909196640417</v>
      </c>
      <c r="T110" s="21">
        <v>1</v>
      </c>
      <c r="U110" s="21" t="s">
        <v>141</v>
      </c>
      <c r="V110" s="70">
        <v>-2.7890741364677309E-2</v>
      </c>
      <c r="W110" s="70">
        <v>3.2109258635322692E-2</v>
      </c>
      <c r="X110" s="24">
        <v>0.74009928751761833</v>
      </c>
      <c r="Y110" s="24" t="s">
        <v>1904</v>
      </c>
      <c r="Z110" s="75">
        <v>23392.34</v>
      </c>
      <c r="AA110" t="s">
        <v>1415</v>
      </c>
      <c r="AB110" s="24">
        <v>2.0659722222222223</v>
      </c>
    </row>
    <row r="111" spans="1:28" x14ac:dyDescent="0.55000000000000004">
      <c r="A111" s="24" t="s">
        <v>326</v>
      </c>
      <c r="B111" s="24" t="s">
        <v>1014</v>
      </c>
      <c r="C111" s="24" t="s">
        <v>127</v>
      </c>
      <c r="D111" s="24" t="s">
        <v>72</v>
      </c>
      <c r="E111" s="24" t="s">
        <v>88</v>
      </c>
      <c r="F111" s="70">
        <v>2.0987812382037485E-3</v>
      </c>
      <c r="G111" s="24">
        <v>8.0848460000000006</v>
      </c>
      <c r="H111" s="24">
        <v>6.411276</v>
      </c>
      <c r="I111" s="24">
        <v>3.8389530000000001</v>
      </c>
      <c r="J111" s="24">
        <v>6.1116910000000004</v>
      </c>
      <c r="K111" s="24">
        <v>1.0017050000000001</v>
      </c>
      <c r="L111" s="24">
        <v>3.1518679999999999</v>
      </c>
      <c r="M111" s="24">
        <v>195.9391</v>
      </c>
      <c r="N111" s="24">
        <v>7.1792529674668266</v>
      </c>
      <c r="O111" s="24">
        <v>9.1</v>
      </c>
      <c r="P111" s="24">
        <v>8.0821917808219172</v>
      </c>
      <c r="Q111" s="24">
        <v>2.1756362927698434</v>
      </c>
      <c r="R111" s="24">
        <v>3.85</v>
      </c>
      <c r="S111" s="24">
        <v>4.6704102184595442</v>
      </c>
      <c r="T111" s="21">
        <v>1</v>
      </c>
      <c r="U111" s="21" t="s">
        <v>141</v>
      </c>
      <c r="V111" s="70">
        <v>-2.7901603251048318E-2</v>
      </c>
      <c r="W111" s="70">
        <v>3.209839674895168E-2</v>
      </c>
      <c r="X111" s="24">
        <v>0.5704520766168959</v>
      </c>
      <c r="Y111" s="24" t="s">
        <v>1653</v>
      </c>
      <c r="Z111" s="75">
        <v>22300.49</v>
      </c>
      <c r="AA111" t="s">
        <v>1415</v>
      </c>
      <c r="AB111" s="24">
        <v>1.9618055555555556</v>
      </c>
    </row>
    <row r="112" spans="1:28" x14ac:dyDescent="0.55000000000000004">
      <c r="A112" s="24" t="s">
        <v>323</v>
      </c>
      <c r="B112" s="24" t="s">
        <v>1007</v>
      </c>
      <c r="C112" s="24" t="s">
        <v>125</v>
      </c>
      <c r="D112" s="24" t="s">
        <v>72</v>
      </c>
      <c r="E112" s="24" t="s">
        <v>87</v>
      </c>
      <c r="F112" s="70">
        <v>2.087341338370876E-3</v>
      </c>
      <c r="G112" s="24">
        <v>6.1665020000000004</v>
      </c>
      <c r="H112" s="24">
        <v>5.0787810000000002</v>
      </c>
      <c r="I112" s="24">
        <v>6.4452100000000003</v>
      </c>
      <c r="J112" s="24">
        <v>5.9237989999999998</v>
      </c>
      <c r="K112" s="24">
        <v>2.1791580000000002</v>
      </c>
      <c r="L112" s="24">
        <v>5.1533749999999996</v>
      </c>
      <c r="M112" s="24">
        <v>78.885099999999994</v>
      </c>
      <c r="N112" s="24">
        <v>3.6900060797836649</v>
      </c>
      <c r="O112" s="24">
        <v>3.3</v>
      </c>
      <c r="P112" s="24">
        <v>1.3807531380753142</v>
      </c>
      <c r="Q112" s="24">
        <v>4.7133724309187937</v>
      </c>
      <c r="R112" s="24">
        <v>4.08</v>
      </c>
      <c r="S112" s="24">
        <v>3.3587368623842493</v>
      </c>
      <c r="T112" s="21">
        <v>1</v>
      </c>
      <c r="U112" s="21" t="s">
        <v>141</v>
      </c>
      <c r="V112" s="70">
        <v>-2.7912605252050488E-2</v>
      </c>
      <c r="W112" s="70">
        <v>3.2087394747949513E-2</v>
      </c>
      <c r="X112" s="24">
        <v>0.54969267464473959</v>
      </c>
      <c r="Y112" s="24" t="s">
        <v>1903</v>
      </c>
      <c r="Z112" s="75">
        <v>21900.41</v>
      </c>
      <c r="AA112" t="s">
        <v>1415</v>
      </c>
      <c r="AB112" s="24">
        <v>1.9182948490230904</v>
      </c>
    </row>
    <row r="113" spans="1:28" x14ac:dyDescent="0.55000000000000004">
      <c r="A113" s="24" t="s">
        <v>335</v>
      </c>
      <c r="B113" s="24" t="s">
        <v>1324</v>
      </c>
      <c r="C113" s="24" t="s">
        <v>106</v>
      </c>
      <c r="D113" s="24" t="s">
        <v>72</v>
      </c>
      <c r="E113" s="24" t="s">
        <v>90</v>
      </c>
      <c r="F113" s="70">
        <v>2.0844905466445782E-3</v>
      </c>
      <c r="G113" s="24">
        <v>5.7330379999999996</v>
      </c>
      <c r="H113" s="24">
        <v>5.3489420000000001</v>
      </c>
      <c r="I113" s="24">
        <v>3.9626350000000001</v>
      </c>
      <c r="J113" s="24">
        <v>4.9789630000000002</v>
      </c>
      <c r="K113" s="24">
        <v>2.4085190000000001</v>
      </c>
      <c r="L113" s="24">
        <v>7.9353579999999999</v>
      </c>
      <c r="M113" s="24">
        <v>0.98941999999999997</v>
      </c>
      <c r="N113" s="24">
        <v>1.2809354390896166</v>
      </c>
      <c r="O113" s="24">
        <v>0.3</v>
      </c>
      <c r="P113" s="24">
        <v>6.1111114097969264</v>
      </c>
      <c r="Q113" s="24">
        <v>4.1120968877622879</v>
      </c>
      <c r="R113" s="24">
        <v>2.78</v>
      </c>
      <c r="S113" s="24">
        <v>2.9653995584104926</v>
      </c>
      <c r="T113" s="21">
        <v>1</v>
      </c>
      <c r="U113" s="21" t="s">
        <v>141</v>
      </c>
      <c r="V113" s="70">
        <v>-2.7915893942607489E-2</v>
      </c>
      <c r="W113" s="70">
        <v>3.2084106057392509E-2</v>
      </c>
      <c r="X113" s="24">
        <v>1.8789795457143847</v>
      </c>
      <c r="Y113" s="24" t="s">
        <v>1785</v>
      </c>
      <c r="Z113" s="75">
        <v>22959.55</v>
      </c>
      <c r="AA113" t="s">
        <v>1415</v>
      </c>
      <c r="AB113" s="24">
        <v>1.9316239316239316</v>
      </c>
    </row>
    <row r="114" spans="1:28" x14ac:dyDescent="0.55000000000000004">
      <c r="A114" s="24" t="s">
        <v>295</v>
      </c>
      <c r="B114" s="24" t="s">
        <v>1289</v>
      </c>
      <c r="C114" s="24" t="s">
        <v>125</v>
      </c>
      <c r="D114" s="24" t="s">
        <v>72</v>
      </c>
      <c r="E114" s="24" t="s">
        <v>87</v>
      </c>
      <c r="F114" s="70">
        <v>2.0617419354575246E-3</v>
      </c>
      <c r="G114" s="24">
        <v>0</v>
      </c>
      <c r="H114" s="24">
        <v>7.3284130000000003</v>
      </c>
      <c r="I114" s="24">
        <v>0</v>
      </c>
      <c r="J114" s="24">
        <v>2.4428049999999999</v>
      </c>
      <c r="K114" s="24">
        <v>2.0353150000000002</v>
      </c>
      <c r="L114" s="24">
        <v>3.1685289999999999</v>
      </c>
      <c r="M114" s="24">
        <v>762.8057</v>
      </c>
      <c r="N114" s="24">
        <v>6.6278829574949949</v>
      </c>
      <c r="O114" s="24">
        <v>9.8000000000000007</v>
      </c>
      <c r="P114" s="24">
        <v>0</v>
      </c>
      <c r="Q114" s="24">
        <v>3.0251323506102397</v>
      </c>
      <c r="R114" s="24">
        <v>3.05</v>
      </c>
      <c r="S114" s="24">
        <v>2.0199099618166505</v>
      </c>
      <c r="T114" s="21">
        <v>1</v>
      </c>
      <c r="U114" s="21" t="s">
        <v>141</v>
      </c>
      <c r="V114" s="70">
        <v>-2.7938642553794545E-2</v>
      </c>
      <c r="W114" s="70">
        <v>3.2061357446205453E-2</v>
      </c>
      <c r="X114" s="24">
        <v>0.73173765766845167</v>
      </c>
      <c r="Y114" s="24" t="s">
        <v>1579</v>
      </c>
      <c r="Z114" s="75">
        <v>21363.27</v>
      </c>
      <c r="AA114" t="s">
        <v>1415</v>
      </c>
      <c r="AB114" s="24">
        <v>1.4209591474245116</v>
      </c>
    </row>
    <row r="115" spans="1:28" x14ac:dyDescent="0.55000000000000004">
      <c r="A115" s="24" t="s">
        <v>325</v>
      </c>
      <c r="B115" s="24" t="s">
        <v>1166</v>
      </c>
      <c r="C115" s="24" t="s">
        <v>105</v>
      </c>
      <c r="D115" s="24" t="s">
        <v>72</v>
      </c>
      <c r="E115" s="24" t="s">
        <v>82</v>
      </c>
      <c r="F115" s="70">
        <v>2.013838744702701E-3</v>
      </c>
      <c r="G115" s="24">
        <v>7.2647000000000004</v>
      </c>
      <c r="H115" s="24">
        <v>6.1181960000000002</v>
      </c>
      <c r="I115" s="24">
        <v>6.6697480000000002</v>
      </c>
      <c r="J115" s="24">
        <v>6.6551900000000002</v>
      </c>
      <c r="K115" s="24">
        <v>7.4828999999999999</v>
      </c>
      <c r="L115" s="24">
        <v>12.334899999999999</v>
      </c>
      <c r="M115" s="24">
        <v>0.96677999999999997</v>
      </c>
      <c r="N115" s="24">
        <v>4.1830891009665025</v>
      </c>
      <c r="O115" s="24">
        <v>4.5999999999999996</v>
      </c>
      <c r="P115" s="24">
        <v>6.8817211700775456</v>
      </c>
      <c r="Q115" s="24">
        <v>4.5275313336149852</v>
      </c>
      <c r="R115" s="24">
        <v>5.58</v>
      </c>
      <c r="S115" s="24">
        <v>5.6044511554150391</v>
      </c>
      <c r="T115" s="21">
        <v>1</v>
      </c>
      <c r="U115" s="21" t="s">
        <v>141</v>
      </c>
      <c r="V115" s="70">
        <v>-2.7986545744549368E-2</v>
      </c>
      <c r="W115" s="70">
        <v>3.201345425545063E-2</v>
      </c>
      <c r="X115" s="24">
        <v>1.2740749939151352</v>
      </c>
      <c r="Y115" s="24" t="s">
        <v>1966</v>
      </c>
      <c r="Z115" s="75">
        <v>20885.04</v>
      </c>
      <c r="AA115" t="s">
        <v>1415</v>
      </c>
      <c r="AB115" s="24">
        <v>1.7606837606837609</v>
      </c>
    </row>
    <row r="116" spans="1:28" x14ac:dyDescent="0.55000000000000004">
      <c r="A116" s="24" t="s">
        <v>329</v>
      </c>
      <c r="B116" s="24" t="s">
        <v>1018</v>
      </c>
      <c r="C116" s="24" t="s">
        <v>112</v>
      </c>
      <c r="D116" s="24" t="s">
        <v>72</v>
      </c>
      <c r="E116" s="24" t="s">
        <v>99</v>
      </c>
      <c r="F116" s="70">
        <v>1.9918347426983642E-3</v>
      </c>
      <c r="G116" s="24">
        <v>4.3707729999999998</v>
      </c>
      <c r="H116" s="24">
        <v>3.596975</v>
      </c>
      <c r="I116" s="24">
        <v>4.4140100000000002</v>
      </c>
      <c r="J116" s="24">
        <v>4.2246610000000002</v>
      </c>
      <c r="K116" s="24">
        <v>3.3414929999999998</v>
      </c>
      <c r="L116" s="24">
        <v>6.7535949999999998</v>
      </c>
      <c r="M116" s="24">
        <v>3643.3130000000001</v>
      </c>
      <c r="N116" s="24">
        <v>4.4669751486703184</v>
      </c>
      <c r="O116" s="24">
        <v>0.8</v>
      </c>
      <c r="P116" s="24">
        <v>4.1121495327102799</v>
      </c>
      <c r="Q116" s="24">
        <v>8.5543522783022468</v>
      </c>
      <c r="R116" s="24">
        <v>3.96</v>
      </c>
      <c r="S116" s="24">
        <v>4.2459012113688299</v>
      </c>
      <c r="T116" s="21">
        <v>1</v>
      </c>
      <c r="U116" s="21" t="s">
        <v>141</v>
      </c>
      <c r="V116" s="70">
        <v>-2.8008549746553705E-2</v>
      </c>
      <c r="W116" s="70">
        <v>3.1991450253446296E-2</v>
      </c>
      <c r="X116" s="24">
        <v>0.81580290858797777</v>
      </c>
      <c r="Y116" s="24" t="s">
        <v>1605</v>
      </c>
      <c r="Z116" s="75">
        <v>23249.41</v>
      </c>
      <c r="AA116" t="s">
        <v>1415</v>
      </c>
      <c r="AB116" s="24">
        <v>1.5798922800718131</v>
      </c>
    </row>
    <row r="117" spans="1:28" x14ac:dyDescent="0.55000000000000004">
      <c r="A117" s="24" t="s">
        <v>360</v>
      </c>
      <c r="B117" s="24" t="s">
        <v>996</v>
      </c>
      <c r="C117" s="24" t="s">
        <v>112</v>
      </c>
      <c r="D117" s="24" t="s">
        <v>72</v>
      </c>
      <c r="E117" s="24" t="s">
        <v>92</v>
      </c>
      <c r="F117" s="70">
        <v>1.980885435421912E-3</v>
      </c>
      <c r="G117" s="24">
        <v>7.3193729999999997</v>
      </c>
      <c r="H117" s="24">
        <v>6.5880520000000002</v>
      </c>
      <c r="I117" s="24">
        <v>6.4955679999999996</v>
      </c>
      <c r="J117" s="24">
        <v>6.8528349999999998</v>
      </c>
      <c r="K117" s="24">
        <v>0.19007370000000001</v>
      </c>
      <c r="L117" s="24">
        <v>2.870368</v>
      </c>
      <c r="M117" s="24">
        <v>21.000399999999999</v>
      </c>
      <c r="N117" s="24">
        <v>5.7721235017425885</v>
      </c>
      <c r="O117" s="24">
        <v>9.6999999999999993</v>
      </c>
      <c r="P117" s="24">
        <v>2.5853658536585367</v>
      </c>
      <c r="Q117" s="24">
        <v>0.90190350751758841</v>
      </c>
      <c r="R117" s="24">
        <v>2.1</v>
      </c>
      <c r="S117" s="24">
        <v>1.8732255187678097</v>
      </c>
      <c r="T117" s="21">
        <v>1</v>
      </c>
      <c r="U117" s="21" t="s">
        <v>141</v>
      </c>
      <c r="V117" s="70">
        <v>-2.8018730075326018E-2</v>
      </c>
      <c r="W117" s="70">
        <v>3.1981269924673983E-2</v>
      </c>
      <c r="X117" s="24">
        <v>2.5217589283741795</v>
      </c>
      <c r="Y117" s="24" t="s">
        <v>1630</v>
      </c>
      <c r="Z117" s="75">
        <v>20903.59</v>
      </c>
      <c r="AA117" t="s">
        <v>1415</v>
      </c>
      <c r="AB117" s="24">
        <v>2.7865612648221343</v>
      </c>
    </row>
    <row r="118" spans="1:28" x14ac:dyDescent="0.55000000000000004">
      <c r="A118" s="24" t="s">
        <v>352</v>
      </c>
      <c r="B118" s="24" t="s">
        <v>1333</v>
      </c>
      <c r="C118" s="24" t="s">
        <v>177</v>
      </c>
      <c r="D118" s="24" t="s">
        <v>72</v>
      </c>
      <c r="E118" s="24" t="s">
        <v>90</v>
      </c>
      <c r="F118" s="70">
        <v>1.9760978679819012E-3</v>
      </c>
      <c r="G118" s="24">
        <v>3.5780280000000002</v>
      </c>
      <c r="H118" s="24">
        <v>7.9558020000000003</v>
      </c>
      <c r="I118" s="24">
        <v>6.0667730000000004</v>
      </c>
      <c r="J118" s="24">
        <v>5.9813090000000004</v>
      </c>
      <c r="K118" s="24">
        <v>4.3834520000000001</v>
      </c>
      <c r="L118" s="24">
        <v>6.0612209999999997</v>
      </c>
      <c r="M118" s="24">
        <v>0.41732999999999998</v>
      </c>
      <c r="N118" s="24">
        <v>1.1331352489979492</v>
      </c>
      <c r="O118" s="24">
        <v>1.6</v>
      </c>
      <c r="P118" s="24">
        <v>6.1827963637415451</v>
      </c>
      <c r="Q118" s="24">
        <v>2.2813688212927756</v>
      </c>
      <c r="R118" s="24">
        <v>3.24</v>
      </c>
      <c r="S118" s="24">
        <v>3.5031730687221918</v>
      </c>
      <c r="T118" s="21">
        <v>1</v>
      </c>
      <c r="U118" s="21" t="s">
        <v>141</v>
      </c>
      <c r="V118" s="70">
        <v>-2.8024286621270166E-2</v>
      </c>
      <c r="W118" s="70">
        <v>3.1975713378729828E-2</v>
      </c>
      <c r="X118" s="24">
        <v>0.57044032967754721</v>
      </c>
      <c r="Y118" s="24" t="s">
        <v>1697</v>
      </c>
      <c r="Z118" s="75">
        <v>20922.849999999999</v>
      </c>
      <c r="AA118" t="s">
        <v>1415</v>
      </c>
      <c r="AB118" s="24">
        <v>2.2222222222222223</v>
      </c>
    </row>
    <row r="119" spans="1:28" x14ac:dyDescent="0.55000000000000004">
      <c r="A119" s="24" t="s">
        <v>330</v>
      </c>
      <c r="B119" s="24" t="s">
        <v>1006</v>
      </c>
      <c r="C119" s="24" t="s">
        <v>110</v>
      </c>
      <c r="D119" s="24" t="s">
        <v>72</v>
      </c>
      <c r="E119" s="24" t="s">
        <v>90</v>
      </c>
      <c r="F119" s="70">
        <v>1.9630093666951477E-3</v>
      </c>
      <c r="G119" s="24">
        <v>0</v>
      </c>
      <c r="H119" s="24">
        <v>7.9919440000000002</v>
      </c>
      <c r="I119" s="24">
        <v>0</v>
      </c>
      <c r="J119" s="24">
        <v>2.79718</v>
      </c>
      <c r="K119" s="24">
        <v>5.0396599999999996</v>
      </c>
      <c r="L119" s="24">
        <v>7.1568690000000004</v>
      </c>
      <c r="M119" s="24">
        <v>2.2755000000000001</v>
      </c>
      <c r="N119" s="24">
        <v>4.8327224946252283</v>
      </c>
      <c r="O119" s="24">
        <v>4.8</v>
      </c>
      <c r="P119" s="24">
        <v>3.9784950514510813</v>
      </c>
      <c r="Q119" s="24">
        <v>1.9983100971694132</v>
      </c>
      <c r="R119" s="24">
        <v>5.65</v>
      </c>
      <c r="S119" s="24">
        <v>4.0547344129133487</v>
      </c>
      <c r="T119" s="21">
        <v>1</v>
      </c>
      <c r="U119" s="21" t="s">
        <v>141</v>
      </c>
      <c r="V119" s="70">
        <v>-2.8037056068262498E-2</v>
      </c>
      <c r="W119" s="70">
        <v>3.19629439317375E-2</v>
      </c>
      <c r="X119" s="24">
        <v>0.73520227186635789</v>
      </c>
      <c r="Y119" s="24" t="s">
        <v>1547</v>
      </c>
      <c r="Z119" s="75">
        <v>21508.639999999999</v>
      </c>
      <c r="AA119" t="s">
        <v>1415</v>
      </c>
      <c r="AB119" s="24">
        <v>1.8461538461538463</v>
      </c>
    </row>
    <row r="120" spans="1:28" x14ac:dyDescent="0.55000000000000004">
      <c r="A120" s="24" t="s">
        <v>341</v>
      </c>
      <c r="B120" s="24" t="s">
        <v>1119</v>
      </c>
      <c r="C120" s="24" t="s">
        <v>105</v>
      </c>
      <c r="D120" s="24" t="s">
        <v>72</v>
      </c>
      <c r="E120" s="24" t="s">
        <v>89</v>
      </c>
      <c r="F120" s="70">
        <v>1.9449678989277382E-3</v>
      </c>
      <c r="G120" s="24">
        <v>6.8747749999999996</v>
      </c>
      <c r="H120" s="24">
        <v>5.846984</v>
      </c>
      <c r="I120" s="24">
        <v>6.6009799999999998</v>
      </c>
      <c r="J120" s="24">
        <v>6.484299</v>
      </c>
      <c r="K120" s="24">
        <v>2.516111</v>
      </c>
      <c r="L120" s="24">
        <v>4.9856290000000003</v>
      </c>
      <c r="M120" s="24">
        <v>44.200800000000001</v>
      </c>
      <c r="N120" s="24">
        <v>2.8593039611279898</v>
      </c>
      <c r="O120" s="24">
        <v>2.4</v>
      </c>
      <c r="P120" s="24">
        <v>5.5255255255255245</v>
      </c>
      <c r="Q120" s="24">
        <v>5.1298517042939364</v>
      </c>
      <c r="R120" s="24">
        <v>4.58</v>
      </c>
      <c r="S120" s="24">
        <v>4.0129328959515069</v>
      </c>
      <c r="T120" s="21">
        <v>1</v>
      </c>
      <c r="U120" s="21" t="s">
        <v>141</v>
      </c>
      <c r="V120" s="70">
        <v>-2.8055400075937265E-2</v>
      </c>
      <c r="W120" s="70">
        <v>3.1944599924062733E-2</v>
      </c>
      <c r="X120" s="24">
        <v>1.5435988309261914</v>
      </c>
      <c r="Y120" s="24" t="s">
        <v>1972</v>
      </c>
      <c r="Z120" s="75">
        <v>21575.22</v>
      </c>
      <c r="AA120" t="s">
        <v>1415</v>
      </c>
      <c r="AB120" s="24">
        <v>2.0069204152249136</v>
      </c>
    </row>
    <row r="121" spans="1:28" x14ac:dyDescent="0.55000000000000004">
      <c r="A121" s="24" t="s">
        <v>324</v>
      </c>
      <c r="B121" s="24" t="s">
        <v>964</v>
      </c>
      <c r="C121" s="24" t="s">
        <v>112</v>
      </c>
      <c r="D121" s="24" t="s">
        <v>72</v>
      </c>
      <c r="E121" s="24" t="s">
        <v>89</v>
      </c>
      <c r="F121" s="70">
        <v>1.9420016236383912E-3</v>
      </c>
      <c r="G121" s="24">
        <v>5.5294150000000002</v>
      </c>
      <c r="H121" s="24">
        <v>6.1707929999999998</v>
      </c>
      <c r="I121" s="24">
        <v>6.2253449999999999</v>
      </c>
      <c r="J121" s="24">
        <v>5.9306070000000002</v>
      </c>
      <c r="K121" s="24">
        <v>1.581469</v>
      </c>
      <c r="L121" s="24">
        <v>7.6254520000000001</v>
      </c>
      <c r="M121" s="24">
        <v>79.689099999999996</v>
      </c>
      <c r="N121" s="24">
        <v>9.4056628741879038</v>
      </c>
      <c r="O121" s="24">
        <v>9.5</v>
      </c>
      <c r="P121" s="24">
        <v>6.2762762762762749</v>
      </c>
      <c r="Q121" s="24">
        <v>3.0640405046480748</v>
      </c>
      <c r="R121" s="24">
        <v>5.14</v>
      </c>
      <c r="S121" s="24">
        <v>5.921412793375767</v>
      </c>
      <c r="T121" s="21">
        <v>1</v>
      </c>
      <c r="U121" s="21" t="s">
        <v>141</v>
      </c>
      <c r="V121" s="70">
        <v>-2.8057613887109537E-2</v>
      </c>
      <c r="W121" s="70">
        <v>3.1942386112890457E-2</v>
      </c>
      <c r="X121" s="24">
        <v>0.85876411321066004</v>
      </c>
      <c r="Y121" s="24" t="s">
        <v>1604</v>
      </c>
      <c r="Z121" s="75">
        <v>21118.27</v>
      </c>
      <c r="AA121" t="s">
        <v>1415</v>
      </c>
      <c r="AB121" s="24">
        <v>1.7128027681660898</v>
      </c>
    </row>
    <row r="122" spans="1:28" x14ac:dyDescent="0.55000000000000004">
      <c r="A122" s="24" t="s">
        <v>331</v>
      </c>
      <c r="B122" s="24" t="s">
        <v>835</v>
      </c>
      <c r="C122" s="24" t="s">
        <v>107</v>
      </c>
      <c r="D122" s="24" t="s">
        <v>72</v>
      </c>
      <c r="E122" s="24" t="s">
        <v>99</v>
      </c>
      <c r="F122" s="70">
        <v>1.9349027932306514E-3</v>
      </c>
      <c r="G122" s="24">
        <v>6.1002970000000003</v>
      </c>
      <c r="H122" s="24">
        <v>5.9061690000000002</v>
      </c>
      <c r="I122" s="24">
        <v>6.7963060000000004</v>
      </c>
      <c r="J122" s="24">
        <v>6.2006740000000002</v>
      </c>
      <c r="K122" s="24">
        <v>4.7312640000000004</v>
      </c>
      <c r="L122" s="24">
        <v>7.171449</v>
      </c>
      <c r="M122" s="24">
        <v>1074.3489999999999</v>
      </c>
      <c r="N122" s="24">
        <v>8.7630354851639058</v>
      </c>
      <c r="O122" s="24">
        <v>2.4</v>
      </c>
      <c r="P122" s="24">
        <v>4.7352024922118376</v>
      </c>
      <c r="Q122" s="24">
        <v>5.632153581666925</v>
      </c>
      <c r="R122" s="24">
        <v>7.03</v>
      </c>
      <c r="S122" s="24">
        <v>6.123278523815304</v>
      </c>
      <c r="T122" s="21">
        <v>1</v>
      </c>
      <c r="U122" s="21" t="s">
        <v>141</v>
      </c>
      <c r="V122" s="70">
        <v>-2.8064739716922641E-2</v>
      </c>
      <c r="W122" s="70">
        <v>3.193526028307736E-2</v>
      </c>
      <c r="X122" s="24">
        <v>0.97529836446915652</v>
      </c>
      <c r="Y122" s="24" t="s">
        <v>1724</v>
      </c>
      <c r="Z122" s="75">
        <v>18429.59</v>
      </c>
      <c r="AA122" t="s">
        <v>1415</v>
      </c>
      <c r="AB122" s="24">
        <v>1.6157989228007179</v>
      </c>
    </row>
    <row r="123" spans="1:28" x14ac:dyDescent="0.55000000000000004">
      <c r="A123" s="24" t="s">
        <v>348</v>
      </c>
      <c r="B123" s="24" t="s">
        <v>1351</v>
      </c>
      <c r="C123" s="24" t="s">
        <v>177</v>
      </c>
      <c r="D123" s="24" t="s">
        <v>72</v>
      </c>
      <c r="E123" s="24" t="s">
        <v>89</v>
      </c>
      <c r="F123" s="70">
        <v>1.9176000094740572E-3</v>
      </c>
      <c r="G123" s="24">
        <v>7.2014440000000004</v>
      </c>
      <c r="H123" s="24">
        <v>5.1681179999999998</v>
      </c>
      <c r="I123" s="24">
        <v>4.8883869999999998</v>
      </c>
      <c r="J123" s="24">
        <v>5.8975289999999996</v>
      </c>
      <c r="K123" s="24">
        <v>3.4257770000000001</v>
      </c>
      <c r="L123" s="24">
        <v>4.4079119999999996</v>
      </c>
      <c r="M123" s="24">
        <v>14.5709</v>
      </c>
      <c r="N123" s="24">
        <v>2.3125142722059966</v>
      </c>
      <c r="O123" s="24">
        <v>2.5</v>
      </c>
      <c r="P123" s="24">
        <v>8.7687687687687674</v>
      </c>
      <c r="Q123" s="24">
        <v>2.9834362549800804</v>
      </c>
      <c r="R123" s="24">
        <v>6.76</v>
      </c>
      <c r="S123" s="24">
        <v>3.9470308041580462</v>
      </c>
      <c r="T123" s="21">
        <v>1</v>
      </c>
      <c r="U123" s="21" t="s">
        <v>141</v>
      </c>
      <c r="V123" s="70">
        <v>-2.8082784479778012E-2</v>
      </c>
      <c r="W123" s="70">
        <v>3.1917215520221989E-2</v>
      </c>
      <c r="X123" s="24">
        <v>0.81922212300672015</v>
      </c>
      <c r="Y123" s="24" t="s">
        <v>1692</v>
      </c>
      <c r="Z123" s="75">
        <v>17512.759999999998</v>
      </c>
      <c r="AA123" t="s">
        <v>1415</v>
      </c>
      <c r="AB123" s="24">
        <v>2.1280276816608996</v>
      </c>
    </row>
    <row r="124" spans="1:28" x14ac:dyDescent="0.55000000000000004">
      <c r="A124" s="24" t="s">
        <v>333</v>
      </c>
      <c r="B124" s="24" t="s">
        <v>836</v>
      </c>
      <c r="C124" s="24" t="s">
        <v>107</v>
      </c>
      <c r="D124" s="24" t="s">
        <v>72</v>
      </c>
      <c r="E124" s="24" t="s">
        <v>97</v>
      </c>
      <c r="F124" s="70">
        <v>1.9095133936187384E-3</v>
      </c>
      <c r="G124" s="24">
        <v>6.3069249999999997</v>
      </c>
      <c r="H124" s="24">
        <v>5.2426050000000002</v>
      </c>
      <c r="I124" s="24">
        <v>5.8224070000000001</v>
      </c>
      <c r="J124" s="24">
        <v>5.7906459999999997</v>
      </c>
      <c r="K124" s="24">
        <v>7.2662300000000002</v>
      </c>
      <c r="L124" s="24">
        <v>10.34357</v>
      </c>
      <c r="M124" s="24">
        <v>34.255099999999999</v>
      </c>
      <c r="N124" s="24">
        <v>3.0362535929756134</v>
      </c>
      <c r="O124" s="24">
        <v>0.2</v>
      </c>
      <c r="P124" s="24">
        <v>4.5488721804511272</v>
      </c>
      <c r="Q124" s="24">
        <v>10</v>
      </c>
      <c r="R124" s="24">
        <v>7.82</v>
      </c>
      <c r="S124" s="24">
        <v>6.4813095620522896</v>
      </c>
      <c r="T124" s="21">
        <v>1</v>
      </c>
      <c r="U124" s="21" t="s">
        <v>141</v>
      </c>
      <c r="V124" s="70">
        <v>-2.8090871095633331E-2</v>
      </c>
      <c r="W124" s="70">
        <v>3.1909128904366667E-2</v>
      </c>
      <c r="X124" s="24">
        <v>2.0480366281757333E-2</v>
      </c>
      <c r="Y124" s="24" t="s">
        <v>1734</v>
      </c>
      <c r="Z124" s="75">
        <v>19693.849999999999</v>
      </c>
      <c r="AA124" t="s">
        <v>1415</v>
      </c>
      <c r="AB124" s="24">
        <v>1.786339754816112</v>
      </c>
    </row>
    <row r="125" spans="1:28" x14ac:dyDescent="0.55000000000000004">
      <c r="A125" s="24" t="s">
        <v>337</v>
      </c>
      <c r="B125" s="24" t="s">
        <v>1126</v>
      </c>
      <c r="C125" s="24" t="s">
        <v>177</v>
      </c>
      <c r="D125" s="24" t="s">
        <v>72</v>
      </c>
      <c r="E125" s="24" t="s">
        <v>97</v>
      </c>
      <c r="F125" s="70">
        <v>1.9012662970860174E-3</v>
      </c>
      <c r="G125" s="24">
        <v>6.271852</v>
      </c>
      <c r="H125" s="24">
        <v>6.3773229999999996</v>
      </c>
      <c r="I125" s="24">
        <v>7.4698390000000003</v>
      </c>
      <c r="J125" s="24">
        <v>6.6628889999999998</v>
      </c>
      <c r="K125" s="24">
        <v>3.5685229999999999</v>
      </c>
      <c r="L125" s="24">
        <v>10.99301</v>
      </c>
      <c r="M125" s="24">
        <v>22.5916</v>
      </c>
      <c r="N125" s="24">
        <v>3.1842886293481194</v>
      </c>
      <c r="O125" s="24">
        <v>2.2000000000000002</v>
      </c>
      <c r="P125" s="24">
        <v>7.1428571428571432</v>
      </c>
      <c r="Q125" s="24">
        <v>8.1739944220245349</v>
      </c>
      <c r="R125" s="24">
        <v>5.01</v>
      </c>
      <c r="S125" s="24">
        <v>6.5564235167796561</v>
      </c>
      <c r="T125" s="21">
        <v>1</v>
      </c>
      <c r="U125" s="21" t="s">
        <v>117</v>
      </c>
      <c r="V125" s="70">
        <v>-2.8098349213661913E-2</v>
      </c>
      <c r="W125" s="70">
        <v>3.1901650786338089E-2</v>
      </c>
      <c r="X125" s="24">
        <v>1.0071214685786001</v>
      </c>
      <c r="Y125" s="24" t="s">
        <v>1444</v>
      </c>
      <c r="Z125" s="75">
        <v>20437.57</v>
      </c>
      <c r="AA125" t="s">
        <v>1415</v>
      </c>
      <c r="AB125" s="24">
        <v>1.8563922942206654</v>
      </c>
    </row>
    <row r="126" spans="1:28" x14ac:dyDescent="0.55000000000000004">
      <c r="A126" s="24" t="s">
        <v>340</v>
      </c>
      <c r="B126" s="24" t="s">
        <v>1027</v>
      </c>
      <c r="C126" s="24" t="s">
        <v>106</v>
      </c>
      <c r="D126" s="24" t="s">
        <v>72</v>
      </c>
      <c r="E126" s="24" t="s">
        <v>97</v>
      </c>
      <c r="F126" s="70">
        <v>1.9011825756560586E-3</v>
      </c>
      <c r="G126" s="24">
        <v>5.8250099999999998</v>
      </c>
      <c r="H126" s="24">
        <v>5.2753519999999998</v>
      </c>
      <c r="I126" s="24">
        <v>5.703195</v>
      </c>
      <c r="J126" s="24">
        <v>5.6011850000000001</v>
      </c>
      <c r="K126" s="24">
        <v>5.7903390000000003</v>
      </c>
      <c r="L126" s="24">
        <v>9.9842610000000001</v>
      </c>
      <c r="M126" s="24">
        <v>67.831500000000005</v>
      </c>
      <c r="N126" s="24">
        <v>3.3383671698871802</v>
      </c>
      <c r="O126" s="24">
        <v>4.5</v>
      </c>
      <c r="P126" s="24">
        <v>2.5563909774436082</v>
      </c>
      <c r="Q126" s="24">
        <v>9.3821888608696611</v>
      </c>
      <c r="R126" s="24">
        <v>5.85</v>
      </c>
      <c r="S126" s="24">
        <v>5.7927676116889799</v>
      </c>
      <c r="T126" s="21">
        <v>1</v>
      </c>
      <c r="U126" s="21" t="s">
        <v>141</v>
      </c>
      <c r="V126" s="70">
        <v>-2.8098838614052164E-2</v>
      </c>
      <c r="W126" s="70">
        <v>3.1901161385947834E-2</v>
      </c>
      <c r="X126" s="24">
        <v>0.59601522264891693</v>
      </c>
      <c r="Y126" s="24" t="s">
        <v>1835</v>
      </c>
      <c r="Z126" s="75">
        <v>19372.8</v>
      </c>
      <c r="AA126" t="s">
        <v>1415</v>
      </c>
      <c r="AB126" s="24">
        <v>1.9089316987740808</v>
      </c>
    </row>
    <row r="127" spans="1:28" x14ac:dyDescent="0.55000000000000004">
      <c r="A127" s="24" t="s">
        <v>320</v>
      </c>
      <c r="B127" s="24" t="s">
        <v>1265</v>
      </c>
      <c r="C127" s="24" t="s">
        <v>108</v>
      </c>
      <c r="D127" s="24" t="s">
        <v>72</v>
      </c>
      <c r="E127" s="24" t="s">
        <v>92</v>
      </c>
      <c r="F127" s="70">
        <v>1.8961424545312314E-3</v>
      </c>
      <c r="G127" s="24">
        <v>8.1683439999999994</v>
      </c>
      <c r="H127" s="24">
        <v>5.2275109999999998</v>
      </c>
      <c r="I127" s="24">
        <v>7.2653780000000001</v>
      </c>
      <c r="J127" s="24">
        <v>7.3092879999999996</v>
      </c>
      <c r="K127" s="24">
        <v>10.4155</v>
      </c>
      <c r="L127" s="24">
        <v>10.34938</v>
      </c>
      <c r="M127" s="24">
        <v>155.14869999999999</v>
      </c>
      <c r="N127" s="24">
        <v>6.5221233358134212</v>
      </c>
      <c r="O127" s="24">
        <v>2.5</v>
      </c>
      <c r="P127" s="24">
        <v>10</v>
      </c>
      <c r="Q127" s="24">
        <v>7.1460666423316432</v>
      </c>
      <c r="R127" s="24">
        <v>6</v>
      </c>
      <c r="S127" s="24">
        <v>6.3436992110448056</v>
      </c>
      <c r="T127" s="21">
        <v>1</v>
      </c>
      <c r="U127" s="21" t="s">
        <v>141</v>
      </c>
      <c r="V127" s="70">
        <v>-2.8104242034720839E-2</v>
      </c>
      <c r="W127" s="70">
        <v>3.1895757965279159E-2</v>
      </c>
      <c r="X127" s="24">
        <v>0.61411778520535409</v>
      </c>
      <c r="Y127" s="24" t="s">
        <v>1937</v>
      </c>
      <c r="Z127" s="75">
        <v>18552.62</v>
      </c>
      <c r="AA127" t="s">
        <v>1415</v>
      </c>
      <c r="AB127" s="24">
        <v>1.9960474308300395</v>
      </c>
    </row>
    <row r="128" spans="1:28" x14ac:dyDescent="0.55000000000000004">
      <c r="A128" s="24" t="s">
        <v>354</v>
      </c>
      <c r="B128" s="24" t="s">
        <v>1112</v>
      </c>
      <c r="C128" s="24" t="s">
        <v>105</v>
      </c>
      <c r="D128" s="24" t="s">
        <v>72</v>
      </c>
      <c r="E128" s="24" t="s">
        <v>96</v>
      </c>
      <c r="F128" s="70">
        <v>1.881227903193048E-3</v>
      </c>
      <c r="G128" s="24">
        <v>4.2998529999999997</v>
      </c>
      <c r="H128" s="24">
        <v>3.7473830000000001</v>
      </c>
      <c r="I128" s="24">
        <v>5.2774960000000002</v>
      </c>
      <c r="J128" s="24">
        <v>4.4274050000000003</v>
      </c>
      <c r="K128" s="24">
        <v>1.4057550000000001</v>
      </c>
      <c r="L128" s="24">
        <v>3.9508899999999998</v>
      </c>
      <c r="M128" s="24">
        <v>6.5380000000000003</v>
      </c>
      <c r="N128" s="24">
        <v>4.9897954060806962</v>
      </c>
      <c r="O128" s="24">
        <v>2</v>
      </c>
      <c r="P128" s="24">
        <v>0</v>
      </c>
      <c r="Q128" s="24">
        <v>7.1617216271560489</v>
      </c>
      <c r="R128" s="24">
        <v>6.25</v>
      </c>
      <c r="S128" s="24">
        <v>4.6327908537647424</v>
      </c>
      <c r="T128" s="21">
        <v>1</v>
      </c>
      <c r="U128" s="21" t="s">
        <v>141</v>
      </c>
      <c r="V128" s="70">
        <v>-2.811838760755488E-2</v>
      </c>
      <c r="W128" s="70">
        <v>3.1881612392445115E-2</v>
      </c>
      <c r="X128" s="24">
        <v>1.6873494989121773</v>
      </c>
      <c r="Y128" s="24" t="s">
        <v>2002</v>
      </c>
      <c r="Z128" s="75">
        <v>20337.72</v>
      </c>
      <c r="AA128" t="s">
        <v>1415</v>
      </c>
      <c r="AB128" s="24">
        <v>2.4263431542461005</v>
      </c>
    </row>
    <row r="129" spans="1:28" x14ac:dyDescent="0.55000000000000004">
      <c r="A129" s="24" t="s">
        <v>334</v>
      </c>
      <c r="B129" s="24" t="s">
        <v>1378</v>
      </c>
      <c r="C129" s="24" t="s">
        <v>106</v>
      </c>
      <c r="D129" s="24" t="s">
        <v>72</v>
      </c>
      <c r="E129" s="24" t="s">
        <v>87</v>
      </c>
      <c r="F129" s="70">
        <v>1.8698579505450638E-3</v>
      </c>
      <c r="G129" s="24">
        <v>8.3460280000000004</v>
      </c>
      <c r="H129" s="24">
        <v>7.336373</v>
      </c>
      <c r="I129" s="24">
        <v>7.6246590000000003</v>
      </c>
      <c r="J129" s="24">
        <v>7.826721</v>
      </c>
      <c r="K129" s="24">
        <v>7.0493410000000001</v>
      </c>
      <c r="L129" s="24">
        <v>18.34234</v>
      </c>
      <c r="M129" s="24">
        <v>14.6953</v>
      </c>
      <c r="N129" s="24">
        <v>4.3527947495202675</v>
      </c>
      <c r="O129" s="24">
        <v>5.8</v>
      </c>
      <c r="P129" s="24">
        <v>6.98744769874477</v>
      </c>
      <c r="Q129" s="24">
        <v>7.4787340835842988</v>
      </c>
      <c r="R129" s="24">
        <v>7.1900009999999996</v>
      </c>
      <c r="S129" s="24">
        <v>8.4167670756109576</v>
      </c>
      <c r="T129" s="21">
        <v>1</v>
      </c>
      <c r="U129" s="21" t="s">
        <v>117</v>
      </c>
      <c r="V129" s="70">
        <v>-2.8130526538707006E-2</v>
      </c>
      <c r="W129" s="70">
        <v>3.1869473461292992E-2</v>
      </c>
      <c r="X129" s="24">
        <v>0.4894747225996432</v>
      </c>
      <c r="Y129" s="24" t="s">
        <v>1778</v>
      </c>
      <c r="Z129" s="75">
        <v>22291.69</v>
      </c>
      <c r="AA129" t="s">
        <v>1415</v>
      </c>
      <c r="AB129" s="24">
        <v>2.1136767317939609</v>
      </c>
    </row>
    <row r="130" spans="1:28" x14ac:dyDescent="0.55000000000000004">
      <c r="A130" s="24" t="s">
        <v>339</v>
      </c>
      <c r="B130" s="24" t="s">
        <v>1177</v>
      </c>
      <c r="C130" s="24" t="s">
        <v>105</v>
      </c>
      <c r="D130" s="24" t="s">
        <v>72</v>
      </c>
      <c r="E130" s="24" t="s">
        <v>97</v>
      </c>
      <c r="F130" s="70">
        <v>1.8688057403222298E-3</v>
      </c>
      <c r="G130" s="24">
        <v>6.1827249999999996</v>
      </c>
      <c r="H130" s="24">
        <v>4.8479950000000001</v>
      </c>
      <c r="I130" s="24">
        <v>4.0405889999999998</v>
      </c>
      <c r="J130" s="24">
        <v>5.1396649999999999</v>
      </c>
      <c r="K130" s="24">
        <v>3.5741010000000002</v>
      </c>
      <c r="L130" s="24">
        <v>0.64449160000000005</v>
      </c>
      <c r="M130" s="24">
        <v>7.8349000000000002</v>
      </c>
      <c r="N130" s="24">
        <v>0.3353474117614858</v>
      </c>
      <c r="O130" s="24">
        <v>6.7</v>
      </c>
      <c r="P130" s="24">
        <v>5.3759398496240598</v>
      </c>
      <c r="Q130" s="24">
        <v>6.1053932659935706</v>
      </c>
      <c r="R130" s="24">
        <v>3.45</v>
      </c>
      <c r="S130" s="24">
        <v>2.4045530030607778</v>
      </c>
      <c r="T130" s="21">
        <v>1</v>
      </c>
      <c r="U130" s="21" t="s">
        <v>141</v>
      </c>
      <c r="V130" s="70">
        <v>-2.8130809770425699E-2</v>
      </c>
      <c r="W130" s="70">
        <v>3.1869190229574296E-2</v>
      </c>
      <c r="X130" s="24">
        <v>1.0513829212167196</v>
      </c>
      <c r="Y130" s="24" t="s">
        <v>1960</v>
      </c>
      <c r="Z130" s="75">
        <v>18782.48</v>
      </c>
      <c r="AA130" t="s">
        <v>1415</v>
      </c>
      <c r="AB130" s="24">
        <v>1.8914185639229422</v>
      </c>
    </row>
    <row r="131" spans="1:28" x14ac:dyDescent="0.55000000000000004">
      <c r="A131" s="24" t="s">
        <v>342</v>
      </c>
      <c r="B131" s="24" t="s">
        <v>1069</v>
      </c>
      <c r="C131" s="24" t="s">
        <v>109</v>
      </c>
      <c r="D131" s="24" t="s">
        <v>72</v>
      </c>
      <c r="E131" s="24" t="s">
        <v>88</v>
      </c>
      <c r="F131" s="70">
        <v>1.8677218535683548E-3</v>
      </c>
      <c r="G131" s="24">
        <v>6.8916389999999996</v>
      </c>
      <c r="H131" s="24">
        <v>6.52949</v>
      </c>
      <c r="I131" s="24">
        <v>6.5500660000000002</v>
      </c>
      <c r="J131" s="24">
        <v>6.61015</v>
      </c>
      <c r="K131" s="24">
        <v>0.8801329</v>
      </c>
      <c r="L131" s="24">
        <v>5.6390630000000002</v>
      </c>
      <c r="M131" s="24">
        <v>7.9893000000000001</v>
      </c>
      <c r="N131" s="24">
        <v>3.1237092319736588</v>
      </c>
      <c r="O131" s="24">
        <v>9.6999999999999993</v>
      </c>
      <c r="P131" s="24">
        <v>2.1643835616438354</v>
      </c>
      <c r="Q131" s="24">
        <v>1.7116289428993012</v>
      </c>
      <c r="R131" s="24">
        <v>4.57</v>
      </c>
      <c r="S131" s="24">
        <v>4.974554781133115</v>
      </c>
      <c r="T131" s="21">
        <v>1</v>
      </c>
      <c r="U131" s="21" t="s">
        <v>141</v>
      </c>
      <c r="V131" s="70">
        <v>-2.8131893657179573E-2</v>
      </c>
      <c r="W131" s="70">
        <v>3.1868106342820425E-2</v>
      </c>
      <c r="X131" s="24">
        <v>0.54158016979994095</v>
      </c>
      <c r="Y131" s="24" t="s">
        <v>1512</v>
      </c>
      <c r="Z131" s="75">
        <v>19618.009999999998</v>
      </c>
      <c r="AA131" t="s">
        <v>1415</v>
      </c>
      <c r="AB131" s="24">
        <v>2.2395833333333335</v>
      </c>
    </row>
    <row r="132" spans="1:28" x14ac:dyDescent="0.55000000000000004">
      <c r="A132" s="24" t="s">
        <v>327</v>
      </c>
      <c r="B132" s="24" t="s">
        <v>1060</v>
      </c>
      <c r="C132" s="24" t="s">
        <v>112</v>
      </c>
      <c r="D132" s="24" t="s">
        <v>72</v>
      </c>
      <c r="E132" s="24" t="s">
        <v>88</v>
      </c>
      <c r="F132" s="70">
        <v>1.8605695449928187E-3</v>
      </c>
      <c r="G132" s="24">
        <v>5.6361739999999996</v>
      </c>
      <c r="H132" s="24">
        <v>6.9658239999999996</v>
      </c>
      <c r="I132" s="24">
        <v>6.8707440000000002</v>
      </c>
      <c r="J132" s="24">
        <v>6.6618620000000002</v>
      </c>
      <c r="K132" s="24">
        <v>1.4615629999999999</v>
      </c>
      <c r="L132" s="24">
        <v>6.1739069999999998</v>
      </c>
      <c r="M132" s="24">
        <v>96.891099999999994</v>
      </c>
      <c r="N132" s="24">
        <v>4.9736072925424128</v>
      </c>
      <c r="O132" s="24">
        <v>6.5</v>
      </c>
      <c r="P132" s="24">
        <v>5.6164383561643838</v>
      </c>
      <c r="Q132" s="24">
        <v>6.0534346724574739</v>
      </c>
      <c r="R132" s="24">
        <v>5.47</v>
      </c>
      <c r="S132" s="24">
        <v>6.1217151013009223</v>
      </c>
      <c r="T132" s="21">
        <v>1</v>
      </c>
      <c r="U132" s="21" t="s">
        <v>141</v>
      </c>
      <c r="V132" s="70">
        <v>-2.8139545917678307E-2</v>
      </c>
      <c r="W132" s="70">
        <v>3.1860454082321688E-2</v>
      </c>
      <c r="X132" s="24">
        <v>0.92849041015070355</v>
      </c>
      <c r="Y132" s="24" t="s">
        <v>1599</v>
      </c>
      <c r="Z132" s="75">
        <v>20412.11</v>
      </c>
      <c r="AA132" t="s">
        <v>1415</v>
      </c>
      <c r="AB132" s="24">
        <v>1.9791666666666665</v>
      </c>
    </row>
    <row r="133" spans="1:28" x14ac:dyDescent="0.55000000000000004">
      <c r="A133" s="24" t="s">
        <v>345</v>
      </c>
      <c r="B133" s="24" t="s">
        <v>1259</v>
      </c>
      <c r="C133" s="24" t="s">
        <v>106</v>
      </c>
      <c r="D133" s="24" t="s">
        <v>72</v>
      </c>
      <c r="E133" s="24" t="s">
        <v>82</v>
      </c>
      <c r="F133" s="70">
        <v>1.8385183108305281E-3</v>
      </c>
      <c r="G133" s="24">
        <v>6.9912089999999996</v>
      </c>
      <c r="H133" s="24">
        <v>6.1833879999999999</v>
      </c>
      <c r="I133" s="24">
        <v>6.080101</v>
      </c>
      <c r="J133" s="24">
        <v>6.3895840000000002</v>
      </c>
      <c r="K133" s="24">
        <v>2.9805250000000001</v>
      </c>
      <c r="L133" s="24">
        <v>18.12322</v>
      </c>
      <c r="M133" s="24">
        <v>6.8907999999999996</v>
      </c>
      <c r="N133" s="24">
        <v>6.359990667277299</v>
      </c>
      <c r="O133" s="24">
        <v>1.8</v>
      </c>
      <c r="P133" s="24">
        <v>2.3655916522141567</v>
      </c>
      <c r="Q133" s="24">
        <v>8.326996197718632</v>
      </c>
      <c r="R133" s="24">
        <v>3.45</v>
      </c>
      <c r="S133" s="24">
        <v>6.1268973562677491</v>
      </c>
      <c r="T133" s="21">
        <v>1</v>
      </c>
      <c r="U133" s="21" t="s">
        <v>141</v>
      </c>
      <c r="V133" s="70">
        <v>-2.8161866178421542E-2</v>
      </c>
      <c r="W133" s="70">
        <v>3.1838133821578456E-2</v>
      </c>
      <c r="X133" s="24">
        <v>1.5553005995479778</v>
      </c>
      <c r="Y133" s="24" t="s">
        <v>1776</v>
      </c>
      <c r="Z133" s="75">
        <v>20012.18</v>
      </c>
      <c r="AA133" t="s">
        <v>1415</v>
      </c>
      <c r="AB133" s="24">
        <v>2.1025641025641026</v>
      </c>
    </row>
    <row r="134" spans="1:28" x14ac:dyDescent="0.55000000000000004">
      <c r="A134" s="24" t="s">
        <v>347</v>
      </c>
      <c r="B134" s="24" t="s">
        <v>1217</v>
      </c>
      <c r="C134" s="24" t="s">
        <v>112</v>
      </c>
      <c r="D134" s="24" t="s">
        <v>72</v>
      </c>
      <c r="E134" s="24" t="s">
        <v>100</v>
      </c>
      <c r="F134" s="70">
        <v>1.7912894196793982E-3</v>
      </c>
      <c r="G134" s="24">
        <v>6.4254689999999997</v>
      </c>
      <c r="H134" s="24">
        <v>6.1523500000000002</v>
      </c>
      <c r="I134" s="24">
        <v>2.9539599999999999</v>
      </c>
      <c r="J134" s="24">
        <v>5.3020810000000003</v>
      </c>
      <c r="K134" s="24">
        <v>8.1040860000000006</v>
      </c>
      <c r="L134" s="24">
        <v>22.227319999999999</v>
      </c>
      <c r="M134" s="24">
        <v>39.715600000000002</v>
      </c>
      <c r="N134" s="24">
        <v>5.1733496845444904</v>
      </c>
      <c r="O134" s="24">
        <v>1.1000000000000001</v>
      </c>
      <c r="P134" s="24">
        <v>2.2670807453416151</v>
      </c>
      <c r="Q134" s="24">
        <v>10</v>
      </c>
      <c r="R134" s="24">
        <v>6.44</v>
      </c>
      <c r="S134" s="24">
        <v>7.3688162395169883</v>
      </c>
      <c r="T134" s="21">
        <v>1</v>
      </c>
      <c r="U134" s="21" t="s">
        <v>1410</v>
      </c>
      <c r="V134" s="70">
        <v>-2.8208894653550431E-2</v>
      </c>
      <c r="W134" s="70">
        <v>3.179110534644957E-2</v>
      </c>
      <c r="X134" s="24">
        <v>1.1955946062227287</v>
      </c>
      <c r="Y134" s="24" t="s">
        <v>1609</v>
      </c>
      <c r="Z134" s="75">
        <v>17420.87</v>
      </c>
      <c r="AA134" t="s">
        <v>1415</v>
      </c>
      <c r="AB134" s="24">
        <v>2.1612349914236706</v>
      </c>
    </row>
    <row r="135" spans="1:28" x14ac:dyDescent="0.55000000000000004">
      <c r="A135" s="24" t="s">
        <v>336</v>
      </c>
      <c r="B135" s="24" t="s">
        <v>973</v>
      </c>
      <c r="C135" s="24" t="s">
        <v>127</v>
      </c>
      <c r="D135" s="24" t="s">
        <v>72</v>
      </c>
      <c r="E135" s="24" t="s">
        <v>92</v>
      </c>
      <c r="F135" s="70">
        <v>1.7896309655308605E-3</v>
      </c>
      <c r="G135" s="24">
        <v>6.5195449999999999</v>
      </c>
      <c r="H135" s="24">
        <v>6.6442959999999998</v>
      </c>
      <c r="I135" s="24">
        <v>7.5748620000000004</v>
      </c>
      <c r="J135" s="24">
        <v>6.8735650000000001</v>
      </c>
      <c r="K135" s="24">
        <v>0.47816160000000002</v>
      </c>
      <c r="L135" s="24">
        <v>1.651824</v>
      </c>
      <c r="M135" s="24">
        <v>11.4153</v>
      </c>
      <c r="N135" s="24">
        <v>4.9004418361854345</v>
      </c>
      <c r="O135" s="24">
        <v>8</v>
      </c>
      <c r="P135" s="24">
        <v>1.3170731707317072</v>
      </c>
      <c r="Q135" s="24">
        <v>0</v>
      </c>
      <c r="R135" s="24">
        <v>2.46</v>
      </c>
      <c r="S135" s="24">
        <v>1.169469356300729</v>
      </c>
      <c r="T135" s="21">
        <v>1</v>
      </c>
      <c r="U135" s="21" t="s">
        <v>141</v>
      </c>
      <c r="V135" s="70">
        <v>-2.820998454521707E-2</v>
      </c>
      <c r="W135" s="70">
        <v>3.1790015454782931E-2</v>
      </c>
      <c r="X135" s="24">
        <v>1.4548178407981347</v>
      </c>
      <c r="Y135" s="24" t="s">
        <v>1660</v>
      </c>
      <c r="Z135" s="75">
        <v>19947.66</v>
      </c>
      <c r="AA135" t="s">
        <v>1415</v>
      </c>
      <c r="AB135" s="24">
        <v>2.3122529644268774</v>
      </c>
    </row>
    <row r="136" spans="1:28" x14ac:dyDescent="0.55000000000000004">
      <c r="A136" s="24" t="s">
        <v>351</v>
      </c>
      <c r="B136" s="24" t="s">
        <v>1231</v>
      </c>
      <c r="C136" s="24" t="s">
        <v>110</v>
      </c>
      <c r="D136" s="24" t="s">
        <v>72</v>
      </c>
      <c r="E136" s="24" t="s">
        <v>85</v>
      </c>
      <c r="F136" s="70">
        <v>1.7895152202211263E-3</v>
      </c>
      <c r="G136" s="24">
        <v>6.38422</v>
      </c>
      <c r="H136" s="24">
        <v>6.980823</v>
      </c>
      <c r="I136" s="24">
        <v>7.8143960000000003</v>
      </c>
      <c r="J136" s="24">
        <v>6.992254</v>
      </c>
      <c r="K136" s="24">
        <v>2.3205619999999998</v>
      </c>
      <c r="L136" s="24">
        <v>3.2457639999999999</v>
      </c>
      <c r="M136" s="24">
        <v>65.014600000000002</v>
      </c>
      <c r="N136" s="24">
        <v>1.7657219898110224</v>
      </c>
      <c r="O136" s="24">
        <v>6.3</v>
      </c>
      <c r="P136" s="24">
        <v>8.8288288288288275</v>
      </c>
      <c r="Q136" s="24">
        <v>1.4254094732182381</v>
      </c>
      <c r="R136" s="24">
        <v>5.6500009999999996</v>
      </c>
      <c r="S136" s="24">
        <v>3.3596837527788312</v>
      </c>
      <c r="T136" s="21">
        <v>1</v>
      </c>
      <c r="U136" s="21" t="s">
        <v>141</v>
      </c>
      <c r="V136" s="70">
        <v>-2.8210869269030943E-2</v>
      </c>
      <c r="W136" s="70">
        <v>3.1789130730969055E-2</v>
      </c>
      <c r="X136" s="24">
        <v>1.3333028246568197</v>
      </c>
      <c r="Y136" s="24" t="s">
        <v>1555</v>
      </c>
      <c r="Z136" s="75">
        <v>19428.689999999999</v>
      </c>
      <c r="AA136" t="s">
        <v>1415</v>
      </c>
      <c r="AB136" s="24">
        <v>2.179930795847751</v>
      </c>
    </row>
    <row r="137" spans="1:28" x14ac:dyDescent="0.55000000000000004">
      <c r="A137" s="24" t="s">
        <v>363</v>
      </c>
      <c r="B137" s="24" t="s">
        <v>1139</v>
      </c>
      <c r="C137" s="24" t="s">
        <v>113</v>
      </c>
      <c r="D137" s="24" t="s">
        <v>72</v>
      </c>
      <c r="E137" s="24" t="s">
        <v>89</v>
      </c>
      <c r="F137" s="70">
        <v>1.7653290835755574E-3</v>
      </c>
      <c r="G137" s="24">
        <v>5.6247020000000001</v>
      </c>
      <c r="H137" s="24">
        <v>6.3901260000000004</v>
      </c>
      <c r="I137" s="24">
        <v>7.1893859999999998</v>
      </c>
      <c r="J137" s="24">
        <v>6.323734</v>
      </c>
      <c r="K137" s="24">
        <v>1.2079029999999999</v>
      </c>
      <c r="L137" s="24">
        <v>7.9314869999999997</v>
      </c>
      <c r="M137" s="24">
        <v>66.471800000000002</v>
      </c>
      <c r="N137" s="24">
        <v>8.7335202622208659</v>
      </c>
      <c r="O137" s="24">
        <v>9.6</v>
      </c>
      <c r="P137" s="24">
        <v>5.4354354354354335</v>
      </c>
      <c r="Q137" s="24">
        <v>5.2017850818946441</v>
      </c>
      <c r="R137" s="24">
        <v>3.66</v>
      </c>
      <c r="S137" s="24">
        <v>6.4701204484579993</v>
      </c>
      <c r="T137" s="21">
        <v>1</v>
      </c>
      <c r="U137" s="21" t="s">
        <v>141</v>
      </c>
      <c r="V137" s="70">
        <v>-2.8234286427172371E-2</v>
      </c>
      <c r="W137" s="70">
        <v>3.1765713572827627E-2</v>
      </c>
      <c r="X137" s="24">
        <v>1.4081868575316476</v>
      </c>
      <c r="Y137" s="24" t="s">
        <v>1885</v>
      </c>
      <c r="Z137" s="75">
        <v>18225.740000000002</v>
      </c>
      <c r="AA137" t="s">
        <v>1415</v>
      </c>
      <c r="AB137" s="24">
        <v>2.3875432525951554</v>
      </c>
    </row>
    <row r="138" spans="1:28" x14ac:dyDescent="0.55000000000000004">
      <c r="A138" s="24" t="s">
        <v>346</v>
      </c>
      <c r="B138" s="24" t="s">
        <v>1374</v>
      </c>
      <c r="C138" s="24" t="s">
        <v>112</v>
      </c>
      <c r="D138" s="24" t="s">
        <v>72</v>
      </c>
      <c r="E138" s="24" t="s">
        <v>89</v>
      </c>
      <c r="F138" s="70">
        <v>1.7590551978955546E-3</v>
      </c>
      <c r="G138" s="24">
        <v>6</v>
      </c>
      <c r="H138" s="24">
        <v>7.5315300000000001</v>
      </c>
      <c r="I138" s="24">
        <v>6</v>
      </c>
      <c r="J138" s="24">
        <v>6.4594589999999998</v>
      </c>
      <c r="K138" s="24">
        <v>5.3145309999999997</v>
      </c>
      <c r="L138" s="24">
        <v>12.234109999999999</v>
      </c>
      <c r="M138" s="24">
        <v>24.695699999999999</v>
      </c>
      <c r="N138" s="24">
        <v>3.7670195043432235</v>
      </c>
      <c r="O138" s="24">
        <v>0.8</v>
      </c>
      <c r="P138" s="24">
        <v>4.5045045045045038</v>
      </c>
      <c r="Q138" s="24">
        <v>9.2670064187693661</v>
      </c>
      <c r="R138" s="24">
        <v>6.9</v>
      </c>
      <c r="S138" s="24">
        <v>6.8682023470536118</v>
      </c>
      <c r="T138" s="21">
        <v>1</v>
      </c>
      <c r="U138" s="21" t="s">
        <v>141</v>
      </c>
      <c r="V138" s="70">
        <v>-2.8241028943387383E-2</v>
      </c>
      <c r="W138" s="70">
        <v>3.1758971056612614E-2</v>
      </c>
      <c r="X138" s="24">
        <v>1.4121476537782323</v>
      </c>
      <c r="Y138" s="24" t="s">
        <v>1434</v>
      </c>
      <c r="Z138" s="75">
        <v>17577.080000000002</v>
      </c>
      <c r="AA138" t="s">
        <v>1415</v>
      </c>
      <c r="AB138" s="24">
        <v>2.0934256055363321</v>
      </c>
    </row>
    <row r="139" spans="1:28" x14ac:dyDescent="0.55000000000000004">
      <c r="A139" s="24" t="s">
        <v>343</v>
      </c>
      <c r="B139" s="24" t="s">
        <v>1167</v>
      </c>
      <c r="C139" s="24" t="s">
        <v>111</v>
      </c>
      <c r="D139" s="24" t="s">
        <v>72</v>
      </c>
      <c r="E139" s="24" t="s">
        <v>82</v>
      </c>
      <c r="F139" s="70">
        <v>1.7498574258394968E-3</v>
      </c>
      <c r="G139" s="24">
        <v>6.5749320000000004</v>
      </c>
      <c r="H139" s="24">
        <v>7.3368869999999999</v>
      </c>
      <c r="I139" s="24">
        <v>5.7489220000000003</v>
      </c>
      <c r="J139" s="24">
        <v>6.5525130000000003</v>
      </c>
      <c r="K139" s="24">
        <v>8.6840109999999999</v>
      </c>
      <c r="L139" s="24">
        <v>20.227630000000001</v>
      </c>
      <c r="M139" s="24">
        <v>4.1170999999999998</v>
      </c>
      <c r="N139" s="24">
        <v>7.0966996836250997</v>
      </c>
      <c r="O139" s="24">
        <v>9.3000000000000007</v>
      </c>
      <c r="P139" s="24">
        <v>5.1881726008787741</v>
      </c>
      <c r="Q139" s="24">
        <v>6.921560343613578</v>
      </c>
      <c r="R139" s="24">
        <v>7.36</v>
      </c>
      <c r="S139" s="24">
        <v>7.042066011006364</v>
      </c>
      <c r="T139" s="21">
        <v>1</v>
      </c>
      <c r="U139" s="21" t="s">
        <v>141</v>
      </c>
      <c r="V139" s="70">
        <v>-2.8249758084908431E-2</v>
      </c>
      <c r="W139" s="70">
        <v>3.1750241915091564E-2</v>
      </c>
      <c r="X139" s="24">
        <v>0.86134184835451655</v>
      </c>
      <c r="Y139" s="24" t="s">
        <v>1674</v>
      </c>
      <c r="Z139" s="75">
        <v>21186.21</v>
      </c>
      <c r="AA139" t="s">
        <v>1415</v>
      </c>
      <c r="AB139" s="24">
        <v>2.0683760683760681</v>
      </c>
    </row>
    <row r="140" spans="1:28" x14ac:dyDescent="0.55000000000000004">
      <c r="A140" s="24" t="s">
        <v>344</v>
      </c>
      <c r="B140" s="24" t="s">
        <v>1298</v>
      </c>
      <c r="C140" s="24" t="s">
        <v>111</v>
      </c>
      <c r="D140" s="24" t="s">
        <v>72</v>
      </c>
      <c r="E140" s="24" t="s">
        <v>85</v>
      </c>
      <c r="F140" s="70">
        <v>1.7180957902642703E-3</v>
      </c>
      <c r="G140" s="24">
        <v>4.5470540000000002</v>
      </c>
      <c r="H140" s="24">
        <v>4.3676300000000001</v>
      </c>
      <c r="I140" s="24">
        <v>6.6970580000000002</v>
      </c>
      <c r="J140" s="24">
        <v>5.1382279999999998</v>
      </c>
      <c r="K140" s="24">
        <v>1.97028</v>
      </c>
      <c r="L140" s="24">
        <v>2.2489409999999999</v>
      </c>
      <c r="M140" s="24">
        <v>128.44200000000001</v>
      </c>
      <c r="N140" s="24">
        <v>7.382752652571746</v>
      </c>
      <c r="O140" s="24">
        <v>6.8</v>
      </c>
      <c r="P140" s="24">
        <v>3.0030030030030024</v>
      </c>
      <c r="Q140" s="24">
        <v>1.0035779105799028</v>
      </c>
      <c r="R140" s="24">
        <v>4.76</v>
      </c>
      <c r="S140" s="24">
        <v>3.2126386045823407</v>
      </c>
      <c r="T140" s="21">
        <v>1</v>
      </c>
      <c r="U140" s="21" t="s">
        <v>141</v>
      </c>
      <c r="V140" s="70">
        <v>-2.8282288698987797E-2</v>
      </c>
      <c r="W140" s="70">
        <v>3.1717711301012197E-2</v>
      </c>
      <c r="X140" s="24">
        <v>0.77028833267037555</v>
      </c>
      <c r="Y140" s="24" t="s">
        <v>1929</v>
      </c>
      <c r="Z140" s="75">
        <v>19977.580000000002</v>
      </c>
      <c r="AA140" t="s">
        <v>1415</v>
      </c>
      <c r="AB140" s="24">
        <v>2.0588235294117645</v>
      </c>
    </row>
    <row r="141" spans="1:28" x14ac:dyDescent="0.55000000000000004">
      <c r="A141" s="24" t="s">
        <v>359</v>
      </c>
      <c r="B141" s="24" t="s">
        <v>839</v>
      </c>
      <c r="C141" s="24" t="s">
        <v>107</v>
      </c>
      <c r="D141" s="24" t="s">
        <v>72</v>
      </c>
      <c r="E141" s="24" t="s">
        <v>82</v>
      </c>
      <c r="F141" s="70">
        <v>1.656956770959126E-3</v>
      </c>
      <c r="G141" s="24">
        <v>5.8760060000000003</v>
      </c>
      <c r="H141" s="24">
        <v>5.3690619999999996</v>
      </c>
      <c r="I141" s="24">
        <v>5.472353</v>
      </c>
      <c r="J141" s="24">
        <v>5.5572970000000002</v>
      </c>
      <c r="K141" s="24">
        <v>4.3825839999999996</v>
      </c>
      <c r="L141" s="24">
        <v>17.074770000000001</v>
      </c>
      <c r="M141" s="24">
        <v>5.2637999999999998</v>
      </c>
      <c r="N141" s="24">
        <v>7.9617322622242082</v>
      </c>
      <c r="O141" s="24">
        <v>0.6</v>
      </c>
      <c r="P141" s="24">
        <v>0.75268825297723152</v>
      </c>
      <c r="Q141" s="24">
        <v>9.0480214054358559</v>
      </c>
      <c r="R141" s="24">
        <v>3.04</v>
      </c>
      <c r="S141" s="24">
        <v>5.6207489950971681</v>
      </c>
      <c r="T141" s="21">
        <v>1</v>
      </c>
      <c r="U141" s="21" t="s">
        <v>141</v>
      </c>
      <c r="V141" s="70">
        <v>-2.8343427718292943E-2</v>
      </c>
      <c r="W141" s="70">
        <v>3.1656572281707054E-2</v>
      </c>
      <c r="X141" s="24">
        <v>1.4134285939862743</v>
      </c>
      <c r="Y141" s="24" t="s">
        <v>1731</v>
      </c>
      <c r="Z141" s="75">
        <v>16318.15</v>
      </c>
      <c r="AA141" t="s">
        <v>1415</v>
      </c>
      <c r="AB141" s="24">
        <v>2.341880341880342</v>
      </c>
    </row>
    <row r="142" spans="1:28" x14ac:dyDescent="0.55000000000000004">
      <c r="A142" s="24" t="s">
        <v>355</v>
      </c>
      <c r="B142" s="24" t="s">
        <v>1154</v>
      </c>
      <c r="C142" s="24" t="s">
        <v>125</v>
      </c>
      <c r="D142" s="24" t="s">
        <v>72</v>
      </c>
      <c r="E142" s="24" t="s">
        <v>91</v>
      </c>
      <c r="F142" s="70">
        <v>1.6432602160932105E-3</v>
      </c>
      <c r="G142" s="24">
        <v>7</v>
      </c>
      <c r="H142" s="24">
        <v>4.4550190000000001</v>
      </c>
      <c r="I142" s="24">
        <v>6</v>
      </c>
      <c r="J142" s="24">
        <v>5.5820069999999999</v>
      </c>
      <c r="K142" s="24">
        <v>2.2558720000000001</v>
      </c>
      <c r="L142" s="24">
        <v>3.5268809999999999</v>
      </c>
      <c r="M142" s="24">
        <v>6.2565</v>
      </c>
      <c r="N142" s="24">
        <v>4.5405176122742157</v>
      </c>
      <c r="O142" s="24">
        <v>2.6</v>
      </c>
      <c r="P142" s="24">
        <v>7.3291925465838528</v>
      </c>
      <c r="Q142" s="24">
        <v>1.1467528587337372</v>
      </c>
      <c r="R142" s="24">
        <v>4.57</v>
      </c>
      <c r="S142" s="24">
        <v>2.785212909656654</v>
      </c>
      <c r="T142" s="21">
        <v>1</v>
      </c>
      <c r="U142" s="21" t="s">
        <v>141</v>
      </c>
      <c r="V142" s="70">
        <v>-2.8356355294654717E-2</v>
      </c>
      <c r="W142" s="70">
        <v>3.1643644705345281E-2</v>
      </c>
      <c r="X142" s="24">
        <v>0.86601651222861942</v>
      </c>
      <c r="Y142" s="24" t="s">
        <v>1927</v>
      </c>
      <c r="Z142" s="75">
        <v>17676.32</v>
      </c>
      <c r="AA142" t="s">
        <v>1415</v>
      </c>
      <c r="AB142" s="24">
        <v>2.2984562607204118</v>
      </c>
    </row>
    <row r="143" spans="1:28" x14ac:dyDescent="0.55000000000000004">
      <c r="A143" s="24" t="s">
        <v>349</v>
      </c>
      <c r="B143" s="24" t="s">
        <v>886</v>
      </c>
      <c r="C143" s="24" t="s">
        <v>127</v>
      </c>
      <c r="D143" s="24" t="s">
        <v>72</v>
      </c>
      <c r="E143" s="24" t="s">
        <v>88</v>
      </c>
      <c r="F143" s="70">
        <v>1.6311946943834137E-3</v>
      </c>
      <c r="G143" s="24">
        <v>6.737419</v>
      </c>
      <c r="H143" s="24">
        <v>7.0195509999999999</v>
      </c>
      <c r="I143" s="24">
        <v>7.9341949999999999</v>
      </c>
      <c r="J143" s="24">
        <v>7.3289819999999999</v>
      </c>
      <c r="K143" s="24">
        <v>2.2652610000000002</v>
      </c>
      <c r="L143" s="24">
        <v>3.0835340000000002</v>
      </c>
      <c r="M143" s="24">
        <v>20.026199999999999</v>
      </c>
      <c r="N143" s="24">
        <v>6.6834988945372711</v>
      </c>
      <c r="O143" s="24">
        <v>3.2</v>
      </c>
      <c r="P143" s="24">
        <v>7.7534246575342465</v>
      </c>
      <c r="Q143" s="24">
        <v>0.82853086110415108</v>
      </c>
      <c r="R143" s="24">
        <v>6.67</v>
      </c>
      <c r="S143" s="24">
        <v>4.4501353798790833</v>
      </c>
      <c r="T143" s="21">
        <v>1</v>
      </c>
      <c r="U143" s="21" t="s">
        <v>141</v>
      </c>
      <c r="V143" s="70">
        <v>-2.8369189794868657E-2</v>
      </c>
      <c r="W143" s="70">
        <v>3.1630810205131345E-2</v>
      </c>
      <c r="X143" s="24">
        <v>0.33680864699384949</v>
      </c>
      <c r="Y143" s="24" t="s">
        <v>1654</v>
      </c>
      <c r="Z143" s="75">
        <v>14590.74</v>
      </c>
      <c r="AA143" t="s">
        <v>1415</v>
      </c>
      <c r="AB143" s="24">
        <v>2.3611111111111112</v>
      </c>
    </row>
    <row r="144" spans="1:28" x14ac:dyDescent="0.55000000000000004">
      <c r="A144" s="24" t="s">
        <v>350</v>
      </c>
      <c r="B144" s="24" t="s">
        <v>1318</v>
      </c>
      <c r="C144" s="24" t="s">
        <v>127</v>
      </c>
      <c r="D144" s="24" t="s">
        <v>72</v>
      </c>
      <c r="E144" s="24" t="s">
        <v>82</v>
      </c>
      <c r="F144" s="70">
        <v>1.6277875575383559E-3</v>
      </c>
      <c r="G144" s="24">
        <v>7.1122730000000001</v>
      </c>
      <c r="H144" s="24">
        <v>5.2432290000000004</v>
      </c>
      <c r="I144" s="24">
        <v>5.8723150000000004</v>
      </c>
      <c r="J144" s="24">
        <v>6.0241230000000003</v>
      </c>
      <c r="K144" s="24">
        <v>11.426489999999999</v>
      </c>
      <c r="L144" s="24">
        <v>14.66151</v>
      </c>
      <c r="M144" s="24">
        <v>1.3833</v>
      </c>
      <c r="N144" s="24">
        <v>4.5256651936601822</v>
      </c>
      <c r="O144" s="24">
        <v>5.9</v>
      </c>
      <c r="P144" s="24">
        <v>4.6774198577870809</v>
      </c>
      <c r="Q144" s="24">
        <v>6.2878467821433617</v>
      </c>
      <c r="R144" s="24">
        <v>8.6199999999999992</v>
      </c>
      <c r="S144" s="24">
        <v>5.995874760829083</v>
      </c>
      <c r="T144" s="21">
        <v>1</v>
      </c>
      <c r="U144" s="21" t="s">
        <v>141</v>
      </c>
      <c r="V144" s="70">
        <v>-2.8371827953209573E-2</v>
      </c>
      <c r="W144" s="70">
        <v>3.1628172046790422E-2</v>
      </c>
      <c r="X144" s="24">
        <v>0.73669236079409284</v>
      </c>
      <c r="Y144" s="24" t="s">
        <v>1646</v>
      </c>
      <c r="Z144" s="75">
        <v>17858.71</v>
      </c>
      <c r="AA144" t="s">
        <v>1415</v>
      </c>
      <c r="AB144" s="24">
        <v>2.1880341880341883</v>
      </c>
    </row>
    <row r="145" spans="1:28" x14ac:dyDescent="0.55000000000000004">
      <c r="A145" s="24" t="s">
        <v>356</v>
      </c>
      <c r="B145" s="24" t="s">
        <v>837</v>
      </c>
      <c r="C145" s="24" t="s">
        <v>107</v>
      </c>
      <c r="D145" s="24" t="s">
        <v>72</v>
      </c>
      <c r="E145" s="24" t="s">
        <v>93</v>
      </c>
      <c r="F145" s="70">
        <v>1.6203238006432558E-3</v>
      </c>
      <c r="G145" s="24">
        <v>6.6827430000000003</v>
      </c>
      <c r="H145" s="24">
        <v>7.0701970000000003</v>
      </c>
      <c r="I145" s="24">
        <v>5.0856779999999997</v>
      </c>
      <c r="J145" s="24">
        <v>6.2795389999999998</v>
      </c>
      <c r="K145" s="24">
        <v>3.1710729999999998</v>
      </c>
      <c r="L145" s="24">
        <v>3.3966270000000001</v>
      </c>
      <c r="M145" s="24">
        <v>6.1502999999999997</v>
      </c>
      <c r="N145" s="24">
        <v>3.0931492093590327</v>
      </c>
      <c r="O145" s="24">
        <v>0.2</v>
      </c>
      <c r="P145" s="24">
        <v>4.3478260869565224</v>
      </c>
      <c r="Q145" s="24">
        <v>4.3123198522421706</v>
      </c>
      <c r="R145" s="24">
        <v>5.16</v>
      </c>
      <c r="S145" s="24">
        <v>2.2481035309266613</v>
      </c>
      <c r="T145" s="21">
        <v>1</v>
      </c>
      <c r="U145" s="21" t="s">
        <v>141</v>
      </c>
      <c r="V145" s="70">
        <v>-2.8380060688608811E-2</v>
      </c>
      <c r="W145" s="70">
        <v>3.1619939311391183E-2</v>
      </c>
      <c r="X145" s="24">
        <v>1.664314901888053</v>
      </c>
      <c r="Y145" s="24" t="s">
        <v>1720</v>
      </c>
      <c r="Z145" s="75">
        <v>18475.23</v>
      </c>
      <c r="AA145" t="s">
        <v>1415</v>
      </c>
      <c r="AB145" s="24">
        <v>2.3156089193825045</v>
      </c>
    </row>
    <row r="146" spans="1:28" x14ac:dyDescent="0.55000000000000004">
      <c r="A146" s="24" t="s">
        <v>353</v>
      </c>
      <c r="B146" s="24" t="s">
        <v>838</v>
      </c>
      <c r="C146" s="24" t="s">
        <v>107</v>
      </c>
      <c r="D146" s="24" t="s">
        <v>72</v>
      </c>
      <c r="E146" s="24" t="s">
        <v>96</v>
      </c>
      <c r="F146" s="70">
        <v>1.5943247133998193E-3</v>
      </c>
      <c r="G146" s="24">
        <v>5.9083730000000001</v>
      </c>
      <c r="H146" s="24">
        <v>6.2189120000000004</v>
      </c>
      <c r="I146" s="24">
        <v>6.8761409999999996</v>
      </c>
      <c r="J146" s="24">
        <v>6.2918649999999996</v>
      </c>
      <c r="K146" s="24">
        <v>0.90446800000000005</v>
      </c>
      <c r="L146" s="24">
        <v>3.3031579999999998</v>
      </c>
      <c r="M146" s="24">
        <v>112.413</v>
      </c>
      <c r="N146" s="24">
        <v>3.9540819294044764</v>
      </c>
      <c r="O146" s="24">
        <v>0.2</v>
      </c>
      <c r="P146" s="24">
        <v>4.8416289592760178</v>
      </c>
      <c r="Q146" s="24">
        <v>9.482203595942746</v>
      </c>
      <c r="R146" s="24">
        <v>3.2</v>
      </c>
      <c r="S146" s="24">
        <v>4.3503807971432895</v>
      </c>
      <c r="T146" s="21">
        <v>1</v>
      </c>
      <c r="U146" s="21" t="s">
        <v>141</v>
      </c>
      <c r="V146" s="70">
        <v>-2.8405573561304825E-2</v>
      </c>
      <c r="W146" s="70">
        <v>3.1594426438695172E-2</v>
      </c>
      <c r="X146" s="24">
        <v>1.8113663623404983</v>
      </c>
      <c r="Y146" s="24" t="s">
        <v>1905</v>
      </c>
      <c r="Z146" s="75">
        <v>17316.259999999998</v>
      </c>
      <c r="AA146" t="s">
        <v>1415</v>
      </c>
      <c r="AB146" s="24">
        <v>2.4090121317157713</v>
      </c>
    </row>
    <row r="147" spans="1:28" x14ac:dyDescent="0.55000000000000004">
      <c r="A147" s="24" t="s">
        <v>365</v>
      </c>
      <c r="B147" s="24" t="s">
        <v>1125</v>
      </c>
      <c r="C147" s="24" t="s">
        <v>111</v>
      </c>
      <c r="D147" s="24" t="s">
        <v>72</v>
      </c>
      <c r="E147" s="24" t="s">
        <v>97</v>
      </c>
      <c r="F147" s="70">
        <v>1.591559267685618E-3</v>
      </c>
      <c r="G147" s="24">
        <v>7.7836410000000003</v>
      </c>
      <c r="H147" s="24">
        <v>6.4056649999999999</v>
      </c>
      <c r="I147" s="24">
        <v>6.1442389999999998</v>
      </c>
      <c r="J147" s="24">
        <v>6.7778489999999998</v>
      </c>
      <c r="K147" s="24">
        <v>0.1446336</v>
      </c>
      <c r="L147" s="24">
        <v>-0.73035309999999998</v>
      </c>
      <c r="M147" s="24">
        <v>139.0179</v>
      </c>
      <c r="N147" s="24">
        <v>2.5558910842361886</v>
      </c>
      <c r="O147" s="24">
        <v>3.2</v>
      </c>
      <c r="P147" s="24">
        <v>0</v>
      </c>
      <c r="Q147" s="24">
        <v>1.573092662913288</v>
      </c>
      <c r="R147" s="24">
        <v>1.45</v>
      </c>
      <c r="S147" s="24">
        <v>0.96844407273536748</v>
      </c>
      <c r="T147" s="21">
        <v>1</v>
      </c>
      <c r="U147" s="21" t="s">
        <v>141</v>
      </c>
      <c r="V147" s="70">
        <v>-2.8408825221566451E-2</v>
      </c>
      <c r="W147" s="70">
        <v>3.1591174778433546E-2</v>
      </c>
      <c r="X147" s="24">
        <v>0.97306513277892126</v>
      </c>
      <c r="Y147" s="24" t="s">
        <v>1663</v>
      </c>
      <c r="Z147" s="75">
        <v>20387.509999999998</v>
      </c>
      <c r="AA147" t="s">
        <v>1415</v>
      </c>
      <c r="AB147" s="24">
        <v>2.3467600700525395</v>
      </c>
    </row>
    <row r="148" spans="1:28" x14ac:dyDescent="0.55000000000000004">
      <c r="A148" s="24" t="s">
        <v>338</v>
      </c>
      <c r="B148" s="24" t="s">
        <v>896</v>
      </c>
      <c r="C148" s="24" t="s">
        <v>111</v>
      </c>
      <c r="D148" s="24" t="s">
        <v>72</v>
      </c>
      <c r="E148" s="24" t="s">
        <v>97</v>
      </c>
      <c r="F148" s="70">
        <v>1.5851560290417656E-3</v>
      </c>
      <c r="G148" s="24">
        <v>7.0399859999999999</v>
      </c>
      <c r="H148" s="24">
        <v>5.6458680000000001</v>
      </c>
      <c r="I148" s="24">
        <v>3.7133910000000001</v>
      </c>
      <c r="J148" s="24">
        <v>5.4664149999999996</v>
      </c>
      <c r="K148" s="24">
        <v>6.8418850000000004</v>
      </c>
      <c r="L148" s="24">
        <v>10.59224</v>
      </c>
      <c r="M148" s="24">
        <v>34.843299999999999</v>
      </c>
      <c r="N148" s="24">
        <v>4.5725072765856627</v>
      </c>
      <c r="O148" s="24">
        <v>0.7</v>
      </c>
      <c r="P148" s="24">
        <v>1.1278195488721803</v>
      </c>
      <c r="Q148" s="24">
        <v>8.3797220917392892</v>
      </c>
      <c r="R148" s="24">
        <v>5.31</v>
      </c>
      <c r="S148" s="24">
        <v>6.3824950022940445</v>
      </c>
      <c r="T148" s="21">
        <v>1</v>
      </c>
      <c r="U148" s="21" t="s">
        <v>141</v>
      </c>
      <c r="V148" s="70">
        <v>-2.8415228460210301E-2</v>
      </c>
      <c r="W148" s="70">
        <v>3.1584771539789697E-2</v>
      </c>
      <c r="X148" s="24">
        <v>0.42080130747718592</v>
      </c>
      <c r="Y148" s="24" t="s">
        <v>1681</v>
      </c>
      <c r="Z148" s="75">
        <v>18364.150000000001</v>
      </c>
      <c r="AA148" t="s">
        <v>1415</v>
      </c>
      <c r="AB148" s="24">
        <v>1.8739054290718038</v>
      </c>
    </row>
    <row r="149" spans="1:28" x14ac:dyDescent="0.55000000000000004">
      <c r="A149" s="24" t="s">
        <v>358</v>
      </c>
      <c r="B149" s="24" t="s">
        <v>993</v>
      </c>
      <c r="C149" s="24" t="s">
        <v>105</v>
      </c>
      <c r="D149" s="24" t="s">
        <v>72</v>
      </c>
      <c r="E149" s="24" t="s">
        <v>82</v>
      </c>
      <c r="F149" s="70">
        <v>1.5780101828527838E-3</v>
      </c>
      <c r="G149" s="24">
        <v>7.6432289999999998</v>
      </c>
      <c r="H149" s="24">
        <v>6.5901040000000002</v>
      </c>
      <c r="I149" s="24">
        <v>6.5970519999999997</v>
      </c>
      <c r="J149" s="24">
        <v>6.9084729999999999</v>
      </c>
      <c r="K149" s="24">
        <v>7.2782119999999999</v>
      </c>
      <c r="L149" s="24">
        <v>13.66628</v>
      </c>
      <c r="M149" s="24">
        <v>3.3612000000000002</v>
      </c>
      <c r="N149" s="24">
        <v>3.7522907310857341</v>
      </c>
      <c r="O149" s="24">
        <v>1.3</v>
      </c>
      <c r="P149" s="24">
        <v>7.7150545930166228</v>
      </c>
      <c r="Q149" s="24">
        <v>5.2964371215321808</v>
      </c>
      <c r="R149" s="24">
        <v>5.0999999999999996</v>
      </c>
      <c r="S149" s="24">
        <v>6.15867014207811</v>
      </c>
      <c r="T149" s="21">
        <v>1</v>
      </c>
      <c r="U149" s="21" t="s">
        <v>141</v>
      </c>
      <c r="V149" s="70">
        <v>-2.8422374306399285E-2</v>
      </c>
      <c r="W149" s="70">
        <v>3.157762569360071E-2</v>
      </c>
      <c r="X149" s="24">
        <v>1.3004089489484492</v>
      </c>
      <c r="Y149" s="24" t="s">
        <v>1969</v>
      </c>
      <c r="Z149" s="75">
        <v>16396.669999999998</v>
      </c>
      <c r="AA149" t="s">
        <v>1415</v>
      </c>
      <c r="AB149" s="24">
        <v>2.324786324786325</v>
      </c>
    </row>
    <row r="150" spans="1:28" x14ac:dyDescent="0.55000000000000004">
      <c r="A150" s="24" t="s">
        <v>377</v>
      </c>
      <c r="B150" s="24" t="s">
        <v>916</v>
      </c>
      <c r="C150" s="24" t="s">
        <v>110</v>
      </c>
      <c r="D150" s="24" t="s">
        <v>72</v>
      </c>
      <c r="E150" s="24" t="s">
        <v>88</v>
      </c>
      <c r="F150" s="70">
        <v>1.568608141431815E-3</v>
      </c>
      <c r="G150" s="24">
        <v>7.6397870000000001</v>
      </c>
      <c r="H150" s="24">
        <v>5.5880450000000002</v>
      </c>
      <c r="I150" s="24">
        <v>7.2448969999999999</v>
      </c>
      <c r="J150" s="24">
        <v>6.6611339999999997</v>
      </c>
      <c r="K150" s="24">
        <v>0.69671510000000003</v>
      </c>
      <c r="L150" s="24">
        <v>2.305647</v>
      </c>
      <c r="M150" s="24">
        <v>35.529400000000003</v>
      </c>
      <c r="N150" s="24">
        <v>5.6690387121961692</v>
      </c>
      <c r="O150" s="24">
        <v>6.3</v>
      </c>
      <c r="P150" s="24">
        <v>7.6712328767123283</v>
      </c>
      <c r="Q150" s="24">
        <v>0.38382660987221251</v>
      </c>
      <c r="R150" s="24">
        <v>5.0599999999999996</v>
      </c>
      <c r="S150" s="24">
        <v>2.7715942733942422</v>
      </c>
      <c r="T150" s="21">
        <v>1</v>
      </c>
      <c r="U150" s="21" t="s">
        <v>141</v>
      </c>
      <c r="V150" s="70">
        <v>-2.8431007369316114E-2</v>
      </c>
      <c r="W150" s="70">
        <v>3.1568992630683884E-2</v>
      </c>
      <c r="X150" s="24">
        <v>1.4015610456310623</v>
      </c>
      <c r="Y150" s="24" t="s">
        <v>1577</v>
      </c>
      <c r="Z150" s="75">
        <v>15664.03</v>
      </c>
      <c r="AA150" t="s">
        <v>1415</v>
      </c>
      <c r="AB150" s="24">
        <v>2.8472222222222223</v>
      </c>
    </row>
    <row r="151" spans="1:28" x14ac:dyDescent="0.55000000000000004">
      <c r="A151" s="24" t="s">
        <v>357</v>
      </c>
      <c r="B151" s="24" t="s">
        <v>1080</v>
      </c>
      <c r="C151" s="24" t="s">
        <v>105</v>
      </c>
      <c r="D151" s="24" t="s">
        <v>72</v>
      </c>
      <c r="E151" s="24" t="s">
        <v>98</v>
      </c>
      <c r="F151" s="70">
        <v>1.5427139567752979E-3</v>
      </c>
      <c r="G151" s="24">
        <v>5.3612719999999996</v>
      </c>
      <c r="H151" s="24">
        <v>4.2858169999999998</v>
      </c>
      <c r="I151" s="24">
        <v>6.1200669999999997</v>
      </c>
      <c r="J151" s="24">
        <v>5.2346079999999997</v>
      </c>
      <c r="K151" s="24">
        <v>3.0451100000000002</v>
      </c>
      <c r="L151" s="24">
        <v>4.8486789999999997</v>
      </c>
      <c r="M151" s="24">
        <v>26.6981</v>
      </c>
      <c r="N151" s="24">
        <v>8.0033421302839329</v>
      </c>
      <c r="O151" s="24">
        <v>3.3</v>
      </c>
      <c r="P151" s="24">
        <v>7.0807453416149082</v>
      </c>
      <c r="Q151" s="24">
        <v>3.0464187739359532</v>
      </c>
      <c r="R151" s="24">
        <v>5.55</v>
      </c>
      <c r="S151" s="24">
        <v>4.9203479769551119</v>
      </c>
      <c r="T151" s="21">
        <v>1</v>
      </c>
      <c r="U151" s="21" t="s">
        <v>141</v>
      </c>
      <c r="V151" s="70">
        <v>-2.8456901553972631E-2</v>
      </c>
      <c r="W151" s="70">
        <v>3.1543098446027366E-2</v>
      </c>
      <c r="X151" s="24">
        <v>1.2806422586184807</v>
      </c>
      <c r="Y151" s="24" t="s">
        <v>1991</v>
      </c>
      <c r="Z151" s="75">
        <v>15986.13</v>
      </c>
      <c r="AA151" t="s">
        <v>1415</v>
      </c>
      <c r="AB151" s="24">
        <v>2.3327615780445972</v>
      </c>
    </row>
    <row r="152" spans="1:28" x14ac:dyDescent="0.55000000000000004">
      <c r="A152" s="24" t="s">
        <v>378</v>
      </c>
      <c r="B152" s="24" t="s">
        <v>1022</v>
      </c>
      <c r="C152" s="24" t="s">
        <v>105</v>
      </c>
      <c r="D152" s="24" t="s">
        <v>72</v>
      </c>
      <c r="E152" s="24" t="s">
        <v>93</v>
      </c>
      <c r="F152" s="70">
        <v>1.5332785868560673E-3</v>
      </c>
      <c r="G152" s="24">
        <v>3.6741410000000001</v>
      </c>
      <c r="H152" s="24">
        <v>5.2713409999999996</v>
      </c>
      <c r="I152" s="24">
        <v>5.0875089999999998</v>
      </c>
      <c r="J152" s="24">
        <v>4.577312</v>
      </c>
      <c r="K152" s="24">
        <v>2.6060569999999998</v>
      </c>
      <c r="L152" s="24">
        <v>7.529757</v>
      </c>
      <c r="M152" s="24">
        <v>227.63659999999999</v>
      </c>
      <c r="N152" s="24">
        <v>1.5520464761252242</v>
      </c>
      <c r="O152" s="24">
        <v>9.3000000000000007</v>
      </c>
      <c r="P152" s="24">
        <v>5.1046025104602508</v>
      </c>
      <c r="Q152" s="24">
        <v>6.2957679505468374</v>
      </c>
      <c r="R152" s="24">
        <v>5.03</v>
      </c>
      <c r="S152" s="24">
        <v>5.7155741390820456</v>
      </c>
      <c r="T152" s="21">
        <v>1</v>
      </c>
      <c r="U152" s="21" t="s">
        <v>141</v>
      </c>
      <c r="V152" s="70">
        <v>-2.8467105902396001E-2</v>
      </c>
      <c r="W152" s="70">
        <v>3.1532894097603993E-2</v>
      </c>
      <c r="X152" s="24">
        <v>0.23568845677197583</v>
      </c>
      <c r="Y152" s="24" t="s">
        <v>1986</v>
      </c>
      <c r="Z152" s="75">
        <v>16879.349999999999</v>
      </c>
      <c r="AA152" t="s">
        <v>1415</v>
      </c>
      <c r="AB152" s="24">
        <v>2.8952042628774421</v>
      </c>
    </row>
    <row r="153" spans="1:28" x14ac:dyDescent="0.55000000000000004">
      <c r="A153" s="24" t="s">
        <v>379</v>
      </c>
      <c r="B153" s="24" t="s">
        <v>1116</v>
      </c>
      <c r="C153" s="24" t="s">
        <v>106</v>
      </c>
      <c r="D153" s="24" t="s">
        <v>72</v>
      </c>
      <c r="E153" s="24" t="s">
        <v>98</v>
      </c>
      <c r="F153" s="70">
        <v>1.4979223116509432E-3</v>
      </c>
      <c r="G153" s="24">
        <v>5.8687290000000001</v>
      </c>
      <c r="H153" s="24">
        <v>6.4944240000000004</v>
      </c>
      <c r="I153" s="24">
        <v>7.1921249999999999</v>
      </c>
      <c r="J153" s="24">
        <v>6.6483650000000001</v>
      </c>
      <c r="K153" s="24">
        <v>1.5783990000000001</v>
      </c>
      <c r="L153" s="24">
        <v>4.6954580000000004</v>
      </c>
      <c r="M153" s="24">
        <v>1094.453</v>
      </c>
      <c r="N153" s="24">
        <v>3.6487043402418005</v>
      </c>
      <c r="O153" s="24">
        <v>6.4</v>
      </c>
      <c r="P153" s="24">
        <v>6.5424434782608714</v>
      </c>
      <c r="Q153" s="24">
        <v>1.7388706304152972</v>
      </c>
      <c r="R153" s="24">
        <v>3.71</v>
      </c>
      <c r="S153" s="24">
        <v>4.2606222871629011</v>
      </c>
      <c r="T153" s="21">
        <v>1</v>
      </c>
      <c r="U153" s="21" t="s">
        <v>141</v>
      </c>
      <c r="V153" s="70">
        <v>-2.8501693199096987E-2</v>
      </c>
      <c r="W153" s="70">
        <v>3.1498306800903014E-2</v>
      </c>
      <c r="X153" s="24">
        <v>0.85880801699284737</v>
      </c>
      <c r="Y153" s="24" t="s">
        <v>1836</v>
      </c>
      <c r="Z153" s="75">
        <v>15699.18</v>
      </c>
      <c r="AA153" t="s">
        <v>1415</v>
      </c>
      <c r="AB153" s="24">
        <v>2.7101200686106348</v>
      </c>
    </row>
    <row r="154" spans="1:28" x14ac:dyDescent="0.55000000000000004">
      <c r="A154" s="24" t="s">
        <v>361</v>
      </c>
      <c r="B154" s="24" t="s">
        <v>1038</v>
      </c>
      <c r="C154" s="24" t="s">
        <v>110</v>
      </c>
      <c r="D154" s="24" t="s">
        <v>72</v>
      </c>
      <c r="E154" s="24" t="s">
        <v>88</v>
      </c>
      <c r="F154" s="70">
        <v>1.4874657350870412E-3</v>
      </c>
      <c r="G154" s="24">
        <v>6.6003040000000004</v>
      </c>
      <c r="H154" s="24">
        <v>6.9581840000000001</v>
      </c>
      <c r="I154" s="24">
        <v>5.8326640000000003</v>
      </c>
      <c r="J154" s="24">
        <v>6.4363999999999999</v>
      </c>
      <c r="K154" s="24">
        <v>1.617594</v>
      </c>
      <c r="L154" s="24">
        <v>8.5026840000000004</v>
      </c>
      <c r="M154" s="24">
        <v>27.976700000000001</v>
      </c>
      <c r="N154" s="24">
        <v>5.072298157516216</v>
      </c>
      <c r="O154" s="24">
        <v>5.0999999999999996</v>
      </c>
      <c r="P154" s="24">
        <v>3.5616438356164384</v>
      </c>
      <c r="Q154" s="24">
        <v>7.3159052312146775</v>
      </c>
      <c r="R154" s="24">
        <v>0</v>
      </c>
      <c r="S154" s="24">
        <v>6.9414505872602499</v>
      </c>
      <c r="T154" s="21">
        <v>1</v>
      </c>
      <c r="U154" s="21" t="s">
        <v>117</v>
      </c>
      <c r="V154" s="70">
        <v>-2.8512547078917646E-2</v>
      </c>
      <c r="W154" s="70">
        <v>3.1487452921082348E-2</v>
      </c>
      <c r="X154" s="24">
        <v>0.61227351180557699</v>
      </c>
      <c r="Y154" s="24" t="s">
        <v>1428</v>
      </c>
      <c r="Z154" s="75">
        <v>16106.34</v>
      </c>
      <c r="AA154" t="s">
        <v>1415</v>
      </c>
      <c r="AB154" s="24">
        <v>2.5694444444444442</v>
      </c>
    </row>
    <row r="155" spans="1:28" x14ac:dyDescent="0.55000000000000004">
      <c r="A155" s="24" t="s">
        <v>395</v>
      </c>
      <c r="B155" s="24" t="s">
        <v>906</v>
      </c>
      <c r="C155" s="24" t="s">
        <v>112</v>
      </c>
      <c r="D155" s="24" t="s">
        <v>72</v>
      </c>
      <c r="E155" s="24" t="s">
        <v>82</v>
      </c>
      <c r="F155" s="70">
        <v>1.4735066860234931E-3</v>
      </c>
      <c r="G155" s="24">
        <v>6.4711879999999997</v>
      </c>
      <c r="H155" s="24">
        <v>5.9307499999999997</v>
      </c>
      <c r="I155" s="24">
        <v>6.1883509999999999</v>
      </c>
      <c r="J155" s="24">
        <v>6.1830420000000004</v>
      </c>
      <c r="K155" s="24">
        <v>3.0954760000000001</v>
      </c>
      <c r="L155" s="24">
        <v>18.6874</v>
      </c>
      <c r="M155" s="24">
        <v>11.460599999999999</v>
      </c>
      <c r="N155" s="24">
        <v>7.5744737660162116</v>
      </c>
      <c r="O155" s="24">
        <v>2.2000000000000002</v>
      </c>
      <c r="P155" s="24">
        <v>2.553763715458464</v>
      </c>
      <c r="Q155" s="24">
        <v>8.6931418110125342</v>
      </c>
      <c r="R155" s="24">
        <v>3.34</v>
      </c>
      <c r="S155" s="24">
        <v>6.0829473210164178</v>
      </c>
      <c r="T155" s="21">
        <v>1</v>
      </c>
      <c r="U155" s="21" t="s">
        <v>141</v>
      </c>
      <c r="V155" s="70">
        <v>-2.8526877803228576E-2</v>
      </c>
      <c r="W155" s="70">
        <v>3.1473122196771425E-2</v>
      </c>
      <c r="X155" s="24">
        <v>1.0462324375149097</v>
      </c>
      <c r="Y155" s="24" t="s">
        <v>1628</v>
      </c>
      <c r="Z155" s="75">
        <v>17010.59</v>
      </c>
      <c r="AA155" t="s">
        <v>1415</v>
      </c>
      <c r="AB155" s="24">
        <v>2.9572649572649574</v>
      </c>
    </row>
    <row r="156" spans="1:28" x14ac:dyDescent="0.55000000000000004">
      <c r="A156" s="24" t="s">
        <v>371</v>
      </c>
      <c r="B156" s="24" t="s">
        <v>1235</v>
      </c>
      <c r="C156" s="24" t="s">
        <v>106</v>
      </c>
      <c r="D156" s="24" t="s">
        <v>72</v>
      </c>
      <c r="E156" s="24" t="s">
        <v>90</v>
      </c>
      <c r="F156" s="70">
        <v>1.4638958012711746E-3</v>
      </c>
      <c r="G156" s="24">
        <v>5.5269510000000004</v>
      </c>
      <c r="H156" s="24">
        <v>6.4430019999999999</v>
      </c>
      <c r="I156" s="24">
        <v>6.413888</v>
      </c>
      <c r="J156" s="24">
        <v>6.1579969999999999</v>
      </c>
      <c r="K156" s="24">
        <v>9.4119849999999996</v>
      </c>
      <c r="L156" s="24">
        <v>8.6729310000000002</v>
      </c>
      <c r="M156" s="24">
        <v>2.673</v>
      </c>
      <c r="N156" s="24">
        <v>3.3444089525393652</v>
      </c>
      <c r="O156" s="24">
        <v>0.5</v>
      </c>
      <c r="P156" s="24">
        <v>1.0752689328246166</v>
      </c>
      <c r="Q156" s="24">
        <v>2.7277848190395728</v>
      </c>
      <c r="R156" s="24">
        <v>7.51</v>
      </c>
      <c r="S156" s="24">
        <v>3.4275657712359817</v>
      </c>
      <c r="T156" s="21">
        <v>1</v>
      </c>
      <c r="U156" s="21" t="s">
        <v>141</v>
      </c>
      <c r="V156" s="70">
        <v>-2.853619742783807E-2</v>
      </c>
      <c r="W156" s="70">
        <v>3.1463802572161928E-2</v>
      </c>
      <c r="X156" s="24">
        <v>1.1548820375025557</v>
      </c>
      <c r="Y156" s="24" t="s">
        <v>1781</v>
      </c>
      <c r="Z156" s="75">
        <v>16248.53</v>
      </c>
      <c r="AA156" t="s">
        <v>1415</v>
      </c>
      <c r="AB156" s="24">
        <v>2.5470085470085468</v>
      </c>
    </row>
    <row r="157" spans="1:28" x14ac:dyDescent="0.55000000000000004">
      <c r="A157" s="24" t="s">
        <v>362</v>
      </c>
      <c r="B157" s="24" t="s">
        <v>1201</v>
      </c>
      <c r="C157" s="24" t="s">
        <v>109</v>
      </c>
      <c r="D157" s="24" t="s">
        <v>72</v>
      </c>
      <c r="E157" s="24" t="s">
        <v>82</v>
      </c>
      <c r="F157" s="70">
        <v>1.4451004461940985E-3</v>
      </c>
      <c r="G157" s="24">
        <v>6.7804900000000004</v>
      </c>
      <c r="H157" s="24">
        <v>5.9405020000000004</v>
      </c>
      <c r="I157" s="24">
        <v>4.8737959999999996</v>
      </c>
      <c r="J157" s="24">
        <v>5.8191509999999997</v>
      </c>
      <c r="K157" s="24">
        <v>6.8507400000000001</v>
      </c>
      <c r="L157" s="24">
        <v>13.436730000000001</v>
      </c>
      <c r="M157" s="24">
        <v>6.8493000000000004</v>
      </c>
      <c r="N157" s="24">
        <v>5.5522454423577186</v>
      </c>
      <c r="O157" s="24">
        <v>3.3</v>
      </c>
      <c r="P157" s="24">
        <v>4.3548391779396969</v>
      </c>
      <c r="Q157" s="24">
        <v>4.9528235459794407</v>
      </c>
      <c r="R157" s="24">
        <v>6.54</v>
      </c>
      <c r="S157" s="24">
        <v>5.3913958237414157</v>
      </c>
      <c r="T157" s="21">
        <v>1</v>
      </c>
      <c r="U157" s="21" t="s">
        <v>141</v>
      </c>
      <c r="V157" s="70">
        <v>-2.8555284043057971E-2</v>
      </c>
      <c r="W157" s="70">
        <v>3.1444715956942031E-2</v>
      </c>
      <c r="X157" s="24">
        <v>1.1135599908781548</v>
      </c>
      <c r="Y157" s="24" t="s">
        <v>1508</v>
      </c>
      <c r="Z157" s="75">
        <v>17017.18</v>
      </c>
      <c r="AA157" t="s">
        <v>1415</v>
      </c>
      <c r="AB157" s="24">
        <v>2.3931623931623931</v>
      </c>
    </row>
    <row r="158" spans="1:28" x14ac:dyDescent="0.55000000000000004">
      <c r="A158" s="24" t="s">
        <v>376</v>
      </c>
      <c r="B158" s="24" t="s">
        <v>1223</v>
      </c>
      <c r="C158" s="24" t="s">
        <v>110</v>
      </c>
      <c r="D158" s="24" t="s">
        <v>72</v>
      </c>
      <c r="E158" s="24" t="s">
        <v>88</v>
      </c>
      <c r="F158" s="70">
        <v>1.4358205046659952E-3</v>
      </c>
      <c r="G158" s="24">
        <v>8.0463129999999996</v>
      </c>
      <c r="H158" s="24">
        <v>7.2408570000000001</v>
      </c>
      <c r="I158" s="24">
        <v>8.2123609999999996</v>
      </c>
      <c r="J158" s="24">
        <v>7.7905499999999996</v>
      </c>
      <c r="K158" s="24">
        <v>1.4593130000000001</v>
      </c>
      <c r="L158" s="24">
        <v>4.0560580000000002</v>
      </c>
      <c r="M158" s="24">
        <v>12.0037</v>
      </c>
      <c r="N158" s="24">
        <v>6.1556130722086468</v>
      </c>
      <c r="O158" s="24">
        <v>4.8</v>
      </c>
      <c r="P158" s="24">
        <v>7.5068493150684921</v>
      </c>
      <c r="Q158" s="24">
        <v>2.9924741780116375</v>
      </c>
      <c r="R158" s="24">
        <v>5.43</v>
      </c>
      <c r="S158" s="24">
        <v>5.0606808596746031</v>
      </c>
      <c r="T158" s="21">
        <v>1</v>
      </c>
      <c r="U158" s="21" t="s">
        <v>141</v>
      </c>
      <c r="V158" s="70">
        <v>-2.8563795006081933E-2</v>
      </c>
      <c r="W158" s="70">
        <v>3.1436204993918061E-2</v>
      </c>
      <c r="X158" s="24">
        <v>0.87823241581318179</v>
      </c>
      <c r="Y158" s="24" t="s">
        <v>1544</v>
      </c>
      <c r="Z158" s="75">
        <v>15745.98</v>
      </c>
      <c r="AA158" t="s">
        <v>1415</v>
      </c>
      <c r="AB158" s="24">
        <v>2.8298611111111112</v>
      </c>
    </row>
    <row r="159" spans="1:28" x14ac:dyDescent="0.55000000000000004">
      <c r="A159" s="24" t="s">
        <v>368</v>
      </c>
      <c r="B159" s="24" t="s">
        <v>1348</v>
      </c>
      <c r="C159" s="24" t="s">
        <v>177</v>
      </c>
      <c r="D159" s="24" t="s">
        <v>72</v>
      </c>
      <c r="E159" s="24" t="s">
        <v>83</v>
      </c>
      <c r="F159" s="70">
        <v>1.4343606597159515E-3</v>
      </c>
      <c r="G159" s="24">
        <v>8.2018500000000003</v>
      </c>
      <c r="H159" s="24">
        <v>7.3036240000000001</v>
      </c>
      <c r="I159" s="24">
        <v>7.8891530000000003</v>
      </c>
      <c r="J159" s="24">
        <v>7.7982089999999999</v>
      </c>
      <c r="K159" s="24">
        <v>5.1252959999999996</v>
      </c>
      <c r="L159" s="24">
        <v>5.6159739999999996</v>
      </c>
      <c r="M159" s="24">
        <v>525.77949999999998</v>
      </c>
      <c r="N159" s="24">
        <v>6.6536124380758359</v>
      </c>
      <c r="O159" s="24">
        <v>3.1</v>
      </c>
      <c r="P159" s="24">
        <v>4.5074626865671634</v>
      </c>
      <c r="Q159" s="24">
        <v>3.6926420448819175</v>
      </c>
      <c r="R159" s="24">
        <v>7.0300010000000004</v>
      </c>
      <c r="S159" s="24">
        <v>5.3945779332985087</v>
      </c>
      <c r="T159" s="21">
        <v>1</v>
      </c>
      <c r="U159" s="21" t="s">
        <v>141</v>
      </c>
      <c r="V159" s="70">
        <v>-2.8566023829536116E-2</v>
      </c>
      <c r="W159" s="70">
        <v>3.1433976170463881E-2</v>
      </c>
      <c r="X159" s="24">
        <v>0.95163033120536478</v>
      </c>
      <c r="Y159" s="24" t="s">
        <v>1688</v>
      </c>
      <c r="Z159" s="75">
        <v>16014.6</v>
      </c>
      <c r="AA159" t="s">
        <v>1415</v>
      </c>
      <c r="AB159" s="24">
        <v>2.4131944444444446</v>
      </c>
    </row>
    <row r="160" spans="1:28" x14ac:dyDescent="0.55000000000000004">
      <c r="A160" s="24" t="s">
        <v>381</v>
      </c>
      <c r="B160" s="24" t="s">
        <v>1026</v>
      </c>
      <c r="C160" s="24" t="s">
        <v>112</v>
      </c>
      <c r="D160" s="24" t="s">
        <v>72</v>
      </c>
      <c r="E160" s="24" t="s">
        <v>84</v>
      </c>
      <c r="F160" s="70">
        <v>1.4308617972122151E-3</v>
      </c>
      <c r="G160" s="24">
        <v>7.5294939999999997</v>
      </c>
      <c r="H160" s="24">
        <v>6.8718450000000004</v>
      </c>
      <c r="I160" s="24">
        <v>6.3093370000000002</v>
      </c>
      <c r="J160" s="24">
        <v>6.9035589999999996</v>
      </c>
      <c r="K160" s="24">
        <v>0.98690060000000002</v>
      </c>
      <c r="L160" s="24">
        <v>3.3135629999999998</v>
      </c>
      <c r="M160" s="24">
        <v>75.245000000000005</v>
      </c>
      <c r="N160" s="24">
        <v>8.2033936342622091</v>
      </c>
      <c r="O160" s="24">
        <v>9</v>
      </c>
      <c r="P160" s="24">
        <v>5.1641791044776122</v>
      </c>
      <c r="Q160" s="24">
        <v>0.48643612196578917</v>
      </c>
      <c r="R160" s="24">
        <v>3.05</v>
      </c>
      <c r="S160" s="24">
        <v>4.0061538102161798</v>
      </c>
      <c r="T160" s="21">
        <v>1</v>
      </c>
      <c r="U160" s="21" t="s">
        <v>141</v>
      </c>
      <c r="V160" s="70">
        <v>-2.8569522692039852E-2</v>
      </c>
      <c r="W160" s="70">
        <v>3.1430477307960142E-2</v>
      </c>
      <c r="X160" s="24">
        <v>0.4958848607758517</v>
      </c>
      <c r="Y160" s="24" t="s">
        <v>1637</v>
      </c>
      <c r="Z160" s="75">
        <v>16150.59</v>
      </c>
      <c r="AA160" t="s">
        <v>1415</v>
      </c>
      <c r="AB160" s="24">
        <v>2.6388888888888888</v>
      </c>
    </row>
    <row r="161" spans="1:28" x14ac:dyDescent="0.55000000000000004">
      <c r="A161" s="24" t="s">
        <v>367</v>
      </c>
      <c r="B161" s="24" t="s">
        <v>1081</v>
      </c>
      <c r="C161" s="24" t="s">
        <v>108</v>
      </c>
      <c r="D161" s="24" t="s">
        <v>72</v>
      </c>
      <c r="E161" s="24" t="s">
        <v>82</v>
      </c>
      <c r="F161" s="70">
        <v>1.4298686352982252E-3</v>
      </c>
      <c r="G161" s="24">
        <v>7.7756319999999999</v>
      </c>
      <c r="H161" s="24">
        <v>5.0469160000000004</v>
      </c>
      <c r="I161" s="24">
        <v>5.7541070000000003</v>
      </c>
      <c r="J161" s="24">
        <v>6.113048</v>
      </c>
      <c r="K161" s="24">
        <v>7.7176340000000003</v>
      </c>
      <c r="L161" s="24">
        <v>11.516080000000001</v>
      </c>
      <c r="M161" s="24">
        <v>0.38084000000000001</v>
      </c>
      <c r="N161" s="24">
        <v>5.3437220597489477</v>
      </c>
      <c r="O161" s="24">
        <v>2.8</v>
      </c>
      <c r="P161" s="24">
        <v>6.8817211700775456</v>
      </c>
      <c r="Q161" s="24">
        <v>4.9302915082382777</v>
      </c>
      <c r="R161" s="24">
        <v>6.97</v>
      </c>
      <c r="S161" s="24">
        <v>5.7195821149483503</v>
      </c>
      <c r="T161" s="21">
        <v>1</v>
      </c>
      <c r="U161" s="21" t="s">
        <v>141</v>
      </c>
      <c r="V161" s="70">
        <v>-2.8569746875449706E-2</v>
      </c>
      <c r="W161" s="70">
        <v>3.1430253124550292E-2</v>
      </c>
      <c r="X161" s="24">
        <v>0.980160737385394</v>
      </c>
      <c r="Y161" s="24" t="s">
        <v>1938</v>
      </c>
      <c r="Z161" s="75">
        <v>18125.73</v>
      </c>
      <c r="AA161" t="s">
        <v>1415</v>
      </c>
      <c r="AB161" s="24">
        <v>2.4786324786324787</v>
      </c>
    </row>
    <row r="162" spans="1:28" x14ac:dyDescent="0.55000000000000004">
      <c r="A162" s="24" t="s">
        <v>374</v>
      </c>
      <c r="B162" s="24" t="s">
        <v>1041</v>
      </c>
      <c r="C162" s="24" t="s">
        <v>110</v>
      </c>
      <c r="D162" s="24" t="s">
        <v>72</v>
      </c>
      <c r="E162" s="24" t="s">
        <v>89</v>
      </c>
      <c r="F162" s="70">
        <v>1.4231024491025261E-3</v>
      </c>
      <c r="G162" s="24">
        <v>5.3711700000000002</v>
      </c>
      <c r="H162" s="24">
        <v>7.272583</v>
      </c>
      <c r="I162" s="24">
        <v>4.6423699999999997</v>
      </c>
      <c r="J162" s="24">
        <v>5.7229539999999997</v>
      </c>
      <c r="K162" s="24">
        <v>3.3946489999999998</v>
      </c>
      <c r="L162" s="24">
        <v>4.9081130000000002</v>
      </c>
      <c r="M162" s="24">
        <v>53.053699999999999</v>
      </c>
      <c r="N162" s="24">
        <v>2.7382756542781213</v>
      </c>
      <c r="O162" s="24">
        <v>8.5</v>
      </c>
      <c r="P162" s="24">
        <v>7.4774774774774766</v>
      </c>
      <c r="Q162" s="24">
        <v>3.0269665781319173</v>
      </c>
      <c r="R162" s="24">
        <v>6.42</v>
      </c>
      <c r="S162" s="24">
        <v>3.9481321603570798</v>
      </c>
      <c r="T162" s="21">
        <v>1</v>
      </c>
      <c r="U162" s="21" t="s">
        <v>141</v>
      </c>
      <c r="V162" s="70">
        <v>-2.8577282040149542E-2</v>
      </c>
      <c r="W162" s="70">
        <v>3.1422717959850452E-2</v>
      </c>
      <c r="X162" s="24">
        <v>0.48734415828717603</v>
      </c>
      <c r="Y162" s="24" t="s">
        <v>1580</v>
      </c>
      <c r="Z162" s="75">
        <v>14897.03</v>
      </c>
      <c r="AA162" t="s">
        <v>1415</v>
      </c>
      <c r="AB162" s="24">
        <v>2.577854671280277</v>
      </c>
    </row>
    <row r="163" spans="1:28" x14ac:dyDescent="0.55000000000000004">
      <c r="A163" s="24" t="s">
        <v>364</v>
      </c>
      <c r="B163" s="24" t="s">
        <v>841</v>
      </c>
      <c r="C163" s="24" t="s">
        <v>107</v>
      </c>
      <c r="D163" s="24" t="s">
        <v>72</v>
      </c>
      <c r="E163" s="24" t="s">
        <v>82</v>
      </c>
      <c r="F163" s="70">
        <v>1.4165570941899292E-3</v>
      </c>
      <c r="G163" s="24">
        <v>5.9924780000000002</v>
      </c>
      <c r="H163" s="24">
        <v>5.9013600000000004</v>
      </c>
      <c r="I163" s="24">
        <v>4.5169670000000002</v>
      </c>
      <c r="J163" s="24">
        <v>5.4441579999999998</v>
      </c>
      <c r="K163" s="24">
        <v>7.6459380000000001</v>
      </c>
      <c r="L163" s="24">
        <v>15.684850000000001</v>
      </c>
      <c r="M163" s="24">
        <v>3.3029999999999999</v>
      </c>
      <c r="N163" s="24">
        <v>7.1688825466948911</v>
      </c>
      <c r="O163" s="24">
        <v>6.6</v>
      </c>
      <c r="P163" s="24">
        <v>2.0698926956873862</v>
      </c>
      <c r="Q163" s="24">
        <v>7.8256583579777503</v>
      </c>
      <c r="R163" s="24">
        <v>6.01</v>
      </c>
      <c r="S163" s="24">
        <v>6.0961693870191089</v>
      </c>
      <c r="T163" s="21">
        <v>1</v>
      </c>
      <c r="U163" s="21" t="s">
        <v>141</v>
      </c>
      <c r="V163" s="70">
        <v>-2.8583827395062138E-2</v>
      </c>
      <c r="W163" s="70">
        <v>3.1416172604937856E-2</v>
      </c>
      <c r="X163" s="24">
        <v>0.93068893629472116</v>
      </c>
      <c r="Y163" s="24" t="s">
        <v>1701</v>
      </c>
      <c r="Z163" s="75">
        <v>13791.84</v>
      </c>
      <c r="AA163" t="s">
        <v>1415</v>
      </c>
      <c r="AB163" s="24">
        <v>2.4273504273504272</v>
      </c>
    </row>
    <row r="164" spans="1:28" x14ac:dyDescent="0.55000000000000004">
      <c r="A164" s="24" t="s">
        <v>369</v>
      </c>
      <c r="B164" s="24" t="s">
        <v>891</v>
      </c>
      <c r="C164" s="24" t="s">
        <v>106</v>
      </c>
      <c r="D164" s="24" t="s">
        <v>72</v>
      </c>
      <c r="E164" s="24" t="s">
        <v>90</v>
      </c>
      <c r="F164" s="70">
        <v>1.4146872150124169E-3</v>
      </c>
      <c r="G164" s="24">
        <v>7.9849629999999996</v>
      </c>
      <c r="H164" s="24">
        <v>5.7460339999999999</v>
      </c>
      <c r="I164" s="24">
        <v>7.0666349999999998</v>
      </c>
      <c r="J164" s="24">
        <v>6.8799229999999998</v>
      </c>
      <c r="K164" s="24">
        <v>7.3506270000000002</v>
      </c>
      <c r="L164" s="24">
        <v>11.462569999999999</v>
      </c>
      <c r="M164" s="24">
        <v>2.3593000000000002</v>
      </c>
      <c r="N164" s="24">
        <v>5.6851514979446138</v>
      </c>
      <c r="O164" s="24">
        <v>8.4</v>
      </c>
      <c r="P164" s="24">
        <v>3.1362014124947759</v>
      </c>
      <c r="Q164" s="24">
        <v>5.8132657372201102</v>
      </c>
      <c r="R164" s="24">
        <v>6.1</v>
      </c>
      <c r="S164" s="24">
        <v>5.2515171677681565</v>
      </c>
      <c r="T164" s="21">
        <v>1</v>
      </c>
      <c r="U164" s="21" t="s">
        <v>141</v>
      </c>
      <c r="V164" s="70">
        <v>-2.8584928295735511E-2</v>
      </c>
      <c r="W164" s="70">
        <v>3.1415071704264483E-2</v>
      </c>
      <c r="X164" s="24">
        <v>1.0655755940536273</v>
      </c>
      <c r="Y164" s="24" t="s">
        <v>1852</v>
      </c>
      <c r="Z164" s="75">
        <v>15698.93</v>
      </c>
      <c r="AA164" t="s">
        <v>1415</v>
      </c>
      <c r="AB164" s="24">
        <v>2.5128205128205128</v>
      </c>
    </row>
    <row r="165" spans="1:28" x14ac:dyDescent="0.55000000000000004">
      <c r="A165" s="24" t="s">
        <v>385</v>
      </c>
      <c r="B165" s="24" t="s">
        <v>1104</v>
      </c>
      <c r="C165" s="24" t="s">
        <v>112</v>
      </c>
      <c r="D165" s="24" t="s">
        <v>72</v>
      </c>
      <c r="E165" s="24" t="s">
        <v>89</v>
      </c>
      <c r="F165" s="70">
        <v>1.4007968509708371E-3</v>
      </c>
      <c r="G165" s="24">
        <v>6.0072150000000004</v>
      </c>
      <c r="H165" s="24">
        <v>7.4912939999999999</v>
      </c>
      <c r="I165" s="24">
        <v>6.1542450000000004</v>
      </c>
      <c r="J165" s="24">
        <v>6.4965479999999998</v>
      </c>
      <c r="K165" s="24">
        <v>0.89262609999999998</v>
      </c>
      <c r="L165" s="24">
        <v>6.5297070000000001</v>
      </c>
      <c r="M165" s="24">
        <v>22.110800000000001</v>
      </c>
      <c r="N165" s="24">
        <v>4.9967588071424753</v>
      </c>
      <c r="O165" s="24">
        <v>9.4</v>
      </c>
      <c r="P165" s="24">
        <v>0.48048048048048042</v>
      </c>
      <c r="Q165" s="24">
        <v>2.8731374501992035</v>
      </c>
      <c r="R165" s="24">
        <v>2.87</v>
      </c>
      <c r="S165" s="24">
        <v>5.0614201486703747</v>
      </c>
      <c r="T165" s="21">
        <v>1</v>
      </c>
      <c r="U165" s="21" t="s">
        <v>141</v>
      </c>
      <c r="V165" s="70">
        <v>-2.8598818659777092E-2</v>
      </c>
      <c r="W165" s="70">
        <v>3.1401181340222906E-2</v>
      </c>
      <c r="X165" s="24">
        <v>0.61798415976535059</v>
      </c>
      <c r="Y165" s="24" t="s">
        <v>1615</v>
      </c>
      <c r="Z165" s="75">
        <v>15055.86</v>
      </c>
      <c r="AA165" t="s">
        <v>1415</v>
      </c>
      <c r="AB165" s="24">
        <v>2.7681660899653981</v>
      </c>
    </row>
    <row r="166" spans="1:28" x14ac:dyDescent="0.55000000000000004">
      <c r="A166" s="24" t="s">
        <v>372</v>
      </c>
      <c r="B166" s="24" t="s">
        <v>1085</v>
      </c>
      <c r="C166" s="24" t="s">
        <v>112</v>
      </c>
      <c r="D166" s="24" t="s">
        <v>72</v>
      </c>
      <c r="E166" s="24" t="s">
        <v>90</v>
      </c>
      <c r="F166" s="70">
        <v>1.3970057551277273E-3</v>
      </c>
      <c r="G166" s="24">
        <v>5.9027589999999996</v>
      </c>
      <c r="H166" s="24">
        <v>8.5040099999999992</v>
      </c>
      <c r="I166" s="24">
        <v>5.4855450000000001</v>
      </c>
      <c r="J166" s="24">
        <v>6.6671719999999999</v>
      </c>
      <c r="K166" s="24">
        <v>3.3450470000000001</v>
      </c>
      <c r="L166" s="24">
        <v>8.8378409999999992</v>
      </c>
      <c r="M166" s="24">
        <v>9.5777000000000001E-2</v>
      </c>
      <c r="N166" s="24">
        <v>8.6560494342827408</v>
      </c>
      <c r="O166" s="24">
        <v>5.6</v>
      </c>
      <c r="P166" s="24">
        <v>5.3584242320886277</v>
      </c>
      <c r="Q166" s="24">
        <v>4.1233629066328685</v>
      </c>
      <c r="R166" s="24">
        <v>4.22</v>
      </c>
      <c r="S166" s="24">
        <v>4.395841877715176</v>
      </c>
      <c r="T166" s="21">
        <v>1</v>
      </c>
      <c r="U166" s="21" t="s">
        <v>141</v>
      </c>
      <c r="V166" s="70">
        <v>-2.860273586453671E-2</v>
      </c>
      <c r="W166" s="70">
        <v>3.1397264135463288E-2</v>
      </c>
      <c r="X166" s="24">
        <v>0.59258448864346502</v>
      </c>
      <c r="Y166" s="24" t="s">
        <v>1612</v>
      </c>
      <c r="Z166" s="75">
        <v>15359.07</v>
      </c>
      <c r="AA166" t="s">
        <v>1415</v>
      </c>
      <c r="AB166" s="24">
        <v>2.5641025641025639</v>
      </c>
    </row>
    <row r="167" spans="1:28" x14ac:dyDescent="0.55000000000000004">
      <c r="A167" s="24" t="s">
        <v>373</v>
      </c>
      <c r="B167" s="24" t="s">
        <v>1198</v>
      </c>
      <c r="C167" s="24" t="s">
        <v>161</v>
      </c>
      <c r="D167" s="24" t="s">
        <v>72</v>
      </c>
      <c r="E167" s="24" t="s">
        <v>82</v>
      </c>
      <c r="F167" s="70">
        <v>1.3925040664439596E-3</v>
      </c>
      <c r="G167" s="24">
        <v>7.121245</v>
      </c>
      <c r="H167" s="24">
        <v>6.8722560000000001</v>
      </c>
      <c r="I167" s="24">
        <v>6.182423</v>
      </c>
      <c r="J167" s="24">
        <v>6.7055110000000004</v>
      </c>
      <c r="K167" s="24">
        <v>5.9915399999999996</v>
      </c>
      <c r="L167" s="24">
        <v>18.950489999999999</v>
      </c>
      <c r="M167" s="24">
        <v>9.5446000000000009</v>
      </c>
      <c r="N167" s="24">
        <v>6.0953252106015201</v>
      </c>
      <c r="O167" s="24">
        <v>9.5</v>
      </c>
      <c r="P167" s="24">
        <v>5.6720436206498528</v>
      </c>
      <c r="Q167" s="24">
        <v>7.3299535276721608</v>
      </c>
      <c r="R167" s="24">
        <v>5.41</v>
      </c>
      <c r="S167" s="24">
        <v>7.1861638051881291</v>
      </c>
      <c r="T167" s="21">
        <v>1</v>
      </c>
      <c r="U167" s="21" t="s">
        <v>1410</v>
      </c>
      <c r="V167" s="70">
        <v>-2.860711144430397E-2</v>
      </c>
      <c r="W167" s="70">
        <v>3.1392888555696025E-2</v>
      </c>
      <c r="X167" s="24">
        <v>0.94692157859958692</v>
      </c>
      <c r="Y167" s="24" t="s">
        <v>1503</v>
      </c>
      <c r="Z167" s="75">
        <v>15426.2</v>
      </c>
      <c r="AA167" t="s">
        <v>1415</v>
      </c>
      <c r="AB167" s="24">
        <v>2.5811965811965814</v>
      </c>
    </row>
    <row r="168" spans="1:28" x14ac:dyDescent="0.55000000000000004">
      <c r="A168" s="24" t="s">
        <v>386</v>
      </c>
      <c r="B168" s="24" t="s">
        <v>855</v>
      </c>
      <c r="C168" s="24" t="s">
        <v>112</v>
      </c>
      <c r="D168" s="24" t="s">
        <v>72</v>
      </c>
      <c r="E168" s="24" t="s">
        <v>88</v>
      </c>
      <c r="F168" s="70">
        <v>1.3587588080190736E-3</v>
      </c>
      <c r="G168" s="24">
        <v>7.8793150000000001</v>
      </c>
      <c r="H168" s="24">
        <v>5.205203</v>
      </c>
      <c r="I168" s="24">
        <v>8.0613890000000001</v>
      </c>
      <c r="J168" s="24">
        <v>7.1317029999999999</v>
      </c>
      <c r="K168" s="24">
        <v>1.889362</v>
      </c>
      <c r="L168" s="24">
        <v>4.5918299999999999</v>
      </c>
      <c r="M168" s="24">
        <v>18.3249</v>
      </c>
      <c r="N168" s="24">
        <v>6.1923346780662545</v>
      </c>
      <c r="O168" s="24">
        <v>3.6</v>
      </c>
      <c r="P168" s="24">
        <v>4.0273972602739718</v>
      </c>
      <c r="Q168" s="24">
        <v>4.3225034104512936</v>
      </c>
      <c r="R168" s="24">
        <v>6.77</v>
      </c>
      <c r="S168" s="24">
        <v>5.1524698856746589</v>
      </c>
      <c r="T168" s="21">
        <v>1</v>
      </c>
      <c r="U168" s="21" t="s">
        <v>141</v>
      </c>
      <c r="V168" s="70">
        <v>-2.8641625681232994E-2</v>
      </c>
      <c r="W168" s="70">
        <v>3.1358374318767E-2</v>
      </c>
      <c r="X168" s="24">
        <v>0.65837927185756195</v>
      </c>
      <c r="Y168" s="24" t="s">
        <v>1636</v>
      </c>
      <c r="Z168" s="75">
        <v>14975.88</v>
      </c>
      <c r="AA168" t="s">
        <v>1415</v>
      </c>
      <c r="AB168" s="24">
        <v>3.0034722222222223</v>
      </c>
    </row>
    <row r="169" spans="1:28" x14ac:dyDescent="0.55000000000000004">
      <c r="A169" s="24" t="s">
        <v>384</v>
      </c>
      <c r="B169" s="24" t="s">
        <v>1290</v>
      </c>
      <c r="C169" s="24" t="s">
        <v>110</v>
      </c>
      <c r="D169" s="24" t="s">
        <v>72</v>
      </c>
      <c r="E169" s="24" t="s">
        <v>97</v>
      </c>
      <c r="F169" s="70">
        <v>1.3567771868070032E-3</v>
      </c>
      <c r="G169" s="24">
        <v>9.2414679999999993</v>
      </c>
      <c r="H169" s="24">
        <v>8.082611</v>
      </c>
      <c r="I169" s="24">
        <v>7.0111470000000002</v>
      </c>
      <c r="J169" s="24">
        <v>8.1117419999999996</v>
      </c>
      <c r="K169" s="24">
        <v>3.9819</v>
      </c>
      <c r="L169" s="24">
        <v>6.2984200000000001</v>
      </c>
      <c r="M169" s="24">
        <v>23.138300000000001</v>
      </c>
      <c r="N169" s="24">
        <v>4.6042293290495877</v>
      </c>
      <c r="O169" s="24">
        <v>1.7</v>
      </c>
      <c r="P169" s="24">
        <v>8.4210526315789469</v>
      </c>
      <c r="Q169" s="24">
        <v>3.7171902115001236</v>
      </c>
      <c r="R169" s="24">
        <v>4.3600000000000003</v>
      </c>
      <c r="S169" s="24">
        <v>5.4834060520863979</v>
      </c>
      <c r="T169" s="21">
        <v>1</v>
      </c>
      <c r="U169" s="21" t="s">
        <v>141</v>
      </c>
      <c r="V169" s="70">
        <v>-2.8643607302445064E-2</v>
      </c>
      <c r="W169" s="70">
        <v>3.1356392697554934E-2</v>
      </c>
      <c r="X169" s="24">
        <v>5.0733919628913699E-3</v>
      </c>
      <c r="Y169" s="24" t="s">
        <v>1528</v>
      </c>
      <c r="Z169" s="75">
        <v>14911.55</v>
      </c>
      <c r="AA169" t="s">
        <v>1415</v>
      </c>
      <c r="AB169" s="24">
        <v>2.679509632224168</v>
      </c>
    </row>
    <row r="170" spans="1:28" x14ac:dyDescent="0.55000000000000004">
      <c r="A170" s="24" t="s">
        <v>391</v>
      </c>
      <c r="B170" s="24" t="s">
        <v>1194</v>
      </c>
      <c r="C170" s="24" t="s">
        <v>111</v>
      </c>
      <c r="D170" s="24" t="s">
        <v>72</v>
      </c>
      <c r="E170" s="24" t="s">
        <v>89</v>
      </c>
      <c r="F170" s="70">
        <v>1.3537527124116106E-3</v>
      </c>
      <c r="G170" s="24">
        <v>8.3466590000000007</v>
      </c>
      <c r="H170" s="24">
        <v>8.2443340000000003</v>
      </c>
      <c r="I170" s="24">
        <v>7.7839929999999997</v>
      </c>
      <c r="J170" s="24">
        <v>8.1471610000000005</v>
      </c>
      <c r="K170" s="24">
        <v>4.8325870000000002</v>
      </c>
      <c r="L170" s="24">
        <v>7.6220249999999998</v>
      </c>
      <c r="M170" s="24">
        <v>60.317599999999999</v>
      </c>
      <c r="N170" s="24">
        <v>9.1527979618414523</v>
      </c>
      <c r="O170" s="24">
        <v>7.1</v>
      </c>
      <c r="P170" s="24">
        <v>6.4564564564564551</v>
      </c>
      <c r="Q170" s="24">
        <v>5.4836210712704734</v>
      </c>
      <c r="R170" s="24">
        <v>7.7000010000000003</v>
      </c>
      <c r="S170" s="24">
        <v>7.2090619373926099</v>
      </c>
      <c r="T170" s="21">
        <v>1</v>
      </c>
      <c r="U170" s="21" t="s">
        <v>117</v>
      </c>
      <c r="V170" s="70">
        <v>-2.8646631776840459E-2</v>
      </c>
      <c r="W170" s="70">
        <v>3.1353368223159539E-2</v>
      </c>
      <c r="X170" s="24">
        <v>0.67563533304437207</v>
      </c>
      <c r="Y170" s="24" t="s">
        <v>1441</v>
      </c>
      <c r="Z170" s="75">
        <v>13892.27</v>
      </c>
      <c r="AA170" t="s">
        <v>1415</v>
      </c>
      <c r="AB170" s="24">
        <v>2.8719723183391004</v>
      </c>
    </row>
    <row r="171" spans="1:28" x14ac:dyDescent="0.55000000000000004">
      <c r="A171" s="24" t="s">
        <v>383</v>
      </c>
      <c r="B171" s="24" t="s">
        <v>997</v>
      </c>
      <c r="C171" s="24" t="s">
        <v>125</v>
      </c>
      <c r="D171" s="24" t="s">
        <v>72</v>
      </c>
      <c r="E171" s="24" t="s">
        <v>97</v>
      </c>
      <c r="F171" s="70">
        <v>1.3331488559000456E-3</v>
      </c>
      <c r="G171" s="24">
        <v>6.814991</v>
      </c>
      <c r="H171" s="24">
        <v>4.9945510000000004</v>
      </c>
      <c r="I171" s="24">
        <v>6.2103140000000003</v>
      </c>
      <c r="J171" s="24">
        <v>6.0066189999999997</v>
      </c>
      <c r="K171" s="24">
        <v>4.6162749999999999</v>
      </c>
      <c r="L171" s="24">
        <v>6.9136069999999998</v>
      </c>
      <c r="M171" s="24">
        <v>43.445300000000003</v>
      </c>
      <c r="N171" s="24">
        <v>5.9788509982567382</v>
      </c>
      <c r="O171" s="24">
        <v>7.2</v>
      </c>
      <c r="P171" s="24">
        <v>8.9097744360902258</v>
      </c>
      <c r="Q171" s="24">
        <v>2.488361098641624</v>
      </c>
      <c r="R171" s="24">
        <v>6.18</v>
      </c>
      <c r="S171" s="24">
        <v>6.2414601732841533</v>
      </c>
      <c r="T171" s="21">
        <v>1</v>
      </c>
      <c r="U171" s="21" t="s">
        <v>141</v>
      </c>
      <c r="V171" s="70">
        <v>-2.8667235633352023E-2</v>
      </c>
      <c r="W171" s="70">
        <v>3.1332764366647975E-2</v>
      </c>
      <c r="X171" s="24">
        <v>0.10719610643456522</v>
      </c>
      <c r="Y171" s="24" t="s">
        <v>1902</v>
      </c>
      <c r="Z171" s="75">
        <v>13870.14</v>
      </c>
      <c r="AA171" t="s">
        <v>1415</v>
      </c>
      <c r="AB171" s="24">
        <v>2.6619964973730297</v>
      </c>
    </row>
    <row r="172" spans="1:28" x14ac:dyDescent="0.55000000000000004">
      <c r="A172" s="24" t="s">
        <v>382</v>
      </c>
      <c r="B172" s="24" t="s">
        <v>897</v>
      </c>
      <c r="C172" s="24" t="s">
        <v>106</v>
      </c>
      <c r="D172" s="24" t="s">
        <v>72</v>
      </c>
      <c r="E172" s="24" t="s">
        <v>95</v>
      </c>
      <c r="F172" s="70">
        <v>1.3289450672949836E-3</v>
      </c>
      <c r="G172" s="24">
        <v>1.9361379999999999</v>
      </c>
      <c r="H172" s="24">
        <v>4.97255</v>
      </c>
      <c r="I172" s="24">
        <v>5.5530660000000003</v>
      </c>
      <c r="J172" s="24">
        <v>4.5974740000000001</v>
      </c>
      <c r="K172" s="24">
        <v>2.3196680000000001</v>
      </c>
      <c r="L172" s="24">
        <v>7.5681130000000003</v>
      </c>
      <c r="M172" s="24">
        <v>40.513300000000001</v>
      </c>
      <c r="N172" s="24">
        <v>5.7268170961551732</v>
      </c>
      <c r="O172" s="24">
        <v>9.6</v>
      </c>
      <c r="P172" s="24">
        <v>8.29192546583851</v>
      </c>
      <c r="Q172" s="24">
        <v>4.2592639269902488</v>
      </c>
      <c r="R172" s="24">
        <v>4.3</v>
      </c>
      <c r="S172" s="24">
        <v>6.5851371069844484</v>
      </c>
      <c r="T172" s="21">
        <v>1</v>
      </c>
      <c r="U172" s="21" t="s">
        <v>141</v>
      </c>
      <c r="V172" s="70">
        <v>-2.8670670443452947E-2</v>
      </c>
      <c r="W172" s="70">
        <v>3.1329329556547054E-2</v>
      </c>
      <c r="X172" s="24">
        <v>1.0142555009359231</v>
      </c>
      <c r="Y172" s="24" t="s">
        <v>1799</v>
      </c>
      <c r="Z172" s="75">
        <v>13998.23</v>
      </c>
      <c r="AA172" t="s">
        <v>1415</v>
      </c>
      <c r="AB172" s="24">
        <v>2.7615780445969125</v>
      </c>
    </row>
    <row r="173" spans="1:28" x14ac:dyDescent="0.55000000000000004">
      <c r="A173" s="24" t="s">
        <v>375</v>
      </c>
      <c r="B173" s="24" t="s">
        <v>840</v>
      </c>
      <c r="C173" s="24" t="s">
        <v>107</v>
      </c>
      <c r="D173" s="24" t="s">
        <v>72</v>
      </c>
      <c r="E173" s="24" t="s">
        <v>89</v>
      </c>
      <c r="F173" s="70">
        <v>1.3272006057806361E-3</v>
      </c>
      <c r="G173" s="24">
        <v>6.5902919999999998</v>
      </c>
      <c r="H173" s="24">
        <v>5.3236699999999999</v>
      </c>
      <c r="I173" s="24">
        <v>4.8053359999999996</v>
      </c>
      <c r="J173" s="24">
        <v>5.6748190000000003</v>
      </c>
      <c r="K173" s="24">
        <v>2.4214989999999998</v>
      </c>
      <c r="L173" s="24">
        <v>6.384239</v>
      </c>
      <c r="M173" s="24">
        <v>14.178100000000001</v>
      </c>
      <c r="N173" s="24">
        <v>3.5552196431718324</v>
      </c>
      <c r="O173" s="24">
        <v>3.4</v>
      </c>
      <c r="P173" s="24">
        <v>3.4834834834834827</v>
      </c>
      <c r="Q173" s="24">
        <v>5.2480821159805222</v>
      </c>
      <c r="R173" s="24">
        <v>6.03</v>
      </c>
      <c r="S173" s="24">
        <v>4.9655696579980049</v>
      </c>
      <c r="T173" s="21">
        <v>1</v>
      </c>
      <c r="U173" s="21" t="s">
        <v>141</v>
      </c>
      <c r="V173" s="70">
        <v>-2.8672607027819288E-2</v>
      </c>
      <c r="W173" s="70">
        <v>3.1327392972180713E-2</v>
      </c>
      <c r="X173" s="24">
        <v>0.53979408881591506</v>
      </c>
      <c r="Y173" s="24" t="s">
        <v>1719</v>
      </c>
      <c r="Z173" s="75">
        <v>13878.88</v>
      </c>
      <c r="AA173" t="s">
        <v>1415</v>
      </c>
      <c r="AB173" s="24">
        <v>2.5951557093425603</v>
      </c>
    </row>
    <row r="174" spans="1:28" x14ac:dyDescent="0.55000000000000004">
      <c r="A174" s="24" t="s">
        <v>390</v>
      </c>
      <c r="B174" s="24" t="s">
        <v>894</v>
      </c>
      <c r="C174" s="24" t="s">
        <v>106</v>
      </c>
      <c r="D174" s="24" t="s">
        <v>72</v>
      </c>
      <c r="E174" s="24" t="s">
        <v>89</v>
      </c>
      <c r="F174" s="70">
        <v>1.3233788628332608E-3</v>
      </c>
      <c r="G174" s="24">
        <v>5.26614</v>
      </c>
      <c r="H174" s="24">
        <v>5.8013919999999999</v>
      </c>
      <c r="I174" s="24">
        <v>6.8645800000000001</v>
      </c>
      <c r="J174" s="24">
        <v>5.9062479999999997</v>
      </c>
      <c r="K174" s="24">
        <v>2.09015</v>
      </c>
      <c r="L174" s="24">
        <v>6.3701999999999996</v>
      </c>
      <c r="M174" s="24">
        <v>9.1598000000000006</v>
      </c>
      <c r="N174" s="24">
        <v>3.8318563288585983</v>
      </c>
      <c r="O174" s="24">
        <v>8.4</v>
      </c>
      <c r="P174" s="24">
        <v>6.0960960960960957</v>
      </c>
      <c r="Q174" s="24">
        <v>6.0150143868968575</v>
      </c>
      <c r="R174" s="24">
        <v>5.21</v>
      </c>
      <c r="S174" s="24">
        <v>5.8329559748307211</v>
      </c>
      <c r="T174" s="21">
        <v>1</v>
      </c>
      <c r="U174" s="21" t="s">
        <v>141</v>
      </c>
      <c r="V174" s="70">
        <v>-2.8677005626418808E-2</v>
      </c>
      <c r="W174" s="70">
        <v>3.1322994373581187E-2</v>
      </c>
      <c r="X174" s="24">
        <v>0.65210232961702264</v>
      </c>
      <c r="Y174" s="24" t="s">
        <v>1805</v>
      </c>
      <c r="Z174" s="75">
        <v>14342.05</v>
      </c>
      <c r="AA174" t="s">
        <v>1415</v>
      </c>
      <c r="AB174" s="24">
        <v>2.8546712802768166</v>
      </c>
    </row>
    <row r="175" spans="1:28" x14ac:dyDescent="0.55000000000000004">
      <c r="A175" s="24" t="s">
        <v>388</v>
      </c>
      <c r="B175" s="24" t="s">
        <v>966</v>
      </c>
      <c r="C175" s="24" t="s">
        <v>105</v>
      </c>
      <c r="D175" s="24" t="s">
        <v>72</v>
      </c>
      <c r="E175" s="24" t="s">
        <v>82</v>
      </c>
      <c r="F175" s="70">
        <v>1.3164592016917172E-3</v>
      </c>
      <c r="G175" s="24">
        <v>8.4537469999999999</v>
      </c>
      <c r="H175" s="24">
        <v>3.8267069999999999</v>
      </c>
      <c r="I175" s="24">
        <v>5.2262570000000004</v>
      </c>
      <c r="J175" s="24">
        <v>5.7046619999999999</v>
      </c>
      <c r="K175" s="24">
        <v>10.826560000000001</v>
      </c>
      <c r="L175" s="24">
        <v>11.637259999999999</v>
      </c>
      <c r="M175" s="24">
        <v>1.3503000000000001</v>
      </c>
      <c r="N175" s="24">
        <v>3.347846166262427</v>
      </c>
      <c r="O175" s="24">
        <v>2.7</v>
      </c>
      <c r="P175" s="24">
        <v>5.3494629408024661</v>
      </c>
      <c r="Q175" s="24">
        <v>6.1442050415434455</v>
      </c>
      <c r="R175" s="24">
        <v>6.9600010000000001</v>
      </c>
      <c r="S175" s="24">
        <v>4.9553345552946748</v>
      </c>
      <c r="T175" s="21">
        <v>1</v>
      </c>
      <c r="U175" s="21" t="s">
        <v>141</v>
      </c>
      <c r="V175" s="70">
        <v>-2.8683925287560353E-2</v>
      </c>
      <c r="W175" s="70">
        <v>3.1316074712439648E-2</v>
      </c>
      <c r="X175" s="24">
        <v>1.0006252769059414</v>
      </c>
      <c r="Y175" s="24" t="s">
        <v>1984</v>
      </c>
      <c r="Z175" s="75">
        <v>12784.66</v>
      </c>
      <c r="AA175" t="s">
        <v>1415</v>
      </c>
      <c r="AB175" s="24">
        <v>2.8376068376068373</v>
      </c>
    </row>
    <row r="176" spans="1:28" x14ac:dyDescent="0.55000000000000004">
      <c r="A176" s="24" t="s">
        <v>366</v>
      </c>
      <c r="B176" s="24" t="s">
        <v>1171</v>
      </c>
      <c r="C176" s="24" t="s">
        <v>127</v>
      </c>
      <c r="D176" s="24" t="s">
        <v>72</v>
      </c>
      <c r="E176" s="24" t="s">
        <v>88</v>
      </c>
      <c r="F176" s="70">
        <v>1.3128344090815619E-3</v>
      </c>
      <c r="G176" s="24">
        <v>6.3089440000000003</v>
      </c>
      <c r="H176" s="24">
        <v>4.9699600000000004</v>
      </c>
      <c r="I176" s="24">
        <v>3.374403</v>
      </c>
      <c r="J176" s="24">
        <v>4.5995340000000002</v>
      </c>
      <c r="K176" s="24">
        <v>0</v>
      </c>
      <c r="L176" s="24">
        <v>3.9600719999999998</v>
      </c>
      <c r="M176" s="24">
        <v>15.4208</v>
      </c>
      <c r="N176" s="24">
        <v>7.9274739333196989</v>
      </c>
      <c r="O176" s="24">
        <v>3.8</v>
      </c>
      <c r="P176" s="24">
        <v>8.7671232876712324</v>
      </c>
      <c r="Q176" s="24">
        <v>4.8921183774603971</v>
      </c>
      <c r="R176" s="24">
        <v>0</v>
      </c>
      <c r="S176" s="24">
        <v>5.4720847730495432</v>
      </c>
      <c r="T176" s="21">
        <v>1</v>
      </c>
      <c r="U176" s="21" t="s">
        <v>141</v>
      </c>
      <c r="V176" s="70">
        <v>-2.8687206972385797E-2</v>
      </c>
      <c r="W176" s="70">
        <v>3.1312793027614201E-2</v>
      </c>
      <c r="X176" s="24">
        <v>0.99619377838826284</v>
      </c>
      <c r="Y176" s="24" t="s">
        <v>1644</v>
      </c>
      <c r="Z176" s="75">
        <v>14036.54</v>
      </c>
      <c r="AA176" t="s">
        <v>1415</v>
      </c>
      <c r="AB176" s="24">
        <v>2.65625</v>
      </c>
    </row>
    <row r="177" spans="1:28" x14ac:dyDescent="0.55000000000000004">
      <c r="A177" s="24" t="s">
        <v>389</v>
      </c>
      <c r="B177" s="24" t="s">
        <v>854</v>
      </c>
      <c r="C177" s="24" t="s">
        <v>112</v>
      </c>
      <c r="D177" s="24" t="s">
        <v>72</v>
      </c>
      <c r="E177" s="24" t="s">
        <v>88</v>
      </c>
      <c r="F177" s="70">
        <v>1.3100379483095732E-3</v>
      </c>
      <c r="G177" s="24">
        <v>5.4089970000000003</v>
      </c>
      <c r="H177" s="24">
        <v>7.3792289999999996</v>
      </c>
      <c r="I177" s="24">
        <v>7.8007340000000003</v>
      </c>
      <c r="J177" s="24">
        <v>7.1537839999999999</v>
      </c>
      <c r="K177" s="24">
        <v>2.5491090000000001</v>
      </c>
      <c r="L177" s="24">
        <v>10.30165</v>
      </c>
      <c r="M177" s="24">
        <v>40.606099999999998</v>
      </c>
      <c r="N177" s="24">
        <v>0</v>
      </c>
      <c r="O177" s="24">
        <v>7.1</v>
      </c>
      <c r="P177" s="24">
        <v>1.506849315068493</v>
      </c>
      <c r="Q177" s="24">
        <v>9.254803307441744</v>
      </c>
      <c r="R177" s="24">
        <v>6.26</v>
      </c>
      <c r="S177" s="24">
        <v>6.5658138153260399</v>
      </c>
      <c r="T177" s="21">
        <v>1</v>
      </c>
      <c r="U177" s="21" t="s">
        <v>141</v>
      </c>
      <c r="V177" s="70">
        <v>-2.8690346540942494E-2</v>
      </c>
      <c r="W177" s="70">
        <v>3.13096534590575E-2</v>
      </c>
      <c r="X177" s="24">
        <v>0.75165875173245167</v>
      </c>
      <c r="Y177" s="24" t="s">
        <v>1592</v>
      </c>
      <c r="Z177" s="75">
        <v>14074.12</v>
      </c>
      <c r="AA177" t="s">
        <v>1415</v>
      </c>
      <c r="AB177" s="24">
        <v>3.0555555555555558</v>
      </c>
    </row>
    <row r="178" spans="1:28" x14ac:dyDescent="0.55000000000000004">
      <c r="A178" s="24" t="s">
        <v>393</v>
      </c>
      <c r="B178" s="24" t="s">
        <v>1013</v>
      </c>
      <c r="C178" s="24" t="s">
        <v>126</v>
      </c>
      <c r="D178" s="24" t="s">
        <v>72</v>
      </c>
      <c r="E178" s="24" t="s">
        <v>87</v>
      </c>
      <c r="F178" s="70">
        <v>1.2642414811160666E-3</v>
      </c>
      <c r="G178" s="24">
        <v>6.7405889999999999</v>
      </c>
      <c r="H178" s="24">
        <v>7.4027649999999996</v>
      </c>
      <c r="I178" s="24">
        <v>7.957859</v>
      </c>
      <c r="J178" s="24">
        <v>7.3044229999999999</v>
      </c>
      <c r="K178" s="24">
        <v>1.358935</v>
      </c>
      <c r="L178" s="24">
        <v>5.873278</v>
      </c>
      <c r="M178" s="24">
        <v>100.68380000000001</v>
      </c>
      <c r="N178" s="24">
        <v>2.1525039620816964</v>
      </c>
      <c r="O178" s="24">
        <v>6.8</v>
      </c>
      <c r="P178" s="24">
        <v>4.6861924686192467</v>
      </c>
      <c r="Q178" s="24">
        <v>3.4358324087282721</v>
      </c>
      <c r="R178" s="24">
        <v>3.32</v>
      </c>
      <c r="S178" s="24">
        <v>3.8711734897318033</v>
      </c>
      <c r="T178" s="21">
        <v>1</v>
      </c>
      <c r="U178" s="21" t="s">
        <v>141</v>
      </c>
      <c r="V178" s="70">
        <v>-2.8736143008136001E-2</v>
      </c>
      <c r="W178" s="70">
        <v>3.1263856991863993E-2</v>
      </c>
      <c r="X178" s="24">
        <v>0.26830426510376848</v>
      </c>
      <c r="Y178" s="24" t="s">
        <v>1861</v>
      </c>
      <c r="Z178" s="75">
        <v>13879.31</v>
      </c>
      <c r="AA178" t="s">
        <v>1415</v>
      </c>
      <c r="AB178" s="24">
        <v>3.1616341030195381</v>
      </c>
    </row>
    <row r="179" spans="1:28" x14ac:dyDescent="0.55000000000000004">
      <c r="A179" s="24" t="s">
        <v>370</v>
      </c>
      <c r="B179" s="24" t="s">
        <v>1252</v>
      </c>
      <c r="C179" s="24" t="s">
        <v>110</v>
      </c>
      <c r="D179" s="24" t="s">
        <v>72</v>
      </c>
      <c r="E179" s="24" t="s">
        <v>89</v>
      </c>
      <c r="F179" s="70">
        <v>1.2554122577156188E-3</v>
      </c>
      <c r="G179" s="24">
        <v>7.0136979999999998</v>
      </c>
      <c r="H179" s="24">
        <v>3.859953</v>
      </c>
      <c r="I179" s="24">
        <v>2.822546</v>
      </c>
      <c r="J179" s="24">
        <v>4.8102289999999996</v>
      </c>
      <c r="K179" s="24">
        <v>3.613845</v>
      </c>
      <c r="L179" s="24">
        <v>3.5910639999999998</v>
      </c>
      <c r="M179" s="24">
        <v>7.5857000000000001</v>
      </c>
      <c r="N179" s="24">
        <v>2.8571423013986461</v>
      </c>
      <c r="O179" s="24">
        <v>4.5</v>
      </c>
      <c r="P179" s="24">
        <v>7.8078078078078068</v>
      </c>
      <c r="Q179" s="24">
        <v>3.7219643647631702</v>
      </c>
      <c r="R179" s="24">
        <v>6.63</v>
      </c>
      <c r="S179" s="24">
        <v>3.5485922083952852</v>
      </c>
      <c r="T179" s="21">
        <v>1</v>
      </c>
      <c r="U179" s="21" t="s">
        <v>141</v>
      </c>
      <c r="V179" s="70">
        <v>-2.874497223153645E-2</v>
      </c>
      <c r="W179" s="70">
        <v>3.1255027768463547E-2</v>
      </c>
      <c r="X179" s="24">
        <v>0.73515596932924909</v>
      </c>
      <c r="Y179" s="24" t="s">
        <v>1553</v>
      </c>
      <c r="Z179" s="75">
        <v>12373.59</v>
      </c>
      <c r="AA179" t="s">
        <v>1415</v>
      </c>
      <c r="AB179" s="24">
        <v>2.5086505190311419</v>
      </c>
    </row>
    <row r="180" spans="1:28" x14ac:dyDescent="0.55000000000000004">
      <c r="A180" s="24" t="s">
        <v>392</v>
      </c>
      <c r="B180" s="24" t="s">
        <v>1211</v>
      </c>
      <c r="C180" s="24" t="s">
        <v>106</v>
      </c>
      <c r="D180" s="24" t="s">
        <v>72</v>
      </c>
      <c r="E180" s="24" t="s">
        <v>91</v>
      </c>
      <c r="F180" s="70">
        <v>1.2439440055056511E-3</v>
      </c>
      <c r="G180" s="24">
        <v>8.8044390000000003</v>
      </c>
      <c r="H180" s="24">
        <v>5.2501910000000001</v>
      </c>
      <c r="I180" s="24">
        <v>7.4051479999999996</v>
      </c>
      <c r="J180" s="24">
        <v>6.8230230000000001</v>
      </c>
      <c r="K180" s="24">
        <v>2.4512909999999999</v>
      </c>
      <c r="L180" s="24">
        <v>6.8128719999999996</v>
      </c>
      <c r="M180" s="24">
        <v>3.5059999999999998</v>
      </c>
      <c r="N180" s="24">
        <v>5.9565576947799794</v>
      </c>
      <c r="O180" s="24">
        <v>7.3</v>
      </c>
      <c r="P180" s="24">
        <v>2.8260869565217401</v>
      </c>
      <c r="Q180" s="24">
        <v>4.0182524377325688</v>
      </c>
      <c r="R180" s="24">
        <v>5.67</v>
      </c>
      <c r="S180" s="24">
        <v>5.6634411765207595</v>
      </c>
      <c r="T180" s="21">
        <v>1</v>
      </c>
      <c r="U180" s="21" t="s">
        <v>141</v>
      </c>
      <c r="V180" s="70">
        <v>-2.8756049293948167E-2</v>
      </c>
      <c r="W180" s="70">
        <v>3.1243950706051831E-2</v>
      </c>
      <c r="X180" s="24">
        <v>1.0400583299749537</v>
      </c>
      <c r="Y180" s="24" t="s">
        <v>1844</v>
      </c>
      <c r="Z180" s="75">
        <v>13112.35</v>
      </c>
      <c r="AA180" t="s">
        <v>1415</v>
      </c>
      <c r="AB180" s="24">
        <v>2.933104631217839</v>
      </c>
    </row>
    <row r="181" spans="1:28" x14ac:dyDescent="0.55000000000000004">
      <c r="A181" s="24" t="s">
        <v>394</v>
      </c>
      <c r="B181" s="24" t="s">
        <v>1008</v>
      </c>
      <c r="C181" s="24" t="s">
        <v>112</v>
      </c>
      <c r="D181" s="24" t="s">
        <v>72</v>
      </c>
      <c r="E181" s="24" t="s">
        <v>93</v>
      </c>
      <c r="F181" s="70">
        <v>1.2214501230905018E-3</v>
      </c>
      <c r="G181" s="24">
        <v>5.5107489999999997</v>
      </c>
      <c r="H181" s="24">
        <v>6.1932090000000004</v>
      </c>
      <c r="I181" s="24">
        <v>5.7311059999999996</v>
      </c>
      <c r="J181" s="24">
        <v>5.7815940000000001</v>
      </c>
      <c r="K181" s="24">
        <v>2.3315769999999998</v>
      </c>
      <c r="L181" s="24">
        <v>7.3370990000000003</v>
      </c>
      <c r="M181" s="24">
        <v>32.293399999999998</v>
      </c>
      <c r="N181" s="24">
        <v>4.5133672366745961</v>
      </c>
      <c r="O181" s="24">
        <v>8.1999999999999993</v>
      </c>
      <c r="P181" s="24">
        <v>5.0931677018633561</v>
      </c>
      <c r="Q181" s="24">
        <v>5.3444517478338804</v>
      </c>
      <c r="R181" s="24">
        <v>4.59</v>
      </c>
      <c r="S181" s="24">
        <v>6.0883306081697057</v>
      </c>
      <c r="T181" s="21">
        <v>1</v>
      </c>
      <c r="U181" s="21" t="s">
        <v>117</v>
      </c>
      <c r="V181" s="70">
        <v>-2.8778165387657428E-2</v>
      </c>
      <c r="W181" s="70">
        <v>3.1221834612342569E-2</v>
      </c>
      <c r="X181" s="24">
        <v>0.42953135268592529</v>
      </c>
      <c r="Y181" s="24" t="s">
        <v>1432</v>
      </c>
      <c r="Z181" s="75">
        <v>13742.19</v>
      </c>
      <c r="AA181" t="s">
        <v>1415</v>
      </c>
      <c r="AB181" s="24">
        <v>2.967409948542024</v>
      </c>
    </row>
    <row r="182" spans="1:28" x14ac:dyDescent="0.55000000000000004">
      <c r="A182" s="24" t="s">
        <v>401</v>
      </c>
      <c r="B182" s="24" t="s">
        <v>1056</v>
      </c>
      <c r="C182" s="24" t="s">
        <v>126</v>
      </c>
      <c r="D182" s="24" t="s">
        <v>72</v>
      </c>
      <c r="E182" s="24" t="s">
        <v>85</v>
      </c>
      <c r="F182" s="70">
        <v>1.2188449917697852E-3</v>
      </c>
      <c r="G182" s="24">
        <v>6.862349</v>
      </c>
      <c r="H182" s="24">
        <v>5.1221360000000002</v>
      </c>
      <c r="I182" s="24">
        <v>4.4739680000000002</v>
      </c>
      <c r="J182" s="24">
        <v>5.6237709999999996</v>
      </c>
      <c r="K182" s="24">
        <v>0.64561740000000001</v>
      </c>
      <c r="L182" s="24">
        <v>4.6657999999999999</v>
      </c>
      <c r="M182" s="24">
        <v>58.640099999999997</v>
      </c>
      <c r="N182" s="24">
        <v>5.2625884909190193</v>
      </c>
      <c r="O182" s="24">
        <v>2.1</v>
      </c>
      <c r="P182" s="24">
        <v>6.0660660660660648</v>
      </c>
      <c r="Q182" s="24">
        <v>4.0812671536077918</v>
      </c>
      <c r="R182" s="24">
        <v>1.7</v>
      </c>
      <c r="S182" s="24">
        <v>4.2134310813258509</v>
      </c>
      <c r="T182" s="21">
        <v>1</v>
      </c>
      <c r="U182" s="21" t="s">
        <v>141</v>
      </c>
      <c r="V182" s="70">
        <v>-2.8780770518978146E-2</v>
      </c>
      <c r="W182" s="70">
        <v>3.1219229481021852E-2</v>
      </c>
      <c r="X182" s="24">
        <v>1.3467457778157546</v>
      </c>
      <c r="Y182" s="24" t="s">
        <v>1862</v>
      </c>
      <c r="Z182" s="75">
        <v>12838.32</v>
      </c>
      <c r="AA182" t="s">
        <v>1415</v>
      </c>
      <c r="AB182" s="24">
        <v>3.0449826989619377</v>
      </c>
    </row>
    <row r="183" spans="1:28" x14ac:dyDescent="0.55000000000000004">
      <c r="A183" s="24" t="s">
        <v>380</v>
      </c>
      <c r="B183" s="24" t="s">
        <v>970</v>
      </c>
      <c r="C183" s="24" t="s">
        <v>111</v>
      </c>
      <c r="D183" s="24" t="s">
        <v>72</v>
      </c>
      <c r="E183" s="24" t="s">
        <v>92</v>
      </c>
      <c r="F183" s="70">
        <v>1.189390894663098E-3</v>
      </c>
      <c r="G183" s="24">
        <v>4.5095599999999996</v>
      </c>
      <c r="H183" s="24">
        <v>5.2017860000000002</v>
      </c>
      <c r="I183" s="24">
        <v>8.0250140000000005</v>
      </c>
      <c r="J183" s="24">
        <v>5.7026409999999998</v>
      </c>
      <c r="K183" s="24">
        <v>7.8106090000000004</v>
      </c>
      <c r="L183" s="24">
        <v>21.542190000000002</v>
      </c>
      <c r="M183" s="24">
        <v>446.49700000000001</v>
      </c>
      <c r="N183" s="24">
        <v>3.8738938332093289</v>
      </c>
      <c r="O183" s="24">
        <v>0.8</v>
      </c>
      <c r="P183" s="24">
        <v>5.1707317073170733</v>
      </c>
      <c r="Q183" s="24">
        <v>10</v>
      </c>
      <c r="R183" s="24">
        <v>5.56</v>
      </c>
      <c r="S183" s="24">
        <v>8.0040623047631705</v>
      </c>
      <c r="T183" s="21">
        <v>1</v>
      </c>
      <c r="U183" s="21" t="s">
        <v>117</v>
      </c>
      <c r="V183" s="70">
        <v>-2.8810224616084831E-2</v>
      </c>
      <c r="W183" s="70">
        <v>3.1189775383915166E-2</v>
      </c>
      <c r="X183" s="24">
        <v>0.67038232060808434</v>
      </c>
      <c r="Y183" s="24" t="s">
        <v>1680</v>
      </c>
      <c r="Z183" s="75">
        <v>13933.43</v>
      </c>
      <c r="AA183" t="s">
        <v>1415</v>
      </c>
      <c r="AB183" s="24">
        <v>3.1818181818181817</v>
      </c>
    </row>
    <row r="184" spans="1:28" x14ac:dyDescent="0.55000000000000004">
      <c r="A184" s="24" t="s">
        <v>399</v>
      </c>
      <c r="B184" s="24" t="s">
        <v>1017</v>
      </c>
      <c r="C184" s="24" t="s">
        <v>112</v>
      </c>
      <c r="D184" s="24" t="s">
        <v>72</v>
      </c>
      <c r="E184" s="24" t="s">
        <v>85</v>
      </c>
      <c r="F184" s="70">
        <v>1.1872761645514288E-3</v>
      </c>
      <c r="G184" s="24">
        <v>4.5171570000000001</v>
      </c>
      <c r="H184" s="24">
        <v>4.449668</v>
      </c>
      <c r="I184" s="24">
        <v>5.7861630000000002</v>
      </c>
      <c r="J184" s="24">
        <v>4.9176630000000001</v>
      </c>
      <c r="K184" s="24">
        <v>3.3319990000000002</v>
      </c>
      <c r="L184" s="24">
        <v>13.85731</v>
      </c>
      <c r="M184" s="24">
        <v>3950.8220000000001</v>
      </c>
      <c r="N184" s="24">
        <v>4.05230153221087</v>
      </c>
      <c r="O184" s="24">
        <v>4.3</v>
      </c>
      <c r="P184" s="24">
        <v>4.1741741741741736</v>
      </c>
      <c r="Q184" s="24">
        <v>9.6091555998229321</v>
      </c>
      <c r="R184" s="24">
        <v>6.11</v>
      </c>
      <c r="S184" s="24">
        <v>7.1899455188753585</v>
      </c>
      <c r="T184" s="21">
        <v>1</v>
      </c>
      <c r="U184" s="21" t="s">
        <v>1410</v>
      </c>
      <c r="V184" s="70">
        <v>-2.8812339346196501E-2</v>
      </c>
      <c r="W184" s="70">
        <v>3.1187660653803496E-2</v>
      </c>
      <c r="X184" s="24">
        <v>1.3847479739863671</v>
      </c>
      <c r="Y184" s="24" t="s">
        <v>1431</v>
      </c>
      <c r="Z184" s="75">
        <v>12652.13</v>
      </c>
      <c r="AA184" t="s">
        <v>1415</v>
      </c>
      <c r="AB184" s="24">
        <v>3.0103806228373702</v>
      </c>
    </row>
    <row r="185" spans="1:28" x14ac:dyDescent="0.55000000000000004">
      <c r="A185" s="24" t="s">
        <v>398</v>
      </c>
      <c r="B185" s="24" t="s">
        <v>920</v>
      </c>
      <c r="C185" s="24" t="s">
        <v>106</v>
      </c>
      <c r="D185" s="24" t="s">
        <v>72</v>
      </c>
      <c r="E185" s="24" t="s">
        <v>94</v>
      </c>
      <c r="F185" s="70">
        <v>1.1735999757317591E-3</v>
      </c>
      <c r="G185" s="24">
        <v>6.8399000000000001</v>
      </c>
      <c r="H185" s="24">
        <v>5.8064679999999997</v>
      </c>
      <c r="I185" s="24">
        <v>6.5068210000000004</v>
      </c>
      <c r="J185" s="24">
        <v>6.4999820000000001</v>
      </c>
      <c r="K185" s="24">
        <v>3.362527</v>
      </c>
      <c r="L185" s="24">
        <v>4.0608940000000002</v>
      </c>
      <c r="M185" s="24">
        <v>6.3638000000000003</v>
      </c>
      <c r="N185" s="24">
        <v>6.4740836232475152</v>
      </c>
      <c r="O185" s="24">
        <v>6.9</v>
      </c>
      <c r="P185" s="24">
        <v>3.6805555555555558</v>
      </c>
      <c r="Q185" s="24">
        <v>2.471192166140904</v>
      </c>
      <c r="R185" s="24">
        <v>4.3</v>
      </c>
      <c r="S185" s="24">
        <v>3.3893187811430519</v>
      </c>
      <c r="T185" s="21">
        <v>1</v>
      </c>
      <c r="U185" s="21" t="s">
        <v>141</v>
      </c>
      <c r="V185" s="70">
        <v>-2.882601553501617E-2</v>
      </c>
      <c r="W185" s="70">
        <v>3.1173984464983828E-2</v>
      </c>
      <c r="X185" s="24">
        <v>1.1593699770586134</v>
      </c>
      <c r="Y185" s="24" t="s">
        <v>1820</v>
      </c>
      <c r="Z185" s="75">
        <v>14185.9</v>
      </c>
      <c r="AA185" t="s">
        <v>1415</v>
      </c>
      <c r="AB185" s="24">
        <v>1.5250544662309369</v>
      </c>
    </row>
    <row r="186" spans="1:28" x14ac:dyDescent="0.55000000000000004">
      <c r="A186" s="24" t="s">
        <v>397</v>
      </c>
      <c r="B186" s="24" t="s">
        <v>1195</v>
      </c>
      <c r="C186" s="24" t="s">
        <v>110</v>
      </c>
      <c r="D186" s="24" t="s">
        <v>72</v>
      </c>
      <c r="E186" s="24" t="s">
        <v>89</v>
      </c>
      <c r="F186" s="70">
        <v>1.1705134505711398E-3</v>
      </c>
      <c r="G186" s="24">
        <v>6.6936410000000004</v>
      </c>
      <c r="H186" s="24">
        <v>4.2983260000000003</v>
      </c>
      <c r="I186" s="24">
        <v>6.534179</v>
      </c>
      <c r="J186" s="24">
        <v>5.9272080000000003</v>
      </c>
      <c r="K186" s="24">
        <v>1.5033719999999999</v>
      </c>
      <c r="L186" s="24">
        <v>1.7454449999999999</v>
      </c>
      <c r="M186" s="24">
        <v>35.6175</v>
      </c>
      <c r="N186" s="24">
        <v>6.3907492374865242</v>
      </c>
      <c r="O186" s="24">
        <v>8.1999999999999993</v>
      </c>
      <c r="P186" s="24">
        <v>8.078078078078077</v>
      </c>
      <c r="Q186" s="24">
        <v>0</v>
      </c>
      <c r="R186" s="24">
        <v>4.9000000000000004</v>
      </c>
      <c r="S186" s="24">
        <v>2.3258196129222974</v>
      </c>
      <c r="T186" s="21">
        <v>1</v>
      </c>
      <c r="U186" s="21" t="s">
        <v>141</v>
      </c>
      <c r="V186" s="70">
        <v>-2.8829102060176789E-2</v>
      </c>
      <c r="W186" s="70">
        <v>3.1170897939823208E-2</v>
      </c>
      <c r="X186" s="24">
        <v>1.7293473572535658</v>
      </c>
      <c r="Y186" s="24" t="s">
        <v>1565</v>
      </c>
      <c r="Z186" s="75">
        <v>11730.18</v>
      </c>
      <c r="AA186" t="s">
        <v>1415</v>
      </c>
      <c r="AB186" s="24">
        <v>2.9757785467128031</v>
      </c>
    </row>
    <row r="187" spans="1:28" x14ac:dyDescent="0.55000000000000004">
      <c r="A187" s="24" t="s">
        <v>396</v>
      </c>
      <c r="B187" s="24" t="s">
        <v>1115</v>
      </c>
      <c r="C187" s="24" t="s">
        <v>112</v>
      </c>
      <c r="D187" s="24" t="s">
        <v>72</v>
      </c>
      <c r="E187" s="24" t="s">
        <v>93</v>
      </c>
      <c r="F187" s="70">
        <v>1.1560796419244311E-3</v>
      </c>
      <c r="G187" s="24">
        <v>8.107246</v>
      </c>
      <c r="H187" s="24">
        <v>7.366606</v>
      </c>
      <c r="I187" s="24">
        <v>6.2053279999999997</v>
      </c>
      <c r="J187" s="24">
        <v>7.3144780000000003</v>
      </c>
      <c r="K187" s="24">
        <v>0.77134080000000005</v>
      </c>
      <c r="L187" s="24">
        <v>3.1846640000000002</v>
      </c>
      <c r="M187" s="24">
        <v>13.276899999999999</v>
      </c>
      <c r="N187" s="24">
        <v>5.3230830948230583</v>
      </c>
      <c r="O187" s="24">
        <v>5.0999999999999996</v>
      </c>
      <c r="P187" s="24">
        <v>6.6945606694560675</v>
      </c>
      <c r="Q187" s="24">
        <v>1.8331832831404871</v>
      </c>
      <c r="R187" s="24">
        <v>2.39</v>
      </c>
      <c r="S187" s="24">
        <v>3.2931078538742957</v>
      </c>
      <c r="T187" s="21">
        <v>1</v>
      </c>
      <c r="U187" s="21" t="s">
        <v>141</v>
      </c>
      <c r="V187" s="70">
        <v>-2.8843535868823499E-2</v>
      </c>
      <c r="W187" s="70">
        <v>3.1156464131176499E-2</v>
      </c>
      <c r="X187" s="24">
        <v>0.31197515990682484</v>
      </c>
      <c r="Y187" s="24" t="s">
        <v>1586</v>
      </c>
      <c r="Z187" s="75">
        <v>13288.45</v>
      </c>
      <c r="AA187" t="s">
        <v>1415</v>
      </c>
      <c r="AB187" s="24">
        <v>3.2149200710479575</v>
      </c>
    </row>
    <row r="188" spans="1:28" x14ac:dyDescent="0.55000000000000004">
      <c r="A188" s="24" t="s">
        <v>417</v>
      </c>
      <c r="B188" s="24" t="s">
        <v>1382</v>
      </c>
      <c r="C188" s="24" t="s">
        <v>105</v>
      </c>
      <c r="D188" s="24" t="s">
        <v>72</v>
      </c>
      <c r="E188" s="24" t="s">
        <v>89</v>
      </c>
      <c r="F188" s="70">
        <v>1.1392051859095839E-3</v>
      </c>
      <c r="G188" s="24">
        <v>7.37683</v>
      </c>
      <c r="H188" s="24">
        <v>6.9196759999999999</v>
      </c>
      <c r="I188" s="24">
        <v>6.782108</v>
      </c>
      <c r="J188" s="24">
        <v>7.061267</v>
      </c>
      <c r="K188" s="24">
        <v>1.7226239999999999</v>
      </c>
      <c r="L188" s="24">
        <v>3.6620219999999999</v>
      </c>
      <c r="M188" s="24">
        <v>11.030099999999999</v>
      </c>
      <c r="N188" s="24">
        <v>4.1257836989071235</v>
      </c>
      <c r="O188" s="24">
        <v>0.9</v>
      </c>
      <c r="P188" s="24">
        <v>8.1981981981981971</v>
      </c>
      <c r="Q188" s="24">
        <v>1.9411243913235945</v>
      </c>
      <c r="R188" s="24">
        <v>3.69</v>
      </c>
      <c r="S188" s="24">
        <v>3.2300288166547175</v>
      </c>
      <c r="T188" s="21">
        <v>1</v>
      </c>
      <c r="U188" s="21" t="s">
        <v>141</v>
      </c>
      <c r="V188" s="70">
        <v>-2.8861179303342484E-2</v>
      </c>
      <c r="W188" s="70">
        <v>3.1138820696657514E-2</v>
      </c>
      <c r="X188" s="24">
        <v>1.4534948510522383</v>
      </c>
      <c r="Y188" s="24" t="s">
        <v>1997</v>
      </c>
      <c r="Z188" s="75">
        <v>12042.8</v>
      </c>
      <c r="AA188" t="s">
        <v>1415</v>
      </c>
      <c r="AB188" s="24">
        <v>3.3217993079584773</v>
      </c>
    </row>
    <row r="189" spans="1:28" x14ac:dyDescent="0.55000000000000004">
      <c r="A189" s="24" t="s">
        <v>409</v>
      </c>
      <c r="B189" s="24" t="s">
        <v>1179</v>
      </c>
      <c r="C189" s="24" t="s">
        <v>105</v>
      </c>
      <c r="D189" s="24" t="s">
        <v>72</v>
      </c>
      <c r="E189" s="24" t="s">
        <v>89</v>
      </c>
      <c r="F189" s="70">
        <v>1.1368739962795036E-3</v>
      </c>
      <c r="G189" s="24">
        <v>6.4193259999999999</v>
      </c>
      <c r="H189" s="24">
        <v>4.9491560000000003</v>
      </c>
      <c r="I189" s="24">
        <v>7.2707410000000001</v>
      </c>
      <c r="J189" s="24">
        <v>6.2336989999999997</v>
      </c>
      <c r="K189" s="24">
        <v>1.6825699999999999</v>
      </c>
      <c r="L189" s="24">
        <v>4.6442589999999999</v>
      </c>
      <c r="M189" s="24">
        <v>21.1267</v>
      </c>
      <c r="N189" s="24">
        <v>5.4614222839238247</v>
      </c>
      <c r="O189" s="24">
        <v>4.9000000000000004</v>
      </c>
      <c r="P189" s="24">
        <v>7.0270270270270254</v>
      </c>
      <c r="Q189" s="24">
        <v>2.9760590969455514</v>
      </c>
      <c r="R189" s="24">
        <v>4.55</v>
      </c>
      <c r="S189" s="24">
        <v>4.1110534931439142</v>
      </c>
      <c r="T189" s="21">
        <v>1</v>
      </c>
      <c r="U189" s="21" t="s">
        <v>141</v>
      </c>
      <c r="V189" s="70">
        <v>-2.886310187624571E-2</v>
      </c>
      <c r="W189" s="70">
        <v>3.1136898123754288E-2</v>
      </c>
      <c r="X189" s="24">
        <v>1.1069449807915821</v>
      </c>
      <c r="Y189" s="24" t="s">
        <v>1974</v>
      </c>
      <c r="Z189" s="75">
        <v>13307.65</v>
      </c>
      <c r="AA189" t="s">
        <v>1415</v>
      </c>
      <c r="AB189" s="24">
        <v>3.1833910034602075</v>
      </c>
    </row>
    <row r="190" spans="1:28" x14ac:dyDescent="0.55000000000000004">
      <c r="A190" s="24" t="s">
        <v>403</v>
      </c>
      <c r="B190" s="24" t="s">
        <v>1343</v>
      </c>
      <c r="C190" s="24" t="s">
        <v>113</v>
      </c>
      <c r="D190" s="24" t="s">
        <v>72</v>
      </c>
      <c r="E190" s="24" t="s">
        <v>93</v>
      </c>
      <c r="F190" s="70">
        <v>1.1293841510843065E-3</v>
      </c>
      <c r="G190" s="24">
        <v>7.9619470000000003</v>
      </c>
      <c r="H190" s="24">
        <v>5.695341</v>
      </c>
      <c r="I190" s="24">
        <v>6.4795429999999996</v>
      </c>
      <c r="J190" s="24">
        <v>6.7122770000000003</v>
      </c>
      <c r="K190" s="24">
        <v>2.0079050000000001</v>
      </c>
      <c r="L190" s="24">
        <v>4.1831839999999998</v>
      </c>
      <c r="M190" s="24">
        <v>6.5716999999999999</v>
      </c>
      <c r="N190" s="24">
        <v>4.6658321470447097</v>
      </c>
      <c r="O190" s="24">
        <v>2.8</v>
      </c>
      <c r="P190" s="24">
        <v>7.4534161490683237</v>
      </c>
      <c r="Q190" s="24">
        <v>2.7045473558410515</v>
      </c>
      <c r="R190" s="24">
        <v>3.97</v>
      </c>
      <c r="S190" s="24">
        <v>3.2954451625657981</v>
      </c>
      <c r="T190" s="21">
        <v>1</v>
      </c>
      <c r="U190" s="21" t="s">
        <v>141</v>
      </c>
      <c r="V190" s="70">
        <v>-2.8871000338167762E-2</v>
      </c>
      <c r="W190" s="70">
        <v>3.1128999661832236E-2</v>
      </c>
      <c r="X190" s="24">
        <v>1.4869648620004621</v>
      </c>
      <c r="Y190" s="24" t="s">
        <v>1887</v>
      </c>
      <c r="Z190" s="75">
        <v>12930.44</v>
      </c>
      <c r="AA190" t="s">
        <v>1415</v>
      </c>
      <c r="AB190" s="24">
        <v>3.1217838765008574</v>
      </c>
    </row>
    <row r="191" spans="1:28" x14ac:dyDescent="0.55000000000000004">
      <c r="A191" s="24" t="s">
        <v>404</v>
      </c>
      <c r="B191" s="24" t="s">
        <v>940</v>
      </c>
      <c r="C191" s="24" t="s">
        <v>106</v>
      </c>
      <c r="D191" s="24" t="s">
        <v>72</v>
      </c>
      <c r="E191" s="24" t="s">
        <v>96</v>
      </c>
      <c r="F191" s="70">
        <v>1.1215784156397286E-3</v>
      </c>
      <c r="G191" s="24">
        <v>8.3019309999999997</v>
      </c>
      <c r="H191" s="24">
        <v>5.6872400000000001</v>
      </c>
      <c r="I191" s="24">
        <v>6.1105910000000003</v>
      </c>
      <c r="J191" s="24">
        <v>6.6999209999999998</v>
      </c>
      <c r="K191" s="24">
        <v>1.980828</v>
      </c>
      <c r="L191" s="24">
        <v>3.8594179999999998</v>
      </c>
      <c r="M191" s="24">
        <v>2.5051000000000001</v>
      </c>
      <c r="N191" s="24">
        <v>5.3941327334964759</v>
      </c>
      <c r="O191" s="24">
        <v>4.7</v>
      </c>
      <c r="P191" s="24">
        <v>1.9909502262443453</v>
      </c>
      <c r="Q191" s="24">
        <v>5.1025393731649515</v>
      </c>
      <c r="R191" s="24">
        <v>7.2100010000000001</v>
      </c>
      <c r="S191" s="24">
        <v>5.02046930861788</v>
      </c>
      <c r="T191" s="21">
        <v>1</v>
      </c>
      <c r="U191" s="21" t="s">
        <v>141</v>
      </c>
      <c r="V191" s="70">
        <v>-2.8878037095108201E-2</v>
      </c>
      <c r="W191" s="70">
        <v>3.1121962904891796E-2</v>
      </c>
      <c r="X191" s="24">
        <v>0.89292749578937047</v>
      </c>
      <c r="Y191" s="24" t="s">
        <v>1825</v>
      </c>
      <c r="Z191" s="75">
        <v>12338.07</v>
      </c>
      <c r="AA191" t="s">
        <v>1415</v>
      </c>
      <c r="AB191" s="24">
        <v>3.2928942807625647</v>
      </c>
    </row>
    <row r="192" spans="1:28" x14ac:dyDescent="0.55000000000000004">
      <c r="A192" s="24" t="s">
        <v>406</v>
      </c>
      <c r="B192" s="24" t="s">
        <v>1347</v>
      </c>
      <c r="C192" s="24" t="s">
        <v>106</v>
      </c>
      <c r="D192" s="24" t="s">
        <v>72</v>
      </c>
      <c r="E192" s="24" t="s">
        <v>89</v>
      </c>
      <c r="F192" s="70">
        <v>1.1076246434532544E-3</v>
      </c>
      <c r="G192" s="24">
        <v>5.9733280000000004</v>
      </c>
      <c r="H192" s="24">
        <v>5.6808750000000003</v>
      </c>
      <c r="I192" s="24">
        <v>4.3463580000000004</v>
      </c>
      <c r="J192" s="24">
        <v>5.3975010000000001</v>
      </c>
      <c r="K192" s="24">
        <v>0.88422520000000004</v>
      </c>
      <c r="L192" s="24">
        <v>3.8644440000000002</v>
      </c>
      <c r="M192" s="24">
        <v>9.6734000000000009</v>
      </c>
      <c r="N192" s="24">
        <v>4.5904471756884728</v>
      </c>
      <c r="O192" s="24">
        <v>7.6</v>
      </c>
      <c r="P192" s="24">
        <v>6.2462462462462458</v>
      </c>
      <c r="Q192" s="24">
        <v>1.8422609561752987</v>
      </c>
      <c r="R192" s="24">
        <v>2.5</v>
      </c>
      <c r="S192" s="24">
        <v>3.6229868523135833</v>
      </c>
      <c r="T192" s="21">
        <v>1</v>
      </c>
      <c r="U192" s="21" t="s">
        <v>141</v>
      </c>
      <c r="V192" s="70">
        <v>-2.8892162651566366E-2</v>
      </c>
      <c r="W192" s="70">
        <v>3.1107837348433632E-2</v>
      </c>
      <c r="X192" s="24">
        <v>1.0632886186114678</v>
      </c>
      <c r="Y192" s="24" t="s">
        <v>1775</v>
      </c>
      <c r="Z192" s="75">
        <v>11870.26</v>
      </c>
      <c r="AA192" t="s">
        <v>1415</v>
      </c>
      <c r="AB192" s="24">
        <v>3.1314878892733566</v>
      </c>
    </row>
    <row r="193" spans="1:28" x14ac:dyDescent="0.55000000000000004">
      <c r="A193" s="24" t="s">
        <v>402</v>
      </c>
      <c r="B193" s="24" t="s">
        <v>1303</v>
      </c>
      <c r="C193" s="24" t="s">
        <v>110</v>
      </c>
      <c r="D193" s="24" t="s">
        <v>72</v>
      </c>
      <c r="E193" s="24" t="s">
        <v>96</v>
      </c>
      <c r="F193" s="70">
        <v>1.1013752363161196E-3</v>
      </c>
      <c r="G193" s="24">
        <v>7.1476069999999998</v>
      </c>
      <c r="H193" s="24">
        <v>5.704796</v>
      </c>
      <c r="I193" s="24">
        <v>7.5554490000000003</v>
      </c>
      <c r="J193" s="24">
        <v>6.837116</v>
      </c>
      <c r="K193" s="24">
        <v>1.417589</v>
      </c>
      <c r="L193" s="24">
        <v>4.645759</v>
      </c>
      <c r="M193" s="24">
        <v>3.6861000000000002</v>
      </c>
      <c r="N193" s="24">
        <v>5.357143950437529E-2</v>
      </c>
      <c r="O193" s="24">
        <v>6.5</v>
      </c>
      <c r="P193" s="24">
        <v>7.013574660633485</v>
      </c>
      <c r="Q193" s="24">
        <v>7.1805291755290357</v>
      </c>
      <c r="R193" s="24">
        <v>5.16</v>
      </c>
      <c r="S193" s="24">
        <v>5.7397415344987639</v>
      </c>
      <c r="T193" s="21">
        <v>1</v>
      </c>
      <c r="U193" s="21" t="s">
        <v>141</v>
      </c>
      <c r="V193" s="70">
        <v>-2.889900925293595E-2</v>
      </c>
      <c r="W193" s="70">
        <v>3.1100990747064048E-2</v>
      </c>
      <c r="X193" s="24">
        <v>0.92748797178341635</v>
      </c>
      <c r="Y193" s="24" t="s">
        <v>1554</v>
      </c>
      <c r="Z193" s="75">
        <v>12411.69</v>
      </c>
      <c r="AA193" t="s">
        <v>1415</v>
      </c>
      <c r="AB193" s="24">
        <v>3.2582322357019065</v>
      </c>
    </row>
    <row r="194" spans="1:28" x14ac:dyDescent="0.55000000000000004">
      <c r="A194" s="24" t="s">
        <v>405</v>
      </c>
      <c r="B194" s="24" t="s">
        <v>1082</v>
      </c>
      <c r="C194" s="24" t="s">
        <v>106</v>
      </c>
      <c r="D194" s="24" t="s">
        <v>72</v>
      </c>
      <c r="E194" s="24" t="s">
        <v>88</v>
      </c>
      <c r="F194" s="70">
        <v>1.0972091986227381E-3</v>
      </c>
      <c r="G194" s="24">
        <v>6.7218450000000001</v>
      </c>
      <c r="H194" s="24">
        <v>6.0616669999999999</v>
      </c>
      <c r="I194" s="24">
        <v>5.8369479999999996</v>
      </c>
      <c r="J194" s="24">
        <v>6.103815</v>
      </c>
      <c r="K194" s="24">
        <v>2.454907</v>
      </c>
      <c r="L194" s="24">
        <v>6.2248190000000001</v>
      </c>
      <c r="M194" s="24">
        <v>16.631799999999998</v>
      </c>
      <c r="N194" s="24">
        <v>1.4023409231904804</v>
      </c>
      <c r="O194" s="24">
        <v>4</v>
      </c>
      <c r="P194" s="24">
        <v>4.6849315068493151</v>
      </c>
      <c r="Q194" s="24">
        <v>5.8633770427907237</v>
      </c>
      <c r="R194" s="24">
        <v>6.47</v>
      </c>
      <c r="S194" s="24">
        <v>5.9390015037149428</v>
      </c>
      <c r="T194" s="21">
        <v>1</v>
      </c>
      <c r="U194" s="21" t="s">
        <v>141</v>
      </c>
      <c r="V194" s="70">
        <v>-2.8902574169480087E-2</v>
      </c>
      <c r="W194" s="70">
        <v>3.1097425830519911E-2</v>
      </c>
      <c r="X194" s="24">
        <v>0.64642854756096113</v>
      </c>
      <c r="Y194" s="24" t="s">
        <v>1793</v>
      </c>
      <c r="Z194" s="75">
        <v>12164.58</v>
      </c>
      <c r="AA194" t="s">
        <v>1415</v>
      </c>
      <c r="AB194" s="24">
        <v>3.333333333333333</v>
      </c>
    </row>
    <row r="195" spans="1:28" x14ac:dyDescent="0.55000000000000004">
      <c r="A195" s="24" t="s">
        <v>400</v>
      </c>
      <c r="B195" s="24" t="s">
        <v>881</v>
      </c>
      <c r="C195" s="24" t="s">
        <v>127</v>
      </c>
      <c r="D195" s="24" t="s">
        <v>72</v>
      </c>
      <c r="E195" s="24" t="s">
        <v>93</v>
      </c>
      <c r="F195" s="70">
        <v>1.0769068687706506E-3</v>
      </c>
      <c r="G195" s="24">
        <v>7.2936420000000002</v>
      </c>
      <c r="H195" s="24">
        <v>5.4504450000000002</v>
      </c>
      <c r="I195" s="24">
        <v>7.3360139999999996</v>
      </c>
      <c r="J195" s="24">
        <v>6.6933670000000003</v>
      </c>
      <c r="K195" s="24">
        <v>1.7865439999999999</v>
      </c>
      <c r="L195" s="24">
        <v>6.8950180000000003</v>
      </c>
      <c r="M195" s="24">
        <v>15.642200000000001</v>
      </c>
      <c r="N195" s="24">
        <v>7.9010025325688904</v>
      </c>
      <c r="O195" s="24">
        <v>8.6</v>
      </c>
      <c r="P195" s="24">
        <v>8.8509316770186359</v>
      </c>
      <c r="Q195" s="24">
        <v>3.6532036830811854</v>
      </c>
      <c r="R195" s="24">
        <v>3.85</v>
      </c>
      <c r="S195" s="24">
        <v>6.1669757147167186</v>
      </c>
      <c r="T195" s="21">
        <v>1</v>
      </c>
      <c r="U195" s="21" t="s">
        <v>117</v>
      </c>
      <c r="V195" s="70">
        <v>-2.8922708641977279E-2</v>
      </c>
      <c r="W195" s="70">
        <v>3.1077291358022719E-2</v>
      </c>
      <c r="X195" s="24">
        <v>1.1022426838582207</v>
      </c>
      <c r="Y195" s="24" t="s">
        <v>1651</v>
      </c>
      <c r="Z195" s="75">
        <v>11845.35</v>
      </c>
      <c r="AA195" t="s">
        <v>1415</v>
      </c>
      <c r="AB195" s="24">
        <v>3.0703259005145798</v>
      </c>
    </row>
    <row r="196" spans="1:28" x14ac:dyDescent="0.55000000000000004">
      <c r="A196" s="24" t="s">
        <v>412</v>
      </c>
      <c r="B196" s="24" t="s">
        <v>1283</v>
      </c>
      <c r="C196" s="24" t="s">
        <v>113</v>
      </c>
      <c r="D196" s="24" t="s">
        <v>72</v>
      </c>
      <c r="E196" s="24" t="s">
        <v>99</v>
      </c>
      <c r="F196" s="70">
        <v>1.0607710170257563E-3</v>
      </c>
      <c r="G196" s="24">
        <v>7.4332710000000004</v>
      </c>
      <c r="H196" s="24">
        <v>6.1651660000000001</v>
      </c>
      <c r="I196" s="24">
        <v>6.4902680000000004</v>
      </c>
      <c r="J196" s="24">
        <v>6.9910500000000004</v>
      </c>
      <c r="K196" s="24">
        <v>4.6075350000000004</v>
      </c>
      <c r="L196" s="24">
        <v>6.5780799999999999</v>
      </c>
      <c r="M196" s="24">
        <v>676.76070000000004</v>
      </c>
      <c r="N196" s="24">
        <v>8.8875997812746483</v>
      </c>
      <c r="O196" s="24">
        <v>5.3</v>
      </c>
      <c r="P196" s="24">
        <v>5.2647975077881615</v>
      </c>
      <c r="Q196" s="24">
        <v>1.9062190250843911</v>
      </c>
      <c r="R196" s="24">
        <v>6.22</v>
      </c>
      <c r="S196" s="24">
        <v>5.2599100672964321</v>
      </c>
      <c r="T196" s="21">
        <v>1</v>
      </c>
      <c r="U196" s="21" t="s">
        <v>141</v>
      </c>
      <c r="V196" s="70">
        <v>-2.8939613472226313E-2</v>
      </c>
      <c r="W196" s="70">
        <v>3.1060386527773685E-2</v>
      </c>
      <c r="X196" s="24">
        <v>0.43936104629938988</v>
      </c>
      <c r="Y196" s="24" t="s">
        <v>1877</v>
      </c>
      <c r="Z196" s="75">
        <v>11376.41</v>
      </c>
      <c r="AA196" t="s">
        <v>1415</v>
      </c>
      <c r="AB196" s="24">
        <v>3.0700179533213645</v>
      </c>
    </row>
    <row r="197" spans="1:28" x14ac:dyDescent="0.55000000000000004">
      <c r="A197" s="24" t="s">
        <v>407</v>
      </c>
      <c r="B197" s="24" t="s">
        <v>1310</v>
      </c>
      <c r="C197" s="24" t="s">
        <v>125</v>
      </c>
      <c r="D197" s="24" t="s">
        <v>72</v>
      </c>
      <c r="E197" s="24" t="s">
        <v>90</v>
      </c>
      <c r="F197" s="70">
        <v>1.059423437477188E-3</v>
      </c>
      <c r="G197" s="24">
        <v>7.0477020000000001</v>
      </c>
      <c r="H197" s="24">
        <v>6.52712</v>
      </c>
      <c r="I197" s="24">
        <v>6.5942619999999996</v>
      </c>
      <c r="J197" s="24">
        <v>6.7067940000000004</v>
      </c>
      <c r="K197" s="24">
        <v>7.7027380000000001</v>
      </c>
      <c r="L197" s="24">
        <v>17.752199999999998</v>
      </c>
      <c r="M197" s="24">
        <v>0.59311000000000003</v>
      </c>
      <c r="N197" s="24">
        <v>3.9917517869730412</v>
      </c>
      <c r="O197" s="24">
        <v>4.4000000000000004</v>
      </c>
      <c r="P197" s="24">
        <v>4.3906811172775395</v>
      </c>
      <c r="Q197" s="24">
        <v>6.5863962822137747</v>
      </c>
      <c r="R197" s="24">
        <v>7.57</v>
      </c>
      <c r="S197" s="24">
        <v>6.5141183843576922</v>
      </c>
      <c r="T197" s="21">
        <v>1</v>
      </c>
      <c r="U197" s="21" t="s">
        <v>117</v>
      </c>
      <c r="V197" s="70">
        <v>-2.8940723380268832E-2</v>
      </c>
      <c r="W197" s="70">
        <v>3.1059276619731166E-2</v>
      </c>
      <c r="X197" s="24">
        <v>0.70654831796823148</v>
      </c>
      <c r="Y197" s="24" t="s">
        <v>1493</v>
      </c>
      <c r="Z197" s="75">
        <v>12263.52</v>
      </c>
      <c r="AA197" t="s">
        <v>1415</v>
      </c>
      <c r="AB197" s="24">
        <v>3.1623931623931623</v>
      </c>
    </row>
    <row r="198" spans="1:28" x14ac:dyDescent="0.55000000000000004">
      <c r="A198" s="24" t="s">
        <v>420</v>
      </c>
      <c r="B198" s="24" t="s">
        <v>1059</v>
      </c>
      <c r="C198" s="24" t="s">
        <v>127</v>
      </c>
      <c r="D198" s="24" t="s">
        <v>72</v>
      </c>
      <c r="E198" s="24" t="s">
        <v>99</v>
      </c>
      <c r="F198" s="70">
        <v>1.0335372139800251E-3</v>
      </c>
      <c r="G198" s="24">
        <v>6.9237970000000004</v>
      </c>
      <c r="H198" s="24">
        <v>8.0524679999999993</v>
      </c>
      <c r="I198" s="24">
        <v>8.4127939999999999</v>
      </c>
      <c r="J198" s="24">
        <v>7.44733</v>
      </c>
      <c r="K198" s="24">
        <v>0</v>
      </c>
      <c r="L198" s="24">
        <v>4.278537</v>
      </c>
      <c r="M198" s="24">
        <v>210.1163</v>
      </c>
      <c r="N198" s="24">
        <v>0.11297797068621418</v>
      </c>
      <c r="O198" s="24">
        <v>3</v>
      </c>
      <c r="P198" s="24">
        <v>0</v>
      </c>
      <c r="Q198" s="24">
        <v>1.4289781397449139</v>
      </c>
      <c r="R198" s="24">
        <v>0.14000000000000001</v>
      </c>
      <c r="S198" s="24">
        <v>0.80270165243456626</v>
      </c>
      <c r="T198" s="21">
        <v>1</v>
      </c>
      <c r="U198" s="21" t="s">
        <v>141</v>
      </c>
      <c r="V198" s="70">
        <v>-2.8966814726227759E-2</v>
      </c>
      <c r="W198" s="70">
        <v>3.1033185273772239E-2</v>
      </c>
      <c r="X198" s="24">
        <v>0.79941959898055814</v>
      </c>
      <c r="Y198" s="24" t="s">
        <v>1650</v>
      </c>
      <c r="Z198" s="75">
        <v>11246.06</v>
      </c>
      <c r="AA198" t="s">
        <v>1415</v>
      </c>
      <c r="AB198" s="24">
        <v>3.213644524236984</v>
      </c>
    </row>
    <row r="199" spans="1:28" x14ac:dyDescent="0.55000000000000004">
      <c r="A199" s="24" t="s">
        <v>416</v>
      </c>
      <c r="B199" s="24" t="s">
        <v>924</v>
      </c>
      <c r="C199" s="24" t="s">
        <v>106</v>
      </c>
      <c r="D199" s="24" t="s">
        <v>72</v>
      </c>
      <c r="E199" s="24" t="s">
        <v>97</v>
      </c>
      <c r="F199" s="70">
        <v>1.0327927779698162E-3</v>
      </c>
      <c r="G199" s="24">
        <v>6.4939150000000003</v>
      </c>
      <c r="H199" s="24">
        <v>4.7688540000000001</v>
      </c>
      <c r="I199" s="24">
        <v>4.6905460000000003</v>
      </c>
      <c r="J199" s="24">
        <v>5.3177709999999996</v>
      </c>
      <c r="K199" s="24">
        <v>5.5354450000000002</v>
      </c>
      <c r="L199" s="24">
        <v>16.834150000000001</v>
      </c>
      <c r="M199" s="24">
        <v>29.468800000000002</v>
      </c>
      <c r="N199" s="24">
        <v>0.47432081726158215</v>
      </c>
      <c r="O199" s="24">
        <v>6.2</v>
      </c>
      <c r="P199" s="24">
        <v>5.3383458646616546</v>
      </c>
      <c r="Q199" s="24">
        <v>8.1636770850178468</v>
      </c>
      <c r="R199" s="24">
        <v>5.63</v>
      </c>
      <c r="S199" s="24">
        <v>6.1882677107902708</v>
      </c>
      <c r="T199" s="21">
        <v>1</v>
      </c>
      <c r="U199" s="21" t="s">
        <v>141</v>
      </c>
      <c r="V199" s="70">
        <v>-2.8966822732778112E-2</v>
      </c>
      <c r="W199" s="70">
        <v>3.1033177267221886E-2</v>
      </c>
      <c r="X199" s="24">
        <v>0.72420886483797886</v>
      </c>
      <c r="Y199" s="24" t="s">
        <v>1795</v>
      </c>
      <c r="Z199" s="75">
        <v>11222</v>
      </c>
      <c r="AA199" t="s">
        <v>1415</v>
      </c>
      <c r="AB199" s="24">
        <v>3.2399299474605954</v>
      </c>
    </row>
    <row r="200" spans="1:28" x14ac:dyDescent="0.55000000000000004">
      <c r="A200" s="24" t="s">
        <v>410</v>
      </c>
      <c r="B200" s="24" t="s">
        <v>1243</v>
      </c>
      <c r="C200" s="24" t="s">
        <v>1898</v>
      </c>
      <c r="D200" s="24" t="s">
        <v>72</v>
      </c>
      <c r="E200" s="24" t="s">
        <v>82</v>
      </c>
      <c r="F200" s="70">
        <v>1.0277309861802567E-3</v>
      </c>
      <c r="G200" s="24">
        <v>5.4856400000000001</v>
      </c>
      <c r="H200" s="24">
        <v>5.5026640000000002</v>
      </c>
      <c r="I200" s="24">
        <v>4.2684730000000002</v>
      </c>
      <c r="J200" s="24">
        <v>5.0655890000000001</v>
      </c>
      <c r="K200" s="24">
        <v>7.6044330000000002</v>
      </c>
      <c r="L200" s="24">
        <v>14.60013</v>
      </c>
      <c r="M200" s="24">
        <v>32.967500000000001</v>
      </c>
      <c r="N200" s="24">
        <v>5.9452344612848043</v>
      </c>
      <c r="O200" s="24">
        <v>8.3000000000000007</v>
      </c>
      <c r="P200" s="24">
        <v>6.2634415337033911</v>
      </c>
      <c r="Q200" s="24">
        <v>2.8235459794395164</v>
      </c>
      <c r="R200" s="24">
        <v>7.2</v>
      </c>
      <c r="S200" s="24">
        <v>6.0284927792706515</v>
      </c>
      <c r="T200" s="21">
        <v>1</v>
      </c>
      <c r="U200" s="21" t="s">
        <v>141</v>
      </c>
      <c r="V200" s="70">
        <v>-2.8972653503071811E-2</v>
      </c>
      <c r="W200" s="70">
        <v>3.1027346496928187E-2</v>
      </c>
      <c r="X200" s="24">
        <v>1.3291221857510176</v>
      </c>
      <c r="Y200" s="24" t="s">
        <v>1952</v>
      </c>
      <c r="Z200" s="75">
        <v>11129.96</v>
      </c>
      <c r="AA200" t="s">
        <v>1415</v>
      </c>
      <c r="AB200" s="24">
        <v>3.2136752136752138</v>
      </c>
    </row>
    <row r="201" spans="1:28" x14ac:dyDescent="0.55000000000000004">
      <c r="A201" s="24" t="s">
        <v>408</v>
      </c>
      <c r="B201" s="24" t="s">
        <v>986</v>
      </c>
      <c r="C201" s="24" t="s">
        <v>110</v>
      </c>
      <c r="D201" s="24" t="s">
        <v>72</v>
      </c>
      <c r="E201" s="24" t="s">
        <v>87</v>
      </c>
      <c r="F201" s="70">
        <v>1.0201768059233329E-3</v>
      </c>
      <c r="G201" s="24">
        <v>6.7131489999999996</v>
      </c>
      <c r="H201" s="24">
        <v>5.4858729999999998</v>
      </c>
      <c r="I201" s="24">
        <v>5.6124450000000001</v>
      </c>
      <c r="J201" s="24">
        <v>6.0147550000000001</v>
      </c>
      <c r="K201" s="24">
        <v>1.3748849999999999</v>
      </c>
      <c r="L201" s="24">
        <v>2.7483789999999999</v>
      </c>
      <c r="M201" s="24">
        <v>34.697000000000003</v>
      </c>
      <c r="N201" s="24">
        <v>4.3320172727189989</v>
      </c>
      <c r="O201" s="24">
        <v>7.1</v>
      </c>
      <c r="P201" s="24">
        <v>6.7364016736401684</v>
      </c>
      <c r="Q201" s="24">
        <v>0.691780630844825</v>
      </c>
      <c r="R201" s="24">
        <v>4.9400000000000004</v>
      </c>
      <c r="S201" s="24">
        <v>3.1115838979848012</v>
      </c>
      <c r="T201" s="21">
        <v>1</v>
      </c>
      <c r="U201" s="21" t="s">
        <v>141</v>
      </c>
      <c r="V201" s="70">
        <v>-2.8979600186320793E-2</v>
      </c>
      <c r="W201" s="70">
        <v>3.1020399813679204E-2</v>
      </c>
      <c r="X201" s="24">
        <v>0.15525049440477293</v>
      </c>
      <c r="Y201" s="24" t="s">
        <v>1531</v>
      </c>
      <c r="Z201" s="75">
        <v>11224.35</v>
      </c>
      <c r="AA201" t="s">
        <v>1415</v>
      </c>
      <c r="AB201" s="24">
        <v>3.428063943161634</v>
      </c>
    </row>
    <row r="202" spans="1:28" x14ac:dyDescent="0.55000000000000004">
      <c r="A202" s="24" t="s">
        <v>415</v>
      </c>
      <c r="B202" s="24" t="s">
        <v>991</v>
      </c>
      <c r="C202" s="24" t="s">
        <v>112</v>
      </c>
      <c r="D202" s="24" t="s">
        <v>72</v>
      </c>
      <c r="E202" s="24" t="s">
        <v>84</v>
      </c>
      <c r="F202" s="70">
        <v>1.0200153244271368E-3</v>
      </c>
      <c r="G202" s="24">
        <v>5.8699890000000003</v>
      </c>
      <c r="H202" s="24">
        <v>7.9340320000000002</v>
      </c>
      <c r="I202" s="24">
        <v>6.3457330000000001</v>
      </c>
      <c r="J202" s="24">
        <v>6.7165850000000002</v>
      </c>
      <c r="K202" s="24">
        <v>0.3242487</v>
      </c>
      <c r="L202" s="24">
        <v>-0.93360810000000005</v>
      </c>
      <c r="M202" s="24">
        <v>338.30090000000001</v>
      </c>
      <c r="N202" s="24">
        <v>4.4891414041806472</v>
      </c>
      <c r="O202" s="24">
        <v>5.9</v>
      </c>
      <c r="P202" s="24">
        <v>3.0149253731343286</v>
      </c>
      <c r="Q202" s="24">
        <v>2.821912065631476</v>
      </c>
      <c r="R202" s="24">
        <v>2.1800000000000002</v>
      </c>
      <c r="S202" s="24">
        <v>2.7778373251817934</v>
      </c>
      <c r="T202" s="21">
        <v>1</v>
      </c>
      <c r="U202" s="21" t="s">
        <v>141</v>
      </c>
      <c r="V202" s="70">
        <v>-2.8980207683328735E-2</v>
      </c>
      <c r="W202" s="70">
        <v>3.1019792316671263E-2</v>
      </c>
      <c r="X202" s="24">
        <v>0.56933464332077299</v>
      </c>
      <c r="Y202" s="24" t="s">
        <v>1595</v>
      </c>
      <c r="Z202" s="75">
        <v>10554.79</v>
      </c>
      <c r="AA202" t="s">
        <v>1415</v>
      </c>
      <c r="AB202" s="24">
        <v>3.229166666666667</v>
      </c>
    </row>
    <row r="203" spans="1:28" x14ac:dyDescent="0.55000000000000004">
      <c r="A203" s="24" t="s">
        <v>418</v>
      </c>
      <c r="B203" s="24" t="s">
        <v>1089</v>
      </c>
      <c r="C203" s="24" t="s">
        <v>110</v>
      </c>
      <c r="D203" s="24" t="s">
        <v>72</v>
      </c>
      <c r="E203" s="24" t="s">
        <v>89</v>
      </c>
      <c r="F203" s="70">
        <v>1.0165948754596963E-3</v>
      </c>
      <c r="G203" s="24">
        <v>7.1134750000000002</v>
      </c>
      <c r="H203" s="24">
        <v>4.9479749999999996</v>
      </c>
      <c r="I203" s="24">
        <v>5.4340299999999999</v>
      </c>
      <c r="J203" s="24">
        <v>5.9599909999999996</v>
      </c>
      <c r="K203" s="24">
        <v>2.1116640000000002</v>
      </c>
      <c r="L203" s="24">
        <v>4.1983740000000003</v>
      </c>
      <c r="M203" s="24">
        <v>17.260300000000001</v>
      </c>
      <c r="N203" s="24">
        <v>2.9695265628041252</v>
      </c>
      <c r="O203" s="24">
        <v>5.3</v>
      </c>
      <c r="P203" s="24">
        <v>7.8078078078078068</v>
      </c>
      <c r="Q203" s="24">
        <v>3.5994909251881371</v>
      </c>
      <c r="R203" s="24">
        <v>5.63</v>
      </c>
      <c r="S203" s="24">
        <v>4.4157438021080733</v>
      </c>
      <c r="T203" s="21">
        <v>1</v>
      </c>
      <c r="U203" s="21" t="s">
        <v>141</v>
      </c>
      <c r="V203" s="70">
        <v>-2.8983789613792374E-2</v>
      </c>
      <c r="W203" s="70">
        <v>3.1016210386207624E-2</v>
      </c>
      <c r="X203" s="24">
        <v>0.65672074013550563</v>
      </c>
      <c r="Y203" s="24" t="s">
        <v>1552</v>
      </c>
      <c r="Z203" s="75">
        <v>10720.52</v>
      </c>
      <c r="AA203" t="s">
        <v>1415</v>
      </c>
      <c r="AB203" s="24">
        <v>3.3391003460207616</v>
      </c>
    </row>
    <row r="204" spans="1:28" x14ac:dyDescent="0.55000000000000004">
      <c r="A204" s="24" t="s">
        <v>413</v>
      </c>
      <c r="B204" s="24" t="s">
        <v>870</v>
      </c>
      <c r="C204" s="24" t="s">
        <v>110</v>
      </c>
      <c r="D204" s="24" t="s">
        <v>72</v>
      </c>
      <c r="E204" s="24" t="s">
        <v>86</v>
      </c>
      <c r="F204" s="70">
        <v>1.0120931925243963E-3</v>
      </c>
      <c r="G204" s="24">
        <v>5.3842610000000004</v>
      </c>
      <c r="H204" s="24">
        <v>6.4692290000000003</v>
      </c>
      <c r="I204" s="24">
        <v>6.4029800000000003</v>
      </c>
      <c r="J204" s="24">
        <v>6.120552</v>
      </c>
      <c r="K204" s="24">
        <v>5.1940080000000002</v>
      </c>
      <c r="L204" s="24">
        <v>9.6528369999999999</v>
      </c>
      <c r="M204" s="24">
        <v>2.1507000000000001</v>
      </c>
      <c r="N204" s="24">
        <v>8.1759861675520682</v>
      </c>
      <c r="O204" s="24">
        <v>0.4</v>
      </c>
      <c r="P204" s="24">
        <v>5.2956994941612354</v>
      </c>
      <c r="Q204" s="24">
        <v>2.6066751161808197</v>
      </c>
      <c r="R204" s="24">
        <v>5.18</v>
      </c>
      <c r="S204" s="24">
        <v>4.271707593838026</v>
      </c>
      <c r="T204" s="21">
        <v>1</v>
      </c>
      <c r="U204" s="21" t="s">
        <v>141</v>
      </c>
      <c r="V204" s="70">
        <v>-2.8988291296727673E-2</v>
      </c>
      <c r="W204" s="70">
        <v>3.1011708703272325E-2</v>
      </c>
      <c r="X204" s="24">
        <v>1.245219745684915</v>
      </c>
      <c r="Y204" s="24" t="s">
        <v>1556</v>
      </c>
      <c r="Z204" s="75">
        <v>10986.05</v>
      </c>
      <c r="AA204" t="s">
        <v>1415</v>
      </c>
      <c r="AB204" s="24">
        <v>3.2649572649572649</v>
      </c>
    </row>
    <row r="205" spans="1:28" x14ac:dyDescent="0.55000000000000004">
      <c r="A205" s="24" t="s">
        <v>424</v>
      </c>
      <c r="B205" s="24" t="s">
        <v>1124</v>
      </c>
      <c r="C205" s="24" t="s">
        <v>125</v>
      </c>
      <c r="D205" s="24" t="s">
        <v>72</v>
      </c>
      <c r="E205" s="24" t="s">
        <v>84</v>
      </c>
      <c r="F205" s="70">
        <v>9.8696693612849583E-4</v>
      </c>
      <c r="G205" s="24">
        <v>6.1454979999999999</v>
      </c>
      <c r="H205" s="24">
        <v>6.1562020000000004</v>
      </c>
      <c r="I205" s="24">
        <v>6.0083140000000004</v>
      </c>
      <c r="J205" s="24">
        <v>6.1033379999999999</v>
      </c>
      <c r="K205" s="24">
        <v>3.0607229999999999</v>
      </c>
      <c r="L205" s="24">
        <v>5.477722</v>
      </c>
      <c r="M205" s="24">
        <v>108.0086</v>
      </c>
      <c r="N205" s="24">
        <v>6.9502774011708937</v>
      </c>
      <c r="O205" s="24">
        <v>2.5</v>
      </c>
      <c r="P205" s="24">
        <v>5.4029850746268648</v>
      </c>
      <c r="Q205" s="24">
        <v>4.7544522886557399</v>
      </c>
      <c r="R205" s="24">
        <v>5.45</v>
      </c>
      <c r="S205" s="24">
        <v>5.1980542079525076</v>
      </c>
      <c r="T205" s="21">
        <v>1</v>
      </c>
      <c r="U205" s="21" t="s">
        <v>141</v>
      </c>
      <c r="V205" s="70">
        <v>-2.9013417553123571E-2</v>
      </c>
      <c r="W205" s="70">
        <v>3.0986582446876427E-2</v>
      </c>
      <c r="X205" s="24">
        <v>1.04582252762636</v>
      </c>
      <c r="Y205" s="24" t="s">
        <v>1925</v>
      </c>
      <c r="Z205" s="75">
        <v>10795.45</v>
      </c>
      <c r="AA205" t="s">
        <v>1415</v>
      </c>
      <c r="AB205" s="24">
        <v>3.385416666666667</v>
      </c>
    </row>
    <row r="206" spans="1:28" x14ac:dyDescent="0.55000000000000004">
      <c r="A206" s="24" t="s">
        <v>419</v>
      </c>
      <c r="B206" s="24" t="s">
        <v>1255</v>
      </c>
      <c r="C206" s="24" t="s">
        <v>178</v>
      </c>
      <c r="D206" s="24" t="s">
        <v>72</v>
      </c>
      <c r="E206" s="24" t="s">
        <v>99</v>
      </c>
      <c r="F206" s="70">
        <v>9.8220946647789771E-4</v>
      </c>
      <c r="G206" s="24">
        <v>6.2680790000000002</v>
      </c>
      <c r="H206" s="24">
        <v>7.2874040000000004</v>
      </c>
      <c r="I206" s="24">
        <v>6.0059509999999996</v>
      </c>
      <c r="J206" s="24">
        <v>6.4195180000000001</v>
      </c>
      <c r="K206" s="24">
        <v>4.9015719999999998</v>
      </c>
      <c r="L206" s="24">
        <v>6.84823</v>
      </c>
      <c r="M206" s="24">
        <v>708.14189999999996</v>
      </c>
      <c r="N206" s="24">
        <v>7.1697558320097521</v>
      </c>
      <c r="O206" s="24">
        <v>1.7</v>
      </c>
      <c r="P206" s="24">
        <v>3.6448598130841123</v>
      </c>
      <c r="Q206" s="24">
        <v>6.4307065751047254</v>
      </c>
      <c r="R206" s="24">
        <v>6.27</v>
      </c>
      <c r="S206" s="24">
        <v>4.6811990713789999</v>
      </c>
      <c r="T206" s="21">
        <v>1</v>
      </c>
      <c r="U206" s="21" t="s">
        <v>141</v>
      </c>
      <c r="V206" s="70">
        <v>-2.9017928143346139E-2</v>
      </c>
      <c r="W206" s="70">
        <v>3.0982071856653859E-2</v>
      </c>
      <c r="X206" s="24">
        <v>0.52830040639564935</v>
      </c>
      <c r="Y206" s="24" t="s">
        <v>1955</v>
      </c>
      <c r="Z206" s="75">
        <v>12325.4</v>
      </c>
      <c r="AA206" t="s">
        <v>1415</v>
      </c>
      <c r="AB206" s="24">
        <v>3.1956912028725313</v>
      </c>
    </row>
    <row r="207" spans="1:28" x14ac:dyDescent="0.55000000000000004">
      <c r="A207" s="24" t="s">
        <v>426</v>
      </c>
      <c r="B207" s="24" t="s">
        <v>842</v>
      </c>
      <c r="C207" s="24" t="s">
        <v>125</v>
      </c>
      <c r="D207" s="24" t="s">
        <v>72</v>
      </c>
      <c r="E207" s="24" t="s">
        <v>83</v>
      </c>
      <c r="F207" s="70">
        <v>9.6904036997269409E-4</v>
      </c>
      <c r="G207" s="24">
        <v>3.9185490000000001</v>
      </c>
      <c r="H207" s="24">
        <v>3.8829310000000001</v>
      </c>
      <c r="I207" s="24">
        <v>6.6478339999999996</v>
      </c>
      <c r="J207" s="24">
        <v>4.8164379999999998</v>
      </c>
      <c r="K207" s="24">
        <v>1.968205</v>
      </c>
      <c r="L207" s="24">
        <v>11.1905</v>
      </c>
      <c r="M207" s="24">
        <v>2121.0100000000002</v>
      </c>
      <c r="N207" s="24">
        <v>6.7936394740278425</v>
      </c>
      <c r="O207" s="24">
        <v>1.5</v>
      </c>
      <c r="P207" s="24">
        <v>3.4925373134328357</v>
      </c>
      <c r="Q207" s="24">
        <v>8.0341572532053238</v>
      </c>
      <c r="R207" s="24">
        <v>2.82</v>
      </c>
      <c r="S207" s="24">
        <v>7.0346233367761215</v>
      </c>
      <c r="T207" s="21">
        <v>1</v>
      </c>
      <c r="U207" s="21" t="s">
        <v>141</v>
      </c>
      <c r="V207" s="70">
        <v>-2.9031344119279375E-2</v>
      </c>
      <c r="W207" s="70">
        <v>3.0968655880720623E-2</v>
      </c>
      <c r="X207" s="24">
        <v>1.4771404962997317</v>
      </c>
      <c r="Y207" s="24" t="s">
        <v>1490</v>
      </c>
      <c r="Z207" s="75">
        <v>11395.76</v>
      </c>
      <c r="AA207" t="s">
        <v>1415</v>
      </c>
      <c r="AB207" s="24">
        <v>3.4201388888888888</v>
      </c>
    </row>
    <row r="208" spans="1:28" x14ac:dyDescent="0.55000000000000004">
      <c r="A208" s="24" t="s">
        <v>387</v>
      </c>
      <c r="B208" s="24" t="s">
        <v>1047</v>
      </c>
      <c r="C208" s="24" t="s">
        <v>106</v>
      </c>
      <c r="D208" s="24" t="s">
        <v>72</v>
      </c>
      <c r="E208" s="24" t="s">
        <v>89</v>
      </c>
      <c r="F208" s="70">
        <v>9.6311191976470288E-4</v>
      </c>
      <c r="G208" s="24">
        <v>4.39236</v>
      </c>
      <c r="H208" s="24">
        <v>5.201918</v>
      </c>
      <c r="I208" s="24">
        <v>6.4719009999999999</v>
      </c>
      <c r="J208" s="24">
        <v>5.2590899999999996</v>
      </c>
      <c r="K208" s="24">
        <v>2.354911</v>
      </c>
      <c r="L208" s="24">
        <v>5.0078800000000001</v>
      </c>
      <c r="M208" s="24">
        <v>56.832000000000001</v>
      </c>
      <c r="N208" s="24">
        <v>2.226063443870177</v>
      </c>
      <c r="O208" s="24">
        <v>0</v>
      </c>
      <c r="P208" s="24">
        <v>3.1531531531531525</v>
      </c>
      <c r="Q208" s="24">
        <v>5.6051715360779113</v>
      </c>
      <c r="R208" s="24">
        <v>4.7</v>
      </c>
      <c r="S208" s="24">
        <v>3.0604920783117775</v>
      </c>
      <c r="T208" s="21">
        <v>1</v>
      </c>
      <c r="U208" s="21" t="s">
        <v>141</v>
      </c>
      <c r="V208" s="70">
        <v>-2.9037272569487366E-2</v>
      </c>
      <c r="W208" s="70">
        <v>3.0962727430512631E-2</v>
      </c>
      <c r="X208" s="24">
        <v>1.6867291307033683</v>
      </c>
      <c r="Y208" s="24" t="s">
        <v>1806</v>
      </c>
      <c r="Z208" s="75">
        <v>11040.7</v>
      </c>
      <c r="AA208" t="s">
        <v>1415</v>
      </c>
      <c r="AB208" s="24">
        <v>2.8027681660899657</v>
      </c>
    </row>
    <row r="209" spans="1:28" x14ac:dyDescent="0.55000000000000004">
      <c r="A209" s="24" t="s">
        <v>414</v>
      </c>
      <c r="B209" s="24" t="s">
        <v>1170</v>
      </c>
      <c r="C209" s="24" t="s">
        <v>111</v>
      </c>
      <c r="D209" s="24" t="s">
        <v>72</v>
      </c>
      <c r="E209" s="24" t="s">
        <v>82</v>
      </c>
      <c r="F209" s="70">
        <v>9.3458272996268014E-4</v>
      </c>
      <c r="G209" s="24">
        <v>5.9907659999999998</v>
      </c>
      <c r="H209" s="24">
        <v>7.4899120000000003</v>
      </c>
      <c r="I209" s="24">
        <v>7.7442529999999996</v>
      </c>
      <c r="J209" s="24">
        <v>7.1291869999999999</v>
      </c>
      <c r="K209" s="24">
        <v>8.5498989999999999</v>
      </c>
      <c r="L209" s="24">
        <v>25.300630000000002</v>
      </c>
      <c r="M209" s="24">
        <v>14.752599999999999</v>
      </c>
      <c r="N209" s="24">
        <v>7.001604353877374</v>
      </c>
      <c r="O209" s="24">
        <v>9.9</v>
      </c>
      <c r="P209" s="24">
        <v>2.6344088854203109</v>
      </c>
      <c r="Q209" s="24">
        <v>7.7946768060836513</v>
      </c>
      <c r="R209" s="24">
        <v>7.16</v>
      </c>
      <c r="S209" s="24">
        <v>6.6460408385422447</v>
      </c>
      <c r="T209" s="21">
        <v>1</v>
      </c>
      <c r="U209" s="21" t="s">
        <v>141</v>
      </c>
      <c r="V209" s="70">
        <v>-2.906503278078525E-2</v>
      </c>
      <c r="W209" s="70">
        <v>3.0934967219214748E-2</v>
      </c>
      <c r="X209" s="24">
        <v>1.0088656173492356</v>
      </c>
      <c r="Y209" s="24" t="s">
        <v>1667</v>
      </c>
      <c r="Z209" s="75">
        <v>10016.76</v>
      </c>
      <c r="AA209" t="s">
        <v>1415</v>
      </c>
      <c r="AB209" s="24">
        <v>3.2820512820512819</v>
      </c>
    </row>
    <row r="210" spans="1:28" x14ac:dyDescent="0.55000000000000004">
      <c r="A210" s="24" t="s">
        <v>433</v>
      </c>
      <c r="B210" s="24" t="s">
        <v>1314</v>
      </c>
      <c r="C210" s="24" t="s">
        <v>106</v>
      </c>
      <c r="D210" s="24" t="s">
        <v>72</v>
      </c>
      <c r="E210" s="24" t="s">
        <v>91</v>
      </c>
      <c r="F210" s="70">
        <v>9.0748621103180921E-4</v>
      </c>
      <c r="G210" s="24">
        <v>8.6361989999999995</v>
      </c>
      <c r="H210" s="24">
        <v>4.1458839999999997</v>
      </c>
      <c r="I210" s="24">
        <v>7.3732360000000003</v>
      </c>
      <c r="J210" s="24">
        <v>6.3348880000000003</v>
      </c>
      <c r="K210" s="24">
        <v>4.9546520000000003</v>
      </c>
      <c r="L210" s="24">
        <v>12.26446</v>
      </c>
      <c r="M210" s="24">
        <v>4.5457000000000001</v>
      </c>
      <c r="N210" s="24">
        <v>2.6921467081184631</v>
      </c>
      <c r="O210" s="24">
        <v>2.7</v>
      </c>
      <c r="P210" s="24">
        <v>2.0186335403726705</v>
      </c>
      <c r="Q210" s="24">
        <v>6.9922416275090304</v>
      </c>
      <c r="R210" s="24">
        <v>6.65</v>
      </c>
      <c r="S210" s="24">
        <v>6.3672958901199763</v>
      </c>
      <c r="T210" s="21">
        <v>1</v>
      </c>
      <c r="U210" s="21" t="s">
        <v>141</v>
      </c>
      <c r="V210" s="70">
        <v>-2.9092898278220258E-2</v>
      </c>
      <c r="W210" s="70">
        <v>3.0907101721779739E-2</v>
      </c>
      <c r="X210" s="24">
        <v>1.1726675284753887</v>
      </c>
      <c r="Y210" s="24" t="s">
        <v>1894</v>
      </c>
      <c r="Z210" s="75">
        <v>9837.3389999999999</v>
      </c>
      <c r="AA210" t="s">
        <v>1415</v>
      </c>
      <c r="AB210" s="24">
        <v>3.6363636363636367</v>
      </c>
    </row>
    <row r="211" spans="1:28" x14ac:dyDescent="0.55000000000000004">
      <c r="A211" s="24" t="s">
        <v>425</v>
      </c>
      <c r="B211" s="24" t="s">
        <v>1123</v>
      </c>
      <c r="C211" s="24" t="s">
        <v>177</v>
      </c>
      <c r="D211" s="24" t="s">
        <v>72</v>
      </c>
      <c r="E211" s="24" t="s">
        <v>89</v>
      </c>
      <c r="F211" s="70">
        <v>8.9904455532553967E-4</v>
      </c>
      <c r="G211" s="24">
        <v>7.0502349999999998</v>
      </c>
      <c r="H211" s="24">
        <v>6.6627799999999997</v>
      </c>
      <c r="I211" s="24">
        <v>8.4647129999999997</v>
      </c>
      <c r="J211" s="24">
        <v>7.3583420000000004</v>
      </c>
      <c r="K211" s="24">
        <v>2.0894409999999999</v>
      </c>
      <c r="L211" s="24">
        <v>6.2546429999999997</v>
      </c>
      <c r="M211" s="24">
        <v>16.679400000000001</v>
      </c>
      <c r="N211" s="24">
        <v>6.1875947184960136</v>
      </c>
      <c r="O211" s="24">
        <v>9.3000000000000007</v>
      </c>
      <c r="P211" s="24">
        <v>6.8468468468468462</v>
      </c>
      <c r="Q211" s="24">
        <v>4.3594145639663573</v>
      </c>
      <c r="R211" s="24">
        <v>5.86</v>
      </c>
      <c r="S211" s="24">
        <v>5.1330748849553203</v>
      </c>
      <c r="T211" s="21">
        <v>1</v>
      </c>
      <c r="U211" s="21" t="s">
        <v>141</v>
      </c>
      <c r="V211" s="70">
        <v>-2.910057095542239E-2</v>
      </c>
      <c r="W211" s="70">
        <v>3.0899429044577608E-2</v>
      </c>
      <c r="X211" s="24">
        <v>1.422988754425468</v>
      </c>
      <c r="Y211" s="24" t="s">
        <v>1686</v>
      </c>
      <c r="Z211" s="75">
        <v>9743.3459999999995</v>
      </c>
      <c r="AA211" t="s">
        <v>1415</v>
      </c>
      <c r="AB211" s="24">
        <v>3.4602076124567471</v>
      </c>
    </row>
    <row r="212" spans="1:28" x14ac:dyDescent="0.55000000000000004">
      <c r="A212" s="24" t="s">
        <v>421</v>
      </c>
      <c r="B212" s="24" t="s">
        <v>1405</v>
      </c>
      <c r="C212" s="24" t="s">
        <v>127</v>
      </c>
      <c r="D212" s="24" t="s">
        <v>72</v>
      </c>
      <c r="E212" s="24" t="s">
        <v>87</v>
      </c>
      <c r="F212" s="70">
        <v>8.9629239365987502E-4</v>
      </c>
      <c r="G212" s="24">
        <v>6.8509880000000001</v>
      </c>
      <c r="H212" s="24">
        <v>5.54617</v>
      </c>
      <c r="I212" s="24">
        <v>4.757619</v>
      </c>
      <c r="J212" s="24">
        <v>5.8315320000000002</v>
      </c>
      <c r="K212" s="24">
        <v>3.2265990000000002</v>
      </c>
      <c r="L212" s="24">
        <v>6.23027</v>
      </c>
      <c r="M212" s="24">
        <v>88.708799999999997</v>
      </c>
      <c r="N212" s="24">
        <v>2.3810512204009457</v>
      </c>
      <c r="O212" s="24">
        <v>3.1</v>
      </c>
      <c r="P212" s="24">
        <v>6.6945606694560675</v>
      </c>
      <c r="Q212" s="24">
        <v>5.0526581074655263</v>
      </c>
      <c r="R212" s="24">
        <v>4.07</v>
      </c>
      <c r="S212" s="24">
        <v>4.8933933535682215</v>
      </c>
      <c r="T212" s="21">
        <v>1</v>
      </c>
      <c r="U212" s="21" t="s">
        <v>141</v>
      </c>
      <c r="V212" s="70">
        <v>-2.9103746753619431E-2</v>
      </c>
      <c r="W212" s="70">
        <v>3.0896253246380567E-2</v>
      </c>
      <c r="X212" s="24">
        <v>0.62603017926340221</v>
      </c>
      <c r="Y212" s="24" t="s">
        <v>1641</v>
      </c>
      <c r="Z212" s="75">
        <v>9747.7279999999992</v>
      </c>
      <c r="AA212" t="s">
        <v>1415</v>
      </c>
      <c r="AB212" s="24">
        <v>3.6589698046181174</v>
      </c>
    </row>
    <row r="213" spans="1:28" x14ac:dyDescent="0.55000000000000004">
      <c r="A213" s="24" t="s">
        <v>422</v>
      </c>
      <c r="B213" s="24" t="s">
        <v>1066</v>
      </c>
      <c r="C213" s="24" t="s">
        <v>107</v>
      </c>
      <c r="D213" s="24" t="s">
        <v>72</v>
      </c>
      <c r="E213" s="24" t="s">
        <v>89</v>
      </c>
      <c r="F213" s="70">
        <v>8.9292820077276785E-4</v>
      </c>
      <c r="G213" s="24">
        <v>6.4623400000000002</v>
      </c>
      <c r="H213" s="24">
        <v>6.1723420000000004</v>
      </c>
      <c r="I213" s="24">
        <v>6.145022</v>
      </c>
      <c r="J213" s="24">
        <v>6.2801460000000002</v>
      </c>
      <c r="K213" s="24">
        <v>3.0169160000000002</v>
      </c>
      <c r="L213" s="24">
        <v>6.0025519999999997</v>
      </c>
      <c r="M213" s="24">
        <v>31.210999999999999</v>
      </c>
      <c r="N213" s="24">
        <v>4.0998489691009734</v>
      </c>
      <c r="O213" s="24">
        <v>7.1</v>
      </c>
      <c r="P213" s="24">
        <v>7.4474474474474475</v>
      </c>
      <c r="Q213" s="24">
        <v>4.223660911907924</v>
      </c>
      <c r="R213" s="24">
        <v>6.98</v>
      </c>
      <c r="S213" s="24">
        <v>5.3324220788530052</v>
      </c>
      <c r="T213" s="21">
        <v>1</v>
      </c>
      <c r="U213" s="21" t="s">
        <v>141</v>
      </c>
      <c r="V213" s="70">
        <v>-2.91074562884793E-2</v>
      </c>
      <c r="W213" s="70">
        <v>3.0892543711520698E-2</v>
      </c>
      <c r="X213" s="24">
        <v>0.93707103126007074</v>
      </c>
      <c r="Y213" s="24" t="s">
        <v>1736</v>
      </c>
      <c r="Z213" s="75">
        <v>9066.5190000000002</v>
      </c>
      <c r="AA213" t="s">
        <v>1415</v>
      </c>
      <c r="AB213" s="24">
        <v>3.4083044982698962</v>
      </c>
    </row>
    <row r="214" spans="1:28" x14ac:dyDescent="0.55000000000000004">
      <c r="A214" s="24" t="s">
        <v>432</v>
      </c>
      <c r="B214" s="24" t="s">
        <v>1182</v>
      </c>
      <c r="C214" s="24" t="s">
        <v>106</v>
      </c>
      <c r="D214" s="24" t="s">
        <v>72</v>
      </c>
      <c r="E214" s="24" t="s">
        <v>89</v>
      </c>
      <c r="F214" s="70">
        <v>8.9200504551720521E-4</v>
      </c>
      <c r="G214" s="24">
        <v>5.6849309999999997</v>
      </c>
      <c r="H214" s="24">
        <v>5.273682</v>
      </c>
      <c r="I214" s="24">
        <v>4.3967520000000002</v>
      </c>
      <c r="J214" s="24">
        <v>5.175103</v>
      </c>
      <c r="K214" s="24">
        <v>2.8843420000000002</v>
      </c>
      <c r="L214" s="24">
        <v>5.8696469999999996</v>
      </c>
      <c r="M214" s="24">
        <v>54.8583</v>
      </c>
      <c r="N214" s="24">
        <v>2.6172460506917639</v>
      </c>
      <c r="O214" s="24">
        <v>6.9</v>
      </c>
      <c r="P214" s="24">
        <v>7.5975975975975976</v>
      </c>
      <c r="Q214" s="24">
        <v>4.1555998229305002</v>
      </c>
      <c r="R214" s="24">
        <v>7.29</v>
      </c>
      <c r="S214" s="24">
        <v>5.082352111620283</v>
      </c>
      <c r="T214" s="21">
        <v>1</v>
      </c>
      <c r="U214" s="21" t="s">
        <v>141</v>
      </c>
      <c r="V214" s="70">
        <v>-2.9108379443734862E-2</v>
      </c>
      <c r="W214" s="70">
        <v>3.0891620556265136E-2</v>
      </c>
      <c r="X214" s="24">
        <v>0.95974819437333969</v>
      </c>
      <c r="Y214" s="24" t="s">
        <v>1797</v>
      </c>
      <c r="Z214" s="75">
        <v>9975.9429999999993</v>
      </c>
      <c r="AA214" t="s">
        <v>1415</v>
      </c>
      <c r="AB214" s="24">
        <v>3.5813148788927336</v>
      </c>
    </row>
    <row r="215" spans="1:28" x14ac:dyDescent="0.55000000000000004">
      <c r="A215" s="24" t="s">
        <v>439</v>
      </c>
      <c r="B215" s="24" t="s">
        <v>1163</v>
      </c>
      <c r="C215" s="24" t="s">
        <v>126</v>
      </c>
      <c r="D215" s="24" t="s">
        <v>72</v>
      </c>
      <c r="E215" s="24" t="s">
        <v>98</v>
      </c>
      <c r="F215" s="70">
        <v>8.6734902666317721E-4</v>
      </c>
      <c r="G215" s="24">
        <v>5.9600289999999996</v>
      </c>
      <c r="H215" s="24">
        <v>5.0709720000000003</v>
      </c>
      <c r="I215" s="24">
        <v>5.0033130000000003</v>
      </c>
      <c r="J215" s="24">
        <v>5.4062970000000004</v>
      </c>
      <c r="K215" s="24">
        <v>2.287871</v>
      </c>
      <c r="L215" s="24">
        <v>6.469538</v>
      </c>
      <c r="M215" s="24">
        <v>5622.6149999999998</v>
      </c>
      <c r="N215" s="24">
        <v>6.9193809909852009</v>
      </c>
      <c r="O215" s="24">
        <v>1.3</v>
      </c>
      <c r="P215" s="24">
        <v>8.0745341614906838</v>
      </c>
      <c r="Q215" s="24">
        <v>5.1054317299073801</v>
      </c>
      <c r="R215" s="24">
        <v>6</v>
      </c>
      <c r="S215" s="24">
        <v>5.8593956747523865</v>
      </c>
      <c r="T215" s="21">
        <v>1</v>
      </c>
      <c r="U215" s="21" t="s">
        <v>141</v>
      </c>
      <c r="V215" s="70">
        <v>-2.9132716954839231E-2</v>
      </c>
      <c r="W215" s="70">
        <v>3.0867283045160766E-2</v>
      </c>
      <c r="X215" s="24">
        <v>0.64976402592159033</v>
      </c>
      <c r="Y215" s="24" t="s">
        <v>1866</v>
      </c>
      <c r="Z215" s="75">
        <v>0</v>
      </c>
      <c r="AA215" t="s">
        <v>1415</v>
      </c>
      <c r="AB215" s="24">
        <v>3.7392795883361925</v>
      </c>
    </row>
    <row r="216" spans="1:28" x14ac:dyDescent="0.55000000000000004">
      <c r="A216" s="24" t="s">
        <v>423</v>
      </c>
      <c r="B216" s="24" t="s">
        <v>1120</v>
      </c>
      <c r="C216" s="24" t="s">
        <v>125</v>
      </c>
      <c r="D216" s="24" t="s">
        <v>72</v>
      </c>
      <c r="E216" s="24" t="s">
        <v>96</v>
      </c>
      <c r="F216" s="70">
        <v>8.5507328136660572E-4</v>
      </c>
      <c r="G216" s="24">
        <v>6.5859069999999997</v>
      </c>
      <c r="H216" s="24">
        <v>4.6299929999999998</v>
      </c>
      <c r="I216" s="24">
        <v>5.8009510000000004</v>
      </c>
      <c r="J216" s="24">
        <v>5.7636459999999996</v>
      </c>
      <c r="K216" s="24">
        <v>2.1899609999999998</v>
      </c>
      <c r="L216" s="24">
        <v>1.7841689999999999</v>
      </c>
      <c r="M216" s="24">
        <v>14.8713</v>
      </c>
      <c r="N216" s="24">
        <v>4.9260209032695732</v>
      </c>
      <c r="O216" s="24">
        <v>3.1</v>
      </c>
      <c r="P216" s="24">
        <v>6.5610859728506803</v>
      </c>
      <c r="Q216" s="24">
        <v>1.3807251860287058</v>
      </c>
      <c r="R216" s="24">
        <v>9.0500000000000007</v>
      </c>
      <c r="S216" s="24">
        <v>2.0218528357351944</v>
      </c>
      <c r="T216" s="21">
        <v>1</v>
      </c>
      <c r="U216" s="21" t="s">
        <v>141</v>
      </c>
      <c r="V216" s="70">
        <v>-2.9144542229381322E-2</v>
      </c>
      <c r="W216" s="70">
        <v>3.0855457770618676E-2</v>
      </c>
      <c r="X216" s="24">
        <v>1.4304481749001792</v>
      </c>
      <c r="Y216" s="24" t="s">
        <v>1923</v>
      </c>
      <c r="Z216" s="75">
        <v>8634.2309999999998</v>
      </c>
      <c r="AA216" t="s">
        <v>1415</v>
      </c>
      <c r="AB216" s="24">
        <v>3.6221837088388216</v>
      </c>
    </row>
    <row r="217" spans="1:28" x14ac:dyDescent="0.55000000000000004">
      <c r="A217" s="24" t="s">
        <v>411</v>
      </c>
      <c r="B217" s="24" t="s">
        <v>892</v>
      </c>
      <c r="C217" s="24" t="s">
        <v>126</v>
      </c>
      <c r="D217" s="24" t="s">
        <v>72</v>
      </c>
      <c r="E217" s="24" t="s">
        <v>82</v>
      </c>
      <c r="F217" s="70">
        <v>8.5441013883371774E-4</v>
      </c>
      <c r="G217" s="24">
        <v>8.5846429999999998</v>
      </c>
      <c r="H217" s="24">
        <v>4.4539569999999999</v>
      </c>
      <c r="I217" s="24">
        <v>5.6443760000000003</v>
      </c>
      <c r="J217" s="24">
        <v>6.1098100000000004</v>
      </c>
      <c r="K217" s="24">
        <v>6.5029029999999999</v>
      </c>
      <c r="L217" s="24">
        <v>19.034289999999999</v>
      </c>
      <c r="M217" s="24">
        <v>3.7856000000000001</v>
      </c>
      <c r="N217" s="24">
        <v>3.9619621430780079</v>
      </c>
      <c r="O217" s="24">
        <v>1.6</v>
      </c>
      <c r="P217" s="24">
        <v>4.4623660712221582</v>
      </c>
      <c r="Q217" s="24">
        <v>8.7184914800732294</v>
      </c>
      <c r="R217" s="24">
        <v>6.23</v>
      </c>
      <c r="S217" s="24">
        <v>6.1766019982958831</v>
      </c>
      <c r="T217" s="21">
        <v>1</v>
      </c>
      <c r="U217" s="21" t="s">
        <v>141</v>
      </c>
      <c r="V217" s="70">
        <v>-2.9145205371914212E-2</v>
      </c>
      <c r="W217" s="70">
        <v>3.0854794628085786E-2</v>
      </c>
      <c r="X217" s="24">
        <v>1.4065874295743679</v>
      </c>
      <c r="Y217" s="24" t="s">
        <v>1864</v>
      </c>
      <c r="Z217" s="75">
        <v>10218.01</v>
      </c>
      <c r="AA217" t="s">
        <v>1415</v>
      </c>
      <c r="AB217" s="24">
        <v>3.2307692307692308</v>
      </c>
    </row>
    <row r="218" spans="1:28" x14ac:dyDescent="0.55000000000000004">
      <c r="A218" s="24" t="s">
        <v>434</v>
      </c>
      <c r="B218" s="24" t="s">
        <v>1248</v>
      </c>
      <c r="C218" s="24" t="s">
        <v>106</v>
      </c>
      <c r="D218" s="24" t="s">
        <v>72</v>
      </c>
      <c r="E218" s="24" t="s">
        <v>87</v>
      </c>
      <c r="F218" s="70">
        <v>8.5041286857058171E-4</v>
      </c>
      <c r="G218" s="24">
        <v>5.1237570000000003</v>
      </c>
      <c r="H218" s="24">
        <v>5.2918050000000001</v>
      </c>
      <c r="I218" s="24">
        <v>6.0142369999999996</v>
      </c>
      <c r="J218" s="24">
        <v>5.4413159999999996</v>
      </c>
      <c r="K218" s="24">
        <v>2.9167909999999999</v>
      </c>
      <c r="L218" s="24">
        <v>9.5949550000000006</v>
      </c>
      <c r="M218" s="24">
        <v>194.3075</v>
      </c>
      <c r="N218" s="24">
        <v>6.4346562877765923</v>
      </c>
      <c r="O218" s="24">
        <v>4.8</v>
      </c>
      <c r="P218" s="24">
        <v>5.2719665271966534</v>
      </c>
      <c r="Q218" s="24">
        <v>8.418662228562372</v>
      </c>
      <c r="R218" s="24">
        <v>5.15</v>
      </c>
      <c r="S218" s="24">
        <v>6.8996454449683053</v>
      </c>
      <c r="T218" s="21">
        <v>1</v>
      </c>
      <c r="U218" s="21" t="s">
        <v>141</v>
      </c>
      <c r="V218" s="70">
        <v>-2.9149202642177349E-2</v>
      </c>
      <c r="W218" s="70">
        <v>3.0850797357822649E-2</v>
      </c>
      <c r="X218" s="24">
        <v>0.9436870213050268</v>
      </c>
      <c r="Y218" s="24" t="s">
        <v>1462</v>
      </c>
      <c r="Z218" s="75">
        <v>8968.5540000000001</v>
      </c>
      <c r="AA218" t="s">
        <v>1415</v>
      </c>
      <c r="AB218" s="24">
        <v>3.8898756660746003</v>
      </c>
    </row>
    <row r="219" spans="1:28" x14ac:dyDescent="0.55000000000000004">
      <c r="A219" s="24" t="s">
        <v>429</v>
      </c>
      <c r="B219" s="24" t="s">
        <v>1111</v>
      </c>
      <c r="C219" s="24" t="s">
        <v>113</v>
      </c>
      <c r="D219" s="24" t="s">
        <v>72</v>
      </c>
      <c r="E219" s="24" t="s">
        <v>82</v>
      </c>
      <c r="F219" s="70">
        <v>8.4817598790889591E-4</v>
      </c>
      <c r="G219" s="24">
        <v>8.5522290000000005</v>
      </c>
      <c r="H219" s="24">
        <v>7.7772040000000002</v>
      </c>
      <c r="I219" s="24">
        <v>7.3559140000000003</v>
      </c>
      <c r="J219" s="24">
        <v>7.8622589999999999</v>
      </c>
      <c r="K219" s="24">
        <v>4.7763859999999996</v>
      </c>
      <c r="L219" s="24">
        <v>7.4433910000000001</v>
      </c>
      <c r="M219" s="24">
        <v>2.0145</v>
      </c>
      <c r="N219" s="24">
        <v>4.4202568478577842</v>
      </c>
      <c r="O219" s="24">
        <v>6.8</v>
      </c>
      <c r="P219" s="24">
        <v>9.7580655653833936</v>
      </c>
      <c r="Q219" s="24">
        <v>1.7448246725813268</v>
      </c>
      <c r="R219" s="24">
        <v>4.66</v>
      </c>
      <c r="S219" s="24">
        <v>4.0260337979165985</v>
      </c>
      <c r="T219" s="21">
        <v>1</v>
      </c>
      <c r="U219" s="21" t="s">
        <v>141</v>
      </c>
      <c r="V219" s="70">
        <v>-2.9152208501343174E-2</v>
      </c>
      <c r="W219" s="70">
        <v>3.0847791498656824E-2</v>
      </c>
      <c r="X219" s="24">
        <v>1.1981754126828075</v>
      </c>
      <c r="Y219" s="24" t="s">
        <v>1870</v>
      </c>
      <c r="Z219" s="75">
        <v>9392.3870000000006</v>
      </c>
      <c r="AA219" t="s">
        <v>1415</v>
      </c>
      <c r="AB219" s="24">
        <v>3.5384615384615388</v>
      </c>
    </row>
    <row r="220" spans="1:28" x14ac:dyDescent="0.55000000000000004">
      <c r="A220" s="24" t="s">
        <v>436</v>
      </c>
      <c r="B220" s="24" t="s">
        <v>1254</v>
      </c>
      <c r="C220" s="24" t="s">
        <v>106</v>
      </c>
      <c r="D220" s="24" t="s">
        <v>72</v>
      </c>
      <c r="E220" s="24" t="s">
        <v>96</v>
      </c>
      <c r="F220" s="70">
        <v>8.4782920419678332E-4</v>
      </c>
      <c r="G220" s="24">
        <v>7.9149560000000001</v>
      </c>
      <c r="H220" s="24">
        <v>6.1052369999999998</v>
      </c>
      <c r="I220" s="24">
        <v>7.8842610000000004</v>
      </c>
      <c r="J220" s="24">
        <v>7.1787910000000004</v>
      </c>
      <c r="K220" s="24">
        <v>1.2235959999999999</v>
      </c>
      <c r="L220" s="24">
        <v>4.9311610000000003</v>
      </c>
      <c r="M220" s="24">
        <v>1.1347</v>
      </c>
      <c r="N220" s="24">
        <v>5.9081644710539747</v>
      </c>
      <c r="O220" s="24">
        <v>6.1</v>
      </c>
      <c r="P220" s="24">
        <v>8.0995475113122186</v>
      </c>
      <c r="Q220" s="24">
        <v>4.4757007243313041</v>
      </c>
      <c r="R220" s="24">
        <v>5.3</v>
      </c>
      <c r="S220" s="24">
        <v>7.4616653057790661</v>
      </c>
      <c r="T220" s="21">
        <v>1</v>
      </c>
      <c r="U220" s="21" t="s">
        <v>1410</v>
      </c>
      <c r="V220" s="70">
        <v>-2.9152555285055285E-2</v>
      </c>
      <c r="W220" s="70">
        <v>3.0847444714944713E-2</v>
      </c>
      <c r="X220" s="24">
        <v>1.006158890110721</v>
      </c>
      <c r="Y220" s="24" t="s">
        <v>1478</v>
      </c>
      <c r="Z220" s="75">
        <v>9297.1329999999998</v>
      </c>
      <c r="AA220" t="s">
        <v>1415</v>
      </c>
      <c r="AB220" s="24">
        <v>3.8474870017331018</v>
      </c>
    </row>
    <row r="221" spans="1:28" x14ac:dyDescent="0.55000000000000004">
      <c r="A221" s="24" t="s">
        <v>427</v>
      </c>
      <c r="B221" s="24" t="s">
        <v>1030</v>
      </c>
      <c r="C221" s="24" t="s">
        <v>125</v>
      </c>
      <c r="D221" s="24" t="s">
        <v>72</v>
      </c>
      <c r="E221" s="24" t="s">
        <v>86</v>
      </c>
      <c r="F221" s="70">
        <v>8.4433764767024287E-4</v>
      </c>
      <c r="G221" s="24">
        <v>6.0090599999999998</v>
      </c>
      <c r="H221" s="24">
        <v>6.2332280000000004</v>
      </c>
      <c r="I221" s="24">
        <v>6.0508759999999997</v>
      </c>
      <c r="J221" s="24">
        <v>6.1021539999999996</v>
      </c>
      <c r="K221" s="24">
        <v>0.46281850000000002</v>
      </c>
      <c r="L221" s="24">
        <v>12.17985</v>
      </c>
      <c r="M221" s="24">
        <v>23.138300000000001</v>
      </c>
      <c r="N221" s="24">
        <v>2.3854263238050555</v>
      </c>
      <c r="O221" s="24">
        <v>0.8</v>
      </c>
      <c r="P221" s="24">
        <v>9.8387107353452414</v>
      </c>
      <c r="Q221" s="24">
        <v>3.4037459512744683</v>
      </c>
      <c r="R221" s="24">
        <v>0.49</v>
      </c>
      <c r="S221" s="24">
        <v>5.6566810971350305</v>
      </c>
      <c r="T221" s="21">
        <v>1</v>
      </c>
      <c r="U221" s="21" t="s">
        <v>141</v>
      </c>
      <c r="V221" s="70">
        <v>-2.9156046841581826E-2</v>
      </c>
      <c r="W221" s="70">
        <v>3.0843953158418171E-2</v>
      </c>
      <c r="X221" s="24">
        <v>0.9959512600971171</v>
      </c>
      <c r="Y221" s="24" t="s">
        <v>1922</v>
      </c>
      <c r="Z221" s="75">
        <v>9614.6260000000002</v>
      </c>
      <c r="AA221" t="s">
        <v>1415</v>
      </c>
      <c r="AB221" s="24">
        <v>3.5042735042735043</v>
      </c>
    </row>
    <row r="222" spans="1:28" x14ac:dyDescent="0.55000000000000004">
      <c r="A222" s="24" t="s">
        <v>437</v>
      </c>
      <c r="B222" s="24" t="s">
        <v>1232</v>
      </c>
      <c r="C222" s="24" t="s">
        <v>113</v>
      </c>
      <c r="D222" s="24" t="s">
        <v>72</v>
      </c>
      <c r="E222" s="24" t="s">
        <v>92</v>
      </c>
      <c r="F222" s="70">
        <v>8.374455090455334E-4</v>
      </c>
      <c r="G222" s="24">
        <v>7.3039319999999996</v>
      </c>
      <c r="H222" s="24">
        <v>6.4461310000000003</v>
      </c>
      <c r="I222" s="24">
        <v>6.505306</v>
      </c>
      <c r="J222" s="24">
        <v>6.9726460000000001</v>
      </c>
      <c r="K222" s="24">
        <v>6.3458930000000002</v>
      </c>
      <c r="L222" s="24">
        <v>7.9228649999999998</v>
      </c>
      <c r="M222" s="24">
        <v>433.24810000000002</v>
      </c>
      <c r="N222" s="24">
        <v>4.0884959981203544</v>
      </c>
      <c r="O222" s="24">
        <v>8.6</v>
      </c>
      <c r="P222" s="24">
        <v>2.8292682926829271</v>
      </c>
      <c r="Q222" s="24">
        <v>0.78908676197529148</v>
      </c>
      <c r="R222" s="24">
        <v>5.63</v>
      </c>
      <c r="S222" s="24">
        <v>3.9401027315827273</v>
      </c>
      <c r="T222" s="21">
        <v>1</v>
      </c>
      <c r="U222" s="21" t="s">
        <v>141</v>
      </c>
      <c r="V222" s="70">
        <v>-2.9162938980206537E-2</v>
      </c>
      <c r="W222" s="70">
        <v>3.0837061019793461E-2</v>
      </c>
      <c r="X222" s="24">
        <v>0.59618255076608417</v>
      </c>
      <c r="Y222" s="24" t="s">
        <v>1876</v>
      </c>
      <c r="Z222" s="75">
        <v>10388.790000000001</v>
      </c>
      <c r="AA222" t="s">
        <v>1415</v>
      </c>
      <c r="AB222" s="24">
        <v>4.308300395256917</v>
      </c>
    </row>
    <row r="223" spans="1:28" x14ac:dyDescent="0.55000000000000004">
      <c r="A223" s="24" t="s">
        <v>452</v>
      </c>
      <c r="B223" s="24" t="s">
        <v>888</v>
      </c>
      <c r="C223" s="24" t="s">
        <v>106</v>
      </c>
      <c r="D223" s="24" t="s">
        <v>72</v>
      </c>
      <c r="E223" s="24" t="s">
        <v>83</v>
      </c>
      <c r="F223" s="70">
        <v>8.2829127035795292E-4</v>
      </c>
      <c r="G223" s="24">
        <v>5.0436040000000002</v>
      </c>
      <c r="H223" s="24">
        <v>5.8097940000000001</v>
      </c>
      <c r="I223" s="24">
        <v>2.8500329999999998</v>
      </c>
      <c r="J223" s="24">
        <v>4.5678109999999998</v>
      </c>
      <c r="K223" s="24">
        <v>1.1406350000000001</v>
      </c>
      <c r="L223" s="24">
        <v>3.5336219999999998</v>
      </c>
      <c r="M223" s="24">
        <v>350.1336</v>
      </c>
      <c r="N223" s="24">
        <v>7.7572078665421333</v>
      </c>
      <c r="O223" s="24">
        <v>5.0999999999999996</v>
      </c>
      <c r="P223" s="24">
        <v>6.477611940298508</v>
      </c>
      <c r="Q223" s="24">
        <v>1.6923316578570269</v>
      </c>
      <c r="R223" s="24">
        <v>1.43</v>
      </c>
      <c r="S223" s="24">
        <v>3.1717151877563325</v>
      </c>
      <c r="T223" s="21">
        <v>1</v>
      </c>
      <c r="U223" s="21" t="s">
        <v>141</v>
      </c>
      <c r="V223" s="70">
        <v>-2.9171324240389977E-2</v>
      </c>
      <c r="W223" s="70">
        <v>3.0828675759610021E-2</v>
      </c>
      <c r="X223" s="24">
        <v>1.7958722060395931</v>
      </c>
      <c r="Y223" s="24" t="s">
        <v>1760</v>
      </c>
      <c r="Z223" s="75">
        <v>8367.9429999999993</v>
      </c>
      <c r="AA223" t="s">
        <v>1415</v>
      </c>
      <c r="AB223" s="24">
        <v>3.8715277777777777</v>
      </c>
    </row>
    <row r="224" spans="1:28" x14ac:dyDescent="0.55000000000000004">
      <c r="A224" s="24" t="s">
        <v>430</v>
      </c>
      <c r="B224" s="24" t="s">
        <v>1398</v>
      </c>
      <c r="C224" s="24" t="s">
        <v>113</v>
      </c>
      <c r="D224" s="24" t="s">
        <v>72</v>
      </c>
      <c r="E224" s="24" t="s">
        <v>82</v>
      </c>
      <c r="F224" s="70">
        <v>8.279539437672322E-4</v>
      </c>
      <c r="G224" s="24">
        <v>5.9689220000000001</v>
      </c>
      <c r="H224" s="24">
        <v>6.3786009999999997</v>
      </c>
      <c r="I224" s="24">
        <v>5.3172439999999996</v>
      </c>
      <c r="J224" s="24">
        <v>5.8842230000000004</v>
      </c>
      <c r="K224" s="24">
        <v>12.38794</v>
      </c>
      <c r="L224" s="24">
        <v>19.959530000000001</v>
      </c>
      <c r="M224" s="24">
        <v>14.371499999999999</v>
      </c>
      <c r="N224" s="24">
        <v>5.1752985873189079</v>
      </c>
      <c r="O224" s="24">
        <v>5.8</v>
      </c>
      <c r="P224" s="24">
        <v>3.7365595415655424</v>
      </c>
      <c r="Q224" s="24">
        <v>8.4114913392479949</v>
      </c>
      <c r="R224" s="24">
        <v>8.8099989999999995</v>
      </c>
      <c r="S224" s="24">
        <v>6.6341497271767995</v>
      </c>
      <c r="T224" s="21">
        <v>1</v>
      </c>
      <c r="U224" s="21" t="s">
        <v>141</v>
      </c>
      <c r="V224" s="70">
        <v>-2.9172430545484837E-2</v>
      </c>
      <c r="W224" s="70">
        <v>3.0827569454515161E-2</v>
      </c>
      <c r="X224" s="24">
        <v>1.0788444163898354</v>
      </c>
      <c r="Y224" s="24" t="s">
        <v>1889</v>
      </c>
      <c r="Z224" s="75">
        <v>8296.26</v>
      </c>
      <c r="AA224" t="s">
        <v>1415</v>
      </c>
      <c r="AB224" s="24">
        <v>3.5555555555555558</v>
      </c>
    </row>
    <row r="225" spans="1:28" x14ac:dyDescent="0.55000000000000004">
      <c r="A225" s="24" t="s">
        <v>438</v>
      </c>
      <c r="B225" s="24" t="s">
        <v>1363</v>
      </c>
      <c r="C225" s="24" t="s">
        <v>126</v>
      </c>
      <c r="D225" s="24" t="s">
        <v>72</v>
      </c>
      <c r="E225" s="24" t="s">
        <v>82</v>
      </c>
      <c r="F225" s="70">
        <v>8.2626331123572181E-4</v>
      </c>
      <c r="G225" s="24">
        <v>8.6801569999999995</v>
      </c>
      <c r="H225" s="24">
        <v>5.0309140000000001</v>
      </c>
      <c r="I225" s="24">
        <v>5.0392919999999997</v>
      </c>
      <c r="J225" s="24">
        <v>6.1286189999999996</v>
      </c>
      <c r="K225" s="24">
        <v>6.5446770000000001</v>
      </c>
      <c r="L225" s="24">
        <v>20.908110000000001</v>
      </c>
      <c r="M225" s="24">
        <v>3.7961</v>
      </c>
      <c r="N225" s="24">
        <v>4.1177820402283229</v>
      </c>
      <c r="O225" s="24">
        <v>7.2</v>
      </c>
      <c r="P225" s="24">
        <v>7.1236566799630836</v>
      </c>
      <c r="Q225" s="24">
        <v>8.8705816082241959</v>
      </c>
      <c r="R225" s="24">
        <v>5.76</v>
      </c>
      <c r="S225" s="24">
        <v>7.1678686467790644</v>
      </c>
      <c r="T225" s="21">
        <v>1</v>
      </c>
      <c r="U225" s="21" t="s">
        <v>1410</v>
      </c>
      <c r="V225" s="70">
        <v>-2.9173352199512208E-2</v>
      </c>
      <c r="W225" s="70">
        <v>3.0826647800487789E-2</v>
      </c>
      <c r="X225" s="24">
        <v>0.8387302839941968</v>
      </c>
      <c r="Y225" s="24" t="s">
        <v>1865</v>
      </c>
      <c r="Z225" s="75">
        <v>9277.2139999999999</v>
      </c>
      <c r="AA225" t="s">
        <v>1415</v>
      </c>
      <c r="AB225" s="24">
        <v>3.6923076923076925</v>
      </c>
    </row>
    <row r="226" spans="1:28" x14ac:dyDescent="0.55000000000000004">
      <c r="A226" s="24" t="s">
        <v>446</v>
      </c>
      <c r="B226" s="24" t="s">
        <v>846</v>
      </c>
      <c r="C226" s="24" t="s">
        <v>107</v>
      </c>
      <c r="D226" s="24" t="s">
        <v>72</v>
      </c>
      <c r="E226" s="24" t="s">
        <v>95</v>
      </c>
      <c r="F226" s="70">
        <v>8.1652909682461004E-4</v>
      </c>
      <c r="G226" s="24">
        <v>7.275271</v>
      </c>
      <c r="H226" s="24">
        <v>6.8515199999999998</v>
      </c>
      <c r="I226" s="24">
        <v>4.7569270000000001</v>
      </c>
      <c r="J226" s="24">
        <v>6.098433</v>
      </c>
      <c r="K226" s="24">
        <v>6.0078199999999997</v>
      </c>
      <c r="L226" s="24">
        <v>11.12598</v>
      </c>
      <c r="M226" s="24">
        <v>19.2807</v>
      </c>
      <c r="N226" s="24">
        <v>5.5765640732780337</v>
      </c>
      <c r="O226" s="24">
        <v>2.6</v>
      </c>
      <c r="P226" s="24">
        <v>2.2594142259414229</v>
      </c>
      <c r="Q226" s="24">
        <v>10</v>
      </c>
      <c r="R226" s="24">
        <v>7.14</v>
      </c>
      <c r="S226" s="24">
        <v>6.9968253702655776</v>
      </c>
      <c r="T226" s="21">
        <v>1</v>
      </c>
      <c r="U226" s="21" t="s">
        <v>141</v>
      </c>
      <c r="V226" s="70">
        <v>-2.918385539242746E-2</v>
      </c>
      <c r="W226" s="70">
        <v>3.0816144607572538E-2</v>
      </c>
      <c r="X226" s="24">
        <v>0.49592749750752102</v>
      </c>
      <c r="Y226" s="24" t="s">
        <v>1450</v>
      </c>
      <c r="Z226" s="75">
        <v>7766.9589999999998</v>
      </c>
      <c r="AA226" t="s">
        <v>1415</v>
      </c>
      <c r="AB226" s="24">
        <v>4.1030195381882777</v>
      </c>
    </row>
    <row r="227" spans="1:28" x14ac:dyDescent="0.55000000000000004">
      <c r="A227" s="24" t="s">
        <v>431</v>
      </c>
      <c r="B227" s="24" t="s">
        <v>905</v>
      </c>
      <c r="C227" s="24" t="s">
        <v>106</v>
      </c>
      <c r="D227" s="24" t="s">
        <v>72</v>
      </c>
      <c r="E227" s="24" t="s">
        <v>90</v>
      </c>
      <c r="F227" s="70">
        <v>8.1553483400994653E-4</v>
      </c>
      <c r="G227" s="24">
        <v>6.1236259999999998</v>
      </c>
      <c r="H227" s="24">
        <v>6.408264</v>
      </c>
      <c r="I227" s="24">
        <v>4.5898969999999997</v>
      </c>
      <c r="J227" s="24">
        <v>5.6864439999999998</v>
      </c>
      <c r="K227" s="24">
        <v>5.2607549999999996</v>
      </c>
      <c r="L227" s="24">
        <v>6.2457849999999997</v>
      </c>
      <c r="M227" s="24">
        <v>2.4416000000000002</v>
      </c>
      <c r="N227" s="24">
        <v>6.3210360367110923</v>
      </c>
      <c r="O227" s="24">
        <v>7.9</v>
      </c>
      <c r="P227" s="24">
        <v>8.1182804428258528</v>
      </c>
      <c r="Q227" s="24">
        <v>2.5433037600337984</v>
      </c>
      <c r="R227" s="24">
        <v>5.93</v>
      </c>
      <c r="S227" s="24">
        <v>3.948662576780936</v>
      </c>
      <c r="T227" s="21">
        <v>1</v>
      </c>
      <c r="U227" s="21" t="s">
        <v>141</v>
      </c>
      <c r="V227" s="70">
        <v>-2.9184080676737983E-2</v>
      </c>
      <c r="W227" s="70">
        <v>3.0815919323262015E-2</v>
      </c>
      <c r="X227" s="24">
        <v>0.7269172928311356</v>
      </c>
      <c r="Y227" s="24" t="s">
        <v>1803</v>
      </c>
      <c r="Z227" s="75">
        <v>9731.1170000000002</v>
      </c>
      <c r="AA227" t="s">
        <v>1415</v>
      </c>
      <c r="AB227" s="24">
        <v>3.5726495726495728</v>
      </c>
    </row>
    <row r="228" spans="1:28" x14ac:dyDescent="0.55000000000000004">
      <c r="A228" s="24" t="s">
        <v>453</v>
      </c>
      <c r="B228" s="24" t="s">
        <v>865</v>
      </c>
      <c r="C228" s="24" t="s">
        <v>125</v>
      </c>
      <c r="D228" s="24" t="s">
        <v>72</v>
      </c>
      <c r="E228" s="24" t="s">
        <v>84</v>
      </c>
      <c r="F228" s="70">
        <v>8.1432953533166141E-4</v>
      </c>
      <c r="G228" s="24">
        <v>4.7783730000000002</v>
      </c>
      <c r="H228" s="24">
        <v>5.6862950000000003</v>
      </c>
      <c r="I228" s="24">
        <v>6.4944660000000001</v>
      </c>
      <c r="J228" s="24">
        <v>5.5655780000000004</v>
      </c>
      <c r="K228" s="24">
        <v>1.40778</v>
      </c>
      <c r="L228" s="24">
        <v>3.783588</v>
      </c>
      <c r="M228" s="24">
        <v>12.3367</v>
      </c>
      <c r="N228" s="24">
        <v>8.4597111484925378</v>
      </c>
      <c r="O228" s="24">
        <v>8.4</v>
      </c>
      <c r="P228" s="24">
        <v>6.6268656716417906</v>
      </c>
      <c r="Q228" s="24">
        <v>1.839525480689185</v>
      </c>
      <c r="R228" s="24">
        <v>2.68</v>
      </c>
      <c r="S228" s="24">
        <v>4.4168085558942307</v>
      </c>
      <c r="T228" s="21">
        <v>1</v>
      </c>
      <c r="U228" s="21" t="s">
        <v>141</v>
      </c>
      <c r="V228" s="70">
        <v>-2.9185911374475921E-2</v>
      </c>
      <c r="W228" s="70">
        <v>3.0814088625524077E-2</v>
      </c>
      <c r="X228" s="24">
        <v>0.94456666809744316</v>
      </c>
      <c r="Y228" s="24" t="s">
        <v>1914</v>
      </c>
      <c r="Z228" s="75">
        <v>8878.3799999999992</v>
      </c>
      <c r="AA228" t="s">
        <v>1415</v>
      </c>
      <c r="AB228" s="24">
        <v>3.8888888888888888</v>
      </c>
    </row>
    <row r="229" spans="1:28" x14ac:dyDescent="0.55000000000000004">
      <c r="A229" s="24" t="s">
        <v>461</v>
      </c>
      <c r="B229" s="24" t="s">
        <v>877</v>
      </c>
      <c r="C229" s="24" t="s">
        <v>106</v>
      </c>
      <c r="D229" s="24" t="s">
        <v>72</v>
      </c>
      <c r="E229" s="24" t="s">
        <v>95</v>
      </c>
      <c r="F229" s="70">
        <v>8.1373508921239116E-4</v>
      </c>
      <c r="G229" s="24">
        <v>6.053661</v>
      </c>
      <c r="H229" s="24">
        <v>5.3450329999999999</v>
      </c>
      <c r="I229" s="24">
        <v>6.2578199999999997</v>
      </c>
      <c r="J229" s="24">
        <v>5.8518730000000003</v>
      </c>
      <c r="K229" s="24">
        <v>1.3804080000000001</v>
      </c>
      <c r="L229" s="24">
        <v>10.341810000000001</v>
      </c>
      <c r="M229" s="24">
        <v>29.172499999999999</v>
      </c>
      <c r="N229" s="24">
        <v>6.0295035932057512</v>
      </c>
      <c r="O229" s="24">
        <v>9.1</v>
      </c>
      <c r="P229" s="24">
        <v>5.9414225941422592</v>
      </c>
      <c r="Q229" s="24">
        <v>7.5988439795001845</v>
      </c>
      <c r="R229" s="24">
        <v>3.06</v>
      </c>
      <c r="S229" s="24">
        <v>7.2805234347639667</v>
      </c>
      <c r="T229" s="21">
        <v>1</v>
      </c>
      <c r="U229" s="21" t="s">
        <v>1410</v>
      </c>
      <c r="V229" s="70">
        <v>-2.9186261761135694E-2</v>
      </c>
      <c r="W229" s="70">
        <v>3.0813738238864304E-2</v>
      </c>
      <c r="X229" s="24">
        <v>0.97939232233638363</v>
      </c>
      <c r="Y229" s="24" t="s">
        <v>1465</v>
      </c>
      <c r="Z229" s="75">
        <v>9126.9279999999999</v>
      </c>
      <c r="AA229" t="s">
        <v>1415</v>
      </c>
      <c r="AB229" s="24">
        <v>4.3694493783303727</v>
      </c>
    </row>
    <row r="230" spans="1:28" x14ac:dyDescent="0.55000000000000004">
      <c r="A230" s="24" t="s">
        <v>428</v>
      </c>
      <c r="B230" s="24" t="s">
        <v>843</v>
      </c>
      <c r="C230" s="24" t="s">
        <v>107</v>
      </c>
      <c r="D230" s="24" t="s">
        <v>72</v>
      </c>
      <c r="E230" s="24" t="s">
        <v>89</v>
      </c>
      <c r="F230" s="70">
        <v>7.9322393030622628E-4</v>
      </c>
      <c r="G230" s="24">
        <v>7.6186629999999997</v>
      </c>
      <c r="H230" s="24">
        <v>7.4393909999999996</v>
      </c>
      <c r="I230" s="24">
        <v>5.5671140000000001</v>
      </c>
      <c r="J230" s="24">
        <v>6.8378750000000004</v>
      </c>
      <c r="K230" s="24">
        <v>3.6077880000000002</v>
      </c>
      <c r="L230" s="24">
        <v>3.9161169999999998</v>
      </c>
      <c r="M230" s="24">
        <v>4.82</v>
      </c>
      <c r="N230" s="24">
        <v>5.9628261956850572</v>
      </c>
      <c r="O230" s="24">
        <v>1.5</v>
      </c>
      <c r="P230" s="24">
        <v>6.306306306306305</v>
      </c>
      <c r="Q230" s="24">
        <v>6.1094510845506864</v>
      </c>
      <c r="R230" s="24">
        <v>7.77</v>
      </c>
      <c r="S230" s="24">
        <v>3.8165188141000872</v>
      </c>
      <c r="T230" s="21">
        <v>1</v>
      </c>
      <c r="U230" s="21" t="s">
        <v>141</v>
      </c>
      <c r="V230" s="70">
        <v>-2.920716055894584E-2</v>
      </c>
      <c r="W230" s="70">
        <v>3.0792839441054157E-2</v>
      </c>
      <c r="X230" s="24">
        <v>1.1707727302177293</v>
      </c>
      <c r="Y230" s="24" t="s">
        <v>1745</v>
      </c>
      <c r="Z230" s="75">
        <v>8469.4779999999992</v>
      </c>
      <c r="AA230" t="s">
        <v>1415</v>
      </c>
      <c r="AB230" s="24">
        <v>3.5121107266435985</v>
      </c>
    </row>
    <row r="231" spans="1:28" x14ac:dyDescent="0.55000000000000004">
      <c r="A231" s="24" t="s">
        <v>444</v>
      </c>
      <c r="B231" s="24" t="s">
        <v>984</v>
      </c>
      <c r="C231" s="24" t="s">
        <v>112</v>
      </c>
      <c r="D231" s="24" t="s">
        <v>72</v>
      </c>
      <c r="E231" s="24" t="s">
        <v>84</v>
      </c>
      <c r="F231" s="70">
        <v>7.895191993765691E-4</v>
      </c>
      <c r="G231" s="24">
        <v>5.7316760000000002</v>
      </c>
      <c r="H231" s="24">
        <v>5.5999369999999997</v>
      </c>
      <c r="I231" s="24">
        <v>7.3596630000000003</v>
      </c>
      <c r="J231" s="24">
        <v>6.1805500000000002</v>
      </c>
      <c r="K231" s="24">
        <v>3.1635239999999998</v>
      </c>
      <c r="L231" s="24">
        <v>5.5924050000000003</v>
      </c>
      <c r="M231" s="24">
        <v>16.843699999999998</v>
      </c>
      <c r="N231" s="24">
        <v>6.3474537063077658</v>
      </c>
      <c r="O231" s="24">
        <v>2.5</v>
      </c>
      <c r="P231" s="24">
        <v>6.5074626865671643</v>
      </c>
      <c r="Q231" s="24">
        <v>5.7914059378762248</v>
      </c>
      <c r="R231" s="24">
        <v>5.36</v>
      </c>
      <c r="S231" s="24">
        <v>5.407405935973312</v>
      </c>
      <c r="T231" s="21">
        <v>1</v>
      </c>
      <c r="U231" s="21" t="s">
        <v>141</v>
      </c>
      <c r="V231" s="70">
        <v>-2.9210865289875501E-2</v>
      </c>
      <c r="W231" s="70">
        <v>3.0789134710124497E-2</v>
      </c>
      <c r="X231" s="24">
        <v>0.89301039364922874</v>
      </c>
      <c r="Y231" s="24" t="s">
        <v>1620</v>
      </c>
      <c r="Z231" s="75">
        <v>8702.8709999999992</v>
      </c>
      <c r="AA231" t="s">
        <v>1415</v>
      </c>
      <c r="AB231" s="24">
        <v>3.7326388888888888</v>
      </c>
    </row>
    <row r="232" spans="1:28" x14ac:dyDescent="0.55000000000000004">
      <c r="A232" s="24" t="s">
        <v>460</v>
      </c>
      <c r="B232" s="24" t="s">
        <v>1106</v>
      </c>
      <c r="C232" s="24" t="s">
        <v>106</v>
      </c>
      <c r="D232" s="24" t="s">
        <v>72</v>
      </c>
      <c r="E232" s="24" t="s">
        <v>99</v>
      </c>
      <c r="F232" s="70">
        <v>7.8522618715981291E-4</v>
      </c>
      <c r="G232" s="24">
        <v>8.1275099999999991</v>
      </c>
      <c r="H232" s="24">
        <v>6.7687840000000001</v>
      </c>
      <c r="I232" s="24">
        <v>6.4743180000000002</v>
      </c>
      <c r="J232" s="24">
        <v>7.5251260000000002</v>
      </c>
      <c r="K232" s="24">
        <v>4.5643339999999997</v>
      </c>
      <c r="L232" s="24">
        <v>4.1416620000000002</v>
      </c>
      <c r="M232" s="24">
        <v>248.01130000000001</v>
      </c>
      <c r="N232" s="24">
        <v>6.3035919694563178</v>
      </c>
      <c r="O232" s="24">
        <v>4.5999999999999996</v>
      </c>
      <c r="P232" s="24">
        <v>2.1183800623052962</v>
      </c>
      <c r="Q232" s="24">
        <v>0.41777636607992563</v>
      </c>
      <c r="R232" s="24">
        <v>6.18</v>
      </c>
      <c r="S232" s="24">
        <v>2.2095989852437086</v>
      </c>
      <c r="T232" s="21">
        <v>1</v>
      </c>
      <c r="U232" s="21" t="s">
        <v>141</v>
      </c>
      <c r="V232" s="70">
        <v>-2.9215158302092255E-2</v>
      </c>
      <c r="W232" s="70">
        <v>3.0784841697907742E-2</v>
      </c>
      <c r="X232" s="24">
        <v>0.51286580717415997</v>
      </c>
      <c r="Y232" s="24" t="s">
        <v>1809</v>
      </c>
      <c r="Z232" s="75">
        <v>8379.3619999999992</v>
      </c>
      <c r="AA232" t="s">
        <v>1415</v>
      </c>
      <c r="AB232" s="24">
        <v>3.9317773788150805</v>
      </c>
    </row>
    <row r="233" spans="1:28" x14ac:dyDescent="0.55000000000000004">
      <c r="A233" s="24" t="s">
        <v>458</v>
      </c>
      <c r="B233" s="24" t="s">
        <v>1004</v>
      </c>
      <c r="C233" s="24" t="s">
        <v>106</v>
      </c>
      <c r="D233" s="24" t="s">
        <v>72</v>
      </c>
      <c r="E233" s="24" t="s">
        <v>99</v>
      </c>
      <c r="F233" s="70">
        <v>7.7490035096082672E-4</v>
      </c>
      <c r="G233" s="24">
        <v>6.4482660000000003</v>
      </c>
      <c r="H233" s="24">
        <v>8.3987250000000007</v>
      </c>
      <c r="I233" s="24">
        <v>7.6078989999999997</v>
      </c>
      <c r="J233" s="24">
        <v>7.070284</v>
      </c>
      <c r="K233" s="24">
        <v>4.9598589999999998</v>
      </c>
      <c r="L233" s="24">
        <v>5.1425840000000003</v>
      </c>
      <c r="M233" s="24">
        <v>125.4524</v>
      </c>
      <c r="N233" s="24">
        <v>5.504055561523109</v>
      </c>
      <c r="O233" s="24">
        <v>5</v>
      </c>
      <c r="P233" s="24">
        <v>1.557632398753894</v>
      </c>
      <c r="Q233" s="24">
        <v>0.50651572559033331</v>
      </c>
      <c r="R233" s="24">
        <v>6.93</v>
      </c>
      <c r="S233" s="24">
        <v>2.7348402159278047</v>
      </c>
      <c r="T233" s="21">
        <v>1</v>
      </c>
      <c r="U233" s="21" t="s">
        <v>141</v>
      </c>
      <c r="V233" s="70">
        <v>-2.9225279182228208E-2</v>
      </c>
      <c r="W233" s="70">
        <v>3.077472081777179E-2</v>
      </c>
      <c r="X233" s="24">
        <v>0.52322351852925064</v>
      </c>
      <c r="Y233" s="24" t="s">
        <v>1817</v>
      </c>
      <c r="Z233" s="75">
        <v>8567.8459999999995</v>
      </c>
      <c r="AA233" t="s">
        <v>1415</v>
      </c>
      <c r="AB233" s="24">
        <v>3.895870736086176</v>
      </c>
    </row>
    <row r="234" spans="1:28" x14ac:dyDescent="0.55000000000000004">
      <c r="A234" s="24" t="s">
        <v>455</v>
      </c>
      <c r="B234" s="24" t="s">
        <v>878</v>
      </c>
      <c r="C234" s="24" t="s">
        <v>109</v>
      </c>
      <c r="D234" s="24" t="s">
        <v>72</v>
      </c>
      <c r="E234" s="24" t="s">
        <v>90</v>
      </c>
      <c r="F234" s="70">
        <v>7.7403553181498047E-4</v>
      </c>
      <c r="G234" s="24">
        <v>8.0923590000000001</v>
      </c>
      <c r="H234" s="24">
        <v>4.8819600000000003</v>
      </c>
      <c r="I234" s="24">
        <v>6.1513179999999998</v>
      </c>
      <c r="J234" s="24">
        <v>6.2893549999999996</v>
      </c>
      <c r="K234" s="24">
        <v>7.25793</v>
      </c>
      <c r="L234" s="24">
        <v>17.552859999999999</v>
      </c>
      <c r="M234" s="24">
        <v>0.78952</v>
      </c>
      <c r="N234" s="24">
        <v>4.8831354208586344</v>
      </c>
      <c r="O234" s="24">
        <v>3.6</v>
      </c>
      <c r="P234" s="24">
        <v>3.6021509249624648</v>
      </c>
      <c r="Q234" s="24">
        <v>6.0906914519081825</v>
      </c>
      <c r="R234" s="24">
        <v>6.18</v>
      </c>
      <c r="S234" s="24">
        <v>6.3468115514338894</v>
      </c>
      <c r="T234" s="21">
        <v>1</v>
      </c>
      <c r="U234" s="21" t="s">
        <v>141</v>
      </c>
      <c r="V234" s="70">
        <v>-2.9226348957437087E-2</v>
      </c>
      <c r="W234" s="70">
        <v>3.0773651042562911E-2</v>
      </c>
      <c r="X234" s="24">
        <v>0.86764951363612686</v>
      </c>
      <c r="Y234" s="24" t="s">
        <v>1518</v>
      </c>
      <c r="Z234" s="75">
        <v>7901.5439999999999</v>
      </c>
      <c r="AA234" t="s">
        <v>1415</v>
      </c>
      <c r="AB234" s="24">
        <v>3.9829059829059825</v>
      </c>
    </row>
    <row r="235" spans="1:28" x14ac:dyDescent="0.55000000000000004">
      <c r="A235" s="24" t="s">
        <v>448</v>
      </c>
      <c r="B235" s="24" t="s">
        <v>1039</v>
      </c>
      <c r="C235" s="24" t="s">
        <v>105</v>
      </c>
      <c r="D235" s="24" t="s">
        <v>72</v>
      </c>
      <c r="E235" s="24" t="s">
        <v>95</v>
      </c>
      <c r="F235" s="70">
        <v>7.6835963884586112E-4</v>
      </c>
      <c r="G235" s="24">
        <v>6.5002339999999998</v>
      </c>
      <c r="H235" s="24">
        <v>2.2493129999999999</v>
      </c>
      <c r="I235" s="24">
        <v>6.2953250000000001</v>
      </c>
      <c r="J235" s="24">
        <v>4.7179019999999996</v>
      </c>
      <c r="K235" s="24">
        <v>3.9612259999999999</v>
      </c>
      <c r="L235" s="24">
        <v>4.6111740000000001</v>
      </c>
      <c r="M235" s="24">
        <v>27.169899999999998</v>
      </c>
      <c r="N235" s="24">
        <v>4.7869674838725889</v>
      </c>
      <c r="O235" s="24">
        <v>2.4</v>
      </c>
      <c r="P235" s="24">
        <v>6.0559006211180133</v>
      </c>
      <c r="Q235" s="24">
        <v>4.4003226770242012</v>
      </c>
      <c r="R235" s="24">
        <v>7</v>
      </c>
      <c r="S235" s="24">
        <v>3.6571407497674517</v>
      </c>
      <c r="T235" s="21">
        <v>1</v>
      </c>
      <c r="U235" s="21" t="s">
        <v>141</v>
      </c>
      <c r="V235" s="70">
        <v>-2.9231255871902069E-2</v>
      </c>
      <c r="W235" s="70">
        <v>3.0768744128097929E-2</v>
      </c>
      <c r="X235" s="24">
        <v>1.2595901601103487</v>
      </c>
      <c r="Y235" s="24" t="s">
        <v>1958</v>
      </c>
      <c r="Z235" s="75">
        <v>9061.8739999999998</v>
      </c>
      <c r="AA235" t="s">
        <v>1415</v>
      </c>
      <c r="AB235" s="24">
        <v>3.8936535162950259</v>
      </c>
    </row>
    <row r="236" spans="1:28" x14ac:dyDescent="0.55000000000000004">
      <c r="A236" s="24" t="s">
        <v>467</v>
      </c>
      <c r="B236" s="24" t="s">
        <v>848</v>
      </c>
      <c r="C236" s="24" t="s">
        <v>107</v>
      </c>
      <c r="D236" s="24" t="s">
        <v>72</v>
      </c>
      <c r="E236" s="24" t="s">
        <v>98</v>
      </c>
      <c r="F236" s="70">
        <v>7.6418031964410062E-4</v>
      </c>
      <c r="G236" s="24">
        <v>5.5724130000000001</v>
      </c>
      <c r="H236" s="24">
        <v>5.5975109999999999</v>
      </c>
      <c r="I236" s="24">
        <v>5.2611330000000001</v>
      </c>
      <c r="J236" s="24">
        <v>5.4579399999999998</v>
      </c>
      <c r="K236" s="24">
        <v>3.1721689999999998</v>
      </c>
      <c r="L236" s="24">
        <v>6.3430109999999997</v>
      </c>
      <c r="M236" s="24">
        <v>1262.8309999999999</v>
      </c>
      <c r="N236" s="24">
        <v>5.9294073191803589</v>
      </c>
      <c r="O236" s="24">
        <v>4.4000000000000004</v>
      </c>
      <c r="P236" s="24">
        <v>3.60248447204969</v>
      </c>
      <c r="Q236" s="24">
        <v>4.0935806828367332</v>
      </c>
      <c r="R236" s="24">
        <v>5.69</v>
      </c>
      <c r="S236" s="24">
        <v>4.8826572194420592</v>
      </c>
      <c r="T236" s="21">
        <v>1</v>
      </c>
      <c r="U236" s="21" t="s">
        <v>141</v>
      </c>
      <c r="V236" s="70">
        <v>-2.9235435191103828E-2</v>
      </c>
      <c r="W236" s="70">
        <v>3.076456480889617E-2</v>
      </c>
      <c r="X236" s="24">
        <v>1.2101695820126992</v>
      </c>
      <c r="Y236" s="24" t="s">
        <v>1710</v>
      </c>
      <c r="Z236" s="75">
        <v>8809.5239999999994</v>
      </c>
      <c r="AA236" t="s">
        <v>1415</v>
      </c>
      <c r="AB236" s="24">
        <v>4.2195540308747859</v>
      </c>
    </row>
    <row r="237" spans="1:28" x14ac:dyDescent="0.55000000000000004">
      <c r="A237" s="24" t="s">
        <v>435</v>
      </c>
      <c r="B237" s="24" t="s">
        <v>1393</v>
      </c>
      <c r="C237" s="24" t="s">
        <v>107</v>
      </c>
      <c r="D237" s="24" t="s">
        <v>72</v>
      </c>
      <c r="E237" s="24" t="s">
        <v>85</v>
      </c>
      <c r="F237" s="70">
        <v>7.5941246833433073E-4</v>
      </c>
      <c r="G237" s="24">
        <v>5.8290139999999999</v>
      </c>
      <c r="H237" s="24">
        <v>6.8575140000000001</v>
      </c>
      <c r="I237" s="24">
        <v>5.2788680000000001</v>
      </c>
      <c r="J237" s="24">
        <v>5.9725200000000003</v>
      </c>
      <c r="K237" s="24">
        <v>4.8668820000000004</v>
      </c>
      <c r="L237" s="24">
        <v>11.10548</v>
      </c>
      <c r="M237" s="24">
        <v>41.133699999999997</v>
      </c>
      <c r="N237" s="24">
        <v>5.716447559263127</v>
      </c>
      <c r="O237" s="24">
        <v>2.2999999999999998</v>
      </c>
      <c r="P237" s="24">
        <v>3.9639639639639634</v>
      </c>
      <c r="Q237" s="24">
        <v>10</v>
      </c>
      <c r="R237" s="24">
        <v>6.77</v>
      </c>
      <c r="S237" s="24">
        <v>7.5361395439542616</v>
      </c>
      <c r="T237" s="21">
        <v>1</v>
      </c>
      <c r="U237" s="21" t="s">
        <v>1410</v>
      </c>
      <c r="V237" s="70">
        <v>-2.9240972020917737E-2</v>
      </c>
      <c r="W237" s="70">
        <v>3.0759027979082261E-2</v>
      </c>
      <c r="X237" s="24">
        <v>1.0374222438214231</v>
      </c>
      <c r="Y237" s="24" t="s">
        <v>1453</v>
      </c>
      <c r="Z237" s="75">
        <v>6573.5910000000003</v>
      </c>
      <c r="AA237" t="s">
        <v>1415</v>
      </c>
      <c r="AB237" s="24">
        <v>3.6332179930795849</v>
      </c>
    </row>
    <row r="238" spans="1:28" x14ac:dyDescent="0.55000000000000004">
      <c r="A238" s="24" t="s">
        <v>451</v>
      </c>
      <c r="B238" s="24" t="s">
        <v>1067</v>
      </c>
      <c r="C238" s="24" t="s">
        <v>106</v>
      </c>
      <c r="D238" s="24" t="s">
        <v>72</v>
      </c>
      <c r="E238" s="24" t="s">
        <v>91</v>
      </c>
      <c r="F238" s="70">
        <v>7.4151333641673124E-4</v>
      </c>
      <c r="G238" s="24">
        <v>7.81982</v>
      </c>
      <c r="H238" s="24">
        <v>5.8233129999999997</v>
      </c>
      <c r="I238" s="24">
        <v>6.5887710000000004</v>
      </c>
      <c r="J238" s="24">
        <v>6.5287980000000001</v>
      </c>
      <c r="K238" s="24">
        <v>2.3761239999999999</v>
      </c>
      <c r="L238" s="24">
        <v>6.7254519999999998</v>
      </c>
      <c r="M238" s="24">
        <v>7.7739000000000003</v>
      </c>
      <c r="N238" s="24">
        <v>2.8926479587387477</v>
      </c>
      <c r="O238" s="24">
        <v>5.8</v>
      </c>
      <c r="P238" s="24">
        <v>3.9440993788819876</v>
      </c>
      <c r="Q238" s="24">
        <v>5.4487503055653637</v>
      </c>
      <c r="R238" s="24">
        <v>4.4800000000000004</v>
      </c>
      <c r="S238" s="24">
        <v>5.53514817250473</v>
      </c>
      <c r="T238" s="21">
        <v>1</v>
      </c>
      <c r="U238" s="21" t="s">
        <v>141</v>
      </c>
      <c r="V238" s="70">
        <v>-2.9258728147632924E-2</v>
      </c>
      <c r="W238" s="70">
        <v>3.0741271852367073E-2</v>
      </c>
      <c r="X238" s="24">
        <v>0.5786019949643868</v>
      </c>
      <c r="Y238" s="24" t="s">
        <v>1782</v>
      </c>
      <c r="Z238" s="75">
        <v>8128.5969999999998</v>
      </c>
      <c r="AA238" t="s">
        <v>1415</v>
      </c>
      <c r="AB238" s="24">
        <v>3.9451114922813035</v>
      </c>
    </row>
    <row r="239" spans="1:28" x14ac:dyDescent="0.55000000000000004">
      <c r="A239" s="24" t="s">
        <v>463</v>
      </c>
      <c r="B239" s="24" t="s">
        <v>988</v>
      </c>
      <c r="C239" s="24" t="s">
        <v>107</v>
      </c>
      <c r="D239" s="24" t="s">
        <v>72</v>
      </c>
      <c r="E239" s="24" t="s">
        <v>86</v>
      </c>
      <c r="F239" s="70">
        <v>7.396892458712747E-4</v>
      </c>
      <c r="G239" s="24">
        <v>8.6620620000000006</v>
      </c>
      <c r="H239" s="24">
        <v>6.1531929999999999</v>
      </c>
      <c r="I239" s="24">
        <v>5.6760950000000001</v>
      </c>
      <c r="J239" s="24">
        <v>6.7388700000000004</v>
      </c>
      <c r="K239" s="24">
        <v>2.7888069999999998</v>
      </c>
      <c r="L239" s="24">
        <v>8.0031920000000003</v>
      </c>
      <c r="M239" s="24">
        <v>3.5882999999999998</v>
      </c>
      <c r="N239" s="24">
        <v>8.0178729614057271</v>
      </c>
      <c r="O239" s="24">
        <v>7.8</v>
      </c>
      <c r="P239" s="24">
        <v>7.5806459764135461</v>
      </c>
      <c r="Q239" s="24">
        <v>2.251795521757499</v>
      </c>
      <c r="R239" s="24">
        <v>3.99</v>
      </c>
      <c r="S239" s="24">
        <v>4.9987975635593962</v>
      </c>
      <c r="T239" s="21">
        <v>1</v>
      </c>
      <c r="U239" s="21" t="s">
        <v>141</v>
      </c>
      <c r="V239" s="70">
        <v>-2.926026890816625E-2</v>
      </c>
      <c r="W239" s="70">
        <v>3.0739731091833748E-2</v>
      </c>
      <c r="X239" s="24">
        <v>0.64491787767960629</v>
      </c>
      <c r="Y239" s="24" t="s">
        <v>1912</v>
      </c>
      <c r="Z239" s="75">
        <v>7689.6679999999997</v>
      </c>
      <c r="AA239" t="s">
        <v>1415</v>
      </c>
      <c r="AB239" s="24">
        <v>4.1196581196581192</v>
      </c>
    </row>
    <row r="240" spans="1:28" x14ac:dyDescent="0.55000000000000004">
      <c r="A240" s="24" t="s">
        <v>459</v>
      </c>
      <c r="B240" s="24" t="s">
        <v>1109</v>
      </c>
      <c r="C240" s="24" t="s">
        <v>125</v>
      </c>
      <c r="D240" s="24" t="s">
        <v>72</v>
      </c>
      <c r="E240" s="24" t="s">
        <v>87</v>
      </c>
      <c r="F240" s="70">
        <v>7.3810737318037159E-4</v>
      </c>
      <c r="G240" s="24">
        <v>6.1665020000000004</v>
      </c>
      <c r="H240" s="24">
        <v>5.0787810000000002</v>
      </c>
      <c r="I240" s="24">
        <v>6.4452100000000003</v>
      </c>
      <c r="J240" s="24">
        <v>5.9237989999999998</v>
      </c>
      <c r="K240" s="24" t="e">
        <v>#N/A</v>
      </c>
      <c r="L240" s="24">
        <v>4.495692</v>
      </c>
      <c r="M240" s="24">
        <v>78.885099999999994</v>
      </c>
      <c r="N240" s="24">
        <v>2.2241848234288457</v>
      </c>
      <c r="O240" s="24">
        <v>1.6</v>
      </c>
      <c r="P240" s="24">
        <v>1.5481171548117154</v>
      </c>
      <c r="Q240" s="24">
        <v>5.1075183600147938</v>
      </c>
      <c r="R240" s="24">
        <v>0</v>
      </c>
      <c r="S240" s="24">
        <v>3.1390972489684437</v>
      </c>
      <c r="T240" s="21">
        <v>1</v>
      </c>
      <c r="U240" s="21" t="s">
        <v>141</v>
      </c>
      <c r="V240" s="70">
        <v>-2.9261627419597192E-2</v>
      </c>
      <c r="W240" s="70">
        <v>3.0738372580402806E-2</v>
      </c>
      <c r="X240" s="24">
        <v>0.577637563722737</v>
      </c>
      <c r="Y240" s="24" t="s">
        <v>1901</v>
      </c>
      <c r="Z240" s="75">
        <v>8820.1740000000009</v>
      </c>
      <c r="AA240" t="s">
        <v>1415</v>
      </c>
      <c r="AB240" s="24">
        <v>4.3339253996447606</v>
      </c>
    </row>
    <row r="241" spans="1:28" x14ac:dyDescent="0.55000000000000004">
      <c r="A241" s="24" t="s">
        <v>442</v>
      </c>
      <c r="B241" s="24" t="s">
        <v>850</v>
      </c>
      <c r="C241" s="24" t="s">
        <v>107</v>
      </c>
      <c r="D241" s="24" t="s">
        <v>72</v>
      </c>
      <c r="E241" s="24" t="s">
        <v>85</v>
      </c>
      <c r="F241" s="70">
        <v>7.3688183548060494E-4</v>
      </c>
      <c r="G241" s="24">
        <v>6.088279</v>
      </c>
      <c r="H241" s="24">
        <v>4.0214129999999999</v>
      </c>
      <c r="I241" s="24">
        <v>5.0893639999999998</v>
      </c>
      <c r="J241" s="24">
        <v>5.1685439999999998</v>
      </c>
      <c r="K241" s="24">
        <v>6.4315810000000004</v>
      </c>
      <c r="L241" s="24">
        <v>8.7578490000000002</v>
      </c>
      <c r="M241" s="24">
        <v>59.770499999999998</v>
      </c>
      <c r="N241" s="24">
        <v>4.8930185911813879</v>
      </c>
      <c r="O241" s="24">
        <v>0.6</v>
      </c>
      <c r="P241" s="24">
        <v>3.3633633633633626</v>
      </c>
      <c r="Q241" s="24">
        <v>9.9983410801239501</v>
      </c>
      <c r="R241" s="24">
        <v>7.44</v>
      </c>
      <c r="S241" s="24">
        <v>6.8713592930773535</v>
      </c>
      <c r="T241" s="21">
        <v>1</v>
      </c>
      <c r="U241" s="21" t="s">
        <v>141</v>
      </c>
      <c r="V241" s="70">
        <v>-2.9263502653771464E-2</v>
      </c>
      <c r="W241" s="70">
        <v>3.0736497346228533E-2</v>
      </c>
      <c r="X241" s="24">
        <v>0.80380565267455806</v>
      </c>
      <c r="Y241" s="24" t="s">
        <v>1711</v>
      </c>
      <c r="Z241" s="75">
        <v>5437.616</v>
      </c>
      <c r="AA241" t="s">
        <v>1415</v>
      </c>
      <c r="AB241" s="24">
        <v>3.7543252595155705</v>
      </c>
    </row>
    <row r="242" spans="1:28" x14ac:dyDescent="0.55000000000000004">
      <c r="A242" s="24" t="s">
        <v>474</v>
      </c>
      <c r="B242" s="24" t="s">
        <v>1212</v>
      </c>
      <c r="C242" s="24" t="s">
        <v>125</v>
      </c>
      <c r="D242" s="24" t="s">
        <v>72</v>
      </c>
      <c r="E242" s="24" t="s">
        <v>82</v>
      </c>
      <c r="F242" s="70">
        <v>7.3616414832344574E-4</v>
      </c>
      <c r="G242" s="24">
        <v>7.5867250000000004</v>
      </c>
      <c r="H242" s="24">
        <v>5.7144149999999998</v>
      </c>
      <c r="I242" s="24">
        <v>5.9836520000000002</v>
      </c>
      <c r="J242" s="24">
        <v>6.3703409999999998</v>
      </c>
      <c r="K242" s="24">
        <v>8.0911349999999995</v>
      </c>
      <c r="L242" s="24">
        <v>19.058009999999999</v>
      </c>
      <c r="M242" s="24">
        <v>0.87019000000000002</v>
      </c>
      <c r="N242" s="24">
        <v>4.5967000273464711</v>
      </c>
      <c r="O242" s="24">
        <v>4</v>
      </c>
      <c r="P242" s="24">
        <v>2.6344088854203109</v>
      </c>
      <c r="Q242" s="24">
        <v>9.0733699478946619</v>
      </c>
      <c r="R242" s="24">
        <v>5.79</v>
      </c>
      <c r="S242" s="24">
        <v>6.3444807913868209</v>
      </c>
      <c r="T242" s="21">
        <v>1</v>
      </c>
      <c r="U242" s="21" t="s">
        <v>141</v>
      </c>
      <c r="V242" s="70">
        <v>-2.9264220340928623E-2</v>
      </c>
      <c r="W242" s="70">
        <v>3.0735779659071375E-2</v>
      </c>
      <c r="X242" s="24">
        <v>1.1340017788789005</v>
      </c>
      <c r="Y242" s="24" t="s">
        <v>1916</v>
      </c>
      <c r="Z242" s="75">
        <v>7208.7610000000004</v>
      </c>
      <c r="AA242" t="s">
        <v>1415</v>
      </c>
      <c r="AB242" s="24">
        <v>4.3076923076923084</v>
      </c>
    </row>
    <row r="243" spans="1:28" x14ac:dyDescent="0.55000000000000004">
      <c r="A243" s="24" t="s">
        <v>465</v>
      </c>
      <c r="B243" s="24" t="s">
        <v>1346</v>
      </c>
      <c r="C243" s="24" t="s">
        <v>125</v>
      </c>
      <c r="D243" s="24" t="s">
        <v>72</v>
      </c>
      <c r="E243" s="24" t="s">
        <v>90</v>
      </c>
      <c r="F243" s="70">
        <v>7.3533792298429129E-4</v>
      </c>
      <c r="G243" s="24">
        <v>6.9805630000000001</v>
      </c>
      <c r="H243" s="24">
        <v>5.0485379999999997</v>
      </c>
      <c r="I243" s="24">
        <v>6.6124020000000003</v>
      </c>
      <c r="J243" s="24">
        <v>6.1754980000000002</v>
      </c>
      <c r="K243" s="24">
        <v>6.183541</v>
      </c>
      <c r="L243" s="24">
        <v>9.2315070000000006</v>
      </c>
      <c r="M243" s="24">
        <v>0.44506000000000001</v>
      </c>
      <c r="N243" s="24">
        <v>1.1950050960130656</v>
      </c>
      <c r="O243" s="24">
        <v>1.2</v>
      </c>
      <c r="P243" s="24">
        <v>0.98566354684554258</v>
      </c>
      <c r="Q243" s="24">
        <v>5.8160822419377567</v>
      </c>
      <c r="R243" s="24">
        <v>6.52</v>
      </c>
      <c r="S243" s="24">
        <v>3.2959552449460183</v>
      </c>
      <c r="T243" s="21">
        <v>1</v>
      </c>
      <c r="U243" s="21" t="s">
        <v>141</v>
      </c>
      <c r="V243" s="70">
        <v>-2.9264277587763638E-2</v>
      </c>
      <c r="W243" s="70">
        <v>3.073572241223636E-2</v>
      </c>
      <c r="X243" s="24">
        <v>1.0480728781874109</v>
      </c>
      <c r="Y243" s="24" t="s">
        <v>1524</v>
      </c>
      <c r="Z243" s="75">
        <v>6245.7489999999998</v>
      </c>
      <c r="AA243" t="s">
        <v>1415</v>
      </c>
      <c r="AB243" s="24">
        <v>4.1538461538461542</v>
      </c>
    </row>
    <row r="244" spans="1:28" x14ac:dyDescent="0.55000000000000004">
      <c r="A244" s="24" t="s">
        <v>441</v>
      </c>
      <c r="B244" s="24" t="s">
        <v>1296</v>
      </c>
      <c r="C244" s="24" t="s">
        <v>111</v>
      </c>
      <c r="D244" s="24" t="s">
        <v>72</v>
      </c>
      <c r="E244" s="24" t="s">
        <v>85</v>
      </c>
      <c r="F244" s="70">
        <v>7.3509907696289755E-4</v>
      </c>
      <c r="G244" s="24">
        <v>5.7607699999999999</v>
      </c>
      <c r="H244" s="24">
        <v>6.9115989999999998</v>
      </c>
      <c r="I244" s="24">
        <v>4.3581050000000001</v>
      </c>
      <c r="J244" s="24">
        <v>5.685219</v>
      </c>
      <c r="K244" s="24">
        <v>5.074179</v>
      </c>
      <c r="L244" s="24">
        <v>6.3421200000000004</v>
      </c>
      <c r="M244" s="24">
        <v>30.5776</v>
      </c>
      <c r="N244" s="24">
        <v>4.3202941724532442</v>
      </c>
      <c r="O244" s="24">
        <v>7.5</v>
      </c>
      <c r="P244" s="24">
        <v>5.1951951951951951</v>
      </c>
      <c r="Q244" s="24">
        <v>8.3764940239043835</v>
      </c>
      <c r="R244" s="24">
        <v>6.68</v>
      </c>
      <c r="S244" s="24">
        <v>6.2147282529714296</v>
      </c>
      <c r="T244" s="21">
        <v>1</v>
      </c>
      <c r="U244" s="21" t="s">
        <v>141</v>
      </c>
      <c r="V244" s="70">
        <v>-2.926528541228917E-2</v>
      </c>
      <c r="W244" s="70">
        <v>3.0734714587710828E-2</v>
      </c>
      <c r="X244" s="24">
        <v>0.81002476018457104</v>
      </c>
      <c r="Y244" s="24" t="s">
        <v>1677</v>
      </c>
      <c r="Z244" s="75">
        <v>8040.8360000000002</v>
      </c>
      <c r="AA244" t="s">
        <v>1415</v>
      </c>
      <c r="AB244" s="24">
        <v>3.7370242214532872</v>
      </c>
    </row>
    <row r="245" spans="1:28" x14ac:dyDescent="0.55000000000000004">
      <c r="A245" s="24" t="s">
        <v>476</v>
      </c>
      <c r="B245" s="24" t="s">
        <v>1306</v>
      </c>
      <c r="C245" s="24" t="s">
        <v>105</v>
      </c>
      <c r="D245" s="24" t="s">
        <v>72</v>
      </c>
      <c r="E245" s="24" t="s">
        <v>83</v>
      </c>
      <c r="F245" s="70">
        <v>7.330053640459014E-4</v>
      </c>
      <c r="G245" s="24">
        <v>5.7926409999999997</v>
      </c>
      <c r="H245" s="24">
        <v>6.0712960000000002</v>
      </c>
      <c r="I245" s="24">
        <v>5.676164</v>
      </c>
      <c r="J245" s="24">
        <v>5.8467000000000002</v>
      </c>
      <c r="K245" s="24">
        <v>2.7253780000000001</v>
      </c>
      <c r="L245" s="24">
        <v>9.1565049999999992</v>
      </c>
      <c r="M245" s="24">
        <v>627.53229999999996</v>
      </c>
      <c r="N245" s="24">
        <v>8.0491266572977356</v>
      </c>
      <c r="O245" s="24">
        <v>4.4000000000000004</v>
      </c>
      <c r="P245" s="24">
        <v>6.2686567164179108</v>
      </c>
      <c r="Q245" s="24">
        <v>5.7315958495289374</v>
      </c>
      <c r="R245" s="24">
        <v>5.27</v>
      </c>
      <c r="S245" s="24">
        <v>6.433129239158017</v>
      </c>
      <c r="T245" s="21">
        <v>1</v>
      </c>
      <c r="U245" s="21" t="s">
        <v>141</v>
      </c>
      <c r="V245" s="70">
        <v>-2.9267379125206168E-2</v>
      </c>
      <c r="W245" s="70">
        <v>3.073262087479383E-2</v>
      </c>
      <c r="X245" s="24">
        <v>1.7825875489937031</v>
      </c>
      <c r="Y245" s="24" t="s">
        <v>2010</v>
      </c>
      <c r="Z245" s="75">
        <v>8324.3629999999994</v>
      </c>
      <c r="AA245" t="s">
        <v>1415</v>
      </c>
      <c r="AB245" s="24">
        <v>4.2881944444444446</v>
      </c>
    </row>
    <row r="246" spans="1:28" x14ac:dyDescent="0.55000000000000004">
      <c r="A246" s="24" t="s">
        <v>471</v>
      </c>
      <c r="B246" s="24" t="s">
        <v>1387</v>
      </c>
      <c r="C246" s="24" t="s">
        <v>106</v>
      </c>
      <c r="D246" s="24" t="s">
        <v>72</v>
      </c>
      <c r="E246" s="24" t="s">
        <v>86</v>
      </c>
      <c r="F246" s="70">
        <v>7.3078019419652886E-4</v>
      </c>
      <c r="G246" s="24">
        <v>7.9175170000000001</v>
      </c>
      <c r="H246" s="24">
        <v>7.7289479999999999</v>
      </c>
      <c r="I246" s="24">
        <v>6.4377240000000002</v>
      </c>
      <c r="J246" s="24">
        <v>7.3335910000000002</v>
      </c>
      <c r="K246" s="24">
        <v>3.9127320000000001</v>
      </c>
      <c r="L246" s="24">
        <v>8.296659</v>
      </c>
      <c r="M246" s="24">
        <v>0.22076000000000001</v>
      </c>
      <c r="N246" s="24">
        <v>3.4532545120648264</v>
      </c>
      <c r="O246" s="24">
        <v>6</v>
      </c>
      <c r="P246" s="24">
        <v>9.4623666088566267</v>
      </c>
      <c r="Q246" s="24">
        <v>1.8532601042106747</v>
      </c>
      <c r="R246" s="24">
        <v>4.03</v>
      </c>
      <c r="S246" s="24">
        <v>3.5866330973843574</v>
      </c>
      <c r="T246" s="21">
        <v>1</v>
      </c>
      <c r="U246" s="21" t="s">
        <v>141</v>
      </c>
      <c r="V246" s="70">
        <v>-2.92688353165514E-2</v>
      </c>
      <c r="W246" s="70">
        <v>3.0731164683448598E-2</v>
      </c>
      <c r="X246" s="24">
        <v>1.8286666055599958</v>
      </c>
      <c r="Y246" s="24" t="s">
        <v>1856</v>
      </c>
      <c r="Z246" s="75">
        <v>7071.2079999999996</v>
      </c>
      <c r="AA246" t="s">
        <v>1415</v>
      </c>
      <c r="AB246" s="24">
        <v>4.2564102564102564</v>
      </c>
    </row>
    <row r="247" spans="1:28" x14ac:dyDescent="0.55000000000000004">
      <c r="A247" s="24" t="s">
        <v>447</v>
      </c>
      <c r="B247" s="24" t="s">
        <v>1360</v>
      </c>
      <c r="C247" s="24" t="s">
        <v>108</v>
      </c>
      <c r="D247" s="24" t="s">
        <v>72</v>
      </c>
      <c r="E247" s="24" t="s">
        <v>89</v>
      </c>
      <c r="F247" s="70">
        <v>7.2961734283980863E-4</v>
      </c>
      <c r="G247" s="24">
        <v>5.5404960000000001</v>
      </c>
      <c r="H247" s="24">
        <v>6.2679720000000003</v>
      </c>
      <c r="I247" s="24">
        <v>6.0135339999999999</v>
      </c>
      <c r="J247" s="24">
        <v>5.9006499999999997</v>
      </c>
      <c r="K247" s="24">
        <v>1.652455</v>
      </c>
      <c r="L247" s="24">
        <v>5.7839859999999996</v>
      </c>
      <c r="M247" s="24">
        <v>4.1035000000000004</v>
      </c>
      <c r="N247" s="24">
        <v>7.7350331646841077</v>
      </c>
      <c r="O247" s="24">
        <v>9.6999999999999993</v>
      </c>
      <c r="P247" s="24">
        <v>7.7477477477477477</v>
      </c>
      <c r="Q247" s="24">
        <v>1.4329714475431607</v>
      </c>
      <c r="R247" s="24">
        <v>5.58</v>
      </c>
      <c r="S247" s="24">
        <v>4.5529796951865702</v>
      </c>
      <c r="T247" s="21">
        <v>1</v>
      </c>
      <c r="U247" s="21" t="s">
        <v>141</v>
      </c>
      <c r="V247" s="70">
        <v>-2.926999816790812E-2</v>
      </c>
      <c r="W247" s="70">
        <v>3.0730001832091878E-2</v>
      </c>
      <c r="X247" s="24">
        <v>0.9900407667021538</v>
      </c>
      <c r="Y247" s="24" t="s">
        <v>1931</v>
      </c>
      <c r="Z247" s="75">
        <v>6491.7070000000003</v>
      </c>
      <c r="AA247" t="s">
        <v>1415</v>
      </c>
      <c r="AB247" s="24">
        <v>3.8408304498269894</v>
      </c>
    </row>
    <row r="248" spans="1:28" x14ac:dyDescent="0.55000000000000004">
      <c r="A248" s="24" t="s">
        <v>456</v>
      </c>
      <c r="B248" s="24" t="s">
        <v>1076</v>
      </c>
      <c r="C248" s="24" t="s">
        <v>110</v>
      </c>
      <c r="D248" s="24" t="s">
        <v>72</v>
      </c>
      <c r="E248" s="24" t="s">
        <v>90</v>
      </c>
      <c r="F248" s="70">
        <v>7.2685998698052829E-4</v>
      </c>
      <c r="G248" s="24" t="e">
        <v>#N/A</v>
      </c>
      <c r="H248" s="24" t="e">
        <v>#N/A</v>
      </c>
      <c r="I248" s="24" t="e">
        <v>#N/A</v>
      </c>
      <c r="J248" s="24" t="e">
        <v>#N/A</v>
      </c>
      <c r="K248" s="24">
        <v>4.7259840000000004</v>
      </c>
      <c r="L248" s="24">
        <v>6.7562129999999998</v>
      </c>
      <c r="M248" s="24" t="e">
        <v>#N/A</v>
      </c>
      <c r="N248" s="24">
        <v>4.8705318455789106</v>
      </c>
      <c r="O248" s="24">
        <v>3.5</v>
      </c>
      <c r="P248" s="24">
        <v>2.3835131595175443</v>
      </c>
      <c r="Q248" s="24">
        <v>2.3785382340515424</v>
      </c>
      <c r="R248" s="24">
        <v>5.32</v>
      </c>
      <c r="S248" s="24">
        <v>3.6270586908600535</v>
      </c>
      <c r="T248" s="21">
        <v>1</v>
      </c>
      <c r="U248" s="21" t="s">
        <v>141</v>
      </c>
      <c r="V248" s="70">
        <v>-2.9272755523767402E-2</v>
      </c>
      <c r="W248" s="70">
        <v>3.0727244476232596E-2</v>
      </c>
      <c r="X248" s="24">
        <v>0.52955133350903039</v>
      </c>
      <c r="Y248" s="24" t="s">
        <v>1542</v>
      </c>
      <c r="Z248" s="75">
        <v>8279.5010000000002</v>
      </c>
      <c r="AA248" t="s">
        <v>1415</v>
      </c>
      <c r="AB248" s="24">
        <v>4</v>
      </c>
    </row>
    <row r="249" spans="1:28" x14ac:dyDescent="0.55000000000000004">
      <c r="A249" s="24" t="s">
        <v>472</v>
      </c>
      <c r="B249" s="24" t="s">
        <v>845</v>
      </c>
      <c r="C249" s="24" t="s">
        <v>107</v>
      </c>
      <c r="D249" s="24" t="s">
        <v>72</v>
      </c>
      <c r="E249" s="24" t="s">
        <v>94</v>
      </c>
      <c r="F249" s="70">
        <v>7.2660742974165707E-4</v>
      </c>
      <c r="G249" s="24">
        <v>7.911295</v>
      </c>
      <c r="H249" s="24">
        <v>5.2978540000000001</v>
      </c>
      <c r="I249" s="24">
        <v>5.8404090000000002</v>
      </c>
      <c r="J249" s="24">
        <v>6.5602520000000002</v>
      </c>
      <c r="K249" s="24">
        <v>4.3498830000000002</v>
      </c>
      <c r="L249" s="24">
        <v>14.595599999999999</v>
      </c>
      <c r="M249" s="24">
        <v>71.312799999999996</v>
      </c>
      <c r="N249" s="24">
        <v>10</v>
      </c>
      <c r="O249" s="24">
        <v>4.5</v>
      </c>
      <c r="P249" s="24">
        <v>1.9791666666666672</v>
      </c>
      <c r="Q249" s="24">
        <v>10</v>
      </c>
      <c r="R249" s="24">
        <v>5.75</v>
      </c>
      <c r="S249" s="24">
        <v>7.6345133720946068</v>
      </c>
      <c r="T249" s="21">
        <v>1</v>
      </c>
      <c r="U249" s="21" t="s">
        <v>1410</v>
      </c>
      <c r="V249" s="70">
        <v>-2.9273777059510411E-2</v>
      </c>
      <c r="W249" s="70">
        <v>3.0726222940489586E-2</v>
      </c>
      <c r="X249" s="24">
        <v>1.1570975802387635</v>
      </c>
      <c r="Y249" s="24" t="s">
        <v>1457</v>
      </c>
      <c r="Z249" s="75">
        <v>8101.9049999999997</v>
      </c>
      <c r="AA249" t="s">
        <v>1415</v>
      </c>
      <c r="AB249" s="24">
        <v>3.1372549019607843</v>
      </c>
    </row>
    <row r="250" spans="1:28" x14ac:dyDescent="0.55000000000000004">
      <c r="A250" s="24" t="s">
        <v>464</v>
      </c>
      <c r="B250" s="24" t="s">
        <v>1316</v>
      </c>
      <c r="C250" s="24" t="s">
        <v>113</v>
      </c>
      <c r="D250" s="24" t="s">
        <v>72</v>
      </c>
      <c r="E250" s="24" t="s">
        <v>86</v>
      </c>
      <c r="F250" s="70">
        <v>7.1802340694573246E-4</v>
      </c>
      <c r="G250" s="24">
        <v>5.2009359999999996</v>
      </c>
      <c r="H250" s="24">
        <v>6.8596450000000004</v>
      </c>
      <c r="I250" s="24">
        <v>5.5891700000000002</v>
      </c>
      <c r="J250" s="24">
        <v>5.9173660000000003</v>
      </c>
      <c r="K250" s="24">
        <v>7.50868</v>
      </c>
      <c r="L250" s="24">
        <v>11.876609999999999</v>
      </c>
      <c r="M250" s="24">
        <v>10.8331</v>
      </c>
      <c r="N250" s="24">
        <v>4.002063428142228</v>
      </c>
      <c r="O250" s="24">
        <v>7.5</v>
      </c>
      <c r="P250" s="24">
        <v>3.6827960949243108</v>
      </c>
      <c r="Q250" s="24">
        <v>4.0684410646387832</v>
      </c>
      <c r="R250" s="24">
        <v>5.46</v>
      </c>
      <c r="S250" s="24">
        <v>4.5195956084446482</v>
      </c>
      <c r="T250" s="21">
        <v>1</v>
      </c>
      <c r="U250" s="21" t="s">
        <v>141</v>
      </c>
      <c r="V250" s="70">
        <v>-2.9282361082306335E-2</v>
      </c>
      <c r="W250" s="70">
        <v>3.0717638917693663E-2</v>
      </c>
      <c r="X250" s="24">
        <v>0.99151554941462261</v>
      </c>
      <c r="Y250" s="24" t="s">
        <v>1869</v>
      </c>
      <c r="Z250" s="75">
        <v>8334.6059999999998</v>
      </c>
      <c r="AA250" t="s">
        <v>1415</v>
      </c>
      <c r="AB250" s="24">
        <v>4.1367521367521363</v>
      </c>
    </row>
    <row r="251" spans="1:28" x14ac:dyDescent="0.55000000000000004">
      <c r="A251" s="24" t="s">
        <v>466</v>
      </c>
      <c r="B251" s="24" t="s">
        <v>1016</v>
      </c>
      <c r="C251" s="24" t="s">
        <v>112</v>
      </c>
      <c r="D251" s="24" t="s">
        <v>72</v>
      </c>
      <c r="E251" s="24" t="s">
        <v>100</v>
      </c>
      <c r="F251" s="70">
        <v>7.1569510210342893E-4</v>
      </c>
      <c r="G251" s="24">
        <v>6.4254689999999997</v>
      </c>
      <c r="H251" s="24">
        <v>6.1523500000000002</v>
      </c>
      <c r="I251" s="24">
        <v>2.9539599999999999</v>
      </c>
      <c r="J251" s="24">
        <v>5.3020810000000003</v>
      </c>
      <c r="K251" s="24">
        <v>2.94313</v>
      </c>
      <c r="L251" s="24">
        <v>5.5611009999999998</v>
      </c>
      <c r="M251" s="24">
        <v>39.715600000000002</v>
      </c>
      <c r="N251" s="24">
        <v>4.0977444348653584</v>
      </c>
      <c r="O251" s="24">
        <v>1</v>
      </c>
      <c r="P251" s="24">
        <v>7.9192546583850945</v>
      </c>
      <c r="Q251" s="24">
        <v>4.0093793627943608</v>
      </c>
      <c r="R251" s="24">
        <v>5.79</v>
      </c>
      <c r="S251" s="24">
        <v>4.7200832915948023</v>
      </c>
      <c r="T251" s="21">
        <v>1</v>
      </c>
      <c r="U251" s="21" t="s">
        <v>141</v>
      </c>
      <c r="V251" s="70">
        <v>-2.9284062674419853E-2</v>
      </c>
      <c r="W251" s="70">
        <v>3.0715937325580145E-2</v>
      </c>
      <c r="X251" s="24">
        <v>1.1590137814722596</v>
      </c>
      <c r="Y251" s="24" t="s">
        <v>1635</v>
      </c>
      <c r="Z251" s="75">
        <v>0</v>
      </c>
      <c r="AA251" t="s">
        <v>1415</v>
      </c>
      <c r="AB251" s="24">
        <v>4.2024013722126927</v>
      </c>
    </row>
    <row r="252" spans="1:28" x14ac:dyDescent="0.55000000000000004">
      <c r="A252" s="24" t="s">
        <v>454</v>
      </c>
      <c r="B252" s="24" t="s">
        <v>922</v>
      </c>
      <c r="C252" s="24" t="s">
        <v>106</v>
      </c>
      <c r="D252" s="24" t="s">
        <v>72</v>
      </c>
      <c r="E252" s="24" t="s">
        <v>93</v>
      </c>
      <c r="F252" s="70">
        <v>7.1555283632807726E-4</v>
      </c>
      <c r="G252" s="24">
        <v>6.6534329999999997</v>
      </c>
      <c r="H252" s="24">
        <v>8.5922599999999996</v>
      </c>
      <c r="I252" s="24">
        <v>6.4855039999999997</v>
      </c>
      <c r="J252" s="24">
        <v>7.2437319999999996</v>
      </c>
      <c r="K252" s="24">
        <v>3.2767059999999999</v>
      </c>
      <c r="L252" s="24">
        <v>5.8954810000000002</v>
      </c>
      <c r="M252" s="24">
        <v>5.8417000000000003</v>
      </c>
      <c r="N252" s="24">
        <v>4.4715953073734918</v>
      </c>
      <c r="O252" s="24">
        <v>3.7</v>
      </c>
      <c r="P252" s="24">
        <v>3.5714285714285721</v>
      </c>
      <c r="Q252" s="24">
        <v>5.0884102452671325</v>
      </c>
      <c r="R252" s="24">
        <v>5.67</v>
      </c>
      <c r="S252" s="24">
        <v>4.5440487939322036</v>
      </c>
      <c r="T252" s="21">
        <v>1</v>
      </c>
      <c r="U252" s="21" t="s">
        <v>141</v>
      </c>
      <c r="V252" s="70">
        <v>-2.9284689387148639E-2</v>
      </c>
      <c r="W252" s="70">
        <v>3.0715310612851359E-2</v>
      </c>
      <c r="X252" s="24">
        <v>1.398686013076113</v>
      </c>
      <c r="Y252" s="24" t="s">
        <v>1762</v>
      </c>
      <c r="Z252" s="75">
        <v>7861.4790000000003</v>
      </c>
      <c r="AA252" t="s">
        <v>1415</v>
      </c>
      <c r="AB252" s="24">
        <v>3.9965694682675816</v>
      </c>
    </row>
    <row r="253" spans="1:28" x14ac:dyDescent="0.55000000000000004">
      <c r="A253" s="24" t="s">
        <v>462</v>
      </c>
      <c r="B253" s="24" t="s">
        <v>1219</v>
      </c>
      <c r="C253" s="24" t="s">
        <v>106</v>
      </c>
      <c r="D253" s="24" t="s">
        <v>72</v>
      </c>
      <c r="E253" s="24" t="s">
        <v>89</v>
      </c>
      <c r="F253" s="70">
        <v>7.1059402879241761E-4</v>
      </c>
      <c r="G253" s="24">
        <v>7.4947559999999998</v>
      </c>
      <c r="H253" s="24">
        <v>6.2590170000000001</v>
      </c>
      <c r="I253" s="24">
        <v>5.5996560000000004</v>
      </c>
      <c r="J253" s="24">
        <v>6.4511430000000001</v>
      </c>
      <c r="K253" s="24">
        <v>3.7667820000000001</v>
      </c>
      <c r="L253" s="24">
        <v>8.3044229999999999</v>
      </c>
      <c r="M253" s="24">
        <v>423.9461</v>
      </c>
      <c r="N253" s="24">
        <v>2.0358762897827409</v>
      </c>
      <c r="O253" s="24">
        <v>4.0999999999999996</v>
      </c>
      <c r="P253" s="24">
        <v>3.3333333333333326</v>
      </c>
      <c r="Q253" s="24">
        <v>7.6268072155821169</v>
      </c>
      <c r="R253" s="24">
        <v>5.79</v>
      </c>
      <c r="S253" s="24">
        <v>5.0794424251563157</v>
      </c>
      <c r="T253" s="21">
        <v>1</v>
      </c>
      <c r="U253" s="21" t="s">
        <v>141</v>
      </c>
      <c r="V253" s="70">
        <v>-2.9289790460459653E-2</v>
      </c>
      <c r="W253" s="70">
        <v>3.0710209539540345E-2</v>
      </c>
      <c r="X253" s="24">
        <v>0.87449375237243476</v>
      </c>
      <c r="Y253" s="24" t="s">
        <v>1790</v>
      </c>
      <c r="Z253" s="75">
        <v>7631.1149999999998</v>
      </c>
      <c r="AA253" t="s">
        <v>1415</v>
      </c>
      <c r="AB253" s="24">
        <v>4.1003460207612461</v>
      </c>
    </row>
    <row r="254" spans="1:28" x14ac:dyDescent="0.55000000000000004">
      <c r="A254" s="24" t="s">
        <v>494</v>
      </c>
      <c r="B254" s="24" t="s">
        <v>1146</v>
      </c>
      <c r="C254" s="24" t="s">
        <v>108</v>
      </c>
      <c r="D254" s="24" t="s">
        <v>72</v>
      </c>
      <c r="E254" s="24" t="s">
        <v>83</v>
      </c>
      <c r="F254" s="70">
        <v>6.9598521949308775E-4</v>
      </c>
      <c r="G254" s="24">
        <v>6.2300370000000003</v>
      </c>
      <c r="H254" s="24">
        <v>6.7485520000000001</v>
      </c>
      <c r="I254" s="24">
        <v>7.8033669999999997</v>
      </c>
      <c r="J254" s="24">
        <v>6.9273189999999998</v>
      </c>
      <c r="K254" s="24">
        <v>3.99268</v>
      </c>
      <c r="L254" s="24">
        <v>6.7617479999999999</v>
      </c>
      <c r="M254" s="24">
        <v>757.21540000000005</v>
      </c>
      <c r="N254" s="24">
        <v>5.4432174520160261</v>
      </c>
      <c r="O254" s="24">
        <v>5.4</v>
      </c>
      <c r="P254" s="24">
        <v>4.3582089552238799</v>
      </c>
      <c r="Q254" s="24">
        <v>4.9951455422702509</v>
      </c>
      <c r="R254" s="24">
        <v>7.55</v>
      </c>
      <c r="S254" s="24">
        <v>4.7356269402190483</v>
      </c>
      <c r="T254" s="21">
        <v>1</v>
      </c>
      <c r="U254" s="21" t="s">
        <v>141</v>
      </c>
      <c r="V254" s="70">
        <v>-2.9304123386571929E-2</v>
      </c>
      <c r="W254" s="70">
        <v>3.0695876613428069E-2</v>
      </c>
      <c r="X254" s="24">
        <v>1.6033003707280375</v>
      </c>
      <c r="Y254" s="24" t="s">
        <v>1935</v>
      </c>
      <c r="Z254" s="75">
        <v>7492.0929999999998</v>
      </c>
      <c r="AA254" t="s">
        <v>1415</v>
      </c>
      <c r="AB254" s="24">
        <v>4.6006944444444446</v>
      </c>
    </row>
    <row r="255" spans="1:28" x14ac:dyDescent="0.55000000000000004">
      <c r="A255" s="24" t="s">
        <v>445</v>
      </c>
      <c r="B255" s="24" t="s">
        <v>844</v>
      </c>
      <c r="C255" s="24" t="s">
        <v>107</v>
      </c>
      <c r="D255" s="24" t="s">
        <v>72</v>
      </c>
      <c r="E255" s="24" t="s">
        <v>100</v>
      </c>
      <c r="F255" s="70">
        <v>6.9585066689273258E-4</v>
      </c>
      <c r="G255" s="24">
        <v>5.8983169999999996</v>
      </c>
      <c r="H255" s="24">
        <v>7.06637</v>
      </c>
      <c r="I255" s="24">
        <v>2.2758340000000001</v>
      </c>
      <c r="J255" s="24">
        <v>5.161988</v>
      </c>
      <c r="K255" s="24">
        <v>7.0053489999999998</v>
      </c>
      <c r="L255" s="24">
        <v>30.59535</v>
      </c>
      <c r="M255" s="24">
        <v>21.797799999999999</v>
      </c>
      <c r="N255" s="24">
        <v>7.1971591829929924</v>
      </c>
      <c r="O255" s="24">
        <v>3</v>
      </c>
      <c r="P255" s="24">
        <v>0.77639751552795033</v>
      </c>
      <c r="Q255" s="24">
        <v>9.3031306190075256</v>
      </c>
      <c r="R255" s="24">
        <v>6.82</v>
      </c>
      <c r="S255" s="24">
        <v>7.0718030853919824</v>
      </c>
      <c r="T255" s="21">
        <v>1</v>
      </c>
      <c r="U255" s="21" t="s">
        <v>141</v>
      </c>
      <c r="V255" s="70">
        <v>-2.9304533822359338E-2</v>
      </c>
      <c r="W255" s="70">
        <v>3.069546617764066E-2</v>
      </c>
      <c r="X255" s="24">
        <v>1.3611763245569828</v>
      </c>
      <c r="Y255" s="24" t="s">
        <v>1733</v>
      </c>
      <c r="Z255" s="75">
        <v>7456.0150000000003</v>
      </c>
      <c r="AA255" t="s">
        <v>1415</v>
      </c>
      <c r="AB255" s="24">
        <v>3.8421955403087478</v>
      </c>
    </row>
    <row r="256" spans="1:28" x14ac:dyDescent="0.55000000000000004">
      <c r="A256" s="24" t="s">
        <v>468</v>
      </c>
      <c r="B256" s="24" t="s">
        <v>923</v>
      </c>
      <c r="C256" s="24" t="s">
        <v>110</v>
      </c>
      <c r="D256" s="24" t="s">
        <v>72</v>
      </c>
      <c r="E256" s="24" t="s">
        <v>94</v>
      </c>
      <c r="F256" s="70">
        <v>6.9576109361067101E-4</v>
      </c>
      <c r="G256" s="24">
        <v>6.8605939999999999</v>
      </c>
      <c r="H256" s="24">
        <v>6.8482900000000004</v>
      </c>
      <c r="I256" s="24">
        <v>8.0650230000000001</v>
      </c>
      <c r="J256" s="24">
        <v>7.3399049999999999</v>
      </c>
      <c r="K256" s="24">
        <v>3.6768580000000002</v>
      </c>
      <c r="L256" s="24">
        <v>4.2810280000000001</v>
      </c>
      <c r="M256" s="24">
        <v>92.758300000000006</v>
      </c>
      <c r="N256" s="24">
        <v>2.9217545672997405</v>
      </c>
      <c r="O256" s="24">
        <v>7.8</v>
      </c>
      <c r="P256" s="24">
        <v>2.4652777777777777</v>
      </c>
      <c r="Q256" s="24">
        <v>2.5446898002103047</v>
      </c>
      <c r="R256" s="24">
        <v>5.66</v>
      </c>
      <c r="S256" s="24">
        <v>3.4625238317826583</v>
      </c>
      <c r="T256" s="21">
        <v>1</v>
      </c>
      <c r="U256" s="21" t="s">
        <v>141</v>
      </c>
      <c r="V256" s="70">
        <v>-2.9304623395641397E-2</v>
      </c>
      <c r="W256" s="70">
        <v>3.0695376604358601E-2</v>
      </c>
      <c r="X256" s="24">
        <v>0.24936937383322472</v>
      </c>
      <c r="Y256" s="24" t="s">
        <v>1527</v>
      </c>
      <c r="Z256" s="75">
        <v>7691.9170000000004</v>
      </c>
      <c r="AA256" t="s">
        <v>1415</v>
      </c>
      <c r="AB256" s="24">
        <v>3.0501089324618738</v>
      </c>
    </row>
    <row r="257" spans="1:28" x14ac:dyDescent="0.55000000000000004">
      <c r="A257" s="24" t="s">
        <v>470</v>
      </c>
      <c r="B257" s="24" t="s">
        <v>1397</v>
      </c>
      <c r="C257" s="24" t="s">
        <v>105</v>
      </c>
      <c r="D257" s="24" t="s">
        <v>72</v>
      </c>
      <c r="E257" s="24" t="s">
        <v>89</v>
      </c>
      <c r="F257" s="70">
        <v>6.8831575301380409E-4</v>
      </c>
      <c r="G257" s="24">
        <v>7.6644810000000003</v>
      </c>
      <c r="H257" s="24">
        <v>6.5525039999999999</v>
      </c>
      <c r="I257" s="24">
        <v>5.7637470000000004</v>
      </c>
      <c r="J257" s="24">
        <v>6.7606679999999999</v>
      </c>
      <c r="K257" s="24">
        <v>0.98361390000000004</v>
      </c>
      <c r="L257" s="24">
        <v>3.3034319999999999</v>
      </c>
      <c r="M257" s="24">
        <v>35.001100000000001</v>
      </c>
      <c r="N257" s="24">
        <v>4.2057482513184237</v>
      </c>
      <c r="O257" s="24">
        <v>9.1999999999999993</v>
      </c>
      <c r="P257" s="24">
        <v>6.9669669669669654</v>
      </c>
      <c r="Q257" s="24">
        <v>1.8477943780433823</v>
      </c>
      <c r="R257" s="24">
        <v>3.01</v>
      </c>
      <c r="S257" s="24">
        <v>2.8964658860149575</v>
      </c>
      <c r="T257" s="21">
        <v>1</v>
      </c>
      <c r="U257" s="21" t="s">
        <v>141</v>
      </c>
      <c r="V257" s="70">
        <v>-2.9311299757734124E-2</v>
      </c>
      <c r="W257" s="70">
        <v>3.0688700242265873E-2</v>
      </c>
      <c r="X257" s="24">
        <v>1.7629086181877409</v>
      </c>
      <c r="Y257" s="24" t="s">
        <v>1976</v>
      </c>
      <c r="Z257" s="75">
        <v>7430.9350000000004</v>
      </c>
      <c r="AA257" t="s">
        <v>1415</v>
      </c>
      <c r="AB257" s="24">
        <v>4.2387543252595155</v>
      </c>
    </row>
    <row r="258" spans="1:28" x14ac:dyDescent="0.55000000000000004">
      <c r="A258" s="24" t="s">
        <v>440</v>
      </c>
      <c r="B258" s="24" t="s">
        <v>1355</v>
      </c>
      <c r="C258" s="24" t="s">
        <v>1898</v>
      </c>
      <c r="D258" s="24" t="s">
        <v>72</v>
      </c>
      <c r="E258" s="24" t="s">
        <v>92</v>
      </c>
      <c r="F258" s="70">
        <v>6.8611320043675196E-4</v>
      </c>
      <c r="G258" s="24">
        <v>4.5754510000000002</v>
      </c>
      <c r="H258" s="24">
        <v>4.7095719999999996</v>
      </c>
      <c r="I258" s="24">
        <v>3.1371020000000001</v>
      </c>
      <c r="J258" s="24">
        <v>4.1707710000000002</v>
      </c>
      <c r="K258" s="24">
        <v>7.5430210000000004</v>
      </c>
      <c r="L258" s="24">
        <v>15.18933</v>
      </c>
      <c r="M258" s="24">
        <v>618.9787</v>
      </c>
      <c r="N258" s="24">
        <v>2.9491148342666298</v>
      </c>
      <c r="O258" s="24">
        <v>8.6999999999999993</v>
      </c>
      <c r="P258" s="24">
        <v>3.3170731707317076</v>
      </c>
      <c r="Q258" s="24">
        <v>6.8142133596846008</v>
      </c>
      <c r="R258" s="24">
        <v>3.41</v>
      </c>
      <c r="S258" s="24">
        <v>6.5393061930649603</v>
      </c>
      <c r="T258" s="21">
        <v>1</v>
      </c>
      <c r="U258" s="21" t="s">
        <v>141</v>
      </c>
      <c r="V258" s="70">
        <v>-2.9314271288815318E-2</v>
      </c>
      <c r="W258" s="70">
        <v>3.068572871118468E-2</v>
      </c>
      <c r="X258" s="24">
        <v>0.8350147383602976</v>
      </c>
      <c r="Y258" s="24" t="s">
        <v>1951</v>
      </c>
      <c r="Z258" s="75">
        <v>7517.11</v>
      </c>
      <c r="AA258" t="s">
        <v>1415</v>
      </c>
      <c r="AB258" s="24">
        <v>4.3675889328063242</v>
      </c>
    </row>
    <row r="259" spans="1:28" x14ac:dyDescent="0.55000000000000004">
      <c r="A259" s="24" t="s">
        <v>488</v>
      </c>
      <c r="B259" s="24" t="s">
        <v>907</v>
      </c>
      <c r="C259" s="24" t="s">
        <v>112</v>
      </c>
      <c r="D259" s="24" t="s">
        <v>72</v>
      </c>
      <c r="E259" s="24" t="s">
        <v>88</v>
      </c>
      <c r="F259" s="70">
        <v>6.8385825561204626E-4</v>
      </c>
      <c r="G259" s="24">
        <v>4.0542280000000002</v>
      </c>
      <c r="H259" s="24">
        <v>6.1335870000000003</v>
      </c>
      <c r="I259" s="24">
        <v>5.8020360000000002</v>
      </c>
      <c r="J259" s="24">
        <v>5.5850949999999999</v>
      </c>
      <c r="K259" s="24">
        <v>2.889332</v>
      </c>
      <c r="L259" s="24">
        <v>7.1277699999999999</v>
      </c>
      <c r="M259" s="24">
        <v>43.449300000000001</v>
      </c>
      <c r="N259" s="24">
        <v>1.9095703258137078</v>
      </c>
      <c r="O259" s="24">
        <v>2.1</v>
      </c>
      <c r="P259" s="24">
        <v>3.0684931506849313</v>
      </c>
      <c r="Q259" s="24">
        <v>9.5563161557949847</v>
      </c>
      <c r="R259" s="24">
        <v>6.4500010000000003</v>
      </c>
      <c r="S259" s="24">
        <v>5.7675012424164338</v>
      </c>
      <c r="T259" s="21">
        <v>1</v>
      </c>
      <c r="U259" s="21" t="s">
        <v>141</v>
      </c>
      <c r="V259" s="70">
        <v>-2.9316526233640023E-2</v>
      </c>
      <c r="W259" s="70">
        <v>3.0683473766359975E-2</v>
      </c>
      <c r="X259" s="24">
        <v>0.77316822834204602</v>
      </c>
      <c r="Y259" s="24" t="s">
        <v>1593</v>
      </c>
      <c r="Z259" s="75">
        <v>7762.0219999999999</v>
      </c>
      <c r="AA259" t="s">
        <v>1415</v>
      </c>
      <c r="AB259" s="24">
        <v>4.7743055555555554</v>
      </c>
    </row>
    <row r="260" spans="1:28" x14ac:dyDescent="0.55000000000000004">
      <c r="A260" s="24" t="s">
        <v>449</v>
      </c>
      <c r="B260" s="24" t="s">
        <v>1302</v>
      </c>
      <c r="C260" s="24" t="s">
        <v>178</v>
      </c>
      <c r="D260" s="24" t="s">
        <v>72</v>
      </c>
      <c r="E260" s="24" t="s">
        <v>92</v>
      </c>
      <c r="F260" s="70">
        <v>6.826537634551811E-4</v>
      </c>
      <c r="G260" s="24">
        <v>6.560346</v>
      </c>
      <c r="H260" s="24">
        <v>7.4108660000000004</v>
      </c>
      <c r="I260" s="24">
        <v>4.7332349999999996</v>
      </c>
      <c r="J260" s="24">
        <v>6.1823170000000003</v>
      </c>
      <c r="K260" s="24">
        <v>3.3251439999999999</v>
      </c>
      <c r="L260" s="24">
        <v>9.7459729999999993</v>
      </c>
      <c r="M260" s="24">
        <v>201.93260000000001</v>
      </c>
      <c r="N260" s="24">
        <v>6.1438048354414079</v>
      </c>
      <c r="O260" s="24">
        <v>9.1</v>
      </c>
      <c r="P260" s="24">
        <v>8.7317073170731696</v>
      </c>
      <c r="Q260" s="24">
        <v>3.3346460236220299</v>
      </c>
      <c r="R260" s="24">
        <v>2.87</v>
      </c>
      <c r="S260" s="24">
        <v>4.3846057193570367</v>
      </c>
      <c r="T260" s="21">
        <v>1</v>
      </c>
      <c r="U260" s="21" t="s">
        <v>141</v>
      </c>
      <c r="V260" s="70">
        <v>-2.9317127325407682E-2</v>
      </c>
      <c r="W260" s="70">
        <v>3.0682872674592316E-2</v>
      </c>
      <c r="X260" s="24">
        <v>0.58699772202341716</v>
      </c>
      <c r="Y260" s="24" t="s">
        <v>1956</v>
      </c>
      <c r="Z260" s="75">
        <v>7228.3040000000001</v>
      </c>
      <c r="AA260" t="s">
        <v>1415</v>
      </c>
      <c r="AB260" s="24">
        <v>4.545454545454545</v>
      </c>
    </row>
    <row r="261" spans="1:28" x14ac:dyDescent="0.55000000000000004">
      <c r="A261" s="24" t="s">
        <v>457</v>
      </c>
      <c r="B261" s="24" t="s">
        <v>1096</v>
      </c>
      <c r="C261" s="24" t="s">
        <v>106</v>
      </c>
      <c r="D261" s="24" t="s">
        <v>72</v>
      </c>
      <c r="E261" s="24" t="s">
        <v>99</v>
      </c>
      <c r="F261" s="70">
        <v>6.7977426501662319E-4</v>
      </c>
      <c r="G261" s="24">
        <v>6.8440890000000003</v>
      </c>
      <c r="H261" s="24">
        <v>4.4270269999999998</v>
      </c>
      <c r="I261" s="24">
        <v>7.0944390000000004</v>
      </c>
      <c r="J261" s="24">
        <v>6.4107459999999996</v>
      </c>
      <c r="K261" s="24">
        <v>3.9964149999999998</v>
      </c>
      <c r="L261" s="24">
        <v>13.668419999999999</v>
      </c>
      <c r="M261" s="24">
        <v>13.4506</v>
      </c>
      <c r="N261" s="24">
        <v>3.1691763419262635</v>
      </c>
      <c r="O261" s="24">
        <v>0.4</v>
      </c>
      <c r="P261" s="24">
        <v>10</v>
      </c>
      <c r="Q261" s="24">
        <v>10</v>
      </c>
      <c r="R261" s="24">
        <v>3.98</v>
      </c>
      <c r="S261" s="24">
        <v>7.6287415451443064</v>
      </c>
      <c r="T261" s="21">
        <v>1</v>
      </c>
      <c r="U261" s="21" t="s">
        <v>1410</v>
      </c>
      <c r="V261" s="70">
        <v>-2.9319841245731306E-2</v>
      </c>
      <c r="W261" s="70">
        <v>3.0680158754268692E-2</v>
      </c>
      <c r="X261" s="24">
        <v>0.73686720200799483</v>
      </c>
      <c r="Y261" s="24" t="s">
        <v>1466</v>
      </c>
      <c r="Z261" s="75">
        <v>7323.6959999999999</v>
      </c>
      <c r="AA261" t="s">
        <v>1415</v>
      </c>
      <c r="AB261" s="24">
        <v>3.8779174147217232</v>
      </c>
    </row>
    <row r="262" spans="1:28" x14ac:dyDescent="0.55000000000000004">
      <c r="A262" s="24" t="s">
        <v>480</v>
      </c>
      <c r="B262" s="24" t="s">
        <v>1187</v>
      </c>
      <c r="C262" s="24" t="s">
        <v>108</v>
      </c>
      <c r="D262" s="24" t="s">
        <v>72</v>
      </c>
      <c r="E262" s="24" t="s">
        <v>87</v>
      </c>
      <c r="F262" s="70">
        <v>6.7866115435396483E-4</v>
      </c>
      <c r="G262" s="24">
        <v>5.6578730000000004</v>
      </c>
      <c r="H262" s="24">
        <v>5.4148259999999997</v>
      </c>
      <c r="I262" s="24">
        <v>5.1187019999999999</v>
      </c>
      <c r="J262" s="24">
        <v>5.4232079999999998</v>
      </c>
      <c r="K262" s="24">
        <v>3.5052949999999998</v>
      </c>
      <c r="L262" s="24">
        <v>6.4732390000000004</v>
      </c>
      <c r="M262" s="24">
        <v>52.949599999999997</v>
      </c>
      <c r="N262" s="24">
        <v>2.9482662394238002</v>
      </c>
      <c r="O262" s="24">
        <v>1.3</v>
      </c>
      <c r="P262" s="24">
        <v>5.3974895397489542</v>
      </c>
      <c r="Q262" s="24">
        <v>5.7168774766207004</v>
      </c>
      <c r="R262" s="24">
        <v>4.74</v>
      </c>
      <c r="S262" s="24">
        <v>5.852122675354325</v>
      </c>
      <c r="T262" s="21">
        <v>1</v>
      </c>
      <c r="U262" s="21" t="s">
        <v>141</v>
      </c>
      <c r="V262" s="70">
        <v>-2.9320954356393966E-2</v>
      </c>
      <c r="W262" s="70">
        <v>3.0679045643606032E-2</v>
      </c>
      <c r="X262" s="24">
        <v>0.86640810646243915</v>
      </c>
      <c r="Y262" s="24" t="s">
        <v>1933</v>
      </c>
      <c r="Z262" s="75">
        <v>7131.0720000000001</v>
      </c>
      <c r="AA262" t="s">
        <v>1415</v>
      </c>
      <c r="AB262" s="24">
        <v>4.7069271758436946</v>
      </c>
    </row>
    <row r="263" spans="1:28" x14ac:dyDescent="0.55000000000000004">
      <c r="A263" s="24" t="s">
        <v>492</v>
      </c>
      <c r="B263" s="24" t="s">
        <v>849</v>
      </c>
      <c r="C263" s="24" t="s">
        <v>107</v>
      </c>
      <c r="D263" s="24" t="s">
        <v>72</v>
      </c>
      <c r="E263" s="24" t="s">
        <v>88</v>
      </c>
      <c r="F263" s="70">
        <v>6.7846083985613839E-4</v>
      </c>
      <c r="G263" s="24">
        <v>7.5244140000000002</v>
      </c>
      <c r="H263" s="24">
        <v>6.8559919999999996</v>
      </c>
      <c r="I263" s="24">
        <v>5.2269750000000004</v>
      </c>
      <c r="J263" s="24">
        <v>6.3380700000000001</v>
      </c>
      <c r="K263" s="24">
        <v>1.0993250000000001</v>
      </c>
      <c r="L263" s="24">
        <v>5.3618860000000002</v>
      </c>
      <c r="M263" s="24">
        <v>23.048500000000001</v>
      </c>
      <c r="N263" s="24">
        <v>6.3736525989562987</v>
      </c>
      <c r="O263" s="24">
        <v>5.9</v>
      </c>
      <c r="P263" s="24">
        <v>4.3013698630136981</v>
      </c>
      <c r="Q263" s="24">
        <v>7.3808669506389375</v>
      </c>
      <c r="R263" s="24">
        <v>5.19</v>
      </c>
      <c r="S263" s="24">
        <v>5.3275963514441589</v>
      </c>
      <c r="T263" s="21">
        <v>1</v>
      </c>
      <c r="U263" s="21" t="s">
        <v>141</v>
      </c>
      <c r="V263" s="70">
        <v>-2.9321668440603466E-2</v>
      </c>
      <c r="W263" s="70">
        <v>3.0678331559396532E-2</v>
      </c>
      <c r="X263" s="24">
        <v>1.060702543216189</v>
      </c>
      <c r="Y263" s="24" t="s">
        <v>1757</v>
      </c>
      <c r="Z263" s="75">
        <v>7333.2629999999999</v>
      </c>
      <c r="AA263" t="s">
        <v>1415</v>
      </c>
      <c r="AB263" s="24">
        <v>4.84375</v>
      </c>
    </row>
    <row r="264" spans="1:28" x14ac:dyDescent="0.55000000000000004">
      <c r="A264" s="24" t="s">
        <v>479</v>
      </c>
      <c r="B264" s="24" t="s">
        <v>847</v>
      </c>
      <c r="C264" s="24" t="s">
        <v>107</v>
      </c>
      <c r="D264" s="24" t="s">
        <v>72</v>
      </c>
      <c r="E264" s="24" t="s">
        <v>91</v>
      </c>
      <c r="F264" s="70">
        <v>6.780088700887798E-4</v>
      </c>
      <c r="G264" s="24">
        <v>7.5671109999999997</v>
      </c>
      <c r="H264" s="24">
        <v>4.068111</v>
      </c>
      <c r="I264" s="24">
        <v>5.3164990000000003</v>
      </c>
      <c r="J264" s="24">
        <v>5.2672660000000002</v>
      </c>
      <c r="K264" s="24">
        <v>2.9503849999999998</v>
      </c>
      <c r="L264" s="24">
        <v>8.3438890000000008</v>
      </c>
      <c r="M264" s="24">
        <v>4.8798000000000004</v>
      </c>
      <c r="N264" s="24">
        <v>5.2234749971995615</v>
      </c>
      <c r="O264" s="24">
        <v>6.1</v>
      </c>
      <c r="P264" s="24">
        <v>0</v>
      </c>
      <c r="Q264" s="24">
        <v>6.4948257598392054</v>
      </c>
      <c r="R264" s="24">
        <v>5.94</v>
      </c>
      <c r="S264" s="24">
        <v>5.5249834179877588</v>
      </c>
      <c r="T264" s="21">
        <v>1</v>
      </c>
      <c r="U264" s="21" t="s">
        <v>141</v>
      </c>
      <c r="V264" s="70">
        <v>-2.9321923649395929E-2</v>
      </c>
      <c r="W264" s="70">
        <v>3.0678076350604069E-2</v>
      </c>
      <c r="X264" s="24">
        <v>0.98697797123906239</v>
      </c>
      <c r="Y264" s="24" t="s">
        <v>1728</v>
      </c>
      <c r="Z264" s="75">
        <v>6927.8519999999999</v>
      </c>
      <c r="AA264" t="s">
        <v>1415</v>
      </c>
      <c r="AB264" s="24">
        <v>4.4253859348198974</v>
      </c>
    </row>
    <row r="265" spans="1:28" x14ac:dyDescent="0.55000000000000004">
      <c r="A265" s="24" t="s">
        <v>450</v>
      </c>
      <c r="B265" s="24" t="s">
        <v>893</v>
      </c>
      <c r="C265" s="24" t="s">
        <v>113</v>
      </c>
      <c r="D265" s="24" t="s">
        <v>72</v>
      </c>
      <c r="E265" s="24" t="s">
        <v>89</v>
      </c>
      <c r="F265" s="70">
        <v>6.7794707014446297E-4</v>
      </c>
      <c r="G265" s="24">
        <v>5.3451259999999996</v>
      </c>
      <c r="H265" s="24">
        <v>7.5971880000000001</v>
      </c>
      <c r="I265" s="24">
        <v>4.5033440000000002</v>
      </c>
      <c r="J265" s="24">
        <v>5.7682089999999997</v>
      </c>
      <c r="K265" s="24">
        <v>1.475193</v>
      </c>
      <c r="L265" s="24">
        <v>10.547219999999999</v>
      </c>
      <c r="M265" s="24">
        <v>33.879800000000003</v>
      </c>
      <c r="N265" s="24">
        <v>5.7229299449781736</v>
      </c>
      <c r="O265" s="24">
        <v>6.1</v>
      </c>
      <c r="P265" s="24">
        <v>2.5225225225225216</v>
      </c>
      <c r="Q265" s="24">
        <v>8.2335469234174425</v>
      </c>
      <c r="R265" s="24">
        <v>2.7</v>
      </c>
      <c r="S265" s="24">
        <v>6.4595939770096695</v>
      </c>
      <c r="T265" s="21">
        <v>1</v>
      </c>
      <c r="U265" s="21" t="s">
        <v>141</v>
      </c>
      <c r="V265" s="70">
        <v>-2.9322375619163288E-2</v>
      </c>
      <c r="W265" s="70">
        <v>3.067762438083671E-2</v>
      </c>
      <c r="X265" s="24">
        <v>0.97498683878552073</v>
      </c>
      <c r="Y265" s="24" t="s">
        <v>1883</v>
      </c>
      <c r="Z265" s="75">
        <v>8015.5739999999996</v>
      </c>
      <c r="AA265" t="s">
        <v>1415</v>
      </c>
      <c r="AB265" s="24">
        <v>3.8927335640138412</v>
      </c>
    </row>
    <row r="266" spans="1:28" x14ac:dyDescent="0.55000000000000004">
      <c r="A266" s="24" t="s">
        <v>475</v>
      </c>
      <c r="B266" s="24" t="s">
        <v>1002</v>
      </c>
      <c r="C266" s="24" t="s">
        <v>108</v>
      </c>
      <c r="D266" s="24" t="s">
        <v>72</v>
      </c>
      <c r="E266" s="24" t="s">
        <v>97</v>
      </c>
      <c r="F266" s="70">
        <v>6.7526502528321788E-4</v>
      </c>
      <c r="G266" s="24">
        <v>3.5868319999999998</v>
      </c>
      <c r="H266" s="24">
        <v>5.2297330000000004</v>
      </c>
      <c r="I266" s="24">
        <v>6.1218870000000001</v>
      </c>
      <c r="J266" s="24">
        <v>4.9794840000000002</v>
      </c>
      <c r="K266" s="24">
        <v>6.968845</v>
      </c>
      <c r="L266" s="24">
        <v>8.7742649999999998</v>
      </c>
      <c r="M266" s="24">
        <v>99.4131</v>
      </c>
      <c r="N266" s="24">
        <v>1.2507552114347305</v>
      </c>
      <c r="O266" s="24">
        <v>7.7</v>
      </c>
      <c r="P266" s="24">
        <v>6.4661654135338349</v>
      </c>
      <c r="Q266" s="24">
        <v>4.0403147716392667</v>
      </c>
      <c r="R266" s="24">
        <v>5.74</v>
      </c>
      <c r="S266" s="24">
        <v>5.4945840722489301</v>
      </c>
      <c r="T266" s="21">
        <v>1</v>
      </c>
      <c r="U266" s="21" t="s">
        <v>141</v>
      </c>
      <c r="V266" s="70">
        <v>-2.932511946396885E-2</v>
      </c>
      <c r="W266" s="70">
        <v>3.0674880536031148E-2</v>
      </c>
      <c r="X266" s="24">
        <v>0.34514870045978097</v>
      </c>
      <c r="Y266" s="24" t="s">
        <v>1936</v>
      </c>
      <c r="Z266" s="75">
        <v>7109.3890000000001</v>
      </c>
      <c r="AA266" t="s">
        <v>1415</v>
      </c>
      <c r="AB266" s="24">
        <v>4.2732049036777582</v>
      </c>
    </row>
    <row r="267" spans="1:28" x14ac:dyDescent="0.55000000000000004">
      <c r="A267" s="24" t="s">
        <v>535</v>
      </c>
      <c r="B267" s="24" t="s">
        <v>1175</v>
      </c>
      <c r="C267" s="24" t="s">
        <v>112</v>
      </c>
      <c r="D267" s="24" t="s">
        <v>72</v>
      </c>
      <c r="E267" s="24" t="s">
        <v>96</v>
      </c>
      <c r="F267" s="70">
        <v>6.7395580626234222E-4</v>
      </c>
      <c r="G267" s="24">
        <v>4.9504469999999996</v>
      </c>
      <c r="H267" s="24">
        <v>3.8089900000000001</v>
      </c>
      <c r="I267" s="24">
        <v>5.2281199999999997</v>
      </c>
      <c r="J267" s="24">
        <v>4.6049340000000001</v>
      </c>
      <c r="K267" s="24">
        <v>0</v>
      </c>
      <c r="L267" s="24">
        <v>-7.1824149999999998</v>
      </c>
      <c r="M267" s="24">
        <v>8.9794</v>
      </c>
      <c r="N267" s="24">
        <v>6.7105263570109477</v>
      </c>
      <c r="O267" s="24">
        <v>6.5</v>
      </c>
      <c r="P267" s="24">
        <v>1.5734993788819875</v>
      </c>
      <c r="Q267" s="24">
        <v>4.3205584376782458</v>
      </c>
      <c r="R267" s="24">
        <v>0</v>
      </c>
      <c r="S267" s="24">
        <v>1.6746597041517648</v>
      </c>
      <c r="T267" s="21">
        <v>1</v>
      </c>
      <c r="U267" s="21" t="s">
        <v>141</v>
      </c>
      <c r="V267" s="70">
        <v>-2.9326024604486123E-2</v>
      </c>
      <c r="W267" s="70">
        <v>3.0673975395513874E-2</v>
      </c>
      <c r="X267" s="24">
        <v>2.0095969739880659</v>
      </c>
      <c r="Y267" s="24" t="s">
        <v>1624</v>
      </c>
      <c r="Z267" s="75">
        <v>7111.7730000000001</v>
      </c>
      <c r="AA267" t="s">
        <v>1415</v>
      </c>
      <c r="AB267" s="24">
        <v>5.3859348198970833</v>
      </c>
    </row>
    <row r="268" spans="1:28" x14ac:dyDescent="0.55000000000000004">
      <c r="A268" s="24" t="s">
        <v>503</v>
      </c>
      <c r="B268" s="24" t="s">
        <v>1042</v>
      </c>
      <c r="C268" s="24" t="s">
        <v>112</v>
      </c>
      <c r="D268" s="24" t="s">
        <v>72</v>
      </c>
      <c r="E268" s="24" t="s">
        <v>89</v>
      </c>
      <c r="F268" s="70">
        <v>6.6261122351874454E-4</v>
      </c>
      <c r="G268" s="24">
        <v>6.9256010000000003</v>
      </c>
      <c r="H268" s="24">
        <v>7.4753999999999996</v>
      </c>
      <c r="I268" s="24">
        <v>8.0030210000000004</v>
      </c>
      <c r="J268" s="24">
        <v>7.4137659999999999</v>
      </c>
      <c r="K268" s="24">
        <v>2.5155439999999998</v>
      </c>
      <c r="L268" s="24">
        <v>7.047771</v>
      </c>
      <c r="M268" s="24">
        <v>14.157400000000001</v>
      </c>
      <c r="N268" s="24">
        <v>3.4233843344117423</v>
      </c>
      <c r="O268" s="24">
        <v>5.7</v>
      </c>
      <c r="P268" s="24">
        <v>6.7867867867867844</v>
      </c>
      <c r="Q268" s="24">
        <v>6.7255057547587436</v>
      </c>
      <c r="R268" s="24">
        <v>5.15</v>
      </c>
      <c r="S268" s="24">
        <v>6.5914004985028498</v>
      </c>
      <c r="T268" s="21">
        <v>1</v>
      </c>
      <c r="U268" s="21" t="s">
        <v>141</v>
      </c>
      <c r="V268" s="70">
        <v>-2.9337004287229185E-2</v>
      </c>
      <c r="W268" s="70">
        <v>3.0662995712770813E-2</v>
      </c>
      <c r="X268" s="24">
        <v>0.88169083859529052</v>
      </c>
      <c r="Y268" s="24" t="s">
        <v>1600</v>
      </c>
      <c r="Z268" s="75">
        <v>7505.3249999999998</v>
      </c>
      <c r="AA268" t="s">
        <v>1415</v>
      </c>
      <c r="AB268" s="24">
        <v>4.8096885813148784</v>
      </c>
    </row>
    <row r="269" spans="1:28" x14ac:dyDescent="0.55000000000000004">
      <c r="A269" s="24" t="s">
        <v>443</v>
      </c>
      <c r="B269" s="24" t="s">
        <v>1341</v>
      </c>
      <c r="C269" s="24" t="s">
        <v>177</v>
      </c>
      <c r="D269" s="24" t="s">
        <v>72</v>
      </c>
      <c r="E269" s="24" t="s">
        <v>92</v>
      </c>
      <c r="F269" s="70">
        <v>6.6115698315394778E-4</v>
      </c>
      <c r="G269" s="24">
        <v>7.1705880000000004</v>
      </c>
      <c r="H269" s="24">
        <v>6.244408</v>
      </c>
      <c r="I269" s="24">
        <v>5.6660589999999997</v>
      </c>
      <c r="J269" s="24">
        <v>6.5339929999999997</v>
      </c>
      <c r="K269" s="24">
        <v>4.5417750000000003</v>
      </c>
      <c r="L269" s="24">
        <v>2.2291409999999998</v>
      </c>
      <c r="M269" s="24">
        <v>172.18109999999999</v>
      </c>
      <c r="N269" s="24">
        <v>0</v>
      </c>
      <c r="O269" s="24">
        <v>0.2</v>
      </c>
      <c r="P269" s="24">
        <v>3.7560975609756091</v>
      </c>
      <c r="Q269" s="24">
        <v>1.955203454050586</v>
      </c>
      <c r="R269" s="24">
        <v>3.45</v>
      </c>
      <c r="S269" s="24">
        <v>1.1183777040096043</v>
      </c>
      <c r="T269" s="21">
        <v>1</v>
      </c>
      <c r="U269" s="21" t="s">
        <v>141</v>
      </c>
      <c r="V269" s="70">
        <v>-2.9339227506098121E-2</v>
      </c>
      <c r="W269" s="70">
        <v>3.0660772493901877E-2</v>
      </c>
      <c r="X269" s="24">
        <v>0.91607784766101319</v>
      </c>
      <c r="Y269" s="24" t="s">
        <v>1691</v>
      </c>
      <c r="Z269" s="75">
        <v>7247.1130000000003</v>
      </c>
      <c r="AA269" t="s">
        <v>1415</v>
      </c>
      <c r="AB269" s="24">
        <v>4.4268774703557314</v>
      </c>
    </row>
    <row r="270" spans="1:28" x14ac:dyDescent="0.55000000000000004">
      <c r="A270" s="24" t="s">
        <v>507</v>
      </c>
      <c r="B270" s="24" t="s">
        <v>1102</v>
      </c>
      <c r="C270" s="24" t="s">
        <v>105</v>
      </c>
      <c r="D270" s="24" t="s">
        <v>72</v>
      </c>
      <c r="E270" s="24" t="s">
        <v>85</v>
      </c>
      <c r="F270" s="70">
        <v>6.5995570035553967E-4</v>
      </c>
      <c r="G270" s="24">
        <v>7.6078289999999997</v>
      </c>
      <c r="H270" s="24">
        <v>5.4417660000000003</v>
      </c>
      <c r="I270" s="24">
        <v>5.2533659999999998</v>
      </c>
      <c r="J270" s="24">
        <v>6.251671</v>
      </c>
      <c r="K270" s="24">
        <v>0.65426989999999996</v>
      </c>
      <c r="L270" s="24">
        <v>1.0985929999999999</v>
      </c>
      <c r="M270" s="24">
        <v>43.407200000000003</v>
      </c>
      <c r="N270" s="24">
        <v>0.15993040155909211</v>
      </c>
      <c r="O270" s="24">
        <v>0.9</v>
      </c>
      <c r="P270" s="24">
        <v>2.2222222222222219</v>
      </c>
      <c r="Q270" s="24">
        <v>1.7480079681274898</v>
      </c>
      <c r="R270" s="24">
        <v>0.99</v>
      </c>
      <c r="S270" s="24">
        <v>0.58051202489200238</v>
      </c>
      <c r="T270" s="21">
        <v>1</v>
      </c>
      <c r="U270" s="21" t="s">
        <v>141</v>
      </c>
      <c r="V270" s="70">
        <v>-2.934042878889653E-2</v>
      </c>
      <c r="W270" s="70">
        <v>3.0659571211103468E-2</v>
      </c>
      <c r="X270" s="24">
        <v>1.9566485530728375</v>
      </c>
      <c r="Y270" s="24" t="s">
        <v>2003</v>
      </c>
      <c r="Z270" s="75">
        <v>7144.866</v>
      </c>
      <c r="AA270" t="s">
        <v>1415</v>
      </c>
      <c r="AB270" s="24">
        <v>4.8788927335640135</v>
      </c>
    </row>
    <row r="271" spans="1:28" x14ac:dyDescent="0.55000000000000004">
      <c r="A271" s="24" t="s">
        <v>517</v>
      </c>
      <c r="B271" s="24" t="s">
        <v>979</v>
      </c>
      <c r="C271" s="24" t="s">
        <v>106</v>
      </c>
      <c r="D271" s="24" t="s">
        <v>72</v>
      </c>
      <c r="E271" s="24" t="s">
        <v>95</v>
      </c>
      <c r="F271" s="70">
        <v>6.572414057762953E-4</v>
      </c>
      <c r="G271" s="24">
        <v>7.137232</v>
      </c>
      <c r="H271" s="24">
        <v>6.5390579999999998</v>
      </c>
      <c r="I271" s="24">
        <v>5.8259679999999996</v>
      </c>
      <c r="J271" s="24">
        <v>6.3734570000000001</v>
      </c>
      <c r="K271" s="24">
        <v>3.7779500000000001</v>
      </c>
      <c r="L271" s="24">
        <v>9.7623359999999995</v>
      </c>
      <c r="M271" s="24">
        <v>18.512699999999999</v>
      </c>
      <c r="N271" s="24">
        <v>1.5350878253748392</v>
      </c>
      <c r="O271" s="24">
        <v>9</v>
      </c>
      <c r="P271" s="24">
        <v>3.4782608695652177</v>
      </c>
      <c r="Q271" s="24">
        <v>7.7895178857592962</v>
      </c>
      <c r="R271" s="24">
        <v>6.2</v>
      </c>
      <c r="S271" s="24">
        <v>5.6481469040902219</v>
      </c>
      <c r="T271" s="21">
        <v>1</v>
      </c>
      <c r="U271" s="21" t="s">
        <v>141</v>
      </c>
      <c r="V271" s="70">
        <v>-2.9342825149416822E-2</v>
      </c>
      <c r="W271" s="70">
        <v>3.0657174850583176E-2</v>
      </c>
      <c r="X271" s="24">
        <v>1.3414254176199287</v>
      </c>
      <c r="Y271" s="24" t="s">
        <v>1800</v>
      </c>
      <c r="Z271" s="75">
        <v>7113.2129999999997</v>
      </c>
      <c r="AA271" t="s">
        <v>1415</v>
      </c>
      <c r="AB271" s="24">
        <v>5.0771869639794165</v>
      </c>
    </row>
    <row r="272" spans="1:28" x14ac:dyDescent="0.55000000000000004">
      <c r="A272" s="24" t="s">
        <v>487</v>
      </c>
      <c r="B272" s="24" t="s">
        <v>919</v>
      </c>
      <c r="C272" s="24" t="s">
        <v>105</v>
      </c>
      <c r="D272" s="24" t="s">
        <v>72</v>
      </c>
      <c r="E272" s="24" t="s">
        <v>83</v>
      </c>
      <c r="F272" s="70">
        <v>6.5502681853424317E-4</v>
      </c>
      <c r="G272" s="24">
        <v>5.9487459999999999</v>
      </c>
      <c r="H272" s="24">
        <v>5.614522</v>
      </c>
      <c r="I272" s="24">
        <v>4.6061649999999998</v>
      </c>
      <c r="J272" s="24">
        <v>5.3898109999999999</v>
      </c>
      <c r="K272" s="24">
        <v>2.0173130000000001</v>
      </c>
      <c r="L272" s="24">
        <v>3.55043</v>
      </c>
      <c r="M272" s="24">
        <v>140.18260000000001</v>
      </c>
      <c r="N272" s="24">
        <v>3.9147975913424577</v>
      </c>
      <c r="O272" s="24">
        <v>2</v>
      </c>
      <c r="P272" s="24">
        <v>0.71641791044776126</v>
      </c>
      <c r="Q272" s="24">
        <v>1.8032122959866514</v>
      </c>
      <c r="R272" s="24">
        <v>3.81</v>
      </c>
      <c r="S272" s="24">
        <v>2.9244342712556461</v>
      </c>
      <c r="T272" s="21">
        <v>1</v>
      </c>
      <c r="U272" s="21" t="s">
        <v>141</v>
      </c>
      <c r="V272" s="70">
        <v>-2.9344588692213687E-2</v>
      </c>
      <c r="W272" s="70">
        <v>3.0655411307786311E-2</v>
      </c>
      <c r="X272" s="24">
        <v>1.0465487949940215</v>
      </c>
      <c r="Y272" s="24" t="s">
        <v>1962</v>
      </c>
      <c r="Z272" s="75">
        <v>7820.11</v>
      </c>
      <c r="AA272" t="s">
        <v>1415</v>
      </c>
      <c r="AB272" s="24">
        <v>4.479166666666667</v>
      </c>
    </row>
    <row r="273" spans="1:28" x14ac:dyDescent="0.55000000000000004">
      <c r="A273" s="24" t="s">
        <v>469</v>
      </c>
      <c r="B273" s="24" t="s">
        <v>868</v>
      </c>
      <c r="C273" s="24" t="s">
        <v>105</v>
      </c>
      <c r="D273" s="24" t="s">
        <v>72</v>
      </c>
      <c r="E273" s="24" t="s">
        <v>96</v>
      </c>
      <c r="F273" s="70">
        <v>6.5260207373792208E-4</v>
      </c>
      <c r="G273" s="24">
        <v>7.1562489999999999</v>
      </c>
      <c r="H273" s="24">
        <v>5.373138</v>
      </c>
      <c r="I273" s="24">
        <v>2.8113630000000001</v>
      </c>
      <c r="J273" s="24">
        <v>5.31785</v>
      </c>
      <c r="K273" s="24">
        <v>1.0382420000000001</v>
      </c>
      <c r="L273" s="24">
        <v>3.18099</v>
      </c>
      <c r="M273" s="24">
        <v>0.38528000000000001</v>
      </c>
      <c r="N273" s="24">
        <v>9.1989799385673354</v>
      </c>
      <c r="O273" s="24">
        <v>7.5</v>
      </c>
      <c r="P273" s="24">
        <v>7.9638009049773775</v>
      </c>
      <c r="Q273" s="24">
        <v>1.1664437419374356</v>
      </c>
      <c r="R273" s="24">
        <v>5.32</v>
      </c>
      <c r="S273" s="24">
        <v>4.3717936193572511</v>
      </c>
      <c r="T273" s="21">
        <v>1</v>
      </c>
      <c r="U273" s="21" t="s">
        <v>141</v>
      </c>
      <c r="V273" s="70">
        <v>-2.9347074225688524E-2</v>
      </c>
      <c r="W273" s="70">
        <v>3.0652925774311474E-2</v>
      </c>
      <c r="X273" s="24">
        <v>1.6593779190167921</v>
      </c>
      <c r="Y273" s="24" t="s">
        <v>1993</v>
      </c>
      <c r="Z273" s="75">
        <v>5986.8109999999997</v>
      </c>
      <c r="AA273" t="s">
        <v>1415</v>
      </c>
      <c r="AB273" s="24">
        <v>4.4194107452339688</v>
      </c>
    </row>
    <row r="274" spans="1:28" x14ac:dyDescent="0.55000000000000004">
      <c r="A274" s="24" t="s">
        <v>485</v>
      </c>
      <c r="B274" s="24" t="s">
        <v>1044</v>
      </c>
      <c r="C274" s="24" t="s">
        <v>106</v>
      </c>
      <c r="D274" s="24" t="s">
        <v>72</v>
      </c>
      <c r="E274" s="24" t="s">
        <v>93</v>
      </c>
      <c r="F274" s="70">
        <v>6.5254128505940596E-4</v>
      </c>
      <c r="G274" s="24">
        <v>6.0969730000000002</v>
      </c>
      <c r="H274" s="24">
        <v>8.7123089999999994</v>
      </c>
      <c r="I274" s="24">
        <v>5.5317600000000002</v>
      </c>
      <c r="J274" s="24">
        <v>6.780348</v>
      </c>
      <c r="K274" s="24">
        <v>5.697648</v>
      </c>
      <c r="L274" s="24">
        <v>5.8773010000000001</v>
      </c>
      <c r="M274" s="24">
        <v>4.4828000000000001</v>
      </c>
      <c r="N274" s="24">
        <v>0.44068558345005526</v>
      </c>
      <c r="O274" s="24">
        <v>9.3000000000000007</v>
      </c>
      <c r="P274" s="24">
        <v>4.658385093167702</v>
      </c>
      <c r="Q274" s="24">
        <v>4.3452752804411006</v>
      </c>
      <c r="R274" s="24">
        <v>7.21</v>
      </c>
      <c r="S274" s="24">
        <v>4.3609709045254164</v>
      </c>
      <c r="T274" s="21">
        <v>1</v>
      </c>
      <c r="U274" s="21" t="s">
        <v>141</v>
      </c>
      <c r="V274" s="70">
        <v>-2.934773446584691E-2</v>
      </c>
      <c r="W274" s="70">
        <v>3.0652265534153088E-2</v>
      </c>
      <c r="X274" s="24">
        <v>1.3031681668330497</v>
      </c>
      <c r="Y274" s="24" t="s">
        <v>1792</v>
      </c>
      <c r="Z274" s="75">
        <v>6984.2849999999999</v>
      </c>
      <c r="AA274" t="s">
        <v>1415</v>
      </c>
      <c r="AB274" s="24">
        <v>4.5283018867924527</v>
      </c>
    </row>
    <row r="275" spans="1:28" x14ac:dyDescent="0.55000000000000004">
      <c r="A275" s="24" t="s">
        <v>504</v>
      </c>
      <c r="B275" s="24" t="s">
        <v>1090</v>
      </c>
      <c r="C275" s="24" t="s">
        <v>127</v>
      </c>
      <c r="D275" s="24" t="s">
        <v>72</v>
      </c>
      <c r="E275" s="24" t="s">
        <v>88</v>
      </c>
      <c r="F275" s="70">
        <v>6.4971987679731085E-4</v>
      </c>
      <c r="G275" s="24">
        <v>4.8270460000000002</v>
      </c>
      <c r="H275" s="24">
        <v>4.5712279999999996</v>
      </c>
      <c r="I275" s="24">
        <v>6.0141439999999999</v>
      </c>
      <c r="J275" s="24">
        <v>5.1995579999999997</v>
      </c>
      <c r="K275" s="24">
        <v>0</v>
      </c>
      <c r="L275" s="24">
        <v>-2.3104450000000001</v>
      </c>
      <c r="M275" s="24">
        <v>427.47140000000002</v>
      </c>
      <c r="N275" s="24">
        <v>6.4080799651319627</v>
      </c>
      <c r="O275" s="24">
        <v>5.5</v>
      </c>
      <c r="P275" s="24">
        <v>0</v>
      </c>
      <c r="Q275" s="24">
        <v>3.6649127202873135</v>
      </c>
      <c r="R275" s="24">
        <v>0.75</v>
      </c>
      <c r="S275" s="24">
        <v>1.3490555754635627</v>
      </c>
      <c r="T275" s="21">
        <v>1</v>
      </c>
      <c r="U275" s="21" t="s">
        <v>141</v>
      </c>
      <c r="V275" s="70">
        <v>-2.9349895633950619E-2</v>
      </c>
      <c r="W275" s="70">
        <v>3.0650104366049379E-2</v>
      </c>
      <c r="X275" s="24">
        <v>0.9840250762691275</v>
      </c>
      <c r="Y275" s="24" t="s">
        <v>1652</v>
      </c>
      <c r="Z275" s="75">
        <v>7238.8450000000003</v>
      </c>
      <c r="AA275" t="s">
        <v>1415</v>
      </c>
      <c r="AB275" s="24">
        <v>5.0520833333333339</v>
      </c>
    </row>
    <row r="276" spans="1:28" x14ac:dyDescent="0.55000000000000004">
      <c r="A276" s="24" t="s">
        <v>477</v>
      </c>
      <c r="B276" s="24" t="s">
        <v>1043</v>
      </c>
      <c r="C276" s="24" t="s">
        <v>106</v>
      </c>
      <c r="D276" s="24" t="s">
        <v>72</v>
      </c>
      <c r="E276" s="24" t="s">
        <v>89</v>
      </c>
      <c r="F276" s="70">
        <v>6.4636473187238894E-4</v>
      </c>
      <c r="G276" s="24">
        <v>5.3961519999999998</v>
      </c>
      <c r="H276" s="24">
        <v>5.3207959999999996</v>
      </c>
      <c r="I276" s="24">
        <v>5.5843210000000001</v>
      </c>
      <c r="J276" s="24">
        <v>5.429996</v>
      </c>
      <c r="K276" s="24">
        <v>1.473195</v>
      </c>
      <c r="L276" s="24">
        <v>4.9409349999999996</v>
      </c>
      <c r="M276" s="24">
        <v>102.3956</v>
      </c>
      <c r="N276" s="24">
        <v>4.661767682655384</v>
      </c>
      <c r="O276" s="24">
        <v>4</v>
      </c>
      <c r="P276" s="24">
        <v>1.6216216216216215</v>
      </c>
      <c r="Q276" s="24">
        <v>5.8161797255422769</v>
      </c>
      <c r="R276" s="24">
        <v>3.18</v>
      </c>
      <c r="S276" s="24">
        <v>3.2802388391143111</v>
      </c>
      <c r="T276" s="21">
        <v>1</v>
      </c>
      <c r="U276" s="21" t="s">
        <v>141</v>
      </c>
      <c r="V276" s="70">
        <v>-2.9353250778875541E-2</v>
      </c>
      <c r="W276" s="70">
        <v>3.0646749221124456E-2</v>
      </c>
      <c r="X276" s="24">
        <v>1.6847454172141683</v>
      </c>
      <c r="Y276" s="24" t="s">
        <v>1847</v>
      </c>
      <c r="Z276" s="75">
        <v>7142.5249999999996</v>
      </c>
      <c r="AA276" t="s">
        <v>1415</v>
      </c>
      <c r="AB276" s="24">
        <v>4.3598615916955019</v>
      </c>
    </row>
    <row r="277" spans="1:28" x14ac:dyDescent="0.55000000000000004">
      <c r="A277" s="24" t="s">
        <v>481</v>
      </c>
      <c r="B277" s="24" t="s">
        <v>1033</v>
      </c>
      <c r="C277" s="24" t="s">
        <v>177</v>
      </c>
      <c r="D277" s="24" t="s">
        <v>72</v>
      </c>
      <c r="E277" s="24" t="s">
        <v>83</v>
      </c>
      <c r="F277" s="70">
        <v>6.4275788102078214E-4</v>
      </c>
      <c r="G277" s="24">
        <v>5.6697550000000003</v>
      </c>
      <c r="H277" s="24">
        <v>4.331137</v>
      </c>
      <c r="I277" s="24">
        <v>5.6077000000000004</v>
      </c>
      <c r="J277" s="24">
        <v>5.2028639999999999</v>
      </c>
      <c r="K277" s="24">
        <v>2.534564</v>
      </c>
      <c r="L277" s="24">
        <v>3.988899</v>
      </c>
      <c r="M277" s="24">
        <v>279.41759999999999</v>
      </c>
      <c r="N277" s="24">
        <v>3.0473473766682262</v>
      </c>
      <c r="O277" s="24">
        <v>7.3</v>
      </c>
      <c r="P277" s="24">
        <v>0.9850746268656716</v>
      </c>
      <c r="Q277" s="24">
        <v>4.6400763011467197</v>
      </c>
      <c r="R277" s="24">
        <v>4.1399999999999997</v>
      </c>
      <c r="S277" s="24">
        <v>3.1249664656465663</v>
      </c>
      <c r="T277" s="21">
        <v>1</v>
      </c>
      <c r="U277" s="21" t="s">
        <v>141</v>
      </c>
      <c r="V277" s="70">
        <v>-2.9356857629727149E-2</v>
      </c>
      <c r="W277" s="70">
        <v>3.0643142370272849E-2</v>
      </c>
      <c r="X277" s="24">
        <v>1.3300071858206519</v>
      </c>
      <c r="Y277" s="24" t="s">
        <v>1687</v>
      </c>
      <c r="Z277" s="75">
        <v>6786.0339999999997</v>
      </c>
      <c r="AA277" t="s">
        <v>1415</v>
      </c>
      <c r="AB277" s="24">
        <v>4.375</v>
      </c>
    </row>
    <row r="278" spans="1:28" x14ac:dyDescent="0.55000000000000004">
      <c r="A278" s="24" t="s">
        <v>498</v>
      </c>
      <c r="B278" s="24" t="s">
        <v>939</v>
      </c>
      <c r="C278" s="24" t="s">
        <v>112</v>
      </c>
      <c r="D278" s="24" t="s">
        <v>72</v>
      </c>
      <c r="E278" s="24" t="s">
        <v>94</v>
      </c>
      <c r="F278" s="70">
        <v>6.3947224234488936E-4</v>
      </c>
      <c r="G278" s="24">
        <v>4.6948949999999998</v>
      </c>
      <c r="H278" s="24">
        <v>7.0541210000000003</v>
      </c>
      <c r="I278" s="24">
        <v>6.9126180000000002</v>
      </c>
      <c r="J278" s="24">
        <v>6.0538290000000003</v>
      </c>
      <c r="K278" s="24">
        <v>2.8605849999999999</v>
      </c>
      <c r="L278" s="24">
        <v>-2.3785910000000001</v>
      </c>
      <c r="M278" s="24">
        <v>36.106999999999999</v>
      </c>
      <c r="N278" s="24">
        <v>4.017827270903088</v>
      </c>
      <c r="O278" s="24">
        <v>9.6999999999999993</v>
      </c>
      <c r="P278" s="24">
        <v>1.354166666666667</v>
      </c>
      <c r="Q278" s="24">
        <v>7.2259463722397479</v>
      </c>
      <c r="R278" s="24">
        <v>3.6</v>
      </c>
      <c r="S278" s="24">
        <v>1.7387257710709954</v>
      </c>
      <c r="T278" s="21">
        <v>1</v>
      </c>
      <c r="U278" s="21" t="s">
        <v>141</v>
      </c>
      <c r="V278" s="70">
        <v>-2.9360776235633077E-2</v>
      </c>
      <c r="W278" s="70">
        <v>3.0639223764366921E-2</v>
      </c>
      <c r="X278" s="24">
        <v>1.2199108485043038</v>
      </c>
      <c r="Y278" s="24" t="s">
        <v>1634</v>
      </c>
      <c r="Z278" s="75">
        <v>6949.9679999999998</v>
      </c>
      <c r="AA278" t="s">
        <v>1415</v>
      </c>
      <c r="AB278" s="24">
        <v>3.7037037037037033</v>
      </c>
    </row>
    <row r="279" spans="1:28" x14ac:dyDescent="0.55000000000000004">
      <c r="A279" s="24" t="s">
        <v>473</v>
      </c>
      <c r="B279" s="24" t="s">
        <v>882</v>
      </c>
      <c r="C279" s="24" t="s">
        <v>106</v>
      </c>
      <c r="D279" s="24" t="s">
        <v>72</v>
      </c>
      <c r="E279" s="24" t="s">
        <v>89</v>
      </c>
      <c r="F279" s="70">
        <v>6.3945812000003658E-4</v>
      </c>
      <c r="G279" s="24">
        <v>6.00075</v>
      </c>
      <c r="H279" s="24">
        <v>4.9512039999999997</v>
      </c>
      <c r="I279" s="24">
        <v>4.7913759999999996</v>
      </c>
      <c r="J279" s="24">
        <v>5.3230740000000001</v>
      </c>
      <c r="K279" s="24">
        <v>2.786813</v>
      </c>
      <c r="L279" s="24">
        <v>6.4358579999999996</v>
      </c>
      <c r="M279" s="24">
        <v>24.300899999999999</v>
      </c>
      <c r="N279" s="24">
        <v>3.8750804462900175</v>
      </c>
      <c r="O279" s="24">
        <v>3.3</v>
      </c>
      <c r="P279" s="24">
        <v>5.4654654654654644</v>
      </c>
      <c r="Q279" s="24">
        <v>6.5384749889331575</v>
      </c>
      <c r="R279" s="24">
        <v>5.82</v>
      </c>
      <c r="S279" s="24">
        <v>6.0914765571402647</v>
      </c>
      <c r="T279" s="21">
        <v>1</v>
      </c>
      <c r="U279" s="21" t="s">
        <v>141</v>
      </c>
      <c r="V279" s="70">
        <v>-2.9360912246907178E-2</v>
      </c>
      <c r="W279" s="70">
        <v>3.063908775309282E-2</v>
      </c>
      <c r="X279" s="24">
        <v>1.0598951230746096</v>
      </c>
      <c r="Y279" s="24" t="s">
        <v>1813</v>
      </c>
      <c r="Z279" s="75">
        <v>6981.5529999999999</v>
      </c>
      <c r="AA279" t="s">
        <v>1415</v>
      </c>
      <c r="AB279" s="24">
        <v>4.2906574394463668</v>
      </c>
    </row>
    <row r="280" spans="1:28" x14ac:dyDescent="0.55000000000000004">
      <c r="A280" s="24" t="s">
        <v>478</v>
      </c>
      <c r="B280" s="24" t="s">
        <v>1057</v>
      </c>
      <c r="C280" s="24" t="s">
        <v>105</v>
      </c>
      <c r="D280" s="24" t="s">
        <v>72</v>
      </c>
      <c r="E280" s="24" t="s">
        <v>89</v>
      </c>
      <c r="F280" s="70">
        <v>6.3833606342524117E-4</v>
      </c>
      <c r="G280" s="24">
        <v>5.3094099999999997</v>
      </c>
      <c r="H280" s="24">
        <v>4.6433410000000004</v>
      </c>
      <c r="I280" s="24">
        <v>3.8741460000000001</v>
      </c>
      <c r="J280" s="24">
        <v>4.6790099999999999</v>
      </c>
      <c r="K280" s="24">
        <v>1.8543190000000001</v>
      </c>
      <c r="L280" s="24">
        <v>5.3047610000000001</v>
      </c>
      <c r="M280" s="24">
        <v>59.546199999999999</v>
      </c>
      <c r="N280" s="24">
        <v>4.1754914987900795</v>
      </c>
      <c r="O280" s="24">
        <v>8.1999999999999993</v>
      </c>
      <c r="P280" s="24">
        <v>4.8948948948948949</v>
      </c>
      <c r="Q280" s="24">
        <v>4.4276593625498011</v>
      </c>
      <c r="R280" s="24">
        <v>4.42</v>
      </c>
      <c r="S280" s="24">
        <v>4.6949109054287916</v>
      </c>
      <c r="T280" s="21">
        <v>1</v>
      </c>
      <c r="U280" s="21" t="s">
        <v>141</v>
      </c>
      <c r="V280" s="70">
        <v>-2.936127944732269E-2</v>
      </c>
      <c r="W280" s="70">
        <v>3.0638720552677308E-2</v>
      </c>
      <c r="X280" s="24">
        <v>1.5231326436288408</v>
      </c>
      <c r="Y280" s="24" t="s">
        <v>1964</v>
      </c>
      <c r="Z280" s="75">
        <v>7247.0280000000002</v>
      </c>
      <c r="AA280" t="s">
        <v>1415</v>
      </c>
      <c r="AB280" s="24">
        <v>4.3771626297577857</v>
      </c>
    </row>
    <row r="281" spans="1:28" x14ac:dyDescent="0.55000000000000004">
      <c r="A281" s="24" t="s">
        <v>496</v>
      </c>
      <c r="B281" s="24" t="s">
        <v>1208</v>
      </c>
      <c r="C281" s="24" t="s">
        <v>177</v>
      </c>
      <c r="D281" s="24" t="s">
        <v>72</v>
      </c>
      <c r="E281" s="24" t="s">
        <v>97</v>
      </c>
      <c r="F281" s="70">
        <v>6.3783068484759827E-4</v>
      </c>
      <c r="G281" s="24">
        <v>7.4517420000000003</v>
      </c>
      <c r="H281" s="24">
        <v>6.2038719999999996</v>
      </c>
      <c r="I281" s="24">
        <v>5.6344070000000004</v>
      </c>
      <c r="J281" s="24">
        <v>6.4300069999999998</v>
      </c>
      <c r="K281" s="24">
        <v>4.8862709999999998</v>
      </c>
      <c r="L281" s="24">
        <v>5.6912089999999997</v>
      </c>
      <c r="M281" s="24">
        <v>27.120999999999999</v>
      </c>
      <c r="N281" s="24">
        <v>4.8791543879665014</v>
      </c>
      <c r="O281" s="24">
        <v>3.7</v>
      </c>
      <c r="P281" s="24">
        <v>10</v>
      </c>
      <c r="Q281" s="24">
        <v>0.50658079404991774</v>
      </c>
      <c r="R281" s="24">
        <v>6.72</v>
      </c>
      <c r="S281" s="24">
        <v>4.5849236213703026</v>
      </c>
      <c r="T281" s="21">
        <v>1</v>
      </c>
      <c r="U281" s="21" t="s">
        <v>141</v>
      </c>
      <c r="V281" s="70">
        <v>-2.9362052679922913E-2</v>
      </c>
      <c r="W281" s="70">
        <v>3.0637947320077085E-2</v>
      </c>
      <c r="X281" s="24">
        <v>0.34074588857175009</v>
      </c>
      <c r="Y281" s="24" t="s">
        <v>1690</v>
      </c>
      <c r="Z281" s="75">
        <v>6791.8450000000003</v>
      </c>
      <c r="AA281" t="s">
        <v>1415</v>
      </c>
      <c r="AB281" s="24">
        <v>4.6409807355516639</v>
      </c>
    </row>
    <row r="282" spans="1:28" x14ac:dyDescent="0.55000000000000004">
      <c r="A282" s="24" t="s">
        <v>495</v>
      </c>
      <c r="B282" s="24" t="s">
        <v>1270</v>
      </c>
      <c r="C282" s="24" t="s">
        <v>127</v>
      </c>
      <c r="D282" s="24" t="s">
        <v>72</v>
      </c>
      <c r="E282" s="24" t="s">
        <v>90</v>
      </c>
      <c r="F282" s="70">
        <v>6.3392920745445843E-4</v>
      </c>
      <c r="G282" s="24">
        <v>5.1167340000000001</v>
      </c>
      <c r="H282" s="24">
        <v>6.7464399999999998</v>
      </c>
      <c r="I282" s="24">
        <v>6.5118340000000003</v>
      </c>
      <c r="J282" s="24">
        <v>6.1754160000000002</v>
      </c>
      <c r="K282" s="24">
        <v>4.9132870000000004</v>
      </c>
      <c r="L282" s="24">
        <v>5.5950699999999998</v>
      </c>
      <c r="M282" s="24">
        <v>0.49175000000000002</v>
      </c>
      <c r="N282" s="24">
        <v>5.9440878067867908</v>
      </c>
      <c r="O282" s="24">
        <v>3</v>
      </c>
      <c r="P282" s="24">
        <v>5.3942650961575369</v>
      </c>
      <c r="Q282" s="24">
        <v>1.9729615547106041</v>
      </c>
      <c r="R282" s="24">
        <v>4.84</v>
      </c>
      <c r="S282" s="24">
        <v>3.7740345444262888</v>
      </c>
      <c r="T282" s="21">
        <v>1</v>
      </c>
      <c r="U282" s="21" t="s">
        <v>141</v>
      </c>
      <c r="V282" s="70">
        <v>-2.9366455281797609E-2</v>
      </c>
      <c r="W282" s="70">
        <v>3.0633544718202389E-2</v>
      </c>
      <c r="X282" s="24">
        <v>0.46165587653985923</v>
      </c>
      <c r="Y282" s="24" t="s">
        <v>1656</v>
      </c>
      <c r="Z282" s="75">
        <v>6985.3549999999996</v>
      </c>
      <c r="AA282" t="s">
        <v>1415</v>
      </c>
      <c r="AB282" s="24">
        <v>4.666666666666667</v>
      </c>
    </row>
    <row r="283" spans="1:28" x14ac:dyDescent="0.55000000000000004">
      <c r="A283" s="24" t="s">
        <v>490</v>
      </c>
      <c r="B283" s="24" t="s">
        <v>948</v>
      </c>
      <c r="C283" s="24" t="s">
        <v>106</v>
      </c>
      <c r="D283" s="24" t="s">
        <v>72</v>
      </c>
      <c r="E283" s="24" t="s">
        <v>89</v>
      </c>
      <c r="F283" s="70">
        <v>6.3327837499273676E-4</v>
      </c>
      <c r="G283" s="24">
        <v>4.8952260000000001</v>
      </c>
      <c r="H283" s="24">
        <v>4.4949709999999996</v>
      </c>
      <c r="I283" s="24">
        <v>4.4992210000000004</v>
      </c>
      <c r="J283" s="24">
        <v>4.6563480000000004</v>
      </c>
      <c r="K283" s="24">
        <v>1.337934</v>
      </c>
      <c r="L283" s="24">
        <v>5.0376070000000004</v>
      </c>
      <c r="M283" s="24">
        <v>0.65839000000000003</v>
      </c>
      <c r="N283" s="24">
        <v>6.315106707797419</v>
      </c>
      <c r="O283" s="24">
        <v>8.4</v>
      </c>
      <c r="P283" s="24">
        <v>5.9759759759759747</v>
      </c>
      <c r="Q283" s="24">
        <v>1.4997421425409474</v>
      </c>
      <c r="R283" s="24">
        <v>4.08</v>
      </c>
      <c r="S283" s="24">
        <v>4.6052241959772049</v>
      </c>
      <c r="T283" s="21">
        <v>1</v>
      </c>
      <c r="U283" s="21" t="s">
        <v>141</v>
      </c>
      <c r="V283" s="70">
        <v>-2.9367106114259332E-2</v>
      </c>
      <c r="W283" s="70">
        <v>3.0632893885740666E-2</v>
      </c>
      <c r="X283" s="24">
        <v>1.4024312576799491</v>
      </c>
      <c r="Y283" s="24" t="s">
        <v>1765</v>
      </c>
      <c r="Z283" s="75">
        <v>7133.8890000000001</v>
      </c>
      <c r="AA283" t="s">
        <v>1415</v>
      </c>
      <c r="AB283" s="24">
        <v>4.5847750865051902</v>
      </c>
    </row>
    <row r="284" spans="1:28" x14ac:dyDescent="0.55000000000000004">
      <c r="A284" s="24" t="s">
        <v>557</v>
      </c>
      <c r="B284" s="24" t="s">
        <v>1193</v>
      </c>
      <c r="C284" s="24" t="s">
        <v>112</v>
      </c>
      <c r="D284" s="24" t="s">
        <v>72</v>
      </c>
      <c r="E284" s="24" t="s">
        <v>95</v>
      </c>
      <c r="F284" s="70">
        <v>6.2657263948461678E-4</v>
      </c>
      <c r="G284" s="24">
        <v>7.611434</v>
      </c>
      <c r="H284" s="24">
        <v>6.5155580000000004</v>
      </c>
      <c r="I284" s="24">
        <v>3.50962</v>
      </c>
      <c r="J284" s="24">
        <v>5.5323580000000003</v>
      </c>
      <c r="K284" s="24">
        <v>0</v>
      </c>
      <c r="L284" s="24">
        <v>4.342384</v>
      </c>
      <c r="M284" s="24">
        <v>6.5926999999999998</v>
      </c>
      <c r="N284" s="24">
        <v>4.2376780170717048</v>
      </c>
      <c r="O284" s="24">
        <v>8</v>
      </c>
      <c r="P284" s="24">
        <v>5.279503105590063</v>
      </c>
      <c r="Q284" s="24">
        <v>4.6674090773284078</v>
      </c>
      <c r="R284" s="24">
        <v>0</v>
      </c>
      <c r="S284" s="24">
        <v>3.2393906473327014</v>
      </c>
      <c r="T284" s="21">
        <v>1</v>
      </c>
      <c r="U284" s="21" t="s">
        <v>141</v>
      </c>
      <c r="V284" s="70">
        <v>-2.9373042871263313E-2</v>
      </c>
      <c r="W284" s="70">
        <v>3.0626957128736684E-2</v>
      </c>
      <c r="X284" s="24">
        <v>1.7220362635743569</v>
      </c>
      <c r="Y284" s="24" t="s">
        <v>1640</v>
      </c>
      <c r="Z284" s="75">
        <v>6493.9449999999997</v>
      </c>
      <c r="AA284" t="s">
        <v>1415</v>
      </c>
      <c r="AB284" s="24">
        <v>5.7632933104631228</v>
      </c>
    </row>
    <row r="285" spans="1:28" x14ac:dyDescent="0.55000000000000004">
      <c r="A285" s="24" t="s">
        <v>531</v>
      </c>
      <c r="B285" s="24" t="s">
        <v>852</v>
      </c>
      <c r="C285" s="24" t="s">
        <v>177</v>
      </c>
      <c r="D285" s="24" t="s">
        <v>72</v>
      </c>
      <c r="E285" s="24" t="s">
        <v>89</v>
      </c>
      <c r="F285" s="70">
        <v>6.2305125855801539E-4</v>
      </c>
      <c r="G285" s="24">
        <v>7.0377989999999997</v>
      </c>
      <c r="H285" s="24">
        <v>6.1001630000000002</v>
      </c>
      <c r="I285" s="24">
        <v>7.2413270000000001</v>
      </c>
      <c r="J285" s="24">
        <v>6.8175660000000002</v>
      </c>
      <c r="K285" s="24">
        <v>3.885758</v>
      </c>
      <c r="L285" s="24">
        <v>6.9877450000000003</v>
      </c>
      <c r="M285" s="24">
        <v>31.852499999999999</v>
      </c>
      <c r="N285" s="24">
        <v>3.2331958835878156</v>
      </c>
      <c r="O285" s="24">
        <v>0.5</v>
      </c>
      <c r="P285" s="24">
        <v>7.0270270270270254</v>
      </c>
      <c r="Q285" s="24">
        <v>6.4255942895086324</v>
      </c>
      <c r="R285" s="24">
        <v>6.59</v>
      </c>
      <c r="S285" s="24">
        <v>5.4529131463219915</v>
      </c>
      <c r="T285" s="21">
        <v>1</v>
      </c>
      <c r="U285" s="21" t="s">
        <v>141</v>
      </c>
      <c r="V285" s="70">
        <v>-2.9376564252189916E-2</v>
      </c>
      <c r="W285" s="70">
        <v>3.0623435747810082E-2</v>
      </c>
      <c r="X285" s="24">
        <v>1.7087945914412266</v>
      </c>
      <c r="Y285" s="24" t="s">
        <v>1694</v>
      </c>
      <c r="Z285" s="75">
        <v>6141.0839999999998</v>
      </c>
      <c r="AA285" t="s">
        <v>1415</v>
      </c>
      <c r="AB285" s="24">
        <v>5.2941176470588234</v>
      </c>
    </row>
    <row r="286" spans="1:28" x14ac:dyDescent="0.55000000000000004">
      <c r="A286" s="24" t="s">
        <v>499</v>
      </c>
      <c r="B286" s="24" t="s">
        <v>1256</v>
      </c>
      <c r="C286" s="24" t="s">
        <v>105</v>
      </c>
      <c r="D286" s="24" t="s">
        <v>72</v>
      </c>
      <c r="E286" s="24" t="s">
        <v>88</v>
      </c>
      <c r="F286" s="70">
        <v>6.2031972382361913E-4</v>
      </c>
      <c r="G286" s="24">
        <v>6.2922209999999996</v>
      </c>
      <c r="H286" s="24">
        <v>5.066821</v>
      </c>
      <c r="I286" s="24">
        <v>7.0968099999999996</v>
      </c>
      <c r="J286" s="24">
        <v>6.1238970000000004</v>
      </c>
      <c r="K286" s="24">
        <v>0</v>
      </c>
      <c r="L286" s="24">
        <v>3.5476390000000002</v>
      </c>
      <c r="M286" s="24">
        <v>4.8944999999999999</v>
      </c>
      <c r="N286" s="24">
        <v>5.3293562839927198</v>
      </c>
      <c r="O286" s="24">
        <v>6.9</v>
      </c>
      <c r="P286" s="24">
        <v>4.2191780821917808</v>
      </c>
      <c r="Q286" s="24">
        <v>4.2029755839527834</v>
      </c>
      <c r="R286" s="24">
        <v>0</v>
      </c>
      <c r="S286" s="24">
        <v>3.5396239346664</v>
      </c>
      <c r="T286" s="21">
        <v>1</v>
      </c>
      <c r="U286" s="21" t="s">
        <v>141</v>
      </c>
      <c r="V286" s="70">
        <v>-2.937929578692431E-2</v>
      </c>
      <c r="W286" s="70">
        <v>3.0620704213075688E-2</v>
      </c>
      <c r="X286" s="24">
        <v>1.0475735687849888</v>
      </c>
      <c r="Y286" s="24" t="s">
        <v>1975</v>
      </c>
      <c r="Z286" s="75">
        <v>5275.0959999999995</v>
      </c>
      <c r="AA286" t="s">
        <v>1415</v>
      </c>
      <c r="AB286" s="24">
        <v>4.9652777777777777</v>
      </c>
    </row>
    <row r="287" spans="1:28" x14ac:dyDescent="0.55000000000000004">
      <c r="A287" s="24" t="s">
        <v>482</v>
      </c>
      <c r="B287" s="24" t="s">
        <v>1005</v>
      </c>
      <c r="C287" s="24" t="s">
        <v>106</v>
      </c>
      <c r="D287" s="24" t="s">
        <v>72</v>
      </c>
      <c r="E287" s="24" t="s">
        <v>87</v>
      </c>
      <c r="F287" s="70">
        <v>6.1746914107746833E-4</v>
      </c>
      <c r="G287" s="24">
        <v>6.6930589999999999</v>
      </c>
      <c r="H287" s="24">
        <v>7.9606719999999997</v>
      </c>
      <c r="I287" s="24">
        <v>7.7479760000000004</v>
      </c>
      <c r="J287" s="24">
        <v>7.389818</v>
      </c>
      <c r="K287" s="24">
        <v>3.1400679999999999</v>
      </c>
      <c r="L287" s="24">
        <v>8.3170500000000001</v>
      </c>
      <c r="M287" s="24">
        <v>194.07419999999999</v>
      </c>
      <c r="N287" s="24">
        <v>3.1788916194102788</v>
      </c>
      <c r="O287" s="24">
        <v>8.1</v>
      </c>
      <c r="P287" s="24">
        <v>6.7782426778242675</v>
      </c>
      <c r="Q287" s="24">
        <v>5.8545992497490351</v>
      </c>
      <c r="R287" s="24">
        <v>5.53</v>
      </c>
      <c r="S287" s="24">
        <v>6.5897444697259147</v>
      </c>
      <c r="T287" s="21">
        <v>1</v>
      </c>
      <c r="U287" s="21" t="s">
        <v>141</v>
      </c>
      <c r="V287" s="70">
        <v>-2.9382915348174599E-2</v>
      </c>
      <c r="W287" s="70">
        <v>3.0617084651825398E-2</v>
      </c>
      <c r="X287" s="24">
        <v>0.63348287265293723</v>
      </c>
      <c r="Y287" s="24" t="s">
        <v>1560</v>
      </c>
      <c r="Z287" s="75">
        <v>6547.8320000000003</v>
      </c>
      <c r="AA287" t="s">
        <v>1415</v>
      </c>
      <c r="AB287" s="24">
        <v>4.7424511545293075</v>
      </c>
    </row>
    <row r="288" spans="1:28" x14ac:dyDescent="0.55000000000000004">
      <c r="A288" s="24" t="s">
        <v>500</v>
      </c>
      <c r="B288" s="24" t="s">
        <v>1144</v>
      </c>
      <c r="C288" s="24" t="s">
        <v>105</v>
      </c>
      <c r="D288" s="24" t="s">
        <v>72</v>
      </c>
      <c r="E288" s="24" t="s">
        <v>85</v>
      </c>
      <c r="F288" s="70">
        <v>6.1657135719454445E-4</v>
      </c>
      <c r="G288" s="24">
        <v>6.0153850000000002</v>
      </c>
      <c r="H288" s="24">
        <v>4.955241</v>
      </c>
      <c r="I288" s="24">
        <v>5.6428779999999996</v>
      </c>
      <c r="J288" s="24">
        <v>5.5855889999999997</v>
      </c>
      <c r="K288" s="24">
        <v>3.5143219999999999</v>
      </c>
      <c r="L288" s="24">
        <v>8.1070159999999998</v>
      </c>
      <c r="M288" s="24">
        <v>16.384499999999999</v>
      </c>
      <c r="N288" s="24">
        <v>3.5984437606032516</v>
      </c>
      <c r="O288" s="24">
        <v>6.6</v>
      </c>
      <c r="P288" s="24">
        <v>4.0840840840840835</v>
      </c>
      <c r="Q288" s="24">
        <v>7.2133687472332895</v>
      </c>
      <c r="R288" s="24">
        <v>6.91</v>
      </c>
      <c r="S288" s="24">
        <v>6.409315847874903</v>
      </c>
      <c r="T288" s="21">
        <v>1</v>
      </c>
      <c r="U288" s="21" t="s">
        <v>141</v>
      </c>
      <c r="V288" s="70">
        <v>-2.9383044153553386E-2</v>
      </c>
      <c r="W288" s="70">
        <v>3.0616955846446612E-2</v>
      </c>
      <c r="X288" s="24">
        <v>1.3245775340729078</v>
      </c>
      <c r="Y288" s="24" t="s">
        <v>1963</v>
      </c>
      <c r="Z288" s="75">
        <v>6366.6080000000002</v>
      </c>
      <c r="AA288" t="s">
        <v>1415</v>
      </c>
      <c r="AB288" s="24">
        <v>4.757785467128028</v>
      </c>
    </row>
    <row r="289" spans="1:28" x14ac:dyDescent="0.55000000000000004">
      <c r="A289" s="24" t="s">
        <v>521</v>
      </c>
      <c r="B289" s="24" t="s">
        <v>1399</v>
      </c>
      <c r="C289" s="24" t="s">
        <v>106</v>
      </c>
      <c r="D289" s="24" t="s">
        <v>72</v>
      </c>
      <c r="E289" s="24" t="s">
        <v>89</v>
      </c>
      <c r="F289" s="70">
        <v>6.1635167746926657E-4</v>
      </c>
      <c r="G289" s="24">
        <v>5.2238749999999996</v>
      </c>
      <c r="H289" s="24">
        <v>6.9488700000000003</v>
      </c>
      <c r="I289" s="24">
        <v>5.3526239999999996</v>
      </c>
      <c r="J289" s="24">
        <v>5.779998</v>
      </c>
      <c r="K289" s="24">
        <v>1.8289249999999999</v>
      </c>
      <c r="L289" s="24">
        <v>6.5332169999999996</v>
      </c>
      <c r="M289" s="24">
        <v>74.757099999999994</v>
      </c>
      <c r="N289" s="24">
        <v>3.0192343626870817</v>
      </c>
      <c r="O289" s="24">
        <v>2.1</v>
      </c>
      <c r="P289" s="24">
        <v>5.4354354354354335</v>
      </c>
      <c r="Q289" s="24">
        <v>5.2228120849933601</v>
      </c>
      <c r="R289" s="24">
        <v>3.64</v>
      </c>
      <c r="S289" s="24">
        <v>5.7860523385443452</v>
      </c>
      <c r="T289" s="21">
        <v>1</v>
      </c>
      <c r="U289" s="21" t="s">
        <v>141</v>
      </c>
      <c r="V289" s="70">
        <v>-2.9383263833278661E-2</v>
      </c>
      <c r="W289" s="70">
        <v>3.0616736166721337E-2</v>
      </c>
      <c r="X289" s="24">
        <v>1.4000971406869129</v>
      </c>
      <c r="Y289" s="24" t="s">
        <v>1794</v>
      </c>
      <c r="Z289" s="75">
        <v>6752.7370000000001</v>
      </c>
      <c r="AA289" t="s">
        <v>1415</v>
      </c>
      <c r="AB289" s="24">
        <v>5.1211072664359856</v>
      </c>
    </row>
    <row r="290" spans="1:28" x14ac:dyDescent="0.55000000000000004">
      <c r="A290" s="24" t="s">
        <v>516</v>
      </c>
      <c r="B290" s="24" t="s">
        <v>895</v>
      </c>
      <c r="C290" s="24" t="s">
        <v>106</v>
      </c>
      <c r="D290" s="24" t="s">
        <v>72</v>
      </c>
      <c r="E290" s="24" t="s">
        <v>84</v>
      </c>
      <c r="F290" s="70">
        <v>6.1064010469393036E-4</v>
      </c>
      <c r="G290" s="24" t="e">
        <v>#N/A</v>
      </c>
      <c r="H290" s="24" t="e">
        <v>#N/A</v>
      </c>
      <c r="I290" s="24" t="e">
        <v>#N/A</v>
      </c>
      <c r="J290" s="24" t="e">
        <v>#N/A</v>
      </c>
      <c r="K290" s="24">
        <v>2.619615</v>
      </c>
      <c r="L290" s="24">
        <v>2.8668290000000001</v>
      </c>
      <c r="M290" s="24" t="e">
        <v>#N/A</v>
      </c>
      <c r="N290" s="24">
        <v>2.5786155103431097</v>
      </c>
      <c r="O290" s="24">
        <v>1.8</v>
      </c>
      <c r="P290" s="24">
        <v>5.6716417910447756</v>
      </c>
      <c r="Q290" s="24">
        <v>1.184535455833756</v>
      </c>
      <c r="R290" s="24">
        <v>5.1100000000000003</v>
      </c>
      <c r="S290" s="24">
        <v>2.2978138093593552</v>
      </c>
      <c r="T290" s="21">
        <v>1</v>
      </c>
      <c r="U290" s="21" t="s">
        <v>141</v>
      </c>
      <c r="V290" s="70">
        <v>-2.9388975406054001E-2</v>
      </c>
      <c r="W290" s="70">
        <v>3.0611024593945997E-2</v>
      </c>
      <c r="X290" s="24">
        <v>1.2504598351407461</v>
      </c>
      <c r="Y290" s="24" t="s">
        <v>1837</v>
      </c>
      <c r="Z290" s="75">
        <v>7062.9949999999999</v>
      </c>
      <c r="AA290" t="s">
        <v>1415</v>
      </c>
      <c r="AB290" s="24">
        <v>4.9826388888888893</v>
      </c>
    </row>
    <row r="291" spans="1:28" x14ac:dyDescent="0.55000000000000004">
      <c r="A291" s="24" t="s">
        <v>526</v>
      </c>
      <c r="B291" s="24" t="s">
        <v>1197</v>
      </c>
      <c r="C291" s="24" t="s">
        <v>106</v>
      </c>
      <c r="D291" s="24" t="s">
        <v>72</v>
      </c>
      <c r="E291" s="24" t="s">
        <v>98</v>
      </c>
      <c r="F291" s="70">
        <v>6.0820781477893284E-4</v>
      </c>
      <c r="G291" s="24">
        <v>6.4623030000000004</v>
      </c>
      <c r="H291" s="24">
        <v>5.8872479999999996</v>
      </c>
      <c r="I291" s="24">
        <v>5.0411729999999997</v>
      </c>
      <c r="J291" s="24">
        <v>5.6638289999999998</v>
      </c>
      <c r="K291" s="24">
        <v>3.1636649999999999</v>
      </c>
      <c r="L291" s="24">
        <v>6.5216510000000003</v>
      </c>
      <c r="M291" s="24">
        <v>199.0806</v>
      </c>
      <c r="N291" s="24">
        <v>3.5108609835731706</v>
      </c>
      <c r="O291" s="24">
        <v>4</v>
      </c>
      <c r="P291" s="24">
        <v>2.8881987577639756</v>
      </c>
      <c r="Q291" s="24">
        <v>5.0516522258739176</v>
      </c>
      <c r="R291" s="24">
        <v>5.72</v>
      </c>
      <c r="S291" s="24">
        <v>5.1944183350885051</v>
      </c>
      <c r="T291" s="21">
        <v>1</v>
      </c>
      <c r="U291" s="21" t="s">
        <v>141</v>
      </c>
      <c r="V291" s="70">
        <v>-2.9391407695968996E-2</v>
      </c>
      <c r="W291" s="70">
        <v>3.0608592304031002E-2</v>
      </c>
      <c r="X291" s="24">
        <v>0.92150938148936357</v>
      </c>
      <c r="Y291" s="24" t="s">
        <v>1810</v>
      </c>
      <c r="Z291" s="75">
        <v>6750.8239999999996</v>
      </c>
      <c r="AA291" t="s">
        <v>1415</v>
      </c>
      <c r="AB291" s="24">
        <v>5.2315608919382504</v>
      </c>
    </row>
    <row r="292" spans="1:28" x14ac:dyDescent="0.55000000000000004">
      <c r="A292" s="24" t="s">
        <v>518</v>
      </c>
      <c r="B292" s="24" t="s">
        <v>1285</v>
      </c>
      <c r="C292" s="24" t="s">
        <v>113</v>
      </c>
      <c r="D292" s="24" t="s">
        <v>72</v>
      </c>
      <c r="E292" s="24" t="s">
        <v>92</v>
      </c>
      <c r="F292" s="70">
        <v>6.0625496649097739E-4</v>
      </c>
      <c r="G292" s="24">
        <v>6.0511980000000003</v>
      </c>
      <c r="H292" s="24">
        <v>5.0748800000000003</v>
      </c>
      <c r="I292" s="24">
        <v>5.0049000000000001</v>
      </c>
      <c r="J292" s="24">
        <v>5.5420449999999999</v>
      </c>
      <c r="K292" s="24">
        <v>4.1785519999999998</v>
      </c>
      <c r="L292" s="24">
        <v>9.7909369999999996</v>
      </c>
      <c r="M292" s="24">
        <v>492.09050000000002</v>
      </c>
      <c r="N292" s="24">
        <v>1.962389831329683</v>
      </c>
      <c r="O292" s="24">
        <v>1.9</v>
      </c>
      <c r="P292" s="24">
        <v>9.7560975609756095</v>
      </c>
      <c r="Q292" s="24">
        <v>6.449873276656179</v>
      </c>
      <c r="R292" s="24">
        <v>3.39</v>
      </c>
      <c r="S292" s="24">
        <v>4.6083331392977893</v>
      </c>
      <c r="T292" s="21">
        <v>1</v>
      </c>
      <c r="U292" s="21" t="s">
        <v>141</v>
      </c>
      <c r="V292" s="70">
        <v>-2.9394129522761093E-2</v>
      </c>
      <c r="W292" s="70">
        <v>3.0605870477238905E-2</v>
      </c>
      <c r="X292" s="24">
        <v>0.9695843476244399</v>
      </c>
      <c r="Y292" s="24" t="s">
        <v>1491</v>
      </c>
      <c r="Z292" s="75">
        <v>6208.1059999999998</v>
      </c>
      <c r="AA292" t="s">
        <v>1415</v>
      </c>
      <c r="AB292" s="24">
        <v>5.9090909090909092</v>
      </c>
    </row>
    <row r="293" spans="1:28" x14ac:dyDescent="0.55000000000000004">
      <c r="A293" s="24" t="s">
        <v>501</v>
      </c>
      <c r="B293" s="24" t="s">
        <v>1237</v>
      </c>
      <c r="C293" s="24" t="s">
        <v>105</v>
      </c>
      <c r="D293" s="24" t="s">
        <v>72</v>
      </c>
      <c r="E293" s="24" t="s">
        <v>97</v>
      </c>
      <c r="F293" s="70">
        <v>6.049112815068716E-4</v>
      </c>
      <c r="G293" s="24">
        <v>7.1464629999999998</v>
      </c>
      <c r="H293" s="24">
        <v>2.6533329999999999</v>
      </c>
      <c r="I293" s="24">
        <v>6.5125650000000004</v>
      </c>
      <c r="J293" s="24">
        <v>5.4374539999999998</v>
      </c>
      <c r="K293" s="24">
        <v>6.0278479999999997</v>
      </c>
      <c r="L293" s="24">
        <v>5.7684769999999999</v>
      </c>
      <c r="M293" s="24">
        <v>13.583299999999999</v>
      </c>
      <c r="N293" s="24">
        <v>0</v>
      </c>
      <c r="O293" s="24">
        <v>9.6999999999999993</v>
      </c>
      <c r="P293" s="24">
        <v>2.2932330827067666</v>
      </c>
      <c r="Q293" s="24">
        <v>3.2637090501904553</v>
      </c>
      <c r="R293" s="24">
        <v>6.32</v>
      </c>
      <c r="S293" s="24">
        <v>2.6095902779130973</v>
      </c>
      <c r="T293" s="21">
        <v>1</v>
      </c>
      <c r="U293" s="21" t="s">
        <v>141</v>
      </c>
      <c r="V293" s="70">
        <v>-2.9395353323982364E-2</v>
      </c>
      <c r="W293" s="70">
        <v>3.0604646676017633E-2</v>
      </c>
      <c r="X293" s="24">
        <v>0.41877460163338359</v>
      </c>
      <c r="Y293" s="24" t="s">
        <v>1973</v>
      </c>
      <c r="Z293" s="75">
        <v>7157.9650000000001</v>
      </c>
      <c r="AA293" t="s">
        <v>1415</v>
      </c>
      <c r="AB293" s="24">
        <v>4.7285464098073557</v>
      </c>
    </row>
    <row r="294" spans="1:28" x14ac:dyDescent="0.55000000000000004">
      <c r="A294" s="24" t="s">
        <v>489</v>
      </c>
      <c r="B294" s="24" t="s">
        <v>1388</v>
      </c>
      <c r="C294" s="24" t="s">
        <v>106</v>
      </c>
      <c r="D294" s="24" t="s">
        <v>72</v>
      </c>
      <c r="E294" s="24" t="s">
        <v>89</v>
      </c>
      <c r="F294" s="70">
        <v>6.033011499024393E-4</v>
      </c>
      <c r="G294" s="24">
        <v>5.9394330000000002</v>
      </c>
      <c r="H294" s="24">
        <v>5.7564570000000002</v>
      </c>
      <c r="I294" s="24">
        <v>7.8173680000000001</v>
      </c>
      <c r="J294" s="24">
        <v>6.5044190000000004</v>
      </c>
      <c r="K294" s="24">
        <v>4.0287810000000004</v>
      </c>
      <c r="L294" s="24">
        <v>5.2029940000000003</v>
      </c>
      <c r="M294" s="24">
        <v>568.94470000000001</v>
      </c>
      <c r="N294" s="24">
        <v>0</v>
      </c>
      <c r="O294" s="24">
        <v>4</v>
      </c>
      <c r="P294" s="24">
        <v>3.5435435435435423</v>
      </c>
      <c r="Q294" s="24">
        <v>6.1871038069942452</v>
      </c>
      <c r="R294" s="24">
        <v>6.75</v>
      </c>
      <c r="S294" s="24">
        <v>4.0888347243274357</v>
      </c>
      <c r="T294" s="21">
        <v>1</v>
      </c>
      <c r="U294" s="21" t="s">
        <v>141</v>
      </c>
      <c r="V294" s="70">
        <v>-2.9397083339349629E-2</v>
      </c>
      <c r="W294" s="70">
        <v>3.0602916660650369E-2</v>
      </c>
      <c r="X294" s="24">
        <v>1.2035884117432947</v>
      </c>
      <c r="Y294" s="24" t="s">
        <v>1845</v>
      </c>
      <c r="Z294" s="75">
        <v>7533.9279999999999</v>
      </c>
      <c r="AA294" t="s">
        <v>1415</v>
      </c>
      <c r="AB294" s="24">
        <v>4.5674740484429064</v>
      </c>
    </row>
    <row r="295" spans="1:28" x14ac:dyDescent="0.55000000000000004">
      <c r="A295" s="24" t="s">
        <v>513</v>
      </c>
      <c r="B295" s="24" t="s">
        <v>904</v>
      </c>
      <c r="C295" s="24" t="s">
        <v>108</v>
      </c>
      <c r="D295" s="24" t="s">
        <v>72</v>
      </c>
      <c r="E295" s="24" t="s">
        <v>87</v>
      </c>
      <c r="F295" s="70">
        <v>5.9959401700767593E-4</v>
      </c>
      <c r="G295" s="24">
        <v>7.8253060000000003</v>
      </c>
      <c r="H295" s="24">
        <v>6.4196989999999996</v>
      </c>
      <c r="I295" s="24">
        <v>4.4889840000000003</v>
      </c>
      <c r="J295" s="24">
        <v>6.4027269999999996</v>
      </c>
      <c r="K295" s="24">
        <v>4.0949629999999999</v>
      </c>
      <c r="L295" s="24">
        <v>7.6672019999999996</v>
      </c>
      <c r="M295" s="24">
        <v>35.887999999999998</v>
      </c>
      <c r="N295" s="24">
        <v>4.5335551824826421</v>
      </c>
      <c r="O295" s="24">
        <v>6.6</v>
      </c>
      <c r="P295" s="24">
        <v>5.1882845188284517</v>
      </c>
      <c r="Q295" s="24">
        <v>6.1434279072224864</v>
      </c>
      <c r="R295" s="24">
        <v>5.74</v>
      </c>
      <c r="S295" s="24">
        <v>6.1976187878194269</v>
      </c>
      <c r="T295" s="21">
        <v>1</v>
      </c>
      <c r="U295" s="21" t="s">
        <v>141</v>
      </c>
      <c r="V295" s="70">
        <v>-2.9400790472244392E-2</v>
      </c>
      <c r="W295" s="70">
        <v>3.0599209527755605E-2</v>
      </c>
      <c r="X295" s="24">
        <v>0.42077476390602531</v>
      </c>
      <c r="Y295" s="24" t="s">
        <v>1934</v>
      </c>
      <c r="Z295" s="75">
        <v>6440.1149999999998</v>
      </c>
      <c r="AA295" t="s">
        <v>1415</v>
      </c>
      <c r="AB295" s="24">
        <v>5.2930728241563054</v>
      </c>
    </row>
    <row r="296" spans="1:28" x14ac:dyDescent="0.55000000000000004">
      <c r="A296" s="24" t="s">
        <v>529</v>
      </c>
      <c r="B296" s="24" t="s">
        <v>1234</v>
      </c>
      <c r="C296" s="24" t="s">
        <v>127</v>
      </c>
      <c r="D296" s="24" t="s">
        <v>72</v>
      </c>
      <c r="E296" s="24" t="s">
        <v>89</v>
      </c>
      <c r="F296" s="70">
        <v>5.9291185016594286E-4</v>
      </c>
      <c r="G296" s="24">
        <v>5.1969469999999998</v>
      </c>
      <c r="H296" s="24">
        <v>3.6445430000000001</v>
      </c>
      <c r="I296" s="24">
        <v>5.2827580000000003</v>
      </c>
      <c r="J296" s="24">
        <v>4.7569689999999998</v>
      </c>
      <c r="K296" s="24">
        <v>4.3958550000000001</v>
      </c>
      <c r="L296" s="24">
        <v>13.98062</v>
      </c>
      <c r="M296" s="24">
        <v>684.21950000000004</v>
      </c>
      <c r="N296" s="24">
        <v>4.7849576492345944</v>
      </c>
      <c r="O296" s="24">
        <v>6.1</v>
      </c>
      <c r="P296" s="24">
        <v>2.342342342342342</v>
      </c>
      <c r="Q296" s="24">
        <v>9.4968271359008423</v>
      </c>
      <c r="R296" s="24">
        <v>7.41</v>
      </c>
      <c r="S296" s="24">
        <v>6.5551073531022057</v>
      </c>
      <c r="T296" s="21">
        <v>1</v>
      </c>
      <c r="U296" s="21" t="s">
        <v>141</v>
      </c>
      <c r="V296" s="70">
        <v>-2.9407083520739029E-2</v>
      </c>
      <c r="W296" s="70">
        <v>3.0592916479260969E-2</v>
      </c>
      <c r="X296" s="24">
        <v>0.66407298095028233</v>
      </c>
      <c r="Y296" s="24" t="s">
        <v>1643</v>
      </c>
      <c r="Z296" s="75">
        <v>4525.46</v>
      </c>
      <c r="AA296" t="s">
        <v>1414</v>
      </c>
      <c r="AB296" s="24">
        <v>5.2595155709342558</v>
      </c>
    </row>
    <row r="297" spans="1:28" x14ac:dyDescent="0.55000000000000004">
      <c r="A297" s="24" t="s">
        <v>511</v>
      </c>
      <c r="B297" s="24" t="s">
        <v>1189</v>
      </c>
      <c r="C297" s="24" t="s">
        <v>106</v>
      </c>
      <c r="D297" s="24" t="s">
        <v>72</v>
      </c>
      <c r="E297" s="24" t="s">
        <v>93</v>
      </c>
      <c r="F297" s="70">
        <v>5.9288302006102521E-4</v>
      </c>
      <c r="G297" s="24">
        <v>4.8026099999999996</v>
      </c>
      <c r="H297" s="24">
        <v>6.1975009999999999</v>
      </c>
      <c r="I297" s="24">
        <v>5.2313049999999999</v>
      </c>
      <c r="J297" s="24">
        <v>5.4104720000000004</v>
      </c>
      <c r="K297" s="24">
        <v>3.7411449999999999</v>
      </c>
      <c r="L297" s="24">
        <v>6.1688280000000004</v>
      </c>
      <c r="M297" s="24">
        <v>6.4386000000000001</v>
      </c>
      <c r="N297" s="24">
        <v>2.0906429562576072</v>
      </c>
      <c r="O297" s="24">
        <v>9.1999999999999993</v>
      </c>
      <c r="P297" s="24">
        <v>4.7826086956521756</v>
      </c>
      <c r="Q297" s="24">
        <v>4.1345030828150033</v>
      </c>
      <c r="R297" s="24">
        <v>6.03</v>
      </c>
      <c r="S297" s="24">
        <v>4.682556621106583</v>
      </c>
      <c r="T297" s="21">
        <v>1</v>
      </c>
      <c r="U297" s="21" t="s">
        <v>141</v>
      </c>
      <c r="V297" s="70">
        <v>-2.9407472639086125E-2</v>
      </c>
      <c r="W297" s="70">
        <v>3.0592527360913873E-2</v>
      </c>
      <c r="X297" s="24">
        <v>1.5985927995496341</v>
      </c>
      <c r="Y297" s="24" t="s">
        <v>1783</v>
      </c>
      <c r="Z297" s="75">
        <v>6313.0249999999996</v>
      </c>
      <c r="AA297" t="s">
        <v>1415</v>
      </c>
      <c r="AB297" s="24">
        <v>4.9742710120068612</v>
      </c>
    </row>
    <row r="298" spans="1:28" x14ac:dyDescent="0.55000000000000004">
      <c r="A298" s="24" t="s">
        <v>522</v>
      </c>
      <c r="B298" s="24" t="s">
        <v>949</v>
      </c>
      <c r="C298" s="24" t="s">
        <v>112</v>
      </c>
      <c r="D298" s="24" t="s">
        <v>72</v>
      </c>
      <c r="E298" s="24" t="s">
        <v>88</v>
      </c>
      <c r="F298" s="70">
        <v>5.923402825527039E-4</v>
      </c>
      <c r="G298" s="24">
        <v>6.2790030000000003</v>
      </c>
      <c r="H298" s="24">
        <v>6.1736139999999997</v>
      </c>
      <c r="I298" s="24">
        <v>6.9755390000000004</v>
      </c>
      <c r="J298" s="24">
        <v>6.5154610000000002</v>
      </c>
      <c r="K298" s="24">
        <v>0.29800720000000003</v>
      </c>
      <c r="L298" s="24">
        <v>1.233606</v>
      </c>
      <c r="M298" s="24">
        <v>18.654499999999999</v>
      </c>
      <c r="N298" s="24">
        <v>1.1223321373266322</v>
      </c>
      <c r="O298" s="24">
        <v>0.4</v>
      </c>
      <c r="P298" s="24">
        <v>2.9315068493150682</v>
      </c>
      <c r="Q298" s="24">
        <v>1.1334758762771793</v>
      </c>
      <c r="R298" s="24">
        <v>2.48</v>
      </c>
      <c r="S298" s="24">
        <v>0.96548036161908402</v>
      </c>
      <c r="T298" s="21">
        <v>1</v>
      </c>
      <c r="U298" s="21" t="s">
        <v>141</v>
      </c>
      <c r="V298" s="70">
        <v>-2.9408044206699364E-2</v>
      </c>
      <c r="W298" s="70">
        <v>3.0591955793300634E-2</v>
      </c>
      <c r="X298" s="24">
        <v>1.9693816646158202</v>
      </c>
      <c r="Y298" s="24" t="s">
        <v>1607</v>
      </c>
      <c r="Z298" s="75">
        <v>6320.2240000000002</v>
      </c>
      <c r="AA298" t="s">
        <v>1415</v>
      </c>
      <c r="AB298" s="24">
        <v>5.3645833333333339</v>
      </c>
    </row>
    <row r="299" spans="1:28" x14ac:dyDescent="0.55000000000000004">
      <c r="A299" s="24" t="s">
        <v>506</v>
      </c>
      <c r="B299" s="24" t="s">
        <v>1288</v>
      </c>
      <c r="C299" s="24" t="s">
        <v>106</v>
      </c>
      <c r="D299" s="24" t="s">
        <v>72</v>
      </c>
      <c r="E299" s="24" t="s">
        <v>89</v>
      </c>
      <c r="F299" s="70">
        <v>5.9219956743027037E-4</v>
      </c>
      <c r="G299" s="24">
        <v>7.2336739999999997</v>
      </c>
      <c r="H299" s="24">
        <v>6.3008069999999998</v>
      </c>
      <c r="I299" s="24">
        <v>7.0359819999999997</v>
      </c>
      <c r="J299" s="24">
        <v>6.8945059999999998</v>
      </c>
      <c r="K299" s="24">
        <v>2.183243</v>
      </c>
      <c r="L299" s="24">
        <v>2.8914279999999999</v>
      </c>
      <c r="M299" s="24">
        <v>24.9207</v>
      </c>
      <c r="N299" s="24">
        <v>2.4270588966043274</v>
      </c>
      <c r="O299" s="24">
        <v>0.3</v>
      </c>
      <c r="P299" s="24">
        <v>5.7657657657657646</v>
      </c>
      <c r="Q299" s="24">
        <v>2.5260070827799912</v>
      </c>
      <c r="R299" s="24">
        <v>5.28</v>
      </c>
      <c r="S299" s="24">
        <v>2.1892614407594633</v>
      </c>
      <c r="T299" s="21">
        <v>1</v>
      </c>
      <c r="U299" s="21" t="s">
        <v>141</v>
      </c>
      <c r="V299" s="70">
        <v>-2.9408184921821796E-2</v>
      </c>
      <c r="W299" s="70">
        <v>3.0591815078178201E-2</v>
      </c>
      <c r="X299" s="24">
        <v>1.5660224503534517</v>
      </c>
      <c r="Y299" s="24" t="s">
        <v>1854</v>
      </c>
      <c r="Z299" s="75">
        <v>6659.3720000000003</v>
      </c>
      <c r="AA299" t="s">
        <v>1415</v>
      </c>
      <c r="AB299" s="24">
        <v>4.8615916955017298</v>
      </c>
    </row>
    <row r="300" spans="1:28" x14ac:dyDescent="0.55000000000000004">
      <c r="A300" s="24" t="s">
        <v>483</v>
      </c>
      <c r="B300" s="24" t="s">
        <v>1032</v>
      </c>
      <c r="C300" s="24" t="s">
        <v>105</v>
      </c>
      <c r="D300" s="24" t="s">
        <v>72</v>
      </c>
      <c r="E300" s="24" t="s">
        <v>89</v>
      </c>
      <c r="F300" s="70">
        <v>5.9047800959802557E-4</v>
      </c>
      <c r="G300" s="24">
        <v>5.9056110000000004</v>
      </c>
      <c r="H300" s="24">
        <v>5.9323240000000004</v>
      </c>
      <c r="I300" s="24">
        <v>5.8483280000000004</v>
      </c>
      <c r="J300" s="24">
        <v>5.8964400000000001</v>
      </c>
      <c r="K300" s="24">
        <v>1.0481819999999999</v>
      </c>
      <c r="L300" s="24">
        <v>5.1235109999999997</v>
      </c>
      <c r="M300" s="24">
        <v>2.4899</v>
      </c>
      <c r="N300" s="24">
        <v>7.2898207352573694</v>
      </c>
      <c r="O300" s="24">
        <v>8.8000000000000007</v>
      </c>
      <c r="P300" s="24">
        <v>4.2342342342342336</v>
      </c>
      <c r="Q300" s="24">
        <v>3.2522687029659147</v>
      </c>
      <c r="R300" s="24">
        <v>3.35</v>
      </c>
      <c r="S300" s="24">
        <v>3.9191286305763144</v>
      </c>
      <c r="T300" s="21">
        <v>1</v>
      </c>
      <c r="U300" s="21" t="s">
        <v>141</v>
      </c>
      <c r="V300" s="70">
        <v>-2.9409137501149905E-2</v>
      </c>
      <c r="W300" s="70">
        <v>3.0590862498850093E-2</v>
      </c>
      <c r="X300" s="24">
        <v>1.0670982587516009</v>
      </c>
      <c r="Y300" s="24" t="s">
        <v>2013</v>
      </c>
      <c r="Z300" s="75">
        <v>6123.9170000000004</v>
      </c>
      <c r="AA300" t="s">
        <v>1415</v>
      </c>
      <c r="AB300" s="24">
        <v>4.4636678200692046</v>
      </c>
    </row>
    <row r="301" spans="1:28" x14ac:dyDescent="0.55000000000000004">
      <c r="A301" s="24" t="s">
        <v>509</v>
      </c>
      <c r="B301" s="24" t="s">
        <v>1135</v>
      </c>
      <c r="C301" s="24" t="s">
        <v>106</v>
      </c>
      <c r="D301" s="24" t="s">
        <v>72</v>
      </c>
      <c r="E301" s="24" t="s">
        <v>95</v>
      </c>
      <c r="F301" s="70">
        <v>5.8884442250534846E-4</v>
      </c>
      <c r="G301" s="24">
        <v>5.8439139999999998</v>
      </c>
      <c r="H301" s="24">
        <v>3.8587220000000002</v>
      </c>
      <c r="I301" s="24">
        <v>5.6251610000000003</v>
      </c>
      <c r="J301" s="24">
        <v>4.9623359999999996</v>
      </c>
      <c r="K301" s="24">
        <v>4.6503449999999997</v>
      </c>
      <c r="L301" s="24">
        <v>9.1771969999999996</v>
      </c>
      <c r="M301" s="24">
        <v>23.0594</v>
      </c>
      <c r="N301" s="24">
        <v>3.3243302171481308</v>
      </c>
      <c r="O301" s="24">
        <v>7.3</v>
      </c>
      <c r="P301" s="24">
        <v>1.9665271966527196</v>
      </c>
      <c r="Q301" s="24">
        <v>8.4401468801183483</v>
      </c>
      <c r="R301" s="24">
        <v>7.77</v>
      </c>
      <c r="S301" s="24">
        <v>6.4430005008536533</v>
      </c>
      <c r="T301" s="21">
        <v>1</v>
      </c>
      <c r="U301" s="21" t="s">
        <v>141</v>
      </c>
      <c r="V301" s="70">
        <v>-2.9411540066746719E-2</v>
      </c>
      <c r="W301" s="70">
        <v>3.0588459933253279E-2</v>
      </c>
      <c r="X301" s="24">
        <v>0.79106064820775523</v>
      </c>
      <c r="Y301" s="24" t="s">
        <v>1802</v>
      </c>
      <c r="Z301" s="75">
        <v>6407.1459999999997</v>
      </c>
      <c r="AA301" t="s">
        <v>1415</v>
      </c>
      <c r="AB301" s="24">
        <v>5.2220248667850804</v>
      </c>
    </row>
    <row r="302" spans="1:28" x14ac:dyDescent="0.55000000000000004">
      <c r="A302" s="24" t="s">
        <v>510</v>
      </c>
      <c r="B302" s="24" t="s">
        <v>1227</v>
      </c>
      <c r="C302" s="24" t="s">
        <v>107</v>
      </c>
      <c r="D302" s="24" t="s">
        <v>72</v>
      </c>
      <c r="E302" s="24" t="s">
        <v>89</v>
      </c>
      <c r="F302" s="70">
        <v>5.8601185572991206E-4</v>
      </c>
      <c r="G302" s="24">
        <v>8.0263159999999996</v>
      </c>
      <c r="H302" s="24">
        <v>7.0291600000000001</v>
      </c>
      <c r="I302" s="24">
        <v>7.1713649999999998</v>
      </c>
      <c r="J302" s="24">
        <v>7.4706840000000003</v>
      </c>
      <c r="K302" s="24">
        <v>0.66683239999999999</v>
      </c>
      <c r="L302" s="24">
        <v>10.740970000000001</v>
      </c>
      <c r="M302" s="24">
        <v>28.651700000000002</v>
      </c>
      <c r="N302" s="24">
        <v>5.1134637945336596</v>
      </c>
      <c r="O302" s="24">
        <v>0.7</v>
      </c>
      <c r="P302" s="24">
        <v>1.4414414414414412</v>
      </c>
      <c r="Q302" s="24">
        <v>9.0401350154935809</v>
      </c>
      <c r="R302" s="24">
        <v>2.5299999999999998</v>
      </c>
      <c r="S302" s="24">
        <v>6.281678149930169</v>
      </c>
      <c r="T302" s="21">
        <v>1</v>
      </c>
      <c r="U302" s="21" t="s">
        <v>141</v>
      </c>
      <c r="V302" s="70">
        <v>-2.9413603655018015E-2</v>
      </c>
      <c r="W302" s="70">
        <v>3.0586396344981982E-2</v>
      </c>
      <c r="X302" s="24">
        <v>1.5037770777130055</v>
      </c>
      <c r="Y302" s="24" t="s">
        <v>1739</v>
      </c>
      <c r="Z302" s="75">
        <v>6442.56</v>
      </c>
      <c r="AA302" t="s">
        <v>1415</v>
      </c>
      <c r="AB302" s="24">
        <v>4.9307958477508649</v>
      </c>
    </row>
    <row r="303" spans="1:28" x14ac:dyDescent="0.55000000000000004">
      <c r="A303" s="24" t="s">
        <v>533</v>
      </c>
      <c r="B303" s="24" t="s">
        <v>1366</v>
      </c>
      <c r="C303" s="24" t="s">
        <v>107</v>
      </c>
      <c r="D303" s="24" t="s">
        <v>72</v>
      </c>
      <c r="E303" s="24" t="s">
        <v>94</v>
      </c>
      <c r="F303" s="70">
        <v>5.7824910483632373E-4</v>
      </c>
      <c r="G303" s="24">
        <v>8.5043849999999992</v>
      </c>
      <c r="H303" s="24">
        <v>5.7964630000000001</v>
      </c>
      <c r="I303" s="24">
        <v>7.0519109999999996</v>
      </c>
      <c r="J303" s="24">
        <v>7.3818109999999999</v>
      </c>
      <c r="K303" s="24">
        <v>6.2761740000000001</v>
      </c>
      <c r="L303" s="24">
        <v>10.23531</v>
      </c>
      <c r="M303" s="24">
        <v>46.116900000000001</v>
      </c>
      <c r="N303" s="24">
        <v>6.5731262181001124</v>
      </c>
      <c r="O303" s="24">
        <v>5.4</v>
      </c>
      <c r="P303" s="24">
        <v>6.9791666666666679</v>
      </c>
      <c r="Q303" s="24">
        <v>9.7452234490010508</v>
      </c>
      <c r="R303" s="24">
        <v>7.6900009999999996</v>
      </c>
      <c r="S303" s="24">
        <v>8.3592112942270962</v>
      </c>
      <c r="T303" s="21">
        <v>1</v>
      </c>
      <c r="U303" s="21" t="s">
        <v>117</v>
      </c>
      <c r="V303" s="70">
        <v>-2.9421366405911607E-2</v>
      </c>
      <c r="W303" s="70">
        <v>3.057863359408839E-2</v>
      </c>
      <c r="X303" s="24">
        <v>0.62806403695468438</v>
      </c>
      <c r="Y303" s="24" t="s">
        <v>1452</v>
      </c>
      <c r="Z303" s="75">
        <v>6053.5010000000002</v>
      </c>
      <c r="AA303" t="s">
        <v>1415</v>
      </c>
      <c r="AB303" s="24">
        <v>4.4662309368191719</v>
      </c>
    </row>
    <row r="304" spans="1:28" x14ac:dyDescent="0.55000000000000004">
      <c r="A304" s="24" t="s">
        <v>514</v>
      </c>
      <c r="B304" s="24" t="s">
        <v>1191</v>
      </c>
      <c r="C304" s="24" t="s">
        <v>112</v>
      </c>
      <c r="D304" s="24" t="s">
        <v>72</v>
      </c>
      <c r="E304" s="24" t="s">
        <v>100</v>
      </c>
      <c r="F304" s="70">
        <v>5.758587986535213E-4</v>
      </c>
      <c r="G304" s="24">
        <v>6.4254689999999997</v>
      </c>
      <c r="H304" s="24">
        <v>6.1523500000000002</v>
      </c>
      <c r="I304" s="24">
        <v>2.9539599999999999</v>
      </c>
      <c r="J304" s="24">
        <v>5.3020810000000003</v>
      </c>
      <c r="K304" s="24">
        <v>7.4471869999999996</v>
      </c>
      <c r="L304" s="24">
        <v>32.605649999999997</v>
      </c>
      <c r="M304" s="24">
        <v>39.715600000000002</v>
      </c>
      <c r="N304" s="24">
        <v>5.4511278765522819</v>
      </c>
      <c r="O304" s="24">
        <v>2.5</v>
      </c>
      <c r="P304" s="24">
        <v>6.2732919254658395</v>
      </c>
      <c r="Q304" s="24">
        <v>6.6224841785044948</v>
      </c>
      <c r="R304" s="24">
        <v>8.3300009999999993</v>
      </c>
      <c r="S304" s="24">
        <v>8.0932662457519768</v>
      </c>
      <c r="T304" s="21">
        <v>1</v>
      </c>
      <c r="U304" s="21" t="s">
        <v>117</v>
      </c>
      <c r="V304" s="70">
        <v>-2.9424009268100855E-2</v>
      </c>
      <c r="W304" s="70">
        <v>3.0575990731899143E-2</v>
      </c>
      <c r="X304" s="24">
        <v>1.146835875536607</v>
      </c>
      <c r="Y304" s="24" t="s">
        <v>1436</v>
      </c>
      <c r="Z304" s="75">
        <v>0</v>
      </c>
      <c r="AA304" t="s">
        <v>1415</v>
      </c>
      <c r="AB304" s="24">
        <v>5.0257289879931388</v>
      </c>
    </row>
    <row r="305" spans="1:28" x14ac:dyDescent="0.55000000000000004">
      <c r="A305" s="24" t="s">
        <v>549</v>
      </c>
      <c r="B305" s="24" t="s">
        <v>1319</v>
      </c>
      <c r="C305" s="24" t="s">
        <v>105</v>
      </c>
      <c r="D305" s="24" t="s">
        <v>72</v>
      </c>
      <c r="E305" s="24" t="s">
        <v>83</v>
      </c>
      <c r="F305" s="70">
        <v>5.7560624264707343E-4</v>
      </c>
      <c r="G305" s="24">
        <v>5.8715840000000004</v>
      </c>
      <c r="H305" s="24">
        <v>6.7847419999999996</v>
      </c>
      <c r="I305" s="24">
        <v>5.1601869999999996</v>
      </c>
      <c r="J305" s="24">
        <v>5.9321120000000001</v>
      </c>
      <c r="K305" s="24">
        <v>3.857675</v>
      </c>
      <c r="L305" s="24">
        <v>8.0494590000000006</v>
      </c>
      <c r="M305" s="24">
        <v>73.266999999999996</v>
      </c>
      <c r="N305" s="24">
        <v>4.6576468981634882</v>
      </c>
      <c r="O305" s="24">
        <v>5.6</v>
      </c>
      <c r="P305" s="24">
        <v>6.9552238805970159</v>
      </c>
      <c r="Q305" s="24">
        <v>6.2650257787842323</v>
      </c>
      <c r="R305" s="24">
        <v>6</v>
      </c>
      <c r="S305" s="24">
        <v>6.0453284533430747</v>
      </c>
      <c r="T305" s="21">
        <v>1</v>
      </c>
      <c r="U305" s="21" t="s">
        <v>141</v>
      </c>
      <c r="V305" s="70">
        <v>-2.9424525690598547E-2</v>
      </c>
      <c r="W305" s="70">
        <v>3.0575474309401451E-2</v>
      </c>
      <c r="X305" s="24">
        <v>1.6001730848633819</v>
      </c>
      <c r="Y305" s="24" t="s">
        <v>1959</v>
      </c>
      <c r="Z305" s="75">
        <v>6019.37</v>
      </c>
      <c r="AA305" t="s">
        <v>1415</v>
      </c>
      <c r="AB305" s="24">
        <v>5.5555555555555554</v>
      </c>
    </row>
    <row r="306" spans="1:28" x14ac:dyDescent="0.55000000000000004">
      <c r="A306" s="24" t="s">
        <v>486</v>
      </c>
      <c r="B306" s="24" t="s">
        <v>1307</v>
      </c>
      <c r="C306" s="24" t="s">
        <v>105</v>
      </c>
      <c r="D306" s="24" t="s">
        <v>72</v>
      </c>
      <c r="E306" s="24" t="s">
        <v>89</v>
      </c>
      <c r="F306" s="70">
        <v>5.7308868297082933E-4</v>
      </c>
      <c r="G306" s="24">
        <v>4.5214030000000003</v>
      </c>
      <c r="H306" s="24">
        <v>4.4896130000000003</v>
      </c>
      <c r="I306" s="24">
        <v>4.2487190000000004</v>
      </c>
      <c r="J306" s="24">
        <v>4.4300610000000002</v>
      </c>
      <c r="K306" s="24">
        <v>0.6552962</v>
      </c>
      <c r="L306" s="24">
        <v>3.2337199999999999</v>
      </c>
      <c r="M306" s="24">
        <v>34.467599999999997</v>
      </c>
      <c r="N306" s="24">
        <v>5.2452991032937488</v>
      </c>
      <c r="O306" s="24">
        <v>7.4</v>
      </c>
      <c r="P306" s="24">
        <v>7.1171171171171155</v>
      </c>
      <c r="Q306" s="24">
        <v>0.9238966356795042</v>
      </c>
      <c r="R306" s="24">
        <v>2.0299999999999998</v>
      </c>
      <c r="S306" s="24">
        <v>3.2273915272686455</v>
      </c>
      <c r="T306" s="21">
        <v>1</v>
      </c>
      <c r="U306" s="21" t="s">
        <v>141</v>
      </c>
      <c r="V306" s="70">
        <v>-2.9426526827777098E-2</v>
      </c>
      <c r="W306" s="70">
        <v>3.0573473172222899E-2</v>
      </c>
      <c r="X306" s="24">
        <v>1.2927948442997685</v>
      </c>
      <c r="Y306" s="24" t="s">
        <v>2000</v>
      </c>
      <c r="Z306" s="75">
        <v>6696.0730000000003</v>
      </c>
      <c r="AA306" t="s">
        <v>1415</v>
      </c>
      <c r="AB306" s="24">
        <v>4.515570934256055</v>
      </c>
    </row>
    <row r="307" spans="1:28" x14ac:dyDescent="0.55000000000000004">
      <c r="A307" s="24" t="s">
        <v>484</v>
      </c>
      <c r="B307" s="24" t="s">
        <v>946</v>
      </c>
      <c r="C307" s="24" t="s">
        <v>107</v>
      </c>
      <c r="D307" s="24" t="s">
        <v>72</v>
      </c>
      <c r="E307" s="24" t="s">
        <v>98</v>
      </c>
      <c r="F307" s="70">
        <v>5.7218747539524654E-4</v>
      </c>
      <c r="G307" s="24">
        <v>6.7165689999999998</v>
      </c>
      <c r="H307" s="24">
        <v>7.3423210000000001</v>
      </c>
      <c r="I307" s="24">
        <v>4.0038660000000004</v>
      </c>
      <c r="J307" s="24">
        <v>5.8817890000000004</v>
      </c>
      <c r="K307" s="24">
        <v>3.5035669999999999</v>
      </c>
      <c r="L307" s="24">
        <v>5.269145</v>
      </c>
      <c r="M307" s="24">
        <v>5.5926999999999998</v>
      </c>
      <c r="N307" s="24">
        <v>8.8032581603601727</v>
      </c>
      <c r="O307" s="24">
        <v>7.2</v>
      </c>
      <c r="P307" s="24">
        <v>4.0993788819875778</v>
      </c>
      <c r="Q307" s="24">
        <v>5.484604394708966</v>
      </c>
      <c r="R307" s="24">
        <v>7.58</v>
      </c>
      <c r="S307" s="24">
        <v>5.5585360907571859</v>
      </c>
      <c r="T307" s="21">
        <v>1</v>
      </c>
      <c r="U307" s="21" t="s">
        <v>141</v>
      </c>
      <c r="V307" s="70">
        <v>-2.9427600606261158E-2</v>
      </c>
      <c r="W307" s="70">
        <v>3.057239939373884E-2</v>
      </c>
      <c r="X307" s="24">
        <v>0.32018505649263823</v>
      </c>
      <c r="Y307" s="24" t="s">
        <v>1718</v>
      </c>
      <c r="Z307" s="75">
        <v>6437.0810000000001</v>
      </c>
      <c r="AA307" t="s">
        <v>1415</v>
      </c>
      <c r="AB307" s="24">
        <v>4.5111492281303605</v>
      </c>
    </row>
    <row r="308" spans="1:28" x14ac:dyDescent="0.55000000000000004">
      <c r="A308" s="24" t="s">
        <v>505</v>
      </c>
      <c r="B308" s="24" t="s">
        <v>1114</v>
      </c>
      <c r="C308" s="24" t="s">
        <v>106</v>
      </c>
      <c r="D308" s="24" t="s">
        <v>72</v>
      </c>
      <c r="E308" s="24" t="s">
        <v>89</v>
      </c>
      <c r="F308" s="70">
        <v>5.7118617586821127E-4</v>
      </c>
      <c r="G308" s="24">
        <v>5.254766</v>
      </c>
      <c r="H308" s="24">
        <v>5.3701420000000004</v>
      </c>
      <c r="I308" s="24">
        <v>4.0183220000000004</v>
      </c>
      <c r="J308" s="24">
        <v>4.9184460000000003</v>
      </c>
      <c r="K308" s="24">
        <v>4.0677729999999999</v>
      </c>
      <c r="L308" s="24">
        <v>8.7890189999999997</v>
      </c>
      <c r="M308" s="24">
        <v>6.6169000000000002</v>
      </c>
      <c r="N308" s="24">
        <v>4.9729844403291787</v>
      </c>
      <c r="O308" s="24">
        <v>3.8</v>
      </c>
      <c r="P308" s="24">
        <v>4.9249249249249241</v>
      </c>
      <c r="Q308" s="24">
        <v>9.2491146525011061</v>
      </c>
      <c r="R308" s="24">
        <v>7.21</v>
      </c>
      <c r="S308" s="24">
        <v>7.2141754152163085</v>
      </c>
      <c r="T308" s="21">
        <v>1</v>
      </c>
      <c r="U308" s="21" t="s">
        <v>117</v>
      </c>
      <c r="V308" s="70">
        <v>-2.9429198313383857E-2</v>
      </c>
      <c r="W308" s="70">
        <v>3.0570801686616141E-2</v>
      </c>
      <c r="X308" s="24">
        <v>1.3765014220393852</v>
      </c>
      <c r="Y308" s="24" t="s">
        <v>1480</v>
      </c>
      <c r="Z308" s="75">
        <v>6032.665</v>
      </c>
      <c r="AA308" t="s">
        <v>1415</v>
      </c>
      <c r="AB308" s="24">
        <v>4.844290657439446</v>
      </c>
    </row>
    <row r="309" spans="1:28" x14ac:dyDescent="0.55000000000000004">
      <c r="A309" s="24" t="s">
        <v>520</v>
      </c>
      <c r="B309" s="24" t="s">
        <v>1011</v>
      </c>
      <c r="C309" s="24" t="s">
        <v>111</v>
      </c>
      <c r="D309" s="24" t="s">
        <v>72</v>
      </c>
      <c r="E309" s="24" t="s">
        <v>99</v>
      </c>
      <c r="F309" s="70">
        <v>5.6818156834209026E-4</v>
      </c>
      <c r="G309" s="24">
        <v>7.4036590000000002</v>
      </c>
      <c r="H309" s="24">
        <v>7.8840589999999997</v>
      </c>
      <c r="I309" s="24">
        <v>5.3759170000000003</v>
      </c>
      <c r="J309" s="24">
        <v>7.0941910000000004</v>
      </c>
      <c r="K309" s="24">
        <v>4.75509</v>
      </c>
      <c r="L309" s="24">
        <v>6.217543</v>
      </c>
      <c r="M309" s="24">
        <v>334.74419999999998</v>
      </c>
      <c r="N309" s="24">
        <v>1.3064894198737633</v>
      </c>
      <c r="O309" s="24">
        <v>7.2</v>
      </c>
      <c r="P309" s="24">
        <v>4.6417445482866047</v>
      </c>
      <c r="Q309" s="24">
        <v>2.4593915273245264</v>
      </c>
      <c r="R309" s="24">
        <v>4.91</v>
      </c>
      <c r="S309" s="24">
        <v>3.7885095215632481</v>
      </c>
      <c r="T309" s="21">
        <v>1</v>
      </c>
      <c r="U309" s="21" t="s">
        <v>141</v>
      </c>
      <c r="V309" s="70">
        <v>-2.9431433942405841E-2</v>
      </c>
      <c r="W309" s="70">
        <v>3.0568566057594157E-2</v>
      </c>
      <c r="X309" s="24">
        <v>0.41153099379365454</v>
      </c>
      <c r="Y309" s="24" t="s">
        <v>1679</v>
      </c>
      <c r="Z309" s="75">
        <v>7535.2730000000001</v>
      </c>
      <c r="AA309" t="s">
        <v>1415</v>
      </c>
      <c r="AB309" s="24">
        <v>5.0089766606822259</v>
      </c>
    </row>
    <row r="310" spans="1:28" x14ac:dyDescent="0.55000000000000004">
      <c r="A310" s="24" t="s">
        <v>502</v>
      </c>
      <c r="B310" s="24" t="s">
        <v>1024</v>
      </c>
      <c r="C310" s="24" t="s">
        <v>112</v>
      </c>
      <c r="D310" s="24" t="s">
        <v>72</v>
      </c>
      <c r="E310" s="24" t="s">
        <v>100</v>
      </c>
      <c r="F310" s="70">
        <v>5.6795853525764086E-4</v>
      </c>
      <c r="G310" s="24">
        <v>4.5151120000000002</v>
      </c>
      <c r="H310" s="24">
        <v>5.42523</v>
      </c>
      <c r="I310" s="24">
        <v>6.7334259999999997</v>
      </c>
      <c r="J310" s="24">
        <v>5.4536410000000002</v>
      </c>
      <c r="K310" s="24">
        <v>3.5908829999999998</v>
      </c>
      <c r="L310" s="24">
        <v>9.5843539999999994</v>
      </c>
      <c r="M310" s="24">
        <v>86.052199999999999</v>
      </c>
      <c r="N310" s="24">
        <v>5.78529704529703</v>
      </c>
      <c r="O310" s="24">
        <v>4.0999999999999996</v>
      </c>
      <c r="P310" s="24">
        <v>3.2298136645962732</v>
      </c>
      <c r="Q310" s="24">
        <v>8.6222853573077671</v>
      </c>
      <c r="R310" s="24">
        <v>4.47</v>
      </c>
      <c r="S310" s="24">
        <v>5.8352289222238589</v>
      </c>
      <c r="T310" s="21">
        <v>1</v>
      </c>
      <c r="U310" s="21" t="s">
        <v>141</v>
      </c>
      <c r="V310" s="70">
        <v>-2.9432425953994427E-2</v>
      </c>
      <c r="W310" s="70">
        <v>3.0567574046005571E-2</v>
      </c>
      <c r="X310" s="24">
        <v>1.3919653123057132</v>
      </c>
      <c r="Y310" s="24" t="s">
        <v>1588</v>
      </c>
      <c r="Z310" s="75">
        <v>6279.308</v>
      </c>
      <c r="AA310" t="s">
        <v>1415</v>
      </c>
      <c r="AB310" s="24">
        <v>4.8198970840480273</v>
      </c>
    </row>
    <row r="311" spans="1:28" x14ac:dyDescent="0.55000000000000004">
      <c r="A311" s="24" t="s">
        <v>525</v>
      </c>
      <c r="B311" s="24" t="s">
        <v>1404</v>
      </c>
      <c r="C311" s="24" t="s">
        <v>111</v>
      </c>
      <c r="D311" s="24" t="s">
        <v>72</v>
      </c>
      <c r="E311" s="24" t="s">
        <v>99</v>
      </c>
      <c r="F311" s="70">
        <v>5.6537041785642138E-4</v>
      </c>
      <c r="G311" s="24">
        <v>6.0792830000000002</v>
      </c>
      <c r="H311" s="24">
        <v>7.4054330000000004</v>
      </c>
      <c r="I311" s="24">
        <v>8.8351810000000004</v>
      </c>
      <c r="J311" s="24">
        <v>6.8956920000000004</v>
      </c>
      <c r="K311" s="24">
        <v>5.7994950000000003</v>
      </c>
      <c r="L311" s="24">
        <v>8.9319860000000002</v>
      </c>
      <c r="M311" s="24">
        <v>821.21320000000003</v>
      </c>
      <c r="N311" s="24">
        <v>6.6772883340337952</v>
      </c>
      <c r="O311" s="24">
        <v>6.2</v>
      </c>
      <c r="P311" s="24">
        <v>6.3862928348909653</v>
      </c>
      <c r="Q311" s="24">
        <v>4.9746894610331154</v>
      </c>
      <c r="R311" s="24">
        <v>7.66</v>
      </c>
      <c r="S311" s="24">
        <v>6.4744764476271328</v>
      </c>
      <c r="T311" s="21">
        <v>1</v>
      </c>
      <c r="U311" s="21" t="s">
        <v>141</v>
      </c>
      <c r="V311" s="70">
        <v>-2.9435014071395645E-2</v>
      </c>
      <c r="W311" s="70">
        <v>3.0564985928604353E-2</v>
      </c>
      <c r="X311" s="24">
        <v>0.49091613688054569</v>
      </c>
      <c r="Y311" s="24" t="s">
        <v>1672</v>
      </c>
      <c r="Z311" s="75">
        <v>6207.9859999999999</v>
      </c>
      <c r="AA311" t="s">
        <v>1415</v>
      </c>
      <c r="AB311" s="24">
        <v>5.0987432675044886</v>
      </c>
    </row>
    <row r="312" spans="1:28" x14ac:dyDescent="0.55000000000000004">
      <c r="A312" s="24" t="s">
        <v>523</v>
      </c>
      <c r="B312" s="24" t="s">
        <v>1277</v>
      </c>
      <c r="C312" s="24" t="s">
        <v>110</v>
      </c>
      <c r="D312" s="24" t="s">
        <v>72</v>
      </c>
      <c r="E312" s="24" t="s">
        <v>94</v>
      </c>
      <c r="F312" s="70">
        <v>5.6510810325052113E-4</v>
      </c>
      <c r="G312" s="24">
        <v>7.2191979999999996</v>
      </c>
      <c r="H312" s="24">
        <v>7.3817219999999999</v>
      </c>
      <c r="I312" s="24">
        <v>5.7951290000000002</v>
      </c>
      <c r="J312" s="24">
        <v>6.6820750000000002</v>
      </c>
      <c r="K312" s="24">
        <v>3.1453929999999999</v>
      </c>
      <c r="L312" s="24">
        <v>4.2941570000000002</v>
      </c>
      <c r="M312" s="24">
        <v>97.457400000000007</v>
      </c>
      <c r="N312" s="24">
        <v>2.5552989471970253</v>
      </c>
      <c r="O312" s="24">
        <v>7.3</v>
      </c>
      <c r="P312" s="24">
        <v>3.9930555555555562</v>
      </c>
      <c r="Q312" s="24">
        <v>3.6119873817034693</v>
      </c>
      <c r="R312" s="24">
        <v>4.6900000000000004</v>
      </c>
      <c r="S312" s="24">
        <v>3.8104260830185632</v>
      </c>
      <c r="T312" s="21">
        <v>1</v>
      </c>
      <c r="U312" s="21" t="s">
        <v>141</v>
      </c>
      <c r="V312" s="70">
        <v>-2.9435276386001547E-2</v>
      </c>
      <c r="W312" s="70">
        <v>3.0564723613998451E-2</v>
      </c>
      <c r="X312" s="24">
        <v>0.27171074628625058</v>
      </c>
      <c r="Y312" s="24" t="s">
        <v>1549</v>
      </c>
      <c r="Z312" s="75">
        <v>5933.3119999999999</v>
      </c>
      <c r="AA312" t="s">
        <v>1415</v>
      </c>
      <c r="AB312" s="24">
        <v>4.2483660130718954</v>
      </c>
    </row>
    <row r="313" spans="1:28" x14ac:dyDescent="0.55000000000000004">
      <c r="A313" s="24" t="s">
        <v>539</v>
      </c>
      <c r="B313" s="24" t="s">
        <v>926</v>
      </c>
      <c r="C313" s="24" t="s">
        <v>110</v>
      </c>
      <c r="D313" s="24" t="s">
        <v>72</v>
      </c>
      <c r="E313" s="24" t="s">
        <v>85</v>
      </c>
      <c r="F313" s="70">
        <v>5.5766934535371948E-4</v>
      </c>
      <c r="G313" s="24">
        <v>7.3456950000000001</v>
      </c>
      <c r="H313" s="24">
        <v>5.9064319999999997</v>
      </c>
      <c r="I313" s="24">
        <v>5.4235160000000002</v>
      </c>
      <c r="J313" s="24">
        <v>6.337262</v>
      </c>
      <c r="K313" s="24">
        <v>1.55206</v>
      </c>
      <c r="L313" s="24">
        <v>2.5016210000000001</v>
      </c>
      <c r="M313" s="24">
        <v>55.000900000000001</v>
      </c>
      <c r="N313" s="24">
        <v>4.6444782950301136</v>
      </c>
      <c r="O313" s="24">
        <v>9</v>
      </c>
      <c r="P313" s="24">
        <v>9.4894894894894879</v>
      </c>
      <c r="Q313" s="24">
        <v>0.33089862771137674</v>
      </c>
      <c r="R313" s="24">
        <v>5.48</v>
      </c>
      <c r="S313" s="24">
        <v>2.5445928797358457</v>
      </c>
      <c r="T313" s="21">
        <v>1</v>
      </c>
      <c r="U313" s="21" t="s">
        <v>141</v>
      </c>
      <c r="V313" s="70">
        <v>-2.9442180934779301E-2</v>
      </c>
      <c r="W313" s="70">
        <v>3.0557819065220697E-2</v>
      </c>
      <c r="X313" s="24">
        <v>1.1085719125904014</v>
      </c>
      <c r="Y313" s="24" t="s">
        <v>1574</v>
      </c>
      <c r="Z313" s="75">
        <v>5915.402</v>
      </c>
      <c r="AA313" t="s">
        <v>1415</v>
      </c>
      <c r="AB313" s="24">
        <v>5.4325259515570936</v>
      </c>
    </row>
    <row r="314" spans="1:28" x14ac:dyDescent="0.55000000000000004">
      <c r="A314" s="24" t="s">
        <v>515</v>
      </c>
      <c r="B314" s="24" t="s">
        <v>1168</v>
      </c>
      <c r="C314" s="24" t="s">
        <v>177</v>
      </c>
      <c r="D314" s="24" t="s">
        <v>72</v>
      </c>
      <c r="E314" s="24" t="s">
        <v>99</v>
      </c>
      <c r="F314" s="70">
        <v>5.5736632012687803E-4</v>
      </c>
      <c r="G314" s="24">
        <v>4.0850429999999998</v>
      </c>
      <c r="H314" s="24">
        <v>4.8264240000000003</v>
      </c>
      <c r="I314" s="24">
        <v>7.587383</v>
      </c>
      <c r="J314" s="24">
        <v>4.9337869999999997</v>
      </c>
      <c r="K314" s="24">
        <v>7.4238410000000004</v>
      </c>
      <c r="L314" s="24">
        <v>8.7809749999999998</v>
      </c>
      <c r="M314" s="24">
        <v>1081.336</v>
      </c>
      <c r="N314" s="24">
        <v>0</v>
      </c>
      <c r="O314" s="24">
        <v>7.5</v>
      </c>
      <c r="P314" s="24">
        <v>6.5732087227414322</v>
      </c>
      <c r="Q314" s="24">
        <v>5.6510602493289372</v>
      </c>
      <c r="R314" s="24">
        <v>5.42</v>
      </c>
      <c r="S314" s="24">
        <v>4.8284210785289261</v>
      </c>
      <c r="T314" s="21">
        <v>1</v>
      </c>
      <c r="U314" s="21" t="s">
        <v>141</v>
      </c>
      <c r="V314" s="70">
        <v>-2.944224919062105E-2</v>
      </c>
      <c r="W314" s="70">
        <v>3.0557750809378947E-2</v>
      </c>
      <c r="X314" s="24">
        <v>0.67667502084969311</v>
      </c>
      <c r="Y314" s="24" t="s">
        <v>1689</v>
      </c>
      <c r="Z314" s="75">
        <v>6441.0429999999997</v>
      </c>
      <c r="AA314" t="s">
        <v>1415</v>
      </c>
      <c r="AB314" s="24">
        <v>4.9192100538599641</v>
      </c>
    </row>
    <row r="315" spans="1:28" x14ac:dyDescent="0.55000000000000004">
      <c r="A315" s="24" t="s">
        <v>493</v>
      </c>
      <c r="B315" s="24" t="s">
        <v>1407</v>
      </c>
      <c r="C315" s="24" t="s">
        <v>1898</v>
      </c>
      <c r="D315" s="24" t="s">
        <v>72</v>
      </c>
      <c r="E315" s="24" t="s">
        <v>82</v>
      </c>
      <c r="F315" s="70">
        <v>5.5661325340913934E-4</v>
      </c>
      <c r="G315" s="24">
        <v>4.9979490000000002</v>
      </c>
      <c r="H315" s="24">
        <v>5.2998089999999998</v>
      </c>
      <c r="I315" s="24">
        <v>5.414695</v>
      </c>
      <c r="J315" s="24">
        <v>5.2494610000000002</v>
      </c>
      <c r="K315" s="24">
        <v>12.70955</v>
      </c>
      <c r="L315" s="24">
        <v>16.17146</v>
      </c>
      <c r="M315" s="24">
        <v>42.070900000000002</v>
      </c>
      <c r="N315" s="24">
        <v>3.7167733142425896</v>
      </c>
      <c r="O315" s="24">
        <v>7.6</v>
      </c>
      <c r="P315" s="24">
        <v>7.2849470198867774</v>
      </c>
      <c r="Q315" s="24">
        <v>4.2120828052386994</v>
      </c>
      <c r="R315" s="24">
        <v>8.17</v>
      </c>
      <c r="S315" s="24">
        <v>6.1752107084219334</v>
      </c>
      <c r="T315" s="21">
        <v>1</v>
      </c>
      <c r="U315" s="21" t="s">
        <v>141</v>
      </c>
      <c r="V315" s="70">
        <v>-2.9443771235842929E-2</v>
      </c>
      <c r="W315" s="70">
        <v>3.0556228764157069E-2</v>
      </c>
      <c r="X315" s="24">
        <v>1.5884330836171199</v>
      </c>
      <c r="Y315" s="24" t="s">
        <v>1950</v>
      </c>
      <c r="Z315" s="75">
        <v>5367.1170000000002</v>
      </c>
      <c r="AA315" t="s">
        <v>1415</v>
      </c>
      <c r="AB315" s="24">
        <v>4.6324786324786329</v>
      </c>
    </row>
    <row r="316" spans="1:28" x14ac:dyDescent="0.55000000000000004">
      <c r="A316" s="24" t="s">
        <v>491</v>
      </c>
      <c r="B316" s="24" t="s">
        <v>1345</v>
      </c>
      <c r="C316" s="24" t="s">
        <v>125</v>
      </c>
      <c r="D316" s="24" t="s">
        <v>72</v>
      </c>
      <c r="E316" s="24" t="s">
        <v>90</v>
      </c>
      <c r="F316" s="70">
        <v>5.531008304269561E-4</v>
      </c>
      <c r="G316" s="24">
        <v>7.9030199999999997</v>
      </c>
      <c r="H316" s="24">
        <v>6.991619</v>
      </c>
      <c r="I316" s="24">
        <v>6.3881209999999999</v>
      </c>
      <c r="J316" s="24">
        <v>7.0538150000000002</v>
      </c>
      <c r="K316" s="24">
        <v>7.1165479999999999</v>
      </c>
      <c r="L316" s="24">
        <v>8.999803</v>
      </c>
      <c r="M316" s="24">
        <v>478.66539999999998</v>
      </c>
      <c r="N316" s="24">
        <v>4.5084791250448717</v>
      </c>
      <c r="O316" s="24">
        <v>3.2</v>
      </c>
      <c r="P316" s="24">
        <v>4.1039434520369298</v>
      </c>
      <c r="Q316" s="24">
        <v>5.2865793550204208</v>
      </c>
      <c r="R316" s="24">
        <v>7.34</v>
      </c>
      <c r="S316" s="24">
        <v>4.3454369812572047</v>
      </c>
      <c r="T316" s="21">
        <v>1</v>
      </c>
      <c r="U316" s="21" t="s">
        <v>141</v>
      </c>
      <c r="V316" s="70">
        <v>-2.9446514680320973E-2</v>
      </c>
      <c r="W316" s="70">
        <v>3.0553485319679025E-2</v>
      </c>
      <c r="X316" s="24">
        <v>0.95982703535090008</v>
      </c>
      <c r="Y316" s="24" t="s">
        <v>1920</v>
      </c>
      <c r="Z316" s="75">
        <v>6476.08</v>
      </c>
      <c r="AA316" t="s">
        <v>1415</v>
      </c>
      <c r="AB316" s="24">
        <v>4.5982905982905979</v>
      </c>
    </row>
    <row r="317" spans="1:28" x14ac:dyDescent="0.55000000000000004">
      <c r="A317" s="24" t="s">
        <v>528</v>
      </c>
      <c r="B317" s="24" t="s">
        <v>956</v>
      </c>
      <c r="C317" s="24" t="s">
        <v>109</v>
      </c>
      <c r="D317" s="24" t="s">
        <v>72</v>
      </c>
      <c r="E317" s="24" t="s">
        <v>86</v>
      </c>
      <c r="F317" s="70">
        <v>5.5219503876125756E-4</v>
      </c>
      <c r="G317" s="24">
        <v>8.0911740000000005</v>
      </c>
      <c r="H317" s="24">
        <v>5.7174659999999999</v>
      </c>
      <c r="I317" s="24">
        <v>4.8480239999999997</v>
      </c>
      <c r="J317" s="24">
        <v>6.1252740000000001</v>
      </c>
      <c r="K317" s="24">
        <v>5.5789850000000003</v>
      </c>
      <c r="L317" s="24">
        <v>4.4532699999999998</v>
      </c>
      <c r="M317" s="24">
        <v>1.2612000000000001</v>
      </c>
      <c r="N317" s="24">
        <v>3.8244735941555263</v>
      </c>
      <c r="O317" s="24">
        <v>1</v>
      </c>
      <c r="P317" s="24">
        <v>1.505376505954463</v>
      </c>
      <c r="Q317" s="24">
        <v>4.6880721025207732</v>
      </c>
      <c r="R317" s="24">
        <v>4.6900000000000004</v>
      </c>
      <c r="S317" s="24">
        <v>3.0613592035642658</v>
      </c>
      <c r="T317" s="21">
        <v>1</v>
      </c>
      <c r="U317" s="21" t="s">
        <v>141</v>
      </c>
      <c r="V317" s="70">
        <v>-2.9448189450490811E-2</v>
      </c>
      <c r="W317" s="70">
        <v>3.0551810549509187E-2</v>
      </c>
      <c r="X317" s="24">
        <v>1.0156174450768936</v>
      </c>
      <c r="Y317" s="24" t="s">
        <v>1514</v>
      </c>
      <c r="Z317" s="75">
        <v>5871.549</v>
      </c>
      <c r="AA317" t="s">
        <v>1415</v>
      </c>
      <c r="AB317" s="24">
        <v>5.2307692307692308</v>
      </c>
    </row>
    <row r="318" spans="1:28" x14ac:dyDescent="0.55000000000000004">
      <c r="A318" s="24" t="s">
        <v>546</v>
      </c>
      <c r="B318" s="24" t="s">
        <v>1342</v>
      </c>
      <c r="C318" s="24" t="s">
        <v>109</v>
      </c>
      <c r="D318" s="24" t="s">
        <v>72</v>
      </c>
      <c r="E318" s="24" t="s">
        <v>83</v>
      </c>
      <c r="F318" s="70">
        <v>5.5076647001473672E-4</v>
      </c>
      <c r="G318" s="24">
        <v>0</v>
      </c>
      <c r="H318" s="24">
        <v>0</v>
      </c>
      <c r="I318" s="24">
        <v>0</v>
      </c>
      <c r="J318" s="24">
        <v>0</v>
      </c>
      <c r="K318" s="24">
        <v>2.008346</v>
      </c>
      <c r="L318" s="24">
        <v>6.3523690000000004</v>
      </c>
      <c r="M318" s="24" t="e">
        <v>#N/A</v>
      </c>
      <c r="N318" s="24">
        <v>6.7224397689655015</v>
      </c>
      <c r="O318" s="24">
        <v>0.9</v>
      </c>
      <c r="P318" s="24">
        <v>5.3134328358208958</v>
      </c>
      <c r="Q318" s="24">
        <v>5.5948892399514252</v>
      </c>
      <c r="R318" s="24">
        <v>0</v>
      </c>
      <c r="S318" s="24">
        <v>5.1453475222131244</v>
      </c>
      <c r="T318" s="21">
        <v>1</v>
      </c>
      <c r="U318" s="21" t="s">
        <v>141</v>
      </c>
      <c r="V318" s="70">
        <v>-2.9449618019237331E-2</v>
      </c>
      <c r="W318" s="70">
        <v>3.0550381980762667E-2</v>
      </c>
      <c r="X318" s="24">
        <v>1.2753752110518857</v>
      </c>
      <c r="Y318" s="24" t="s">
        <v>1523</v>
      </c>
      <c r="Z318" s="75">
        <v>5615.72</v>
      </c>
      <c r="AA318" t="s">
        <v>1415</v>
      </c>
      <c r="AB318" s="24">
        <v>5.5034722222222223</v>
      </c>
    </row>
    <row r="319" spans="1:28" x14ac:dyDescent="0.55000000000000004">
      <c r="A319" s="24" t="s">
        <v>508</v>
      </c>
      <c r="B319" s="24" t="s">
        <v>1156</v>
      </c>
      <c r="C319" s="24" t="s">
        <v>106</v>
      </c>
      <c r="D319" s="24" t="s">
        <v>72</v>
      </c>
      <c r="E319" s="24" t="s">
        <v>94</v>
      </c>
      <c r="F319" s="70">
        <v>5.5051596507060493E-4</v>
      </c>
      <c r="G319" s="24">
        <v>8.6319859999999995</v>
      </c>
      <c r="H319" s="24">
        <v>6.1923120000000003</v>
      </c>
      <c r="I319" s="24">
        <v>8.1991029999999991</v>
      </c>
      <c r="J319" s="24">
        <v>7.4829639999999999</v>
      </c>
      <c r="K319" s="24">
        <v>1.548184</v>
      </c>
      <c r="L319" s="24">
        <v>4.661454</v>
      </c>
      <c r="M319" s="24">
        <v>22.081800000000001</v>
      </c>
      <c r="N319" s="24">
        <v>6.2033685178850124</v>
      </c>
      <c r="O319" s="24">
        <v>1.1000000000000001</v>
      </c>
      <c r="P319" s="24">
        <v>10</v>
      </c>
      <c r="Q319" s="24">
        <v>5.7312473711882239</v>
      </c>
      <c r="R319" s="24">
        <v>4.03</v>
      </c>
      <c r="S319" s="24">
        <v>4.5036300148015744</v>
      </c>
      <c r="T319" s="21">
        <v>1</v>
      </c>
      <c r="U319" s="21" t="s">
        <v>141</v>
      </c>
      <c r="V319" s="70">
        <v>-2.9449868524181463E-2</v>
      </c>
      <c r="W319" s="70">
        <v>3.0550131475818535E-2</v>
      </c>
      <c r="X319" s="24">
        <v>1.5061814653398886</v>
      </c>
      <c r="Y319" s="24" t="s">
        <v>1832</v>
      </c>
      <c r="Z319" s="75">
        <v>5895.4380000000001</v>
      </c>
      <c r="AA319" t="s">
        <v>1415</v>
      </c>
      <c r="AB319" s="24">
        <v>3.9215686274509802</v>
      </c>
    </row>
    <row r="320" spans="1:28" x14ac:dyDescent="0.55000000000000004">
      <c r="A320" s="24" t="s">
        <v>530</v>
      </c>
      <c r="B320" s="24" t="s">
        <v>1054</v>
      </c>
      <c r="C320" s="24" t="s">
        <v>113</v>
      </c>
      <c r="D320" s="24" t="s">
        <v>72</v>
      </c>
      <c r="E320" s="24" t="s">
        <v>90</v>
      </c>
      <c r="F320" s="70">
        <v>5.4809498440797956E-4</v>
      </c>
      <c r="G320" s="24">
        <v>5.801342</v>
      </c>
      <c r="H320" s="24">
        <v>6.3489839999999997</v>
      </c>
      <c r="I320" s="24">
        <v>6.3435139999999999</v>
      </c>
      <c r="J320" s="24">
        <v>6.1827769999999997</v>
      </c>
      <c r="K320" s="24">
        <v>7.7518209999999996</v>
      </c>
      <c r="L320" s="24">
        <v>14.919180000000001</v>
      </c>
      <c r="M320" s="24">
        <v>9.7279999999999998</v>
      </c>
      <c r="N320" s="24">
        <v>4.2919346604919637</v>
      </c>
      <c r="O320" s="24">
        <v>5.3</v>
      </c>
      <c r="P320" s="24">
        <v>5.7526887906116979</v>
      </c>
      <c r="Q320" s="24">
        <v>5.6639909871849046</v>
      </c>
      <c r="R320" s="24">
        <v>7.22</v>
      </c>
      <c r="S320" s="24">
        <v>6.4168426049908094</v>
      </c>
      <c r="T320" s="21">
        <v>1</v>
      </c>
      <c r="U320" s="21" t="s">
        <v>141</v>
      </c>
      <c r="V320" s="70">
        <v>-2.945228950484409E-2</v>
      </c>
      <c r="W320" s="70">
        <v>3.0547710495155908E-2</v>
      </c>
      <c r="X320" s="24">
        <v>0.96293064151972441</v>
      </c>
      <c r="Y320" s="24" t="s">
        <v>1881</v>
      </c>
      <c r="Z320" s="75">
        <v>5694.25</v>
      </c>
      <c r="AA320" t="s">
        <v>1415</v>
      </c>
      <c r="AB320" s="24">
        <v>5.2649572649572649</v>
      </c>
    </row>
    <row r="321" spans="1:28" x14ac:dyDescent="0.55000000000000004">
      <c r="A321" s="24" t="s">
        <v>536</v>
      </c>
      <c r="B321" s="24" t="s">
        <v>873</v>
      </c>
      <c r="C321" s="24" t="s">
        <v>106</v>
      </c>
      <c r="D321" s="24" t="s">
        <v>72</v>
      </c>
      <c r="E321" s="24" t="s">
        <v>94</v>
      </c>
      <c r="F321" s="70">
        <v>5.4594505376293111E-4</v>
      </c>
      <c r="G321" s="24">
        <v>8.4971049999999995</v>
      </c>
      <c r="H321" s="24">
        <v>5.6348580000000004</v>
      </c>
      <c r="I321" s="24">
        <v>7.3623900000000004</v>
      </c>
      <c r="J321" s="24">
        <v>7.4707689999999998</v>
      </c>
      <c r="K321" s="24">
        <v>6.1883429999999997</v>
      </c>
      <c r="L321" s="24">
        <v>7.6934430000000003</v>
      </c>
      <c r="M321" s="24">
        <v>34.198300000000003</v>
      </c>
      <c r="N321" s="24">
        <v>4.0871570872999063</v>
      </c>
      <c r="O321" s="24">
        <v>0.7</v>
      </c>
      <c r="P321" s="24">
        <v>3.9236111111111112</v>
      </c>
      <c r="Q321" s="24">
        <v>9.96823606729758</v>
      </c>
      <c r="R321" s="24">
        <v>6.07</v>
      </c>
      <c r="S321" s="24">
        <v>7.1224240192367443</v>
      </c>
      <c r="T321" s="21">
        <v>1</v>
      </c>
      <c r="U321" s="21" t="s">
        <v>1410</v>
      </c>
      <c r="V321" s="70">
        <v>-2.9453677340265695E-2</v>
      </c>
      <c r="W321" s="70">
        <v>3.0546322659734303E-2</v>
      </c>
      <c r="X321" s="24">
        <v>1.219963095923764</v>
      </c>
      <c r="Y321" s="24" t="s">
        <v>1857</v>
      </c>
      <c r="Z321" s="75">
        <v>5824.1559999999999</v>
      </c>
      <c r="AA321" t="s">
        <v>1415</v>
      </c>
      <c r="AB321" s="24">
        <v>4.5315904139433547</v>
      </c>
    </row>
    <row r="322" spans="1:28" x14ac:dyDescent="0.55000000000000004">
      <c r="A322" s="24" t="s">
        <v>519</v>
      </c>
      <c r="B322" s="24" t="s">
        <v>1299</v>
      </c>
      <c r="C322" s="24" t="s">
        <v>106</v>
      </c>
      <c r="D322" s="24" t="s">
        <v>72</v>
      </c>
      <c r="E322" s="24" t="s">
        <v>95</v>
      </c>
      <c r="F322" s="70">
        <v>5.4349747368936843E-4</v>
      </c>
      <c r="G322" s="24">
        <v>5.2825379999999997</v>
      </c>
      <c r="H322" s="24">
        <v>6.4586610000000002</v>
      </c>
      <c r="I322" s="24">
        <v>6.21814</v>
      </c>
      <c r="J322" s="24">
        <v>5.9160550000000001</v>
      </c>
      <c r="K322" s="24">
        <v>2.3916270000000002</v>
      </c>
      <c r="L322" s="24">
        <v>6.1025359999999997</v>
      </c>
      <c r="M322" s="24">
        <v>27.528300000000002</v>
      </c>
      <c r="N322" s="24">
        <v>3.2205514634016108</v>
      </c>
      <c r="O322" s="24">
        <v>6.9</v>
      </c>
      <c r="P322" s="24">
        <v>7.4223602484472062</v>
      </c>
      <c r="Q322" s="24">
        <v>3.0686910937881957</v>
      </c>
      <c r="R322" s="24">
        <v>4.54</v>
      </c>
      <c r="S322" s="24">
        <v>5.1005327924453256</v>
      </c>
      <c r="T322" s="21">
        <v>1</v>
      </c>
      <c r="U322" s="21" t="s">
        <v>141</v>
      </c>
      <c r="V322" s="70">
        <v>-2.9456118037058561E-2</v>
      </c>
      <c r="W322" s="70">
        <v>3.0543881962941437E-2</v>
      </c>
      <c r="X322" s="24">
        <v>1.3956116782342549</v>
      </c>
      <c r="Y322" s="24" t="s">
        <v>1780</v>
      </c>
      <c r="Z322" s="75">
        <v>5980.6559999999999</v>
      </c>
      <c r="AA322" t="s">
        <v>1415</v>
      </c>
      <c r="AB322" s="24">
        <v>5.1114922813036028</v>
      </c>
    </row>
    <row r="323" spans="1:28" x14ac:dyDescent="0.55000000000000004">
      <c r="A323" s="24" t="s">
        <v>548</v>
      </c>
      <c r="B323" s="24" t="s">
        <v>1233</v>
      </c>
      <c r="C323" s="24" t="s">
        <v>105</v>
      </c>
      <c r="D323" s="24" t="s">
        <v>72</v>
      </c>
      <c r="E323" s="24" t="s">
        <v>89</v>
      </c>
      <c r="F323" s="70">
        <v>5.4201310867887248E-4</v>
      </c>
      <c r="G323" s="24">
        <v>7.0654960000000004</v>
      </c>
      <c r="H323" s="24">
        <v>5.1998810000000004</v>
      </c>
      <c r="I323" s="24">
        <v>5.2162379999999997</v>
      </c>
      <c r="J323" s="24">
        <v>5.9510339999999999</v>
      </c>
      <c r="K323" s="24">
        <v>3.2931750000000002</v>
      </c>
      <c r="L323" s="24">
        <v>9.077216</v>
      </c>
      <c r="M323" s="24">
        <v>12.7498</v>
      </c>
      <c r="N323" s="24">
        <v>4.7957646511448173</v>
      </c>
      <c r="O323" s="24">
        <v>8.1</v>
      </c>
      <c r="P323" s="24">
        <v>3.7537537537537533</v>
      </c>
      <c r="Q323" s="24">
        <v>7.7121148738379821</v>
      </c>
      <c r="R323" s="24">
        <v>7.16</v>
      </c>
      <c r="S323" s="24">
        <v>7.0684756314058443</v>
      </c>
      <c r="T323" s="21">
        <v>1</v>
      </c>
      <c r="U323" s="21" t="s">
        <v>141</v>
      </c>
      <c r="V323" s="70">
        <v>-2.9458323341271086E-2</v>
      </c>
      <c r="W323" s="70">
        <v>3.0541676658728912E-2</v>
      </c>
      <c r="X323" s="24">
        <v>1.0502606714118399</v>
      </c>
      <c r="Y323" s="24" t="s">
        <v>1501</v>
      </c>
      <c r="Z323" s="75">
        <v>5518.9179999999997</v>
      </c>
      <c r="AA323" t="s">
        <v>1415</v>
      </c>
      <c r="AB323" s="24">
        <v>5.5882352941176467</v>
      </c>
    </row>
    <row r="324" spans="1:28" x14ac:dyDescent="0.55000000000000004">
      <c r="A324" s="24" t="s">
        <v>524</v>
      </c>
      <c r="B324" s="24" t="s">
        <v>853</v>
      </c>
      <c r="C324" s="24" t="s">
        <v>106</v>
      </c>
      <c r="D324" s="24" t="s">
        <v>72</v>
      </c>
      <c r="E324" s="24" t="s">
        <v>86</v>
      </c>
      <c r="F324" s="70">
        <v>5.4200780546012108E-4</v>
      </c>
      <c r="G324" s="24">
        <v>7.1215299999999999</v>
      </c>
      <c r="H324" s="24">
        <v>5.945017</v>
      </c>
      <c r="I324" s="24">
        <v>7.4089349999999996</v>
      </c>
      <c r="J324" s="24">
        <v>6.8103420000000003</v>
      </c>
      <c r="K324" s="24">
        <v>9.6606640000000006</v>
      </c>
      <c r="L324" s="24">
        <v>10.359059999999999</v>
      </c>
      <c r="M324" s="24">
        <v>0.29366999999999999</v>
      </c>
      <c r="N324" s="24">
        <v>1.3015587214279887</v>
      </c>
      <c r="O324" s="24">
        <v>2.5</v>
      </c>
      <c r="P324" s="24">
        <v>2.2580647589316944</v>
      </c>
      <c r="Q324" s="24">
        <v>3.7769328263624846</v>
      </c>
      <c r="R324" s="24">
        <v>7.32</v>
      </c>
      <c r="S324" s="24">
        <v>3.8527967446565361</v>
      </c>
      <c r="T324" s="21">
        <v>1</v>
      </c>
      <c r="U324" s="21" t="s">
        <v>141</v>
      </c>
      <c r="V324" s="70">
        <v>-2.9458371380573195E-2</v>
      </c>
      <c r="W324" s="70">
        <v>3.0541628619426803E-2</v>
      </c>
      <c r="X324" s="24">
        <v>1.1635053448657984</v>
      </c>
      <c r="Y324" s="24" t="s">
        <v>1839</v>
      </c>
      <c r="Z324" s="75">
        <v>5407.4059999999999</v>
      </c>
      <c r="AA324" t="s">
        <v>1415</v>
      </c>
      <c r="AB324" s="24">
        <v>5.1623931623931627</v>
      </c>
    </row>
    <row r="325" spans="1:28" x14ac:dyDescent="0.55000000000000004">
      <c r="A325" s="24" t="s">
        <v>544</v>
      </c>
      <c r="B325" s="24" t="s">
        <v>1055</v>
      </c>
      <c r="C325" s="24" t="s">
        <v>110</v>
      </c>
      <c r="D325" s="24" t="s">
        <v>72</v>
      </c>
      <c r="E325" s="24" t="s">
        <v>89</v>
      </c>
      <c r="F325" s="70">
        <v>5.411172263516575E-4</v>
      </c>
      <c r="G325" s="24">
        <v>7.7626619999999997</v>
      </c>
      <c r="H325" s="24">
        <v>6.3336579999999998</v>
      </c>
      <c r="I325" s="24">
        <v>8.2371160000000003</v>
      </c>
      <c r="J325" s="24">
        <v>7.4444790000000003</v>
      </c>
      <c r="K325" s="24">
        <v>2.3888060000000002</v>
      </c>
      <c r="L325" s="24">
        <v>3.8066019999999998</v>
      </c>
      <c r="M325" s="24">
        <v>65.421999999999997</v>
      </c>
      <c r="N325" s="24">
        <v>3.1942937888785918</v>
      </c>
      <c r="O325" s="24">
        <v>1.1000000000000001</v>
      </c>
      <c r="P325" s="24">
        <v>2.462462462462462</v>
      </c>
      <c r="Q325" s="24">
        <v>4.4918481629039402</v>
      </c>
      <c r="R325" s="24">
        <v>5.18</v>
      </c>
      <c r="S325" s="24">
        <v>2.8647121996895009</v>
      </c>
      <c r="T325" s="21">
        <v>1</v>
      </c>
      <c r="U325" s="21" t="s">
        <v>141</v>
      </c>
      <c r="V325" s="70">
        <v>-2.9458498284396274E-2</v>
      </c>
      <c r="W325" s="70">
        <v>3.0541501715603724E-2</v>
      </c>
      <c r="X325" s="24">
        <v>0.88564972098650596</v>
      </c>
      <c r="Y325" s="24" t="s">
        <v>1571</v>
      </c>
      <c r="Z325" s="75">
        <v>6598.9359999999997</v>
      </c>
      <c r="AA325" t="s">
        <v>1415</v>
      </c>
      <c r="AB325" s="24">
        <v>5.5190311418685125</v>
      </c>
    </row>
    <row r="326" spans="1:28" x14ac:dyDescent="0.55000000000000004">
      <c r="A326" s="24" t="s">
        <v>558</v>
      </c>
      <c r="B326" s="24" t="s">
        <v>1376</v>
      </c>
      <c r="C326" s="24" t="s">
        <v>112</v>
      </c>
      <c r="D326" s="24" t="s">
        <v>72</v>
      </c>
      <c r="E326" s="24" t="s">
        <v>96</v>
      </c>
      <c r="F326" s="70">
        <v>5.3967369474795563E-4</v>
      </c>
      <c r="G326" s="24">
        <v>7.7924069999999999</v>
      </c>
      <c r="H326" s="24">
        <v>7.4621209999999998</v>
      </c>
      <c r="I326" s="24">
        <v>7.8539089999999998</v>
      </c>
      <c r="J326" s="24">
        <v>7.6848939999999999</v>
      </c>
      <c r="K326" s="24">
        <v>1.582255</v>
      </c>
      <c r="L326" s="24">
        <v>4.2016619999999998</v>
      </c>
      <c r="M326" s="24">
        <v>12.0655</v>
      </c>
      <c r="N326" s="24">
        <v>7.1938774885464261</v>
      </c>
      <c r="O326" s="24">
        <v>3.8</v>
      </c>
      <c r="P326" s="24">
        <v>1.040723981900453</v>
      </c>
      <c r="Q326" s="24">
        <v>5.2167831949567391</v>
      </c>
      <c r="R326" s="24">
        <v>6.92</v>
      </c>
      <c r="S326" s="24">
        <v>5.8282971114912767</v>
      </c>
      <c r="T326" s="21">
        <v>1</v>
      </c>
      <c r="U326" s="21" t="s">
        <v>141</v>
      </c>
      <c r="V326" s="70">
        <v>-2.9460710794504113E-2</v>
      </c>
      <c r="W326" s="70">
        <v>3.0539289205495885E-2</v>
      </c>
      <c r="X326" s="24">
        <v>0.79682322152983298</v>
      </c>
      <c r="Y326" s="24" t="s">
        <v>1619</v>
      </c>
      <c r="Z326" s="75">
        <v>5666.3010000000004</v>
      </c>
      <c r="AA326" t="s">
        <v>1415</v>
      </c>
      <c r="AB326" s="24">
        <v>5.961871750433275</v>
      </c>
    </row>
    <row r="327" spans="1:28" x14ac:dyDescent="0.55000000000000004">
      <c r="A327" s="24" t="s">
        <v>568</v>
      </c>
      <c r="B327" s="24" t="s">
        <v>1260</v>
      </c>
      <c r="C327" s="24" t="s">
        <v>106</v>
      </c>
      <c r="D327" s="24" t="s">
        <v>72</v>
      </c>
      <c r="E327" s="24" t="s">
        <v>98</v>
      </c>
      <c r="F327" s="70">
        <v>5.3911033384882704E-4</v>
      </c>
      <c r="G327" s="24">
        <v>5.2352600000000002</v>
      </c>
      <c r="H327" s="24">
        <v>6.1638869999999999</v>
      </c>
      <c r="I327" s="24">
        <v>4.446612</v>
      </c>
      <c r="J327" s="24">
        <v>5.2772540000000001</v>
      </c>
      <c r="K327" s="24">
        <v>2.63584</v>
      </c>
      <c r="L327" s="24">
        <v>27.911249999999999</v>
      </c>
      <c r="M327" s="24">
        <v>1295.973</v>
      </c>
      <c r="N327" s="24">
        <v>5.6328321349269146</v>
      </c>
      <c r="O327" s="24">
        <v>8.9</v>
      </c>
      <c r="P327" s="24">
        <v>6.7701863354037268</v>
      </c>
      <c r="Q327" s="24">
        <v>8.3948534644321917</v>
      </c>
      <c r="R327" s="24">
        <v>0</v>
      </c>
      <c r="S327" s="24">
        <v>7.8963117071336484</v>
      </c>
      <c r="T327" s="21">
        <v>1</v>
      </c>
      <c r="U327" s="21" t="s">
        <v>1410</v>
      </c>
      <c r="V327" s="70">
        <v>-2.9461274155403241E-2</v>
      </c>
      <c r="W327" s="70">
        <v>3.0538725844596756E-2</v>
      </c>
      <c r="X327" s="24">
        <v>1.040881982871229</v>
      </c>
      <c r="Y327" s="24" t="s">
        <v>1442</v>
      </c>
      <c r="Z327" s="75">
        <v>5767.4030000000002</v>
      </c>
      <c r="AA327" t="s">
        <v>1415</v>
      </c>
      <c r="AB327" s="24">
        <v>5.9519725557461411</v>
      </c>
    </row>
    <row r="328" spans="1:28" x14ac:dyDescent="0.55000000000000004">
      <c r="A328" s="24" t="s">
        <v>534</v>
      </c>
      <c r="B328" s="24" t="s">
        <v>1367</v>
      </c>
      <c r="C328" s="24" t="s">
        <v>106</v>
      </c>
      <c r="D328" s="24" t="s">
        <v>72</v>
      </c>
      <c r="E328" s="24" t="s">
        <v>89</v>
      </c>
      <c r="F328" s="70">
        <v>5.3657862222221354E-4</v>
      </c>
      <c r="G328" s="24">
        <v>6.6333310000000001</v>
      </c>
      <c r="H328" s="24">
        <v>5.8635710000000003</v>
      </c>
      <c r="I328" s="24">
        <v>6.5863019999999999</v>
      </c>
      <c r="J328" s="24">
        <v>6.3882940000000001</v>
      </c>
      <c r="K328" s="24">
        <v>1.680712</v>
      </c>
      <c r="L328" s="24">
        <v>7.570354</v>
      </c>
      <c r="M328" s="24">
        <v>6.9207000000000001</v>
      </c>
      <c r="N328" s="24">
        <v>3.5552196431718324</v>
      </c>
      <c r="O328" s="24">
        <v>3.9</v>
      </c>
      <c r="P328" s="24">
        <v>7.9879879879879869</v>
      </c>
      <c r="Q328" s="24">
        <v>5.8680090748118641</v>
      </c>
      <c r="R328" s="24">
        <v>3.35</v>
      </c>
      <c r="S328" s="24">
        <v>6.5785293360637827</v>
      </c>
      <c r="T328" s="21">
        <v>1</v>
      </c>
      <c r="U328" s="21" t="s">
        <v>141</v>
      </c>
      <c r="V328" s="70">
        <v>-2.9463101550439161E-2</v>
      </c>
      <c r="W328" s="70">
        <v>3.0536898449560836E-2</v>
      </c>
      <c r="X328" s="24">
        <v>1.3829714901834944</v>
      </c>
      <c r="Y328" s="24" t="s">
        <v>1833</v>
      </c>
      <c r="Z328" s="75">
        <v>5669.3789999999999</v>
      </c>
      <c r="AA328" t="s">
        <v>1415</v>
      </c>
      <c r="AB328" s="24">
        <v>5.3460207612456747</v>
      </c>
    </row>
    <row r="329" spans="1:28" x14ac:dyDescent="0.55000000000000004">
      <c r="A329" s="24" t="s">
        <v>2029</v>
      </c>
      <c r="B329" s="24" t="s">
        <v>876</v>
      </c>
      <c r="C329" s="24" t="s">
        <v>106</v>
      </c>
      <c r="D329" s="24" t="s">
        <v>72</v>
      </c>
      <c r="E329" s="24" t="s">
        <v>94</v>
      </c>
      <c r="F329" s="70">
        <v>5.3184083711406069E-4</v>
      </c>
      <c r="G329" s="24">
        <v>7.2782989999999996</v>
      </c>
      <c r="H329" s="24">
        <v>7.3360580000000004</v>
      </c>
      <c r="I329" s="24">
        <v>3.3963540000000001</v>
      </c>
      <c r="J329" s="24">
        <v>6.003571</v>
      </c>
      <c r="K329" s="24">
        <v>4.5938400000000001</v>
      </c>
      <c r="L329" s="24">
        <v>7.6355789999999999</v>
      </c>
      <c r="M329" s="24">
        <v>6.4500999999999999</v>
      </c>
      <c r="N329" s="24">
        <v>2.5375940784762649</v>
      </c>
      <c r="O329" s="24">
        <v>5.5</v>
      </c>
      <c r="P329" s="24">
        <v>5.4658385093167716</v>
      </c>
      <c r="Q329" s="24">
        <v>5.5885422495043047</v>
      </c>
      <c r="R329" s="24">
        <v>6.4</v>
      </c>
      <c r="S329" s="24" t="e">
        <v>#N/A</v>
      </c>
      <c r="T329" s="21">
        <v>1</v>
      </c>
      <c r="U329" s="21" t="s">
        <v>141</v>
      </c>
      <c r="V329" s="70">
        <v>-2.946777467363387E-2</v>
      </c>
      <c r="W329" s="70">
        <v>3.0532225326366128E-2</v>
      </c>
      <c r="X329" s="24">
        <v>1.0019387588853788</v>
      </c>
      <c r="Y329" s="24" t="s">
        <v>1841</v>
      </c>
      <c r="Z329" s="75">
        <v>5617.5469999999996</v>
      </c>
      <c r="AA329" t="s">
        <v>1415</v>
      </c>
      <c r="AB329" s="24">
        <v>0</v>
      </c>
    </row>
    <row r="330" spans="1:28" x14ac:dyDescent="0.55000000000000004">
      <c r="A330" s="24" t="s">
        <v>497</v>
      </c>
      <c r="B330" s="24" t="s">
        <v>867</v>
      </c>
      <c r="C330" s="24" t="s">
        <v>108</v>
      </c>
      <c r="D330" s="24" t="s">
        <v>72</v>
      </c>
      <c r="E330" s="24" t="s">
        <v>92</v>
      </c>
      <c r="F330" s="70">
        <v>5.3036583037550055E-4</v>
      </c>
      <c r="G330" s="24">
        <v>7.3790959999999997</v>
      </c>
      <c r="H330" s="24">
        <v>6.379867</v>
      </c>
      <c r="I330" s="24">
        <v>4.1324730000000001</v>
      </c>
      <c r="J330" s="24">
        <v>6.2052630000000004</v>
      </c>
      <c r="K330" s="24">
        <v>11.156180000000001</v>
      </c>
      <c r="L330" s="24">
        <v>11.01829</v>
      </c>
      <c r="M330" s="24">
        <v>188.58420000000001</v>
      </c>
      <c r="N330" s="24">
        <v>5.6261058349323374</v>
      </c>
      <c r="O330" s="24">
        <v>5.8</v>
      </c>
      <c r="P330" s="24">
        <v>7.3658536585365866</v>
      </c>
      <c r="Q330" s="24">
        <v>7.2003803451583579</v>
      </c>
      <c r="R330" s="24">
        <v>8.26</v>
      </c>
      <c r="S330" s="24">
        <v>5.8158906768024288</v>
      </c>
      <c r="T330" s="21">
        <v>1</v>
      </c>
      <c r="U330" s="21" t="s">
        <v>141</v>
      </c>
      <c r="V330" s="70">
        <v>-2.9469249680372428E-2</v>
      </c>
      <c r="W330" s="70">
        <v>3.053075031962757E-2</v>
      </c>
      <c r="X330" s="24">
        <v>0.98748930447344352</v>
      </c>
      <c r="Y330" s="24" t="s">
        <v>1941</v>
      </c>
      <c r="Z330" s="75">
        <v>5887.7879999999996</v>
      </c>
      <c r="AA330" t="s">
        <v>1415</v>
      </c>
      <c r="AB330" s="24">
        <v>5.4940711462450595</v>
      </c>
    </row>
    <row r="331" spans="1:28" x14ac:dyDescent="0.55000000000000004">
      <c r="A331" s="24" t="s">
        <v>580</v>
      </c>
      <c r="B331" s="24" t="s">
        <v>989</v>
      </c>
      <c r="C331" s="24" t="s">
        <v>105</v>
      </c>
      <c r="D331" s="24" t="s">
        <v>72</v>
      </c>
      <c r="E331" s="24" t="s">
        <v>94</v>
      </c>
      <c r="F331" s="70">
        <v>5.296507947719337E-4</v>
      </c>
      <c r="G331" s="24">
        <v>6.4866210000000004</v>
      </c>
      <c r="H331" s="24">
        <v>7.9694960000000004</v>
      </c>
      <c r="I331" s="24">
        <v>7.3149949999999997</v>
      </c>
      <c r="J331" s="24">
        <v>7.1145459999999998</v>
      </c>
      <c r="K331" s="24">
        <v>1.2318</v>
      </c>
      <c r="L331" s="24">
        <v>5.8486799999999999</v>
      </c>
      <c r="M331" s="24">
        <v>27.337299999999999</v>
      </c>
      <c r="N331" s="24">
        <v>0.77913441922313709</v>
      </c>
      <c r="O331" s="24">
        <v>5.9</v>
      </c>
      <c r="P331" s="24">
        <v>2.604166666666667</v>
      </c>
      <c r="Q331" s="24">
        <v>7.7924553101997898</v>
      </c>
      <c r="R331" s="24">
        <v>3.61</v>
      </c>
      <c r="S331" s="24">
        <v>4.8336042154785916</v>
      </c>
      <c r="T331" s="21">
        <v>1</v>
      </c>
      <c r="U331" s="21" t="s">
        <v>141</v>
      </c>
      <c r="V331" s="70">
        <v>-2.9470733694480136E-2</v>
      </c>
      <c r="W331" s="70">
        <v>3.0529266305519862E-2</v>
      </c>
      <c r="X331" s="24">
        <v>1.3719272685701291</v>
      </c>
      <c r="Y331" s="24" t="s">
        <v>1971</v>
      </c>
      <c r="Z331" s="75">
        <v>5611.9170000000004</v>
      </c>
      <c r="AA331" t="s">
        <v>1415</v>
      </c>
      <c r="AB331" s="24">
        <v>5.4901960784313726</v>
      </c>
    </row>
    <row r="332" spans="1:28" x14ac:dyDescent="0.55000000000000004">
      <c r="A332" s="24" t="s">
        <v>554</v>
      </c>
      <c r="B332" s="24" t="s">
        <v>947</v>
      </c>
      <c r="C332" s="24" t="s">
        <v>105</v>
      </c>
      <c r="D332" s="24" t="s">
        <v>72</v>
      </c>
      <c r="E332" s="24" t="s">
        <v>94</v>
      </c>
      <c r="F332" s="70">
        <v>5.2794545020415091E-4</v>
      </c>
      <c r="G332" s="24">
        <v>8.2031259999999993</v>
      </c>
      <c r="H332" s="24">
        <v>8.4277069999999998</v>
      </c>
      <c r="I332" s="24">
        <v>3.4365770000000002</v>
      </c>
      <c r="J332" s="24">
        <v>6.3414229999999998</v>
      </c>
      <c r="K332" s="24">
        <v>1.1540459999999999</v>
      </c>
      <c r="L332" s="24">
        <v>3.9131770000000001</v>
      </c>
      <c r="M332" s="24">
        <v>131.01329999999999</v>
      </c>
      <c r="N332" s="24">
        <v>7.7583352762189026</v>
      </c>
      <c r="O332" s="24">
        <v>2.1</v>
      </c>
      <c r="P332" s="24">
        <v>6.875</v>
      </c>
      <c r="Q332" s="24">
        <v>0.23922187171398523</v>
      </c>
      <c r="R332" s="24">
        <v>3.44</v>
      </c>
      <c r="S332" s="24">
        <v>3.1344206845654821</v>
      </c>
      <c r="T332" s="21">
        <v>1</v>
      </c>
      <c r="U332" s="21" t="s">
        <v>141</v>
      </c>
      <c r="V332" s="70">
        <v>-2.9471670060543777E-2</v>
      </c>
      <c r="W332" s="70">
        <v>3.0528329939456221E-2</v>
      </c>
      <c r="X332" s="24">
        <v>1.4748380737903017</v>
      </c>
      <c r="Y332" s="24" t="s">
        <v>1978</v>
      </c>
      <c r="Z332" s="75">
        <v>5475.9650000000001</v>
      </c>
      <c r="AA332" t="s">
        <v>1415</v>
      </c>
      <c r="AB332" s="24">
        <v>4.9237472766884531</v>
      </c>
    </row>
    <row r="333" spans="1:28" x14ac:dyDescent="0.55000000000000004">
      <c r="A333" s="24" t="s">
        <v>567</v>
      </c>
      <c r="B333" s="24" t="s">
        <v>962</v>
      </c>
      <c r="C333" s="24" t="s">
        <v>110</v>
      </c>
      <c r="D333" s="24" t="s">
        <v>72</v>
      </c>
      <c r="E333" s="24" t="s">
        <v>87</v>
      </c>
      <c r="F333" s="70">
        <v>5.2740395657945916E-4</v>
      </c>
      <c r="G333" s="24">
        <v>6.5246579999999996</v>
      </c>
      <c r="H333" s="24">
        <v>4.3878349999999999</v>
      </c>
      <c r="I333" s="24">
        <v>5.87371</v>
      </c>
      <c r="J333" s="24">
        <v>5.6883270000000001</v>
      </c>
      <c r="K333" s="24">
        <v>1.849926</v>
      </c>
      <c r="L333" s="24">
        <v>4.1878349999999998</v>
      </c>
      <c r="M333" s="24">
        <v>56.080800000000004</v>
      </c>
      <c r="N333" s="24">
        <v>4.351756311998491</v>
      </c>
      <c r="O333" s="24">
        <v>4.0999999999999996</v>
      </c>
      <c r="P333" s="24">
        <v>3.3891213389121337</v>
      </c>
      <c r="Q333" s="24">
        <v>4.397950018492101</v>
      </c>
      <c r="R333" s="24">
        <v>3.19</v>
      </c>
      <c r="S333" s="24">
        <v>2.4419980946452444</v>
      </c>
      <c r="T333" s="21">
        <v>1</v>
      </c>
      <c r="U333" s="21" t="s">
        <v>141</v>
      </c>
      <c r="V333" s="70">
        <v>-2.9472917080761073E-2</v>
      </c>
      <c r="W333" s="70">
        <v>3.0527082919238925E-2</v>
      </c>
      <c r="X333" s="24">
        <v>2.7298381480074907E-2</v>
      </c>
      <c r="Y333" s="24" t="s">
        <v>1530</v>
      </c>
      <c r="Z333" s="75">
        <v>5912.643</v>
      </c>
      <c r="AA333" t="s">
        <v>1415</v>
      </c>
      <c r="AB333" s="24">
        <v>6.2522202486678511</v>
      </c>
    </row>
    <row r="334" spans="1:28" x14ac:dyDescent="0.55000000000000004">
      <c r="A334" s="24" t="s">
        <v>537</v>
      </c>
      <c r="B334" s="24" t="s">
        <v>1258</v>
      </c>
      <c r="C334" s="24" t="s">
        <v>106</v>
      </c>
      <c r="D334" s="24" t="s">
        <v>72</v>
      </c>
      <c r="E334" s="24" t="s">
        <v>90</v>
      </c>
      <c r="F334" s="70">
        <v>5.269382561170191E-4</v>
      </c>
      <c r="G334" s="24">
        <v>7.0267470000000003</v>
      </c>
      <c r="H334" s="24">
        <v>6.7447520000000001</v>
      </c>
      <c r="I334" s="24">
        <v>5.5479200000000004</v>
      </c>
      <c r="J334" s="24">
        <v>6.4104599999999996</v>
      </c>
      <c r="K334" s="24">
        <v>9.6448959999999992</v>
      </c>
      <c r="L334" s="24">
        <v>6.0348629999999996</v>
      </c>
      <c r="M334" s="24">
        <v>0.4758</v>
      </c>
      <c r="N334" s="24">
        <v>1.6796522309648134</v>
      </c>
      <c r="O334" s="24">
        <v>2.4</v>
      </c>
      <c r="P334" s="24">
        <v>3.2078852911704612</v>
      </c>
      <c r="Q334" s="24">
        <v>5.4907759470497117</v>
      </c>
      <c r="R334" s="24">
        <v>5.48</v>
      </c>
      <c r="S334" s="24">
        <v>2.8620225240308654</v>
      </c>
      <c r="T334" s="21">
        <v>1</v>
      </c>
      <c r="U334" s="21" t="s">
        <v>141</v>
      </c>
      <c r="V334" s="70">
        <v>-2.947298053267261E-2</v>
      </c>
      <c r="W334" s="70">
        <v>3.0527019467327388E-2</v>
      </c>
      <c r="X334" s="24">
        <v>1.2432276155778366</v>
      </c>
      <c r="Y334" s="24" t="s">
        <v>1834</v>
      </c>
      <c r="Z334" s="75">
        <v>5031.66</v>
      </c>
      <c r="AA334" t="s">
        <v>1415</v>
      </c>
      <c r="AB334" s="24">
        <v>5.3846153846153841</v>
      </c>
    </row>
    <row r="335" spans="1:28" x14ac:dyDescent="0.55000000000000004">
      <c r="A335" s="24" t="s">
        <v>532</v>
      </c>
      <c r="B335" s="24" t="s">
        <v>1053</v>
      </c>
      <c r="C335" s="24" t="s">
        <v>105</v>
      </c>
      <c r="D335" s="24" t="s">
        <v>72</v>
      </c>
      <c r="E335" s="24" t="s">
        <v>97</v>
      </c>
      <c r="F335" s="70">
        <v>5.2669842998685833E-4</v>
      </c>
      <c r="G335" s="24">
        <v>6.5180939999999996</v>
      </c>
      <c r="H335" s="24">
        <v>5.7362929999999999</v>
      </c>
      <c r="I335" s="24">
        <v>5.3749399999999996</v>
      </c>
      <c r="J335" s="24">
        <v>5.8764419999999999</v>
      </c>
      <c r="K335" s="24">
        <v>6.1076730000000001</v>
      </c>
      <c r="L335" s="24">
        <v>6.5039530000000001</v>
      </c>
      <c r="M335" s="24">
        <v>18.0596</v>
      </c>
      <c r="N335" s="24">
        <v>5.2930510396948014</v>
      </c>
      <c r="O335" s="24">
        <v>9.1999999999999993</v>
      </c>
      <c r="P335" s="24">
        <v>7.2556390977443597</v>
      </c>
      <c r="Q335" s="24">
        <v>1.8529321213444458</v>
      </c>
      <c r="R335" s="24">
        <v>6.78</v>
      </c>
      <c r="S335" s="24">
        <v>4.8623336599464952</v>
      </c>
      <c r="T335" s="21">
        <v>1</v>
      </c>
      <c r="U335" s="21" t="s">
        <v>141</v>
      </c>
      <c r="V335" s="70">
        <v>-2.9473375355686834E-2</v>
      </c>
      <c r="W335" s="70">
        <v>3.0526624644313164E-2</v>
      </c>
      <c r="X335" s="24">
        <v>0.509065667220163</v>
      </c>
      <c r="Y335" s="24" t="s">
        <v>1979</v>
      </c>
      <c r="Z335" s="75">
        <v>5321.8090000000002</v>
      </c>
      <c r="AA335" t="s">
        <v>1415</v>
      </c>
      <c r="AB335" s="24">
        <v>5.2714535901926443</v>
      </c>
    </row>
    <row r="336" spans="1:28" x14ac:dyDescent="0.55000000000000004">
      <c r="A336" s="24" t="s">
        <v>542</v>
      </c>
      <c r="B336" s="24" t="s">
        <v>969</v>
      </c>
      <c r="C336" s="24" t="s">
        <v>112</v>
      </c>
      <c r="D336" s="24" t="s">
        <v>72</v>
      </c>
      <c r="E336" s="24" t="s">
        <v>96</v>
      </c>
      <c r="F336" s="70">
        <v>5.2286859670795378E-4</v>
      </c>
      <c r="G336" s="24">
        <v>3.8872680000000002</v>
      </c>
      <c r="H336" s="24">
        <v>5.4784800000000002</v>
      </c>
      <c r="I336" s="24">
        <v>6.1959629999999999</v>
      </c>
      <c r="J336" s="24">
        <v>5.1872369999999997</v>
      </c>
      <c r="K336" s="24">
        <v>0.57022450000000002</v>
      </c>
      <c r="L336" s="24">
        <v>1.9864869999999999</v>
      </c>
      <c r="M336" s="24">
        <v>0.80561000000000005</v>
      </c>
      <c r="N336" s="24">
        <v>7.4311239655355044</v>
      </c>
      <c r="O336" s="24">
        <v>5.6</v>
      </c>
      <c r="P336" s="24">
        <v>6.3348416289592766</v>
      </c>
      <c r="Q336" s="24">
        <v>1.7202538340772562</v>
      </c>
      <c r="R336" s="24">
        <v>3.37</v>
      </c>
      <c r="S336" s="24">
        <v>3.3009135394454243</v>
      </c>
      <c r="T336" s="21">
        <v>1</v>
      </c>
      <c r="U336" s="21" t="s">
        <v>141</v>
      </c>
      <c r="V336" s="70">
        <v>-2.9476746914039977E-2</v>
      </c>
      <c r="W336" s="70">
        <v>3.0523253085960021E-2</v>
      </c>
      <c r="X336" s="24">
        <v>1.0988642995293962</v>
      </c>
      <c r="Y336" s="24" t="s">
        <v>1598</v>
      </c>
      <c r="Z336" s="75">
        <v>5029.17</v>
      </c>
      <c r="AA336" t="s">
        <v>1415</v>
      </c>
      <c r="AB336" s="24">
        <v>5.6845753899480069</v>
      </c>
    </row>
    <row r="337" spans="1:28" x14ac:dyDescent="0.55000000000000004">
      <c r="A337" s="24" t="s">
        <v>595</v>
      </c>
      <c r="B337" s="24" t="s">
        <v>1317</v>
      </c>
      <c r="C337" s="24" t="s">
        <v>106</v>
      </c>
      <c r="D337" s="24" t="s">
        <v>72</v>
      </c>
      <c r="E337" s="24" t="s">
        <v>98</v>
      </c>
      <c r="F337" s="70">
        <v>5.2065778799206277E-4</v>
      </c>
      <c r="G337" s="24">
        <v>7.9159309999999996</v>
      </c>
      <c r="H337" s="24">
        <v>7.0274679999999998</v>
      </c>
      <c r="I337" s="24">
        <v>5.1462709999999996</v>
      </c>
      <c r="J337" s="24">
        <v>6.4526820000000003</v>
      </c>
      <c r="K337" s="24">
        <v>2.472324</v>
      </c>
      <c r="L337" s="24">
        <v>2.812656</v>
      </c>
      <c r="M337" s="24">
        <v>5.8253000000000004</v>
      </c>
      <c r="N337" s="24">
        <v>2.9323309156349513</v>
      </c>
      <c r="O337" s="24">
        <v>1.4</v>
      </c>
      <c r="P337" s="24">
        <v>1.1180124223602486</v>
      </c>
      <c r="Q337" s="24">
        <v>4.454101094603037</v>
      </c>
      <c r="R337" s="24">
        <v>3.86</v>
      </c>
      <c r="S337" s="24">
        <v>1.5695145037925906</v>
      </c>
      <c r="T337" s="21">
        <v>1</v>
      </c>
      <c r="U337" s="21" t="s">
        <v>141</v>
      </c>
      <c r="V337" s="70">
        <v>-2.9478957722755866E-2</v>
      </c>
      <c r="W337" s="70">
        <v>3.0521042277244132E-2</v>
      </c>
      <c r="X337" s="24">
        <v>1.3992241468776863</v>
      </c>
      <c r="Y337" s="24" t="s">
        <v>1867</v>
      </c>
      <c r="Z337" s="75">
        <v>5580.6530000000002</v>
      </c>
      <c r="AA337" t="s">
        <v>1415</v>
      </c>
      <c r="AB337" s="24">
        <v>6.415094339622641</v>
      </c>
    </row>
    <row r="338" spans="1:28" x14ac:dyDescent="0.55000000000000004">
      <c r="A338" s="24" t="s">
        <v>543</v>
      </c>
      <c r="B338" s="24" t="s">
        <v>866</v>
      </c>
      <c r="C338" s="24" t="s">
        <v>106</v>
      </c>
      <c r="D338" s="24" t="s">
        <v>72</v>
      </c>
      <c r="E338" s="24" t="s">
        <v>90</v>
      </c>
      <c r="F338" s="70">
        <v>5.1871189601093693E-4</v>
      </c>
      <c r="G338" s="24">
        <v>4.2243789999999999</v>
      </c>
      <c r="H338" s="24">
        <v>6.0062689999999996</v>
      </c>
      <c r="I338" s="24">
        <v>5.1322270000000003</v>
      </c>
      <c r="J338" s="24">
        <v>5.165788</v>
      </c>
      <c r="K338" s="24">
        <v>1.821763</v>
      </c>
      <c r="L338" s="24">
        <v>22.646650000000001</v>
      </c>
      <c r="M338" s="24">
        <v>0.32908999999999999</v>
      </c>
      <c r="N338" s="24">
        <v>3.305454321973158</v>
      </c>
      <c r="O338" s="24">
        <v>8.1</v>
      </c>
      <c r="P338" s="24">
        <v>8.9516138657649318</v>
      </c>
      <c r="Q338" s="24">
        <v>7.513026334319111</v>
      </c>
      <c r="R338" s="24">
        <v>0.89</v>
      </c>
      <c r="S338" s="24">
        <v>7.1903696902894918</v>
      </c>
      <c r="T338" s="21">
        <v>1</v>
      </c>
      <c r="U338" s="21" t="s">
        <v>117</v>
      </c>
      <c r="V338" s="70">
        <v>-2.9480903614736993E-2</v>
      </c>
      <c r="W338" s="70">
        <v>3.0519096385263005E-2</v>
      </c>
      <c r="X338" s="24">
        <v>1.0002755407100552</v>
      </c>
      <c r="Y338" s="24" t="s">
        <v>1479</v>
      </c>
      <c r="Z338" s="75">
        <v>5913.9260000000004</v>
      </c>
      <c r="AA338" t="s">
        <v>1415</v>
      </c>
      <c r="AB338" s="24">
        <v>5.4871794871794872</v>
      </c>
    </row>
    <row r="339" spans="1:28" x14ac:dyDescent="0.55000000000000004">
      <c r="A339" s="24" t="s">
        <v>541</v>
      </c>
      <c r="B339" s="24" t="s">
        <v>994</v>
      </c>
      <c r="C339" s="24" t="s">
        <v>161</v>
      </c>
      <c r="D339" s="24" t="s">
        <v>72</v>
      </c>
      <c r="E339" s="24" t="s">
        <v>82</v>
      </c>
      <c r="F339" s="70">
        <v>5.1251372513796945E-4</v>
      </c>
      <c r="G339" s="24">
        <v>7.6865810000000003</v>
      </c>
      <c r="H339" s="24">
        <v>7.5932050000000002</v>
      </c>
      <c r="I339" s="24">
        <v>5.7301270000000004</v>
      </c>
      <c r="J339" s="24">
        <v>6.9691409999999996</v>
      </c>
      <c r="K339" s="24">
        <v>7.3121359999999997</v>
      </c>
      <c r="L339" s="24">
        <v>17.82001</v>
      </c>
      <c r="M339" s="24">
        <v>18.0305</v>
      </c>
      <c r="N339" s="24">
        <v>7.9239229112705258</v>
      </c>
      <c r="O339" s="24">
        <v>8.1</v>
      </c>
      <c r="P339" s="24">
        <v>5.6881726546422211</v>
      </c>
      <c r="Q339" s="24">
        <v>6.9947894662723575</v>
      </c>
      <c r="R339" s="24">
        <v>8.5299999999999994</v>
      </c>
      <c r="S339" s="24">
        <v>7.3486976402747697</v>
      </c>
      <c r="T339" s="21">
        <v>1</v>
      </c>
      <c r="U339" s="21" t="s">
        <v>117</v>
      </c>
      <c r="V339" s="70">
        <v>-2.9487101785609961E-2</v>
      </c>
      <c r="W339" s="70">
        <v>3.0512898214390037E-2</v>
      </c>
      <c r="X339" s="24">
        <v>1.2496539477103925</v>
      </c>
      <c r="Y339" s="24" t="s">
        <v>1507</v>
      </c>
      <c r="Z339" s="75">
        <v>5307.3180000000002</v>
      </c>
      <c r="AA339" t="s">
        <v>1415</v>
      </c>
      <c r="AB339" s="24">
        <v>5.4529914529914523</v>
      </c>
    </row>
    <row r="340" spans="1:28" x14ac:dyDescent="0.55000000000000004">
      <c r="A340" s="24" t="s">
        <v>559</v>
      </c>
      <c r="B340" s="24" t="s">
        <v>944</v>
      </c>
      <c r="C340" s="24" t="s">
        <v>105</v>
      </c>
      <c r="D340" s="24" t="s">
        <v>72</v>
      </c>
      <c r="E340" s="24" t="s">
        <v>87</v>
      </c>
      <c r="F340" s="70">
        <v>5.1066040889528679E-4</v>
      </c>
      <c r="G340" s="24">
        <v>7.1676089999999997</v>
      </c>
      <c r="H340" s="24">
        <v>6.1993910000000003</v>
      </c>
      <c r="I340" s="24">
        <v>5.4113920000000002</v>
      </c>
      <c r="J340" s="24">
        <v>6.3502789999999996</v>
      </c>
      <c r="K340" s="24">
        <v>1.490715</v>
      </c>
      <c r="L340" s="24">
        <v>5.9398869999999997</v>
      </c>
      <c r="M340" s="24">
        <v>27.619299999999999</v>
      </c>
      <c r="N340" s="24">
        <v>3.8458352858576643</v>
      </c>
      <c r="O340" s="24">
        <v>8.6</v>
      </c>
      <c r="P340" s="24">
        <v>8.1171548117154817</v>
      </c>
      <c r="Q340" s="24">
        <v>2.6200665715644322</v>
      </c>
      <c r="R340" s="24">
        <v>3.82</v>
      </c>
      <c r="S340" s="24">
        <v>4.574312320963335</v>
      </c>
      <c r="T340" s="21">
        <v>1</v>
      </c>
      <c r="U340" s="21" t="s">
        <v>141</v>
      </c>
      <c r="V340" s="70">
        <v>-2.9488955101852642E-2</v>
      </c>
      <c r="W340" s="70">
        <v>3.0511044898147356E-2</v>
      </c>
      <c r="X340" s="24">
        <v>0.68007051441337851</v>
      </c>
      <c r="Y340" s="24" t="s">
        <v>1989</v>
      </c>
      <c r="Z340" s="75">
        <v>5118.9340000000002</v>
      </c>
      <c r="AA340" t="s">
        <v>1415</v>
      </c>
      <c r="AB340" s="24">
        <v>6.1101243339254001</v>
      </c>
    </row>
    <row r="341" spans="1:28" x14ac:dyDescent="0.55000000000000004">
      <c r="A341" s="24" t="s">
        <v>570</v>
      </c>
      <c r="B341" s="24" t="s">
        <v>1162</v>
      </c>
      <c r="C341" s="24" t="s">
        <v>110</v>
      </c>
      <c r="D341" s="24" t="s">
        <v>72</v>
      </c>
      <c r="E341" s="24" t="s">
        <v>90</v>
      </c>
      <c r="F341" s="70">
        <v>5.0781743237196986E-4</v>
      </c>
      <c r="G341" s="24">
        <v>4.0651029999999997</v>
      </c>
      <c r="H341" s="24">
        <v>4.3859339999999998</v>
      </c>
      <c r="I341" s="24">
        <v>3.364684</v>
      </c>
      <c r="J341" s="24">
        <v>3.9322469999999998</v>
      </c>
      <c r="K341" s="24">
        <v>4.5889290000000003</v>
      </c>
      <c r="L341" s="24">
        <v>8.5838140000000003</v>
      </c>
      <c r="M341" s="24">
        <v>1.4787999999999999</v>
      </c>
      <c r="N341" s="24">
        <v>3.5128324249694041</v>
      </c>
      <c r="O341" s="24">
        <v>4.3</v>
      </c>
      <c r="P341" s="24">
        <v>1.505376505954463</v>
      </c>
      <c r="Q341" s="24">
        <v>3.6731908181946205</v>
      </c>
      <c r="R341" s="24">
        <v>5.2</v>
      </c>
      <c r="S341" s="24">
        <v>3.5412216664139411</v>
      </c>
      <c r="T341" s="21">
        <v>1</v>
      </c>
      <c r="U341" s="21" t="s">
        <v>141</v>
      </c>
      <c r="V341" s="70">
        <v>-2.9492567056880099E-2</v>
      </c>
      <c r="W341" s="70">
        <v>3.0507432943119899E-2</v>
      </c>
      <c r="X341" s="24">
        <v>0.58152633877022475</v>
      </c>
      <c r="Y341" s="24" t="s">
        <v>1572</v>
      </c>
      <c r="Z341" s="75">
        <v>5387.3869999999997</v>
      </c>
      <c r="AA341" t="s">
        <v>1415</v>
      </c>
      <c r="AB341" s="24">
        <v>5.9487179487179489</v>
      </c>
    </row>
    <row r="342" spans="1:28" x14ac:dyDescent="0.55000000000000004">
      <c r="A342" s="24" t="s">
        <v>538</v>
      </c>
      <c r="B342" s="24" t="s">
        <v>1148</v>
      </c>
      <c r="C342" s="24" t="s">
        <v>105</v>
      </c>
      <c r="D342" s="24" t="s">
        <v>72</v>
      </c>
      <c r="E342" s="24" t="s">
        <v>89</v>
      </c>
      <c r="F342" s="70">
        <v>5.0382131366665829E-4</v>
      </c>
      <c r="G342" s="24">
        <v>4.418838</v>
      </c>
      <c r="H342" s="24">
        <v>4.5064770000000003</v>
      </c>
      <c r="I342" s="24">
        <v>4.4092570000000002</v>
      </c>
      <c r="J342" s="24">
        <v>4.4422550000000003</v>
      </c>
      <c r="K342" s="24">
        <v>0.88915509999999998</v>
      </c>
      <c r="L342" s="24">
        <v>3.3797809999999999</v>
      </c>
      <c r="M342" s="24">
        <v>0.57323000000000002</v>
      </c>
      <c r="N342" s="24">
        <v>5.3771344120538398</v>
      </c>
      <c r="O342" s="24">
        <v>8.9</v>
      </c>
      <c r="P342" s="24">
        <v>4.804804804804804</v>
      </c>
      <c r="Q342" s="24">
        <v>2.4666146525011072</v>
      </c>
      <c r="R342" s="24">
        <v>2.88</v>
      </c>
      <c r="S342" s="24">
        <v>2.3776928339798178</v>
      </c>
      <c r="T342" s="21">
        <v>1</v>
      </c>
      <c r="U342" s="21" t="s">
        <v>141</v>
      </c>
      <c r="V342" s="70">
        <v>-2.949579419708127E-2</v>
      </c>
      <c r="W342" s="70">
        <v>3.0504205802918728E-2</v>
      </c>
      <c r="X342" s="24">
        <v>1.9154609801556468</v>
      </c>
      <c r="Y342" s="24" t="s">
        <v>2001</v>
      </c>
      <c r="Z342" s="75">
        <v>6017.7489999999998</v>
      </c>
      <c r="AA342" t="s">
        <v>1415</v>
      </c>
      <c r="AB342" s="24">
        <v>5.4152249134948089</v>
      </c>
    </row>
    <row r="343" spans="1:28" x14ac:dyDescent="0.55000000000000004">
      <c r="A343" s="24" t="s">
        <v>563</v>
      </c>
      <c r="B343" s="24" t="s">
        <v>1071</v>
      </c>
      <c r="C343" s="24" t="s">
        <v>177</v>
      </c>
      <c r="D343" s="24" t="s">
        <v>72</v>
      </c>
      <c r="E343" s="24" t="s">
        <v>95</v>
      </c>
      <c r="F343" s="70">
        <v>5.0102406402193736E-4</v>
      </c>
      <c r="G343" s="24">
        <v>7.595478</v>
      </c>
      <c r="H343" s="24">
        <v>6.9990019999999999</v>
      </c>
      <c r="I343" s="24">
        <v>3.1723379999999999</v>
      </c>
      <c r="J343" s="24">
        <v>5.587631</v>
      </c>
      <c r="K343" s="24">
        <v>4.7951990000000002</v>
      </c>
      <c r="L343" s="24">
        <v>6.0012100000000004</v>
      </c>
      <c r="M343" s="24">
        <v>14.715199999999999</v>
      </c>
      <c r="N343" s="24">
        <v>0</v>
      </c>
      <c r="O343" s="24">
        <v>3.8</v>
      </c>
      <c r="P343" s="24">
        <v>5.6903765690376575</v>
      </c>
      <c r="Q343" s="24">
        <v>6.3500110952607383</v>
      </c>
      <c r="R343" s="24">
        <v>6.73</v>
      </c>
      <c r="S343" s="24">
        <v>4.8099862914378591</v>
      </c>
      <c r="T343" s="21">
        <v>1</v>
      </c>
      <c r="U343" s="21" t="s">
        <v>141</v>
      </c>
      <c r="V343" s="70">
        <v>-2.9499212593753973E-2</v>
      </c>
      <c r="W343" s="70">
        <v>3.0500787406246024E-2</v>
      </c>
      <c r="X343" s="24">
        <v>0.86046045852627462</v>
      </c>
      <c r="Y343" s="24" t="s">
        <v>1683</v>
      </c>
      <c r="Z343" s="75">
        <v>5183.125</v>
      </c>
      <c r="AA343" t="s">
        <v>1415</v>
      </c>
      <c r="AB343" s="24">
        <v>6.1811722912966252</v>
      </c>
    </row>
    <row r="344" spans="1:28" x14ac:dyDescent="0.55000000000000004">
      <c r="A344" s="24" t="s">
        <v>586</v>
      </c>
      <c r="B344" s="24" t="s">
        <v>950</v>
      </c>
      <c r="C344" s="24" t="s">
        <v>107</v>
      </c>
      <c r="D344" s="24" t="s">
        <v>72</v>
      </c>
      <c r="E344" s="24" t="s">
        <v>89</v>
      </c>
      <c r="F344" s="70">
        <v>4.9960111040095218E-4</v>
      </c>
      <c r="G344" s="24">
        <v>8.5304070000000003</v>
      </c>
      <c r="H344" s="24">
        <v>6.9813939999999999</v>
      </c>
      <c r="I344" s="24">
        <v>6.0247409999999997</v>
      </c>
      <c r="J344" s="24">
        <v>7.3140029999999996</v>
      </c>
      <c r="K344" s="24">
        <v>4.6399699999999999</v>
      </c>
      <c r="L344" s="24">
        <v>9.8825299999999991</v>
      </c>
      <c r="M344" s="24">
        <v>6.1642999999999999</v>
      </c>
      <c r="N344" s="24">
        <v>4.7374102123444901</v>
      </c>
      <c r="O344" s="24">
        <v>1.8</v>
      </c>
      <c r="P344" s="24">
        <v>4.684684684684683</v>
      </c>
      <c r="Q344" s="24">
        <v>9.2943038955289978</v>
      </c>
      <c r="R344" s="24">
        <v>6.42</v>
      </c>
      <c r="S344" s="24">
        <v>6.4315205124951724</v>
      </c>
      <c r="T344" s="21">
        <v>1</v>
      </c>
      <c r="U344" s="21" t="s">
        <v>141</v>
      </c>
      <c r="V344" s="70">
        <v>-2.9500783378851116E-2</v>
      </c>
      <c r="W344" s="70">
        <v>3.0499216621148881E-2</v>
      </c>
      <c r="X344" s="24">
        <v>1.784169043617805</v>
      </c>
      <c r="Y344" s="24" t="s">
        <v>1743</v>
      </c>
      <c r="Z344" s="75">
        <v>6098.16</v>
      </c>
      <c r="AA344" t="s">
        <v>1415</v>
      </c>
      <c r="AB344" s="24">
        <v>6.2456747404844295</v>
      </c>
    </row>
    <row r="345" spans="1:28" x14ac:dyDescent="0.55000000000000004">
      <c r="A345" s="24" t="s">
        <v>581</v>
      </c>
      <c r="B345" s="24" t="s">
        <v>1183</v>
      </c>
      <c r="C345" s="24" t="s">
        <v>105</v>
      </c>
      <c r="D345" s="24" t="s">
        <v>72</v>
      </c>
      <c r="E345" s="24" t="s">
        <v>94</v>
      </c>
      <c r="F345" s="70">
        <v>4.986705490863145E-4</v>
      </c>
      <c r="G345" s="24">
        <v>5.1452939999999998</v>
      </c>
      <c r="H345" s="24">
        <v>6.2985699999999998</v>
      </c>
      <c r="I345" s="24">
        <v>4.5714240000000004</v>
      </c>
      <c r="J345" s="24">
        <v>5.146401</v>
      </c>
      <c r="K345" s="24">
        <v>0</v>
      </c>
      <c r="L345" s="24">
        <v>6.0960619999999999</v>
      </c>
      <c r="M345" s="24">
        <v>82.724599999999995</v>
      </c>
      <c r="N345" s="24">
        <v>2.9712778455779358</v>
      </c>
      <c r="O345" s="24">
        <v>9.1999999999999993</v>
      </c>
      <c r="P345" s="24">
        <v>1.25</v>
      </c>
      <c r="Q345" s="24">
        <v>4.7926524710830698</v>
      </c>
      <c r="R345" s="24">
        <v>0</v>
      </c>
      <c r="S345" s="24">
        <v>4.0897631365918841</v>
      </c>
      <c r="T345" s="21">
        <v>1</v>
      </c>
      <c r="U345" s="21" t="s">
        <v>141</v>
      </c>
      <c r="V345" s="70">
        <v>-2.9501713940165753E-2</v>
      </c>
      <c r="W345" s="70">
        <v>3.0498286059834245E-2</v>
      </c>
      <c r="X345" s="24">
        <v>1.6665166134922749</v>
      </c>
      <c r="Y345" s="24" t="s">
        <v>2008</v>
      </c>
      <c r="Z345" s="75">
        <v>4998.0479999999998</v>
      </c>
      <c r="AA345" t="s">
        <v>1414</v>
      </c>
      <c r="AB345" s="24">
        <v>5.5119825708060999</v>
      </c>
    </row>
    <row r="346" spans="1:28" x14ac:dyDescent="0.55000000000000004">
      <c r="A346" s="24" t="s">
        <v>540</v>
      </c>
      <c r="B346" s="24" t="s">
        <v>1350</v>
      </c>
      <c r="C346" s="24" t="s">
        <v>161</v>
      </c>
      <c r="D346" s="24" t="s">
        <v>72</v>
      </c>
      <c r="E346" s="24" t="s">
        <v>92</v>
      </c>
      <c r="F346" s="70">
        <v>4.9697090918565732E-4</v>
      </c>
      <c r="G346" s="24">
        <v>7.1156059999999997</v>
      </c>
      <c r="H346" s="24">
        <v>7.1468829999999999</v>
      </c>
      <c r="I346" s="24">
        <v>6.5756249999999996</v>
      </c>
      <c r="J346" s="24">
        <v>6.959867</v>
      </c>
      <c r="K346" s="24">
        <v>11.39207</v>
      </c>
      <c r="L346" s="24">
        <v>16.279579999999999</v>
      </c>
      <c r="M346" s="24">
        <v>419.43099999999998</v>
      </c>
      <c r="N346" s="24">
        <v>3.276548832621939</v>
      </c>
      <c r="O346" s="24">
        <v>3</v>
      </c>
      <c r="P346" s="24">
        <v>4.48780487804878</v>
      </c>
      <c r="Q346" s="24">
        <v>9.8815989907817769</v>
      </c>
      <c r="R346" s="24">
        <v>7.5</v>
      </c>
      <c r="S346" s="24">
        <v>7.4144228627995288</v>
      </c>
      <c r="T346" s="21">
        <v>1</v>
      </c>
      <c r="U346" s="21" t="s">
        <v>117</v>
      </c>
      <c r="V346" s="70">
        <v>-2.950264460156227E-2</v>
      </c>
      <c r="W346" s="70">
        <v>3.0497355398437728E-2</v>
      </c>
      <c r="X346" s="24">
        <v>0.63514267477455566</v>
      </c>
      <c r="Y346" s="24" t="s">
        <v>1504</v>
      </c>
      <c r="Z346" s="75">
        <v>5443.6409999999996</v>
      </c>
      <c r="AA346" t="s">
        <v>1415</v>
      </c>
      <c r="AB346" s="24">
        <v>6.3438735177865615</v>
      </c>
    </row>
    <row r="347" spans="1:28" x14ac:dyDescent="0.55000000000000004">
      <c r="A347" s="24" t="s">
        <v>545</v>
      </c>
      <c r="B347" s="24" t="s">
        <v>1300</v>
      </c>
      <c r="C347" s="24" t="s">
        <v>106</v>
      </c>
      <c r="D347" s="24" t="s">
        <v>72</v>
      </c>
      <c r="E347" s="24" t="s">
        <v>89</v>
      </c>
      <c r="F347" s="70">
        <v>4.930746215388328E-4</v>
      </c>
      <c r="G347" s="24">
        <v>0</v>
      </c>
      <c r="H347" s="24">
        <v>3.5803129999999999</v>
      </c>
      <c r="I347" s="24">
        <v>0</v>
      </c>
      <c r="J347" s="24">
        <v>1.253109</v>
      </c>
      <c r="K347" s="24">
        <v>0</v>
      </c>
      <c r="L347" s="24">
        <v>3.9743010000000001</v>
      </c>
      <c r="M347" s="24">
        <v>23.138300000000001</v>
      </c>
      <c r="N347" s="24">
        <v>6.2437862008305069</v>
      </c>
      <c r="O347" s="24">
        <v>4.7</v>
      </c>
      <c r="P347" s="24">
        <v>8.168168168168167</v>
      </c>
      <c r="Q347" s="24">
        <v>4.4717430278884462</v>
      </c>
      <c r="R347" s="24">
        <v>0</v>
      </c>
      <c r="S347" s="24">
        <v>3.6008515198384892</v>
      </c>
      <c r="T347" s="21">
        <v>1</v>
      </c>
      <c r="U347" s="21" t="s">
        <v>141</v>
      </c>
      <c r="V347" s="70">
        <v>-2.9506540889209096E-2</v>
      </c>
      <c r="W347" s="70">
        <v>3.0493459110790901E-2</v>
      </c>
      <c r="X347" s="24">
        <v>1.6361331378550523</v>
      </c>
      <c r="Y347" s="24" t="s">
        <v>1840</v>
      </c>
      <c r="Z347" s="75">
        <v>6051.28</v>
      </c>
      <c r="AA347" t="s">
        <v>1415</v>
      </c>
      <c r="AB347" s="24">
        <v>5.5363321799307963</v>
      </c>
    </row>
    <row r="348" spans="1:28" x14ac:dyDescent="0.55000000000000004">
      <c r="A348" s="24" t="s">
        <v>560</v>
      </c>
      <c r="B348" s="24" t="s">
        <v>859</v>
      </c>
      <c r="C348" s="24" t="s">
        <v>110</v>
      </c>
      <c r="D348" s="24" t="s">
        <v>72</v>
      </c>
      <c r="E348" s="24" t="s">
        <v>93</v>
      </c>
      <c r="F348" s="70">
        <v>4.913037221076223E-4</v>
      </c>
      <c r="G348" s="24">
        <v>6.7129779999999997</v>
      </c>
      <c r="H348" s="24">
        <v>3.0610279999999999</v>
      </c>
      <c r="I348" s="24">
        <v>2.4716909999999999</v>
      </c>
      <c r="J348" s="24">
        <v>4.0818989999999999</v>
      </c>
      <c r="K348" s="24">
        <v>2.9972880000000002</v>
      </c>
      <c r="L348" s="24">
        <v>3.6744849999999998</v>
      </c>
      <c r="M348" s="24">
        <v>55.753599999999999</v>
      </c>
      <c r="N348" s="24">
        <v>3.5756053436640931</v>
      </c>
      <c r="O348" s="24">
        <v>0.3</v>
      </c>
      <c r="P348" s="24">
        <v>4.2236024844720506</v>
      </c>
      <c r="Q348" s="24">
        <v>6.0964597875981212</v>
      </c>
      <c r="R348" s="24">
        <v>4.07</v>
      </c>
      <c r="S348" s="24">
        <v>2.8743223093012178</v>
      </c>
      <c r="T348" s="21">
        <v>1</v>
      </c>
      <c r="U348" s="21" t="s">
        <v>141</v>
      </c>
      <c r="V348" s="70">
        <v>-2.9509080767144445E-2</v>
      </c>
      <c r="W348" s="70">
        <v>3.0490919232855553E-2</v>
      </c>
      <c r="X348" s="24">
        <v>1.149020167478028</v>
      </c>
      <c r="Y348" s="24" t="s">
        <v>1541</v>
      </c>
      <c r="Z348" s="75">
        <v>5418.7290000000003</v>
      </c>
      <c r="AA348" t="s">
        <v>1415</v>
      </c>
      <c r="AB348" s="24">
        <v>5.8147512864494004</v>
      </c>
    </row>
    <row r="349" spans="1:28" x14ac:dyDescent="0.55000000000000004">
      <c r="A349" s="24" t="s">
        <v>562</v>
      </c>
      <c r="B349" s="24" t="s">
        <v>1063</v>
      </c>
      <c r="C349" s="24" t="s">
        <v>105</v>
      </c>
      <c r="D349" s="24" t="s">
        <v>72</v>
      </c>
      <c r="E349" s="24" t="s">
        <v>86</v>
      </c>
      <c r="F349" s="70">
        <v>4.8932915728426031E-4</v>
      </c>
      <c r="G349" s="24">
        <v>7.6308150000000001</v>
      </c>
      <c r="H349" s="24">
        <v>8.3058259999999997</v>
      </c>
      <c r="I349" s="24">
        <v>3.0857060000000001</v>
      </c>
      <c r="J349" s="24">
        <v>6.276281</v>
      </c>
      <c r="K349" s="24">
        <v>2.1653720000000001</v>
      </c>
      <c r="L349" s="24">
        <v>18.36337</v>
      </c>
      <c r="M349" s="24">
        <v>0.33445999999999998</v>
      </c>
      <c r="N349" s="24">
        <v>1.1549038109488452</v>
      </c>
      <c r="O349" s="24">
        <v>8.9</v>
      </c>
      <c r="P349" s="24">
        <v>8.1720438894670835</v>
      </c>
      <c r="Q349" s="24">
        <v>6.7722855935783706</v>
      </c>
      <c r="R349" s="24">
        <v>2.15</v>
      </c>
      <c r="S349" s="24">
        <v>6.9124194965324266</v>
      </c>
      <c r="T349" s="21">
        <v>1</v>
      </c>
      <c r="U349" s="21" t="s">
        <v>117</v>
      </c>
      <c r="V349" s="70">
        <v>-2.9510286353463668E-2</v>
      </c>
      <c r="W349" s="70">
        <v>3.048971364653633E-2</v>
      </c>
      <c r="X349" s="24">
        <v>1.3134713516225356</v>
      </c>
      <c r="Y349" s="24" t="s">
        <v>1499</v>
      </c>
      <c r="Z349" s="75">
        <v>5203.7139999999999</v>
      </c>
      <c r="AA349" t="s">
        <v>1415</v>
      </c>
      <c r="AB349" s="24">
        <v>5.8119658119658126</v>
      </c>
    </row>
    <row r="350" spans="1:28" x14ac:dyDescent="0.55000000000000004">
      <c r="A350" s="24" t="s">
        <v>573</v>
      </c>
      <c r="B350" s="24" t="s">
        <v>1091</v>
      </c>
      <c r="C350" s="24" t="s">
        <v>107</v>
      </c>
      <c r="D350" s="24" t="s">
        <v>72</v>
      </c>
      <c r="E350" s="24" t="s">
        <v>88</v>
      </c>
      <c r="F350" s="70">
        <v>4.8881333527784634E-4</v>
      </c>
      <c r="G350" s="24">
        <v>5.7637900000000002</v>
      </c>
      <c r="H350" s="24">
        <v>6.2248109999999999</v>
      </c>
      <c r="I350" s="24">
        <v>4.842206</v>
      </c>
      <c r="J350" s="24">
        <v>5.5795649999999997</v>
      </c>
      <c r="K350" s="24">
        <v>0.84327569999999996</v>
      </c>
      <c r="L350" s="24">
        <v>4.0895929999999998</v>
      </c>
      <c r="M350" s="24">
        <v>22.520900000000001</v>
      </c>
      <c r="N350" s="24">
        <v>6.1372522692798404</v>
      </c>
      <c r="O350" s="24">
        <v>5.7</v>
      </c>
      <c r="P350" s="24">
        <v>6.3835616438356171</v>
      </c>
      <c r="Q350" s="24">
        <v>4.4609627216793344</v>
      </c>
      <c r="R350" s="24">
        <v>4.4000000000000004</v>
      </c>
      <c r="S350" s="24">
        <v>5.1156062325347778</v>
      </c>
      <c r="T350" s="21">
        <v>1</v>
      </c>
      <c r="U350" s="21" t="s">
        <v>141</v>
      </c>
      <c r="V350" s="70">
        <v>-2.9510802175470082E-2</v>
      </c>
      <c r="W350" s="70">
        <v>3.0489197824529916E-2</v>
      </c>
      <c r="X350" s="24">
        <v>0.79233263481886129</v>
      </c>
      <c r="Y350" s="24" t="s">
        <v>1754</v>
      </c>
      <c r="Z350" s="75">
        <v>4370.0230000000001</v>
      </c>
      <c r="AA350" t="s">
        <v>1414</v>
      </c>
      <c r="AB350" s="24">
        <v>6.25</v>
      </c>
    </row>
    <row r="351" spans="1:28" x14ac:dyDescent="0.55000000000000004">
      <c r="A351" s="24" t="s">
        <v>575</v>
      </c>
      <c r="B351" s="24" t="s">
        <v>1250</v>
      </c>
      <c r="C351" s="24" t="s">
        <v>112</v>
      </c>
      <c r="D351" s="24" t="s">
        <v>72</v>
      </c>
      <c r="E351" s="24" t="s">
        <v>89</v>
      </c>
      <c r="F351" s="70">
        <v>4.8861011840551781E-4</v>
      </c>
      <c r="G351" s="24">
        <v>7.2318850000000001</v>
      </c>
      <c r="H351" s="24">
        <v>7.1539450000000002</v>
      </c>
      <c r="I351" s="24">
        <v>5.9331740000000002</v>
      </c>
      <c r="J351" s="24">
        <v>6.8188899999999997</v>
      </c>
      <c r="K351" s="24">
        <v>2.272408</v>
      </c>
      <c r="L351" s="24">
        <v>6.5270010000000003</v>
      </c>
      <c r="M351" s="24">
        <v>26.778400000000001</v>
      </c>
      <c r="N351" s="24">
        <v>2.939269810275781</v>
      </c>
      <c r="O351" s="24">
        <v>5.9</v>
      </c>
      <c r="P351" s="24">
        <v>7.0270270270270254</v>
      </c>
      <c r="Q351" s="24">
        <v>5.7590006640106246</v>
      </c>
      <c r="R351" s="24">
        <v>5.27</v>
      </c>
      <c r="S351" s="24">
        <v>6.0230193092269948</v>
      </c>
      <c r="T351" s="21">
        <v>1</v>
      </c>
      <c r="U351" s="21" t="s">
        <v>141</v>
      </c>
      <c r="V351" s="70">
        <v>-2.9511774370846552E-2</v>
      </c>
      <c r="W351" s="70">
        <v>3.0488225629153445E-2</v>
      </c>
      <c r="X351" s="24">
        <v>1.0938438478076735</v>
      </c>
      <c r="Y351" s="24" t="s">
        <v>1631</v>
      </c>
      <c r="Z351" s="75">
        <v>5278.2569999999996</v>
      </c>
      <c r="AA351" t="s">
        <v>1415</v>
      </c>
      <c r="AB351" s="24">
        <v>6.055363321799307</v>
      </c>
    </row>
    <row r="352" spans="1:28" x14ac:dyDescent="0.55000000000000004">
      <c r="A352" s="24" t="s">
        <v>552</v>
      </c>
      <c r="B352" s="24" t="s">
        <v>851</v>
      </c>
      <c r="C352" s="24" t="s">
        <v>107</v>
      </c>
      <c r="D352" s="24" t="s">
        <v>72</v>
      </c>
      <c r="E352" s="24" t="s">
        <v>89</v>
      </c>
      <c r="F352" s="70">
        <v>4.8338739618631021E-4</v>
      </c>
      <c r="G352" s="24">
        <v>7.1336820000000003</v>
      </c>
      <c r="H352" s="24">
        <v>2.918371</v>
      </c>
      <c r="I352" s="24">
        <v>2.0488529999999998</v>
      </c>
      <c r="J352" s="24">
        <v>4.3436399999999997</v>
      </c>
      <c r="K352" s="24">
        <v>4.6650489999999998</v>
      </c>
      <c r="L352" s="24">
        <v>11.41024</v>
      </c>
      <c r="M352" s="24">
        <v>20.6313</v>
      </c>
      <c r="N352" s="24">
        <v>8.0937973592480059</v>
      </c>
      <c r="O352" s="24">
        <v>2</v>
      </c>
      <c r="P352" s="24">
        <v>4.9849849849849832</v>
      </c>
      <c r="Q352" s="24">
        <v>9.8301239486498453</v>
      </c>
      <c r="R352" s="24">
        <v>7.69</v>
      </c>
      <c r="S352" s="24">
        <v>7.2338796421224325</v>
      </c>
      <c r="T352" s="21">
        <v>1</v>
      </c>
      <c r="U352" s="21" t="s">
        <v>117</v>
      </c>
      <c r="V352" s="70">
        <v>-2.9516228114561619E-2</v>
      </c>
      <c r="W352" s="70">
        <v>3.0483771885438379E-2</v>
      </c>
      <c r="X352" s="24">
        <v>1.343302326741211</v>
      </c>
      <c r="Y352" s="24" t="s">
        <v>1449</v>
      </c>
      <c r="Z352" s="75">
        <v>5580.7650000000003</v>
      </c>
      <c r="AA352" t="s">
        <v>1415</v>
      </c>
      <c r="AB352" s="24">
        <v>5.6574394463667819</v>
      </c>
    </row>
    <row r="353" spans="1:28" x14ac:dyDescent="0.55000000000000004">
      <c r="A353" s="24" t="s">
        <v>574</v>
      </c>
      <c r="B353" s="24" t="s">
        <v>1157</v>
      </c>
      <c r="C353" s="24" t="s">
        <v>109</v>
      </c>
      <c r="D353" s="24" t="s">
        <v>72</v>
      </c>
      <c r="E353" s="24" t="s">
        <v>87</v>
      </c>
      <c r="F353" s="70">
        <v>4.8280361858378426E-4</v>
      </c>
      <c r="G353" s="24">
        <v>0</v>
      </c>
      <c r="H353" s="24">
        <v>4.4315559999999996</v>
      </c>
      <c r="I353" s="24">
        <v>0</v>
      </c>
      <c r="J353" s="24">
        <v>1.329467</v>
      </c>
      <c r="K353" s="24">
        <v>0.54396460000000002</v>
      </c>
      <c r="L353" s="24">
        <v>2.2965019999999998</v>
      </c>
      <c r="M353" s="24">
        <v>67.9876</v>
      </c>
      <c r="N353" s="24">
        <v>6.156244082433239</v>
      </c>
      <c r="O353" s="24">
        <v>9.6</v>
      </c>
      <c r="P353" s="24">
        <v>8.7029288702928866</v>
      </c>
      <c r="Q353" s="24">
        <v>0</v>
      </c>
      <c r="R353" s="24">
        <v>3.1</v>
      </c>
      <c r="S353" s="24">
        <v>2.7378045117545815</v>
      </c>
      <c r="T353" s="21">
        <v>1</v>
      </c>
      <c r="U353" s="21" t="s">
        <v>141</v>
      </c>
      <c r="V353" s="70">
        <v>-2.9516811892164145E-2</v>
      </c>
      <c r="W353" s="70">
        <v>3.0483188107835853E-2</v>
      </c>
      <c r="X353" s="24">
        <v>0.55505804409011328</v>
      </c>
      <c r="Y353" s="24" t="s">
        <v>1510</v>
      </c>
      <c r="Z353" s="75">
        <v>4821.2089999999998</v>
      </c>
      <c r="AA353" t="s">
        <v>1414</v>
      </c>
      <c r="AB353" s="24">
        <v>6.376554174067496</v>
      </c>
    </row>
    <row r="354" spans="1:28" x14ac:dyDescent="0.55000000000000004">
      <c r="A354" s="24" t="s">
        <v>564</v>
      </c>
      <c r="B354" s="24" t="s">
        <v>889</v>
      </c>
      <c r="C354" s="24" t="s">
        <v>177</v>
      </c>
      <c r="D354" s="24" t="s">
        <v>72</v>
      </c>
      <c r="E354" s="24" t="s">
        <v>88</v>
      </c>
      <c r="F354" s="70">
        <v>4.8110502892664988E-4</v>
      </c>
      <c r="G354" s="24">
        <v>6.6469360000000002</v>
      </c>
      <c r="H354" s="24">
        <v>6.8419059999999998</v>
      </c>
      <c r="I354" s="24">
        <v>6.5633299999999997</v>
      </c>
      <c r="J354" s="24">
        <v>6.6914819999999997</v>
      </c>
      <c r="K354" s="24">
        <v>3.4030879999999999</v>
      </c>
      <c r="L354" s="24">
        <v>5.5343349999999996</v>
      </c>
      <c r="M354" s="24">
        <v>23.478400000000001</v>
      </c>
      <c r="N354" s="24">
        <v>6.6743191816201932</v>
      </c>
      <c r="O354" s="24">
        <v>9.5</v>
      </c>
      <c r="P354" s="24">
        <v>8.6027397260273961</v>
      </c>
      <c r="Q354" s="24">
        <v>3.6753061054038256</v>
      </c>
      <c r="R354" s="24">
        <v>8.1200010000000002</v>
      </c>
      <c r="S354" s="24">
        <v>6.3771677659717261</v>
      </c>
      <c r="T354" s="21">
        <v>1</v>
      </c>
      <c r="U354" s="21" t="s">
        <v>141</v>
      </c>
      <c r="V354" s="70">
        <v>-2.9518510481821279E-2</v>
      </c>
      <c r="W354" s="70">
        <v>3.0481489518178719E-2</v>
      </c>
      <c r="X354" s="24">
        <v>0.58605697769495668</v>
      </c>
      <c r="Y354" s="24" t="s">
        <v>1693</v>
      </c>
      <c r="Z354" s="75">
        <v>5234.9059999999999</v>
      </c>
      <c r="AA354" t="s">
        <v>1415</v>
      </c>
      <c r="AB354" s="24">
        <v>6.09375</v>
      </c>
    </row>
    <row r="355" spans="1:28" x14ac:dyDescent="0.55000000000000004">
      <c r="A355" s="24" t="s">
        <v>550</v>
      </c>
      <c r="B355" s="24" t="s">
        <v>1172</v>
      </c>
      <c r="C355" s="24" t="s">
        <v>113</v>
      </c>
      <c r="D355" s="24" t="s">
        <v>72</v>
      </c>
      <c r="E355" s="24" t="s">
        <v>88</v>
      </c>
      <c r="F355" s="70">
        <v>4.7936205233979119E-4</v>
      </c>
      <c r="G355" s="24">
        <v>7.0430469999999996</v>
      </c>
      <c r="H355" s="24">
        <v>6.4929009999999998</v>
      </c>
      <c r="I355" s="24">
        <v>6.4046909999999997</v>
      </c>
      <c r="J355" s="24">
        <v>6.5676459999999999</v>
      </c>
      <c r="K355" s="24">
        <v>2.6740029999999999</v>
      </c>
      <c r="L355" s="24">
        <v>5.4593489999999996</v>
      </c>
      <c r="M355" s="24">
        <v>29.803000000000001</v>
      </c>
      <c r="N355" s="24">
        <v>6.1326610357266551</v>
      </c>
      <c r="O355" s="24">
        <v>7.3</v>
      </c>
      <c r="P355" s="24">
        <v>6.9315068493150687</v>
      </c>
      <c r="Q355" s="24">
        <v>4.7711049862189938</v>
      </c>
      <c r="R355" s="24">
        <v>7.68</v>
      </c>
      <c r="S355" s="24">
        <v>6.6520026891288229</v>
      </c>
      <c r="T355" s="21">
        <v>1</v>
      </c>
      <c r="U355" s="21" t="s">
        <v>141</v>
      </c>
      <c r="V355" s="70">
        <v>-2.9521022436912278E-2</v>
      </c>
      <c r="W355" s="70">
        <v>3.047897756308772E-2</v>
      </c>
      <c r="X355" s="24">
        <v>0.88239593637721647</v>
      </c>
      <c r="Y355" s="24" t="s">
        <v>1882</v>
      </c>
      <c r="Z355" s="75">
        <v>4950.3900000000003</v>
      </c>
      <c r="AA355" t="s">
        <v>1414</v>
      </c>
      <c r="AB355" s="24">
        <v>5.8506944444444446</v>
      </c>
    </row>
    <row r="356" spans="1:28" x14ac:dyDescent="0.55000000000000004">
      <c r="A356" s="24" t="s">
        <v>527</v>
      </c>
      <c r="B356" s="24" t="s">
        <v>1354</v>
      </c>
      <c r="C356" s="24" t="s">
        <v>1898</v>
      </c>
      <c r="D356" s="24" t="s">
        <v>72</v>
      </c>
      <c r="E356" s="24" t="s">
        <v>90</v>
      </c>
      <c r="F356" s="70">
        <v>4.7784160842798406E-4</v>
      </c>
      <c r="G356" s="24">
        <v>5.5562860000000001</v>
      </c>
      <c r="H356" s="24">
        <v>4.6288359999999997</v>
      </c>
      <c r="I356" s="24">
        <v>6.1246460000000003</v>
      </c>
      <c r="J356" s="24">
        <v>5.4306039999999998</v>
      </c>
      <c r="K356" s="24">
        <v>10.103770000000001</v>
      </c>
      <c r="L356" s="24">
        <v>12.600860000000001</v>
      </c>
      <c r="M356" s="24">
        <v>3.1246</v>
      </c>
      <c r="N356" s="24">
        <v>3.4131532270006053</v>
      </c>
      <c r="O356" s="24">
        <v>2.2999999999999998</v>
      </c>
      <c r="P356" s="24">
        <v>6.2903232570240064</v>
      </c>
      <c r="Q356" s="24">
        <v>2.9221236445571055</v>
      </c>
      <c r="R356" s="24">
        <v>6.29</v>
      </c>
      <c r="S356" s="24">
        <v>5.3572496834458327</v>
      </c>
      <c r="T356" s="21">
        <v>1</v>
      </c>
      <c r="U356" s="21" t="s">
        <v>141</v>
      </c>
      <c r="V356" s="70">
        <v>-2.9522379747360668E-2</v>
      </c>
      <c r="W356" s="70">
        <v>3.047762025263933E-2</v>
      </c>
      <c r="X356" s="24">
        <v>1.0278985875088553</v>
      </c>
      <c r="Y356" s="24" t="s">
        <v>1953</v>
      </c>
      <c r="Z356" s="75">
        <v>5499.4920000000002</v>
      </c>
      <c r="AA356" t="s">
        <v>1415</v>
      </c>
      <c r="AB356" s="24">
        <v>5.2136752136752138</v>
      </c>
    </row>
    <row r="357" spans="1:28" x14ac:dyDescent="0.55000000000000004">
      <c r="A357" s="24" t="s">
        <v>591</v>
      </c>
      <c r="B357" s="24" t="s">
        <v>1173</v>
      </c>
      <c r="C357" s="24" t="s">
        <v>112</v>
      </c>
      <c r="D357" s="24" t="s">
        <v>72</v>
      </c>
      <c r="E357" s="24" t="s">
        <v>91</v>
      </c>
      <c r="F357" s="70">
        <v>4.7723576338726243E-4</v>
      </c>
      <c r="G357" s="24">
        <v>4.4276900000000001</v>
      </c>
      <c r="H357" s="24">
        <v>5.7683960000000001</v>
      </c>
      <c r="I357" s="24">
        <v>6.4049100000000001</v>
      </c>
      <c r="J357" s="24">
        <v>5.7548599999999999</v>
      </c>
      <c r="K357" s="24">
        <v>1.6970879999999999</v>
      </c>
      <c r="L357" s="24">
        <v>5.2364230000000003</v>
      </c>
      <c r="M357" s="24">
        <v>18.945499999999999</v>
      </c>
      <c r="N357" s="24">
        <v>8.0722644351846569</v>
      </c>
      <c r="O357" s="24">
        <v>9.9</v>
      </c>
      <c r="P357" s="24">
        <v>8.3540372670807468</v>
      </c>
      <c r="Q357" s="24">
        <v>2.0890708096803108</v>
      </c>
      <c r="R357" s="24">
        <v>4.13</v>
      </c>
      <c r="S357" s="24">
        <v>5.4762652201504052</v>
      </c>
      <c r="T357" s="21">
        <v>1</v>
      </c>
      <c r="U357" s="21" t="s">
        <v>141</v>
      </c>
      <c r="V357" s="70">
        <v>-2.9522542880824086E-2</v>
      </c>
      <c r="W357" s="70">
        <v>3.0477457119175912E-2</v>
      </c>
      <c r="X357" s="24">
        <v>1.0469206387399748</v>
      </c>
      <c r="Y357" s="24" t="s">
        <v>1589</v>
      </c>
      <c r="Z357" s="75">
        <v>5481.26</v>
      </c>
      <c r="AA357" t="s">
        <v>1415</v>
      </c>
      <c r="AB357" s="24">
        <v>6.3464837049742702</v>
      </c>
    </row>
    <row r="358" spans="1:28" x14ac:dyDescent="0.55000000000000004">
      <c r="A358" s="24" t="s">
        <v>579</v>
      </c>
      <c r="B358" s="24" t="s">
        <v>1253</v>
      </c>
      <c r="C358" s="24" t="s">
        <v>112</v>
      </c>
      <c r="D358" s="24" t="s">
        <v>72</v>
      </c>
      <c r="E358" s="24" t="s">
        <v>84</v>
      </c>
      <c r="F358" s="70">
        <v>4.7465061533563186E-4</v>
      </c>
      <c r="G358" s="24">
        <v>4.3847709999999998</v>
      </c>
      <c r="H358" s="24">
        <v>5.9493910000000003</v>
      </c>
      <c r="I358" s="24">
        <v>7.3967890000000001</v>
      </c>
      <c r="J358" s="24">
        <v>5.7577619999999996</v>
      </c>
      <c r="K358" s="24">
        <v>5.5986390000000004</v>
      </c>
      <c r="L358" s="24">
        <v>8.3863000000000003</v>
      </c>
      <c r="M358" s="24">
        <v>3626.13</v>
      </c>
      <c r="N358" s="24">
        <v>5.7826022381484874</v>
      </c>
      <c r="O358" s="24">
        <v>9.5</v>
      </c>
      <c r="P358" s="24">
        <v>3.6716417910447756</v>
      </c>
      <c r="Q358" s="24">
        <v>7.6472418838861254</v>
      </c>
      <c r="R358" s="24">
        <v>5.1399990000000004</v>
      </c>
      <c r="S358" s="24">
        <v>6.6916084727933054</v>
      </c>
      <c r="T358" s="21">
        <v>1</v>
      </c>
      <c r="U358" s="21" t="s">
        <v>117</v>
      </c>
      <c r="V358" s="70">
        <v>-2.9525515112478432E-2</v>
      </c>
      <c r="W358" s="70">
        <v>3.0474484887521566E-2</v>
      </c>
      <c r="X358" s="24">
        <v>0.78198969353450154</v>
      </c>
      <c r="Y358" s="24" t="s">
        <v>1435</v>
      </c>
      <c r="Z358" s="75">
        <v>5284.44</v>
      </c>
      <c r="AA358" t="s">
        <v>1415</v>
      </c>
      <c r="AB358" s="24">
        <v>6.0763888888888884</v>
      </c>
    </row>
    <row r="359" spans="1:28" x14ac:dyDescent="0.55000000000000004">
      <c r="A359" s="24" t="s">
        <v>551</v>
      </c>
      <c r="B359" s="24" t="s">
        <v>1229</v>
      </c>
      <c r="C359" s="24" t="s">
        <v>107</v>
      </c>
      <c r="D359" s="24" t="s">
        <v>72</v>
      </c>
      <c r="E359" s="24" t="s">
        <v>85</v>
      </c>
      <c r="F359" s="70">
        <v>4.7100976975182341E-4</v>
      </c>
      <c r="G359" s="24">
        <v>7.0034159999999996</v>
      </c>
      <c r="H359" s="24">
        <v>7.5346469999999997</v>
      </c>
      <c r="I359" s="24">
        <v>4.5886430000000002</v>
      </c>
      <c r="J359" s="24">
        <v>6.4383530000000002</v>
      </c>
      <c r="K359" s="24">
        <v>2.961713</v>
      </c>
      <c r="L359" s="24">
        <v>8.9882349999999995</v>
      </c>
      <c r="M359" s="24">
        <v>18.801600000000001</v>
      </c>
      <c r="N359" s="24">
        <v>9.0641880672492725</v>
      </c>
      <c r="O359" s="24">
        <v>8.3000000000000007</v>
      </c>
      <c r="P359" s="24">
        <v>5.7357357357357337</v>
      </c>
      <c r="Q359" s="24">
        <v>5.3061830455953976</v>
      </c>
      <c r="R359" s="24">
        <v>7.19</v>
      </c>
      <c r="S359" s="24">
        <v>7.2312898854534406</v>
      </c>
      <c r="T359" s="21">
        <v>1</v>
      </c>
      <c r="U359" s="21" t="s">
        <v>141</v>
      </c>
      <c r="V359" s="70">
        <v>-2.9528605740996108E-2</v>
      </c>
      <c r="W359" s="70">
        <v>3.047139425900389E-2</v>
      </c>
      <c r="X359" s="24">
        <v>1.238667067874897</v>
      </c>
      <c r="Y359" s="24" t="s">
        <v>1750</v>
      </c>
      <c r="Z359" s="75">
        <v>4625.732</v>
      </c>
      <c r="AA359" t="s">
        <v>1414</v>
      </c>
      <c r="AB359" s="24">
        <v>5.6401384083044981</v>
      </c>
    </row>
    <row r="360" spans="1:28" x14ac:dyDescent="0.55000000000000004">
      <c r="A360" s="24" t="s">
        <v>582</v>
      </c>
      <c r="B360" s="24" t="s">
        <v>1322</v>
      </c>
      <c r="C360" s="24" t="s">
        <v>178</v>
      </c>
      <c r="D360" s="24" t="s">
        <v>72</v>
      </c>
      <c r="E360" s="24" t="s">
        <v>95</v>
      </c>
      <c r="F360" s="70">
        <v>4.7071387705917305E-4</v>
      </c>
      <c r="G360" s="24">
        <v>7.1856540000000004</v>
      </c>
      <c r="H360" s="24">
        <v>7.4832270000000003</v>
      </c>
      <c r="I360" s="24">
        <v>6.9475170000000004</v>
      </c>
      <c r="J360" s="24">
        <v>7.2094279999999999</v>
      </c>
      <c r="K360" s="24">
        <v>3.4541270000000002</v>
      </c>
      <c r="L360" s="24">
        <v>4.481579</v>
      </c>
      <c r="M360" s="24">
        <v>50.244900000000001</v>
      </c>
      <c r="N360" s="24">
        <v>5.7427801478171547</v>
      </c>
      <c r="O360" s="24">
        <v>0.6</v>
      </c>
      <c r="P360" s="24">
        <v>7.2384937238493734</v>
      </c>
      <c r="Q360" s="24">
        <v>6.7172113911343594</v>
      </c>
      <c r="R360" s="24">
        <v>4.91</v>
      </c>
      <c r="S360" s="24">
        <v>3.4760550770062726</v>
      </c>
      <c r="T360" s="21">
        <v>1</v>
      </c>
      <c r="U360" s="21" t="s">
        <v>141</v>
      </c>
      <c r="V360" s="70">
        <v>-2.9529670612192895E-2</v>
      </c>
      <c r="W360" s="70">
        <v>3.0470329387807103E-2</v>
      </c>
      <c r="X360" s="24">
        <v>0.45207609428964213</v>
      </c>
      <c r="Y360" s="24" t="s">
        <v>1957</v>
      </c>
      <c r="Z360" s="75">
        <v>4849.5919999999996</v>
      </c>
      <c r="AA360" t="s">
        <v>1414</v>
      </c>
      <c r="AB360" s="24">
        <v>6.5186500888099461</v>
      </c>
    </row>
    <row r="361" spans="1:28" x14ac:dyDescent="0.55000000000000004">
      <c r="A361" s="24" t="s">
        <v>603</v>
      </c>
      <c r="B361" s="24" t="s">
        <v>1149</v>
      </c>
      <c r="C361" s="24" t="s">
        <v>1898</v>
      </c>
      <c r="D361" s="24" t="s">
        <v>72</v>
      </c>
      <c r="E361" s="24" t="s">
        <v>83</v>
      </c>
      <c r="F361" s="70">
        <v>4.6955512905950801E-4</v>
      </c>
      <c r="G361" s="24">
        <v>4.4257819999999999</v>
      </c>
      <c r="H361" s="24">
        <v>3.3655490000000001</v>
      </c>
      <c r="I361" s="24">
        <v>5.4714210000000003</v>
      </c>
      <c r="J361" s="24">
        <v>4.4209170000000002</v>
      </c>
      <c r="K361" s="24">
        <v>0.99675769999999997</v>
      </c>
      <c r="L361" s="24">
        <v>10.698309999999999</v>
      </c>
      <c r="M361" s="24">
        <v>478.66219999999998</v>
      </c>
      <c r="N361" s="24">
        <v>4.6635806815833831</v>
      </c>
      <c r="O361" s="24">
        <v>9.1</v>
      </c>
      <c r="P361" s="24">
        <v>5.9701492537313428</v>
      </c>
      <c r="Q361" s="24">
        <v>5.6234345932164835</v>
      </c>
      <c r="R361" s="24">
        <v>4.7300000000000004</v>
      </c>
      <c r="S361" s="24">
        <v>6.2737595799922889</v>
      </c>
      <c r="T361" s="21">
        <v>1</v>
      </c>
      <c r="U361" s="21" t="s">
        <v>141</v>
      </c>
      <c r="V361" s="70">
        <v>-2.9530157510536163E-2</v>
      </c>
      <c r="W361" s="70">
        <v>3.0469842489463835E-2</v>
      </c>
      <c r="X361" s="24">
        <v>1.4882635142114242</v>
      </c>
      <c r="Y361" s="24" t="s">
        <v>1947</v>
      </c>
      <c r="Z361" s="75">
        <v>5077.3119999999999</v>
      </c>
      <c r="AA361" t="s">
        <v>1415</v>
      </c>
      <c r="AB361" s="24">
        <v>6.4930555555555554</v>
      </c>
    </row>
    <row r="362" spans="1:28" x14ac:dyDescent="0.55000000000000004">
      <c r="A362" s="24" t="s">
        <v>555</v>
      </c>
      <c r="B362" s="24" t="s">
        <v>900</v>
      </c>
      <c r="C362" s="24" t="s">
        <v>110</v>
      </c>
      <c r="D362" s="24" t="s">
        <v>72</v>
      </c>
      <c r="E362" s="24" t="s">
        <v>85</v>
      </c>
      <c r="F362" s="70">
        <v>4.6945800021176519E-4</v>
      </c>
      <c r="G362" s="24">
        <v>3.5515810000000001</v>
      </c>
      <c r="H362" s="24">
        <v>6.6271820000000004</v>
      </c>
      <c r="I362" s="24">
        <v>7.4945560000000002</v>
      </c>
      <c r="J362" s="24">
        <v>5.6571540000000002</v>
      </c>
      <c r="K362" s="24">
        <v>2.147891</v>
      </c>
      <c r="L362" s="24">
        <v>5.8564340000000001</v>
      </c>
      <c r="M362" s="24">
        <v>59.130600000000001</v>
      </c>
      <c r="N362" s="24">
        <v>7.5837468085694049</v>
      </c>
      <c r="O362" s="24">
        <v>6.6</v>
      </c>
      <c r="P362" s="24">
        <v>5.6456456456456454</v>
      </c>
      <c r="Q362" s="24">
        <v>4.9706728640991589</v>
      </c>
      <c r="R362" s="24">
        <v>5.1100000000000003</v>
      </c>
      <c r="S362" s="24">
        <v>5.6797530386623691</v>
      </c>
      <c r="T362" s="21">
        <v>1</v>
      </c>
      <c r="U362" s="21" t="s">
        <v>141</v>
      </c>
      <c r="V362" s="70">
        <v>-2.9530531516519472E-2</v>
      </c>
      <c r="W362" s="70">
        <v>3.0469468483480526E-2</v>
      </c>
      <c r="X362" s="24">
        <v>1.233083158085539</v>
      </c>
      <c r="Y362" s="24" t="s">
        <v>1575</v>
      </c>
      <c r="Z362" s="75">
        <v>5554.8869999999997</v>
      </c>
      <c r="AA362" t="s">
        <v>1415</v>
      </c>
      <c r="AB362" s="24">
        <v>5.7093425605536332</v>
      </c>
    </row>
    <row r="363" spans="1:28" x14ac:dyDescent="0.55000000000000004">
      <c r="A363" s="24" t="s">
        <v>556</v>
      </c>
      <c r="B363" s="24" t="s">
        <v>1190</v>
      </c>
      <c r="C363" s="24" t="s">
        <v>111</v>
      </c>
      <c r="D363" s="24" t="s">
        <v>72</v>
      </c>
      <c r="E363" s="24" t="s">
        <v>82</v>
      </c>
      <c r="F363" s="70">
        <v>4.6908399422845669E-4</v>
      </c>
      <c r="G363" s="24">
        <v>6.9927320000000002</v>
      </c>
      <c r="H363" s="24">
        <v>6.7282590000000004</v>
      </c>
      <c r="I363" s="24">
        <v>6.2360069999999999</v>
      </c>
      <c r="J363" s="24">
        <v>6.635313</v>
      </c>
      <c r="K363" s="24">
        <v>6.6365020000000001</v>
      </c>
      <c r="L363" s="24">
        <v>18.002790000000001</v>
      </c>
      <c r="M363" s="24">
        <v>4.9245999999999999</v>
      </c>
      <c r="N363" s="24">
        <v>5.9624191550146239</v>
      </c>
      <c r="O363" s="24">
        <v>8.8000000000000007</v>
      </c>
      <c r="P363" s="24">
        <v>6.2365598103827757</v>
      </c>
      <c r="Q363" s="24">
        <v>5.5780875932967202</v>
      </c>
      <c r="R363" s="24">
        <v>6.01</v>
      </c>
      <c r="S363" s="24">
        <v>6.3793504555888783</v>
      </c>
      <c r="T363" s="21">
        <v>1</v>
      </c>
      <c r="U363" s="21" t="s">
        <v>141</v>
      </c>
      <c r="V363" s="70">
        <v>-2.9530829360192561E-2</v>
      </c>
      <c r="W363" s="70">
        <v>3.0469170639807436E-2</v>
      </c>
      <c r="X363" s="24">
        <v>0.69828925525921981</v>
      </c>
      <c r="Y363" s="24" t="s">
        <v>1666</v>
      </c>
      <c r="Z363" s="75">
        <v>5093.527</v>
      </c>
      <c r="AA363" t="s">
        <v>1415</v>
      </c>
      <c r="AB363" s="24">
        <v>5.7094017094017087</v>
      </c>
    </row>
    <row r="364" spans="1:28" x14ac:dyDescent="0.55000000000000004">
      <c r="A364" s="24" t="s">
        <v>572</v>
      </c>
      <c r="B364" s="24" t="s">
        <v>1309</v>
      </c>
      <c r="C364" s="24" t="s">
        <v>110</v>
      </c>
      <c r="D364" s="24" t="s">
        <v>72</v>
      </c>
      <c r="E364" s="24" t="s">
        <v>84</v>
      </c>
      <c r="F364" s="70">
        <v>4.6901345565397652E-4</v>
      </c>
      <c r="G364" s="24">
        <v>4.1618839999999997</v>
      </c>
      <c r="H364" s="24">
        <v>3.3378380000000001</v>
      </c>
      <c r="I364" s="24">
        <v>2.8214440000000001</v>
      </c>
      <c r="J364" s="24">
        <v>3.4403890000000001</v>
      </c>
      <c r="K364" s="24">
        <v>2.446736</v>
      </c>
      <c r="L364" s="24">
        <v>2.9493900000000002</v>
      </c>
      <c r="M364" s="24">
        <v>49.817300000000003</v>
      </c>
      <c r="N364" s="24">
        <v>6.3237199966222857</v>
      </c>
      <c r="O364" s="24">
        <v>8.6999999999999993</v>
      </c>
      <c r="P364" s="24">
        <v>10</v>
      </c>
      <c r="Q364" s="24">
        <v>0.29593958078876759</v>
      </c>
      <c r="R364" s="24">
        <v>4.7300000000000004</v>
      </c>
      <c r="S364" s="24">
        <v>4.2609900593901067</v>
      </c>
      <c r="T364" s="21">
        <v>1</v>
      </c>
      <c r="U364" s="21" t="s">
        <v>141</v>
      </c>
      <c r="V364" s="70">
        <v>-2.9531348885228511E-2</v>
      </c>
      <c r="W364" s="70">
        <v>3.0468651114771487E-2</v>
      </c>
      <c r="X364" s="24">
        <v>0.81521588477381601</v>
      </c>
      <c r="Y364" s="24" t="s">
        <v>1548</v>
      </c>
      <c r="Z364" s="75">
        <v>5342.8789999999999</v>
      </c>
      <c r="AA364" t="s">
        <v>1415</v>
      </c>
      <c r="AB364" s="24">
        <v>5.9548611111111116</v>
      </c>
    </row>
    <row r="365" spans="1:28" x14ac:dyDescent="0.55000000000000004">
      <c r="A365" s="24" t="s">
        <v>589</v>
      </c>
      <c r="B365" s="24" t="s">
        <v>1070</v>
      </c>
      <c r="C365" s="24" t="s">
        <v>107</v>
      </c>
      <c r="D365" s="24" t="s">
        <v>72</v>
      </c>
      <c r="E365" s="24" t="s">
        <v>88</v>
      </c>
      <c r="F365" s="70">
        <v>4.6441942741822488E-4</v>
      </c>
      <c r="G365" s="24">
        <v>6.2790030000000003</v>
      </c>
      <c r="H365" s="24">
        <v>6.1736139999999997</v>
      </c>
      <c r="I365" s="24">
        <v>6.9755390000000004</v>
      </c>
      <c r="J365" s="24">
        <v>6.5154610000000002</v>
      </c>
      <c r="K365" s="24">
        <v>0.31561800000000001</v>
      </c>
      <c r="L365" s="24">
        <v>1.4576530000000001</v>
      </c>
      <c r="M365" s="24">
        <v>18.654499999999999</v>
      </c>
      <c r="N365" s="24">
        <v>0.62428244762048402</v>
      </c>
      <c r="O365" s="24">
        <v>0.1</v>
      </c>
      <c r="P365" s="24">
        <v>3.0136986301369859</v>
      </c>
      <c r="Q365" s="24">
        <v>0.90852529302040708</v>
      </c>
      <c r="R365" s="24">
        <v>2.61</v>
      </c>
      <c r="S365" s="24">
        <v>0.917225837291062</v>
      </c>
      <c r="T365" s="21">
        <v>1</v>
      </c>
      <c r="U365" s="21" t="s">
        <v>141</v>
      </c>
      <c r="V365" s="70">
        <v>-2.9535965061833844E-2</v>
      </c>
      <c r="W365" s="70">
        <v>3.0464034938166153E-2</v>
      </c>
      <c r="X365" s="24">
        <v>1.6243503213890749</v>
      </c>
      <c r="Y365" s="24" t="s">
        <v>1751</v>
      </c>
      <c r="Z365" s="75">
        <v>4750.442</v>
      </c>
      <c r="AA365" t="s">
        <v>1414</v>
      </c>
      <c r="AB365" s="24">
        <v>6.5277777777777777</v>
      </c>
    </row>
    <row r="366" spans="1:28" x14ac:dyDescent="0.55000000000000004">
      <c r="A366" s="24" t="s">
        <v>561</v>
      </c>
      <c r="B366" s="24" t="s">
        <v>1313</v>
      </c>
      <c r="C366" s="24" t="s">
        <v>161</v>
      </c>
      <c r="D366" s="24" t="s">
        <v>72</v>
      </c>
      <c r="E366" s="24" t="s">
        <v>99</v>
      </c>
      <c r="F366" s="70">
        <v>4.6029006974060687E-4</v>
      </c>
      <c r="G366" s="24">
        <v>8.6224380000000007</v>
      </c>
      <c r="H366" s="24">
        <v>6.1436210000000004</v>
      </c>
      <c r="I366" s="24">
        <v>7.1625040000000002</v>
      </c>
      <c r="J366" s="24">
        <v>7.834689</v>
      </c>
      <c r="K366" s="24">
        <v>3.4214340000000001</v>
      </c>
      <c r="L366" s="24">
        <v>5.7574189999999996</v>
      </c>
      <c r="M366" s="24">
        <v>125.34269999999999</v>
      </c>
      <c r="N366" s="24">
        <v>4.6002317960333956</v>
      </c>
      <c r="O366" s="24">
        <v>3.8</v>
      </c>
      <c r="P366" s="24">
        <v>8.7538940809968846</v>
      </c>
      <c r="Q366" s="24">
        <v>2.9528958062083648</v>
      </c>
      <c r="R366" s="24">
        <v>3.45</v>
      </c>
      <c r="S366" s="24">
        <v>4.1057189561216054</v>
      </c>
      <c r="T366" s="21">
        <v>1</v>
      </c>
      <c r="U366" s="21" t="s">
        <v>141</v>
      </c>
      <c r="V366" s="70">
        <v>-2.9539329013964152E-2</v>
      </c>
      <c r="W366" s="70">
        <v>3.0460670986035845E-2</v>
      </c>
      <c r="X366" s="24">
        <v>0.28082933537576621</v>
      </c>
      <c r="Y366" s="24" t="s">
        <v>1505</v>
      </c>
      <c r="Z366" s="75">
        <v>4917.6689999999999</v>
      </c>
      <c r="AA366" t="s">
        <v>1414</v>
      </c>
      <c r="AB366" s="24">
        <v>5.7450628366247756</v>
      </c>
    </row>
    <row r="367" spans="1:28" x14ac:dyDescent="0.55000000000000004">
      <c r="A367" s="24" t="s">
        <v>565</v>
      </c>
      <c r="B367" s="24" t="s">
        <v>1281</v>
      </c>
      <c r="C367" s="24" t="s">
        <v>110</v>
      </c>
      <c r="D367" s="24" t="s">
        <v>72</v>
      </c>
      <c r="E367" s="24" t="s">
        <v>89</v>
      </c>
      <c r="F367" s="70">
        <v>4.580509065258785E-4</v>
      </c>
      <c r="G367" s="24">
        <v>5.6023440000000004</v>
      </c>
      <c r="H367" s="24">
        <v>5.1571959999999999</v>
      </c>
      <c r="I367" s="24">
        <v>7.021147</v>
      </c>
      <c r="J367" s="24">
        <v>5.8944400000000003</v>
      </c>
      <c r="K367" s="24">
        <v>8.4233449999999994</v>
      </c>
      <c r="L367" s="24">
        <v>6.0969730000000002</v>
      </c>
      <c r="M367" s="24">
        <v>2.4213</v>
      </c>
      <c r="N367" s="24">
        <v>1.5885022006266605</v>
      </c>
      <c r="O367" s="24">
        <v>0.2</v>
      </c>
      <c r="P367" s="24">
        <v>3.6036036036036028</v>
      </c>
      <c r="Q367" s="24">
        <v>8.5282934926958838</v>
      </c>
      <c r="R367" s="24">
        <v>8.0299999999999994</v>
      </c>
      <c r="S367" s="24">
        <v>4.6181272058408158</v>
      </c>
      <c r="T367" s="21">
        <v>1</v>
      </c>
      <c r="U367" s="21" t="s">
        <v>141</v>
      </c>
      <c r="V367" s="70">
        <v>-2.9541761003633513E-2</v>
      </c>
      <c r="W367" s="70">
        <v>3.0458238996366484E-2</v>
      </c>
      <c r="X367" s="24">
        <v>1.5208754582816821</v>
      </c>
      <c r="Y367" s="24" t="s">
        <v>1537</v>
      </c>
      <c r="Z367" s="75">
        <v>4870.0309999999999</v>
      </c>
      <c r="AA367" t="s">
        <v>1414</v>
      </c>
      <c r="AB367" s="24">
        <v>5.882352941176471</v>
      </c>
    </row>
    <row r="368" spans="1:28" x14ac:dyDescent="0.55000000000000004">
      <c r="A368" s="24" t="s">
        <v>553</v>
      </c>
      <c r="B368" s="24" t="s">
        <v>1099</v>
      </c>
      <c r="C368" s="24" t="s">
        <v>1898</v>
      </c>
      <c r="D368" s="24" t="s">
        <v>72</v>
      </c>
      <c r="E368" s="24" t="s">
        <v>96</v>
      </c>
      <c r="F368" s="70">
        <v>4.566081368131294E-4</v>
      </c>
      <c r="G368" s="24">
        <v>6.8946670000000001</v>
      </c>
      <c r="H368" s="24">
        <v>4.9109210000000001</v>
      </c>
      <c r="I368" s="24">
        <v>4.3406320000000003</v>
      </c>
      <c r="J368" s="24">
        <v>5.079555</v>
      </c>
      <c r="K368" s="24">
        <v>0</v>
      </c>
      <c r="L368" s="24">
        <v>4.2507989999999998</v>
      </c>
      <c r="M368" s="24">
        <v>10.249700000000001</v>
      </c>
      <c r="N368" s="24">
        <v>4.1436930558434453</v>
      </c>
      <c r="O368" s="24">
        <v>8.5</v>
      </c>
      <c r="P368" s="24">
        <v>4.1614906832298146</v>
      </c>
      <c r="Q368" s="24">
        <v>1.8263302278838578</v>
      </c>
      <c r="R368" s="24">
        <v>0</v>
      </c>
      <c r="S368" s="24">
        <v>3.3316314937356921</v>
      </c>
      <c r="T368" s="21">
        <v>1</v>
      </c>
      <c r="U368" s="21" t="s">
        <v>141</v>
      </c>
      <c r="V368" s="70">
        <v>-2.954377635243894E-2</v>
      </c>
      <c r="W368" s="70">
        <v>3.0456223647561058E-2</v>
      </c>
      <c r="X368" s="24">
        <v>0.92033707928037278</v>
      </c>
      <c r="Y368" s="24" t="s">
        <v>1899</v>
      </c>
      <c r="Z368" s="75">
        <v>4553.4560000000001</v>
      </c>
      <c r="AA368" t="s">
        <v>1414</v>
      </c>
      <c r="AB368" s="24">
        <v>5.694682675814752</v>
      </c>
    </row>
    <row r="369" spans="1:28" x14ac:dyDescent="0.55000000000000004">
      <c r="A369" s="24" t="s">
        <v>571</v>
      </c>
      <c r="B369" s="24" t="s">
        <v>1380</v>
      </c>
      <c r="C369" s="24" t="s">
        <v>106</v>
      </c>
      <c r="D369" s="24" t="s">
        <v>72</v>
      </c>
      <c r="E369" s="24" t="s">
        <v>90</v>
      </c>
      <c r="F369" s="70">
        <v>4.5265805577234046E-4</v>
      </c>
      <c r="G369" s="24">
        <v>4.2734639999999997</v>
      </c>
      <c r="H369" s="24">
        <v>5.2776880000000004</v>
      </c>
      <c r="I369" s="24">
        <v>3.372198</v>
      </c>
      <c r="J369" s="24">
        <v>4.3094989999999997</v>
      </c>
      <c r="K369" s="24">
        <v>2.792459</v>
      </c>
      <c r="L369" s="24">
        <v>12.839079999999999</v>
      </c>
      <c r="M369" s="24">
        <v>0.81344000000000005</v>
      </c>
      <c r="N369" s="24">
        <v>3.2355633930139041</v>
      </c>
      <c r="O369" s="24">
        <v>1.4</v>
      </c>
      <c r="P369" s="24">
        <v>6.747312553474468</v>
      </c>
      <c r="Q369" s="24">
        <v>6.2357414448669211</v>
      </c>
      <c r="R369" s="24">
        <v>2.19</v>
      </c>
      <c r="S369" s="24">
        <v>5.1490179531984657</v>
      </c>
      <c r="T369" s="21">
        <v>1</v>
      </c>
      <c r="U369" s="21" t="s">
        <v>141</v>
      </c>
      <c r="V369" s="70">
        <v>-2.9546957454975591E-2</v>
      </c>
      <c r="W369" s="70">
        <v>3.0453042545024407E-2</v>
      </c>
      <c r="X369" s="24">
        <v>0.80798142960607455</v>
      </c>
      <c r="Y369" s="24" t="s">
        <v>1525</v>
      </c>
      <c r="Z369" s="75">
        <v>4256.1189999999997</v>
      </c>
      <c r="AA369" t="s">
        <v>1414</v>
      </c>
      <c r="AB369" s="24">
        <v>5.9658119658119659</v>
      </c>
    </row>
    <row r="370" spans="1:28" x14ac:dyDescent="0.55000000000000004">
      <c r="A370" s="24" t="s">
        <v>584</v>
      </c>
      <c r="B370" s="24" t="s">
        <v>1247</v>
      </c>
      <c r="C370" s="24" t="s">
        <v>107</v>
      </c>
      <c r="D370" s="24" t="s">
        <v>72</v>
      </c>
      <c r="E370" s="24" t="s">
        <v>94</v>
      </c>
      <c r="F370" s="70">
        <v>4.5099099190721599E-4</v>
      </c>
      <c r="G370" s="24">
        <v>8.2542939999999998</v>
      </c>
      <c r="H370" s="24">
        <v>5.2456849999999999</v>
      </c>
      <c r="I370" s="24">
        <v>7.044041</v>
      </c>
      <c r="J370" s="24">
        <v>7.1684710000000003</v>
      </c>
      <c r="K370" s="24">
        <v>5.3806099999999999</v>
      </c>
      <c r="L370" s="24">
        <v>5.7636450000000004</v>
      </c>
      <c r="M370" s="24">
        <v>14.0091</v>
      </c>
      <c r="N370" s="24">
        <v>0.41927899764139909</v>
      </c>
      <c r="O370" s="24">
        <v>1.6</v>
      </c>
      <c r="P370" s="24">
        <v>1.0069444444444446</v>
      </c>
      <c r="Q370" s="24">
        <v>6.4275538906414305</v>
      </c>
      <c r="R370" s="24">
        <v>6.02</v>
      </c>
      <c r="S370" s="24">
        <v>3.9325191047343271</v>
      </c>
      <c r="T370" s="21">
        <v>1</v>
      </c>
      <c r="U370" s="21" t="s">
        <v>141</v>
      </c>
      <c r="V370" s="70">
        <v>-2.9548624518840712E-2</v>
      </c>
      <c r="W370" s="70">
        <v>3.0451375481159285E-2</v>
      </c>
      <c r="X370" s="24">
        <v>0.98069274399156048</v>
      </c>
      <c r="Y370" s="24" t="s">
        <v>1737</v>
      </c>
      <c r="Z370" s="75">
        <v>5343.6710000000003</v>
      </c>
      <c r="AA370" t="s">
        <v>1415</v>
      </c>
      <c r="AB370" s="24">
        <v>5.5773420479302835</v>
      </c>
    </row>
    <row r="371" spans="1:28" x14ac:dyDescent="0.55000000000000004">
      <c r="A371" s="24" t="s">
        <v>600</v>
      </c>
      <c r="B371" s="24" t="s">
        <v>1389</v>
      </c>
      <c r="C371" s="24" t="s">
        <v>178</v>
      </c>
      <c r="D371" s="24" t="s">
        <v>72</v>
      </c>
      <c r="E371" s="24" t="s">
        <v>99</v>
      </c>
      <c r="F371" s="70">
        <v>4.5060907945543538E-4</v>
      </c>
      <c r="G371" s="24">
        <v>4.9945709999999996</v>
      </c>
      <c r="H371" s="24">
        <v>6.6274749999999996</v>
      </c>
      <c r="I371" s="24">
        <v>6.9648529999999997</v>
      </c>
      <c r="J371" s="24">
        <v>5.7152089999999998</v>
      </c>
      <c r="K371" s="24">
        <v>1.1461429999999999</v>
      </c>
      <c r="L371" s="24">
        <v>2.066719</v>
      </c>
      <c r="M371" s="24">
        <v>29.761099999999999</v>
      </c>
      <c r="N371" s="24">
        <v>5.5619924030136261</v>
      </c>
      <c r="O371" s="24">
        <v>1.4</v>
      </c>
      <c r="P371" s="24">
        <v>1.838006230529595</v>
      </c>
      <c r="Q371" s="24">
        <v>1.9943484920895724</v>
      </c>
      <c r="R371" s="24">
        <v>2.78</v>
      </c>
      <c r="S371" s="24">
        <v>1.518885393808028</v>
      </c>
      <c r="T371" s="21">
        <v>1</v>
      </c>
      <c r="U371" s="21" t="s">
        <v>141</v>
      </c>
      <c r="V371" s="70">
        <v>-2.9549006431292494E-2</v>
      </c>
      <c r="W371" s="70">
        <v>3.0450993568707504E-2</v>
      </c>
      <c r="X371" s="24">
        <v>0.8581156156931764</v>
      </c>
      <c r="Y371" s="24" t="s">
        <v>1671</v>
      </c>
      <c r="Z371" s="75">
        <v>4693.2969999999996</v>
      </c>
      <c r="AA371" t="s">
        <v>1414</v>
      </c>
      <c r="AB371" s="24">
        <v>6.4452423698384198</v>
      </c>
    </row>
    <row r="372" spans="1:28" x14ac:dyDescent="0.55000000000000004">
      <c r="A372" s="24" t="s">
        <v>576</v>
      </c>
      <c r="B372" s="24" t="s">
        <v>1192</v>
      </c>
      <c r="C372" s="24" t="s">
        <v>107</v>
      </c>
      <c r="D372" s="24" t="s">
        <v>72</v>
      </c>
      <c r="E372" s="24" t="s">
        <v>89</v>
      </c>
      <c r="F372" s="70">
        <v>4.4414884356505402E-4</v>
      </c>
      <c r="G372" s="24">
        <v>8.1706120000000002</v>
      </c>
      <c r="H372" s="24">
        <v>6.924188</v>
      </c>
      <c r="I372" s="24">
        <v>4.6160269999999999</v>
      </c>
      <c r="J372" s="24">
        <v>6.7303090000000001</v>
      </c>
      <c r="K372" s="24">
        <v>3.688571</v>
      </c>
      <c r="L372" s="24">
        <v>3.007768</v>
      </c>
      <c r="M372" s="24">
        <v>82.027299999999997</v>
      </c>
      <c r="N372" s="24">
        <v>0.28744368759698785</v>
      </c>
      <c r="O372" s="24">
        <v>2.8</v>
      </c>
      <c r="P372" s="24">
        <v>4.2942942942942945</v>
      </c>
      <c r="Q372" s="24">
        <v>3.7776671093404164</v>
      </c>
      <c r="R372" s="24">
        <v>7.26</v>
      </c>
      <c r="S372" s="24">
        <v>2.9054737553305934</v>
      </c>
      <c r="T372" s="21">
        <v>1</v>
      </c>
      <c r="U372" s="21" t="s">
        <v>141</v>
      </c>
      <c r="V372" s="70">
        <v>-2.9555845626603003E-2</v>
      </c>
      <c r="W372" s="70">
        <v>3.0444154373396995E-2</v>
      </c>
      <c r="X372" s="24">
        <v>0.65714414158743262</v>
      </c>
      <c r="Y372" s="24" t="s">
        <v>1744</v>
      </c>
      <c r="Z372" s="75">
        <v>5639.5879999999997</v>
      </c>
      <c r="AA372" t="s">
        <v>1415</v>
      </c>
      <c r="AB372" s="24">
        <v>6.0726643598615917</v>
      </c>
    </row>
    <row r="373" spans="1:28" x14ac:dyDescent="0.55000000000000004">
      <c r="A373" s="24" t="s">
        <v>566</v>
      </c>
      <c r="B373" s="24" t="s">
        <v>1031</v>
      </c>
      <c r="C373" s="24" t="s">
        <v>106</v>
      </c>
      <c r="D373" s="24" t="s">
        <v>72</v>
      </c>
      <c r="E373" s="24" t="s">
        <v>95</v>
      </c>
      <c r="F373" s="70">
        <v>4.4376988414492736E-4</v>
      </c>
      <c r="G373" s="24">
        <v>5.5301</v>
      </c>
      <c r="H373" s="24">
        <v>4.3047319999999996</v>
      </c>
      <c r="I373" s="24">
        <v>3.8638629999999998</v>
      </c>
      <c r="J373" s="24">
        <v>4.3734580000000003</v>
      </c>
      <c r="K373" s="24">
        <v>3.6107230000000001</v>
      </c>
      <c r="L373" s="24">
        <v>7.1335610000000003</v>
      </c>
      <c r="M373" s="24">
        <v>17.233799999999999</v>
      </c>
      <c r="N373" s="24">
        <v>4.3734336544682497</v>
      </c>
      <c r="O373" s="24">
        <v>2.2999999999999998</v>
      </c>
      <c r="P373" s="24">
        <v>7.0186335403726723</v>
      </c>
      <c r="Q373" s="24">
        <v>6.6414971344759222</v>
      </c>
      <c r="R373" s="24">
        <v>4.8099999999999996</v>
      </c>
      <c r="S373" s="24">
        <v>6.0968505939061259</v>
      </c>
      <c r="T373" s="21">
        <v>1</v>
      </c>
      <c r="U373" s="21" t="s">
        <v>141</v>
      </c>
      <c r="V373" s="70">
        <v>-2.9556235645687014E-2</v>
      </c>
      <c r="W373" s="70">
        <v>3.0443764354312983E-2</v>
      </c>
      <c r="X373" s="24">
        <v>1.063247267336447</v>
      </c>
      <c r="Y373" s="24" t="s">
        <v>1897</v>
      </c>
      <c r="Z373" s="75">
        <v>4650.4290000000001</v>
      </c>
      <c r="AA373" t="s">
        <v>1414</v>
      </c>
      <c r="AB373" s="24">
        <v>5.9176672384219557</v>
      </c>
    </row>
    <row r="374" spans="1:28" x14ac:dyDescent="0.55000000000000004">
      <c r="A374" s="24" t="s">
        <v>578</v>
      </c>
      <c r="B374" s="24" t="s">
        <v>1293</v>
      </c>
      <c r="C374" s="24" t="s">
        <v>106</v>
      </c>
      <c r="D374" s="24" t="s">
        <v>72</v>
      </c>
      <c r="E374" s="24" t="s">
        <v>93</v>
      </c>
      <c r="F374" s="70">
        <v>4.4211272838586333E-4</v>
      </c>
      <c r="G374" s="24">
        <v>6.4345039999999996</v>
      </c>
      <c r="H374" s="24">
        <v>5.3773439999999999</v>
      </c>
      <c r="I374" s="24">
        <v>5.4286960000000004</v>
      </c>
      <c r="J374" s="24">
        <v>5.746848</v>
      </c>
      <c r="K374" s="24">
        <v>1.9381710000000001</v>
      </c>
      <c r="L374" s="24">
        <v>10.22167</v>
      </c>
      <c r="M374" s="24">
        <v>4.3235000000000001</v>
      </c>
      <c r="N374" s="24">
        <v>6.4097744810805199</v>
      </c>
      <c r="O374" s="24">
        <v>8.6</v>
      </c>
      <c r="P374" s="24">
        <v>5.1863354037267086</v>
      </c>
      <c r="Q374" s="24">
        <v>4.8390689083847143</v>
      </c>
      <c r="R374" s="24">
        <v>0</v>
      </c>
      <c r="S374" s="24">
        <v>6.5657081585890857</v>
      </c>
      <c r="T374" s="21">
        <v>1</v>
      </c>
      <c r="U374" s="21" t="s">
        <v>117</v>
      </c>
      <c r="V374" s="70">
        <v>-2.9557502782362067E-2</v>
      </c>
      <c r="W374" s="70">
        <v>3.0442497217637931E-2</v>
      </c>
      <c r="X374" s="24">
        <v>1.751520836801896</v>
      </c>
      <c r="Y374" s="24" t="s">
        <v>1461</v>
      </c>
      <c r="Z374" s="75">
        <v>4808.8900000000003</v>
      </c>
      <c r="AA374" t="s">
        <v>1414</v>
      </c>
      <c r="AB374" s="24">
        <v>6.1234991423670673</v>
      </c>
    </row>
    <row r="375" spans="1:28" x14ac:dyDescent="0.55000000000000004">
      <c r="A375" s="24" t="s">
        <v>602</v>
      </c>
      <c r="B375" s="24" t="s">
        <v>1353</v>
      </c>
      <c r="C375" s="24" t="s">
        <v>106</v>
      </c>
      <c r="D375" s="24" t="s">
        <v>72</v>
      </c>
      <c r="E375" s="24" t="s">
        <v>94</v>
      </c>
      <c r="F375" s="70">
        <v>4.4195054508408739E-4</v>
      </c>
      <c r="G375" s="24">
        <v>8.2812549999999998</v>
      </c>
      <c r="H375" s="24">
        <v>6.8424589999999998</v>
      </c>
      <c r="I375" s="24">
        <v>6.459613</v>
      </c>
      <c r="J375" s="24">
        <v>7.2648390000000003</v>
      </c>
      <c r="K375" s="24">
        <v>5.227087</v>
      </c>
      <c r="L375" s="24">
        <v>7.3180880000000004</v>
      </c>
      <c r="M375" s="24">
        <v>32.174999999999997</v>
      </c>
      <c r="N375" s="24">
        <v>2.5123798291436001</v>
      </c>
      <c r="O375" s="24">
        <v>8.8000000000000007</v>
      </c>
      <c r="P375" s="24">
        <v>4.8263888888888893</v>
      </c>
      <c r="Q375" s="24">
        <v>7.9637657728706639</v>
      </c>
      <c r="R375" s="24">
        <v>5.12</v>
      </c>
      <c r="S375" s="24">
        <v>6.1503284132322955</v>
      </c>
      <c r="T375" s="21">
        <v>1</v>
      </c>
      <c r="U375" s="21" t="s">
        <v>141</v>
      </c>
      <c r="V375" s="70">
        <v>-2.9557798424233808E-2</v>
      </c>
      <c r="W375" s="70">
        <v>3.044220157576619E-2</v>
      </c>
      <c r="X375" s="24">
        <v>1.2458209329161656</v>
      </c>
      <c r="Y375" s="24" t="s">
        <v>1764</v>
      </c>
      <c r="Z375" s="75">
        <v>4847.6499999999996</v>
      </c>
      <c r="AA375" t="s">
        <v>1414</v>
      </c>
      <c r="AB375" s="24">
        <v>5.969498910675382</v>
      </c>
    </row>
    <row r="376" spans="1:28" x14ac:dyDescent="0.55000000000000004">
      <c r="A376" s="24" t="s">
        <v>587</v>
      </c>
      <c r="B376" s="24" t="s">
        <v>1249</v>
      </c>
      <c r="C376" s="24" t="s">
        <v>106</v>
      </c>
      <c r="D376" s="24" t="s">
        <v>72</v>
      </c>
      <c r="E376" s="24" t="s">
        <v>94</v>
      </c>
      <c r="F376" s="70">
        <v>4.4183330501129198E-4</v>
      </c>
      <c r="G376" s="24">
        <v>7.4684220000000003</v>
      </c>
      <c r="H376" s="24">
        <v>7.6770779999999998</v>
      </c>
      <c r="I376" s="24">
        <v>4.0613320000000002</v>
      </c>
      <c r="J376" s="24">
        <v>6.1473170000000001</v>
      </c>
      <c r="K376" s="24">
        <v>5.859375</v>
      </c>
      <c r="L376" s="24">
        <v>6.5094919999999998</v>
      </c>
      <c r="M376" s="24">
        <v>21.927099999999999</v>
      </c>
      <c r="N376" s="24">
        <v>7.8606799511838865</v>
      </c>
      <c r="O376" s="24">
        <v>6.8</v>
      </c>
      <c r="P376" s="24">
        <v>2.8472222222222228</v>
      </c>
      <c r="Q376" s="24">
        <v>3.4950052576235535</v>
      </c>
      <c r="R376" s="24">
        <v>8.24</v>
      </c>
      <c r="S376" s="24">
        <v>6.2564238584180618</v>
      </c>
      <c r="T376" s="21">
        <v>1</v>
      </c>
      <c r="U376" s="21" t="s">
        <v>141</v>
      </c>
      <c r="V376" s="70">
        <v>-2.9558236882947446E-2</v>
      </c>
      <c r="W376" s="70">
        <v>3.0441763117052552E-2</v>
      </c>
      <c r="X376" s="24">
        <v>1.1349147708612481</v>
      </c>
      <c r="Y376" s="24" t="s">
        <v>1819</v>
      </c>
      <c r="Z376" s="75">
        <v>4859.72</v>
      </c>
      <c r="AA376" t="s">
        <v>1414</v>
      </c>
      <c r="AB376" s="24">
        <v>5.6427015250544663</v>
      </c>
    </row>
    <row r="377" spans="1:28" x14ac:dyDescent="0.55000000000000004">
      <c r="A377" s="24" t="s">
        <v>593</v>
      </c>
      <c r="B377" s="24" t="s">
        <v>1093</v>
      </c>
      <c r="C377" s="24" t="s">
        <v>110</v>
      </c>
      <c r="D377" s="24" t="s">
        <v>72</v>
      </c>
      <c r="E377" s="24" t="s">
        <v>88</v>
      </c>
      <c r="F377" s="70">
        <v>4.4181708651412274E-4</v>
      </c>
      <c r="G377" s="24">
        <v>6.1560180000000004</v>
      </c>
      <c r="H377" s="24">
        <v>6.7766820000000001</v>
      </c>
      <c r="I377" s="24">
        <v>5.5965809999999996</v>
      </c>
      <c r="J377" s="24">
        <v>6.1805089999999998</v>
      </c>
      <c r="K377" s="24">
        <v>0.3470123</v>
      </c>
      <c r="L377" s="24">
        <v>4.1436080000000004</v>
      </c>
      <c r="M377" s="24">
        <v>17.078099999999999</v>
      </c>
      <c r="N377" s="24">
        <v>7.762222575676514</v>
      </c>
      <c r="O377" s="24">
        <v>9.1999999999999993</v>
      </c>
      <c r="P377" s="24">
        <v>6.8493150684931505</v>
      </c>
      <c r="Q377" s="24">
        <v>0.98016871293744257</v>
      </c>
      <c r="R377" s="24">
        <v>4.74</v>
      </c>
      <c r="S377" s="24">
        <v>5.3419539567244287</v>
      </c>
      <c r="T377" s="21">
        <v>1</v>
      </c>
      <c r="U377" s="21" t="s">
        <v>141</v>
      </c>
      <c r="V377" s="70">
        <v>-2.9558433944167982E-2</v>
      </c>
      <c r="W377" s="70">
        <v>3.0441566055832016E-2</v>
      </c>
      <c r="X377" s="24">
        <v>0.68802038183088776</v>
      </c>
      <c r="Y377" s="24" t="s">
        <v>1546</v>
      </c>
      <c r="Z377" s="75">
        <v>4961.7790000000005</v>
      </c>
      <c r="AA377" t="s">
        <v>1414</v>
      </c>
      <c r="AB377" s="24">
        <v>6.5972222222222223</v>
      </c>
    </row>
    <row r="378" spans="1:28" x14ac:dyDescent="0.55000000000000004">
      <c r="A378" s="24" t="s">
        <v>590</v>
      </c>
      <c r="B378" s="24" t="s">
        <v>957</v>
      </c>
      <c r="C378" s="24" t="s">
        <v>106</v>
      </c>
      <c r="D378" s="24" t="s">
        <v>72</v>
      </c>
      <c r="E378" s="24" t="s">
        <v>86</v>
      </c>
      <c r="F378" s="70">
        <v>4.416305833156539E-4</v>
      </c>
      <c r="G378" s="24">
        <v>7.1719200000000001</v>
      </c>
      <c r="H378" s="24">
        <v>5.7973369999999997</v>
      </c>
      <c r="I378" s="24">
        <v>4.7935410000000003</v>
      </c>
      <c r="J378" s="24">
        <v>5.858384</v>
      </c>
      <c r="K378" s="24">
        <v>4.2370489999999998</v>
      </c>
      <c r="L378" s="24">
        <v>6.1506100000000004</v>
      </c>
      <c r="M378" s="24">
        <v>3.2118000000000002</v>
      </c>
      <c r="N378" s="24">
        <v>1.9454629672531145</v>
      </c>
      <c r="O378" s="24">
        <v>9.1</v>
      </c>
      <c r="P378" s="24">
        <v>9.784947288704009</v>
      </c>
      <c r="Q378" s="24">
        <v>1.8349528235459798</v>
      </c>
      <c r="R378" s="24">
        <v>4.2699999999999996</v>
      </c>
      <c r="S378" s="24">
        <v>3.286243742168609</v>
      </c>
      <c r="T378" s="21">
        <v>1</v>
      </c>
      <c r="U378" s="21" t="s">
        <v>141</v>
      </c>
      <c r="V378" s="70">
        <v>-2.9558753905936416E-2</v>
      </c>
      <c r="W378" s="70">
        <v>3.0441246094063582E-2</v>
      </c>
      <c r="X378" s="24">
        <v>0.85416669444151216</v>
      </c>
      <c r="Y378" s="24" t="s">
        <v>1812</v>
      </c>
      <c r="Z378" s="75">
        <v>5085.4440000000004</v>
      </c>
      <c r="AA378" t="s">
        <v>1415</v>
      </c>
      <c r="AB378" s="24">
        <v>6.2905982905982905</v>
      </c>
    </row>
    <row r="379" spans="1:28" x14ac:dyDescent="0.55000000000000004">
      <c r="A379" s="24" t="s">
        <v>569</v>
      </c>
      <c r="B379" s="24" t="s">
        <v>1204</v>
      </c>
      <c r="C379" s="24" t="s">
        <v>125</v>
      </c>
      <c r="D379" s="24" t="s">
        <v>72</v>
      </c>
      <c r="E379" s="24" t="s">
        <v>85</v>
      </c>
      <c r="F379" s="70">
        <v>4.4048940030203492E-4</v>
      </c>
      <c r="G379" s="24">
        <v>6.4905229999999996</v>
      </c>
      <c r="H379" s="24">
        <v>7.9401190000000001</v>
      </c>
      <c r="I379" s="24">
        <v>6.9692679999999996</v>
      </c>
      <c r="J379" s="24">
        <v>7.069026</v>
      </c>
      <c r="K379" s="24">
        <v>1.6588799999999999</v>
      </c>
      <c r="L379" s="24">
        <v>6.2142390000000001</v>
      </c>
      <c r="M379" s="24">
        <v>5.7523</v>
      </c>
      <c r="N379" s="24">
        <v>8.0095094873780202</v>
      </c>
      <c r="O379" s="24">
        <v>8</v>
      </c>
      <c r="P379" s="24">
        <v>7.0870870870870846</v>
      </c>
      <c r="Q379" s="24">
        <v>3.2093846834882696</v>
      </c>
      <c r="R379" s="24">
        <v>6.15</v>
      </c>
      <c r="S379" s="24">
        <v>6.0583662450526568</v>
      </c>
      <c r="T379" s="21">
        <v>1</v>
      </c>
      <c r="U379" s="21" t="s">
        <v>141</v>
      </c>
      <c r="V379" s="70">
        <v>-2.9559126110445894E-2</v>
      </c>
      <c r="W379" s="70">
        <v>3.0440873889554104E-2</v>
      </c>
      <c r="X379" s="24">
        <v>0.87150566829426335</v>
      </c>
      <c r="Y379" s="24" t="s">
        <v>1911</v>
      </c>
      <c r="Z379" s="75">
        <v>4505.0339999999997</v>
      </c>
      <c r="AA379" t="s">
        <v>1414</v>
      </c>
      <c r="AB379" s="24">
        <v>5.9515570934256061</v>
      </c>
    </row>
    <row r="380" spans="1:28" x14ac:dyDescent="0.55000000000000004">
      <c r="A380" s="24" t="s">
        <v>605</v>
      </c>
      <c r="B380" s="24" t="s">
        <v>1028</v>
      </c>
      <c r="C380" s="24" t="s">
        <v>161</v>
      </c>
      <c r="D380" s="24" t="s">
        <v>72</v>
      </c>
      <c r="E380" s="24" t="s">
        <v>89</v>
      </c>
      <c r="F380" s="70">
        <v>4.3482221322399984E-4</v>
      </c>
      <c r="G380" s="24">
        <v>7.1913819999999999</v>
      </c>
      <c r="H380" s="24">
        <v>6.7973689999999998</v>
      </c>
      <c r="I380" s="24">
        <v>5.5003799999999998</v>
      </c>
      <c r="J380" s="24">
        <v>6.5658770000000004</v>
      </c>
      <c r="K380" s="24">
        <v>4.1633930000000001</v>
      </c>
      <c r="L380" s="24">
        <v>9.5410629999999994</v>
      </c>
      <c r="M380" s="24">
        <v>18.670300000000001</v>
      </c>
      <c r="N380" s="24">
        <v>4.7201208247192206</v>
      </c>
      <c r="O380" s="24">
        <v>4.5</v>
      </c>
      <c r="P380" s="24">
        <v>7.3573573573573565</v>
      </c>
      <c r="Q380" s="24">
        <v>8.506713147410359</v>
      </c>
      <c r="R380" s="24">
        <v>6.84</v>
      </c>
      <c r="S380" s="24">
        <v>7.4977086278756992</v>
      </c>
      <c r="T380" s="21">
        <v>1</v>
      </c>
      <c r="U380" s="21" t="s">
        <v>117</v>
      </c>
      <c r="V380" s="70">
        <v>-2.9565562276028069E-2</v>
      </c>
      <c r="W380" s="70">
        <v>3.0434437723971929E-2</v>
      </c>
      <c r="X380" s="24">
        <v>1.1460682338298391</v>
      </c>
      <c r="Y380" s="24" t="s">
        <v>1423</v>
      </c>
      <c r="Z380" s="75">
        <v>4420.3220000000001</v>
      </c>
      <c r="AA380" t="s">
        <v>1414</v>
      </c>
      <c r="AB380" s="24">
        <v>6.5743944636678195</v>
      </c>
    </row>
    <row r="381" spans="1:28" x14ac:dyDescent="0.55000000000000004">
      <c r="A381" s="24" t="s">
        <v>583</v>
      </c>
      <c r="B381" s="24" t="s">
        <v>1077</v>
      </c>
      <c r="C381" s="24" t="s">
        <v>113</v>
      </c>
      <c r="D381" s="24" t="s">
        <v>72</v>
      </c>
      <c r="E381" s="24" t="s">
        <v>82</v>
      </c>
      <c r="F381" s="70">
        <v>4.3412833563454179E-4</v>
      </c>
      <c r="G381" s="24">
        <v>7.5367249999999997</v>
      </c>
      <c r="H381" s="24">
        <v>5.6935770000000003</v>
      </c>
      <c r="I381" s="24">
        <v>5.5347910000000002</v>
      </c>
      <c r="J381" s="24">
        <v>6.1909470000000004</v>
      </c>
      <c r="K381" s="24">
        <v>10.97289</v>
      </c>
      <c r="L381" s="24">
        <v>31.518360000000001</v>
      </c>
      <c r="M381" s="24">
        <v>14.7666</v>
      </c>
      <c r="N381" s="24">
        <v>3.8955084278418157</v>
      </c>
      <c r="O381" s="24">
        <v>6.7</v>
      </c>
      <c r="P381" s="24">
        <v>5.1881726008787741</v>
      </c>
      <c r="Q381" s="24">
        <v>9.1606815941416713</v>
      </c>
      <c r="R381" s="24">
        <v>7.57</v>
      </c>
      <c r="S381" s="24">
        <v>6.8943298314499488</v>
      </c>
      <c r="T381" s="21">
        <v>1</v>
      </c>
      <c r="U381" s="21" t="s">
        <v>141</v>
      </c>
      <c r="V381" s="70">
        <v>-2.9565964605183247E-2</v>
      </c>
      <c r="W381" s="70">
        <v>3.043403539481675E-2</v>
      </c>
      <c r="X381" s="24">
        <v>1.2144329909009772</v>
      </c>
      <c r="Y381" s="24" t="s">
        <v>1481</v>
      </c>
      <c r="Z381" s="75">
        <v>5330.2370000000001</v>
      </c>
      <c r="AA381" t="s">
        <v>1415</v>
      </c>
      <c r="AB381" s="24">
        <v>6.1709401709401712</v>
      </c>
    </row>
    <row r="382" spans="1:28" x14ac:dyDescent="0.55000000000000004">
      <c r="A382" s="24" t="s">
        <v>585</v>
      </c>
      <c r="B382" s="24" t="s">
        <v>1377</v>
      </c>
      <c r="C382" s="24" t="s">
        <v>113</v>
      </c>
      <c r="D382" s="24" t="s">
        <v>72</v>
      </c>
      <c r="E382" s="24" t="s">
        <v>82</v>
      </c>
      <c r="F382" s="70">
        <v>4.3357979677315967E-4</v>
      </c>
      <c r="G382" s="24">
        <v>3.5244740000000001</v>
      </c>
      <c r="H382" s="24">
        <v>5.3575530000000002</v>
      </c>
      <c r="I382" s="24">
        <v>5.8293650000000001</v>
      </c>
      <c r="J382" s="24">
        <v>4.9727639999999997</v>
      </c>
      <c r="K382" s="24">
        <v>14.401059999999999</v>
      </c>
      <c r="L382" s="24">
        <v>29.395620000000001</v>
      </c>
      <c r="M382" s="24">
        <v>10.077500000000001</v>
      </c>
      <c r="N382" s="24">
        <v>6.3657198151109</v>
      </c>
      <c r="O382" s="24">
        <v>8.6999999999999993</v>
      </c>
      <c r="P382" s="24">
        <v>5.4946242467337907</v>
      </c>
      <c r="Q382" s="24">
        <v>9.0959019856358267</v>
      </c>
      <c r="R382" s="24">
        <v>8.93</v>
      </c>
      <c r="S382" s="24">
        <v>7.4368118225576385</v>
      </c>
      <c r="T382" s="21">
        <v>1</v>
      </c>
      <c r="U382" s="21" t="s">
        <v>117</v>
      </c>
      <c r="V382" s="70">
        <v>-2.956680469247891E-2</v>
      </c>
      <c r="W382" s="70">
        <v>3.0433195307521088E-2</v>
      </c>
      <c r="X382" s="24">
        <v>1.7811349525117459</v>
      </c>
      <c r="Y382" s="24" t="s">
        <v>1488</v>
      </c>
      <c r="Z382" s="75">
        <v>4653.4939999999997</v>
      </c>
      <c r="AA382" t="s">
        <v>1414</v>
      </c>
      <c r="AB382" s="24">
        <v>6.2051282051282053</v>
      </c>
    </row>
    <row r="383" spans="1:28" x14ac:dyDescent="0.55000000000000004">
      <c r="A383" s="24" t="s">
        <v>596</v>
      </c>
      <c r="B383" s="24" t="s">
        <v>1331</v>
      </c>
      <c r="C383" s="24" t="s">
        <v>106</v>
      </c>
      <c r="D383" s="24" t="s">
        <v>72</v>
      </c>
      <c r="E383" s="24" t="s">
        <v>86</v>
      </c>
      <c r="F383" s="70">
        <v>4.3158561590143641E-4</v>
      </c>
      <c r="G383" s="24">
        <v>8.4747859999999999</v>
      </c>
      <c r="H383" s="24">
        <v>6.1245690000000002</v>
      </c>
      <c r="I383" s="24">
        <v>6.6313120000000003</v>
      </c>
      <c r="J383" s="24">
        <v>7.0069939999999997</v>
      </c>
      <c r="K383" s="24">
        <v>2.7209029999999998</v>
      </c>
      <c r="L383" s="24">
        <v>10.88049</v>
      </c>
      <c r="M383" s="24">
        <v>0.12415</v>
      </c>
      <c r="N383" s="24">
        <v>5.4640245400561192</v>
      </c>
      <c r="O383" s="24">
        <v>3.1</v>
      </c>
      <c r="P383" s="24">
        <v>0.16129033992369252</v>
      </c>
      <c r="Q383" s="24">
        <v>4.5556963807914386</v>
      </c>
      <c r="R383" s="24">
        <v>0.82</v>
      </c>
      <c r="S383" s="24">
        <v>3.1341078514099876</v>
      </c>
      <c r="T383" s="21">
        <v>1</v>
      </c>
      <c r="U383" s="21" t="s">
        <v>141</v>
      </c>
      <c r="V383" s="70">
        <v>-2.9568029894846495E-2</v>
      </c>
      <c r="W383" s="70">
        <v>3.0431970105153503E-2</v>
      </c>
      <c r="X383" s="24">
        <v>1.6810841100571747</v>
      </c>
      <c r="Y383" s="24" t="s">
        <v>1786</v>
      </c>
      <c r="Z383" s="75">
        <v>4838.1440000000002</v>
      </c>
      <c r="AA383" t="s">
        <v>1414</v>
      </c>
      <c r="AB383" s="24">
        <v>6.3931623931623927</v>
      </c>
    </row>
    <row r="384" spans="1:28" x14ac:dyDescent="0.55000000000000004">
      <c r="A384" s="24" t="s">
        <v>594</v>
      </c>
      <c r="B384" s="24" t="s">
        <v>1406</v>
      </c>
      <c r="C384" s="24" t="s">
        <v>107</v>
      </c>
      <c r="D384" s="24" t="s">
        <v>72</v>
      </c>
      <c r="E384" s="24" t="s">
        <v>84</v>
      </c>
      <c r="F384" s="70">
        <v>4.3134351783517371E-4</v>
      </c>
      <c r="G384" s="24">
        <v>7.2093470000000002</v>
      </c>
      <c r="H384" s="24">
        <v>7.3247640000000001</v>
      </c>
      <c r="I384" s="24">
        <v>4.7484739999999999</v>
      </c>
      <c r="J384" s="24">
        <v>6.4275279999999997</v>
      </c>
      <c r="K384" s="24">
        <v>4.2258990000000001</v>
      </c>
      <c r="L384" s="24">
        <v>8.6543270000000003</v>
      </c>
      <c r="M384" s="24">
        <v>261.58350000000002</v>
      </c>
      <c r="N384" s="24">
        <v>4.567461079749223</v>
      </c>
      <c r="O384" s="24">
        <v>4</v>
      </c>
      <c r="P384" s="24">
        <v>4.3880597014925371</v>
      </c>
      <c r="Q384" s="24">
        <v>8.0107582193431952</v>
      </c>
      <c r="R384" s="24">
        <v>7.27</v>
      </c>
      <c r="S384" s="24">
        <v>6.1674530439250059</v>
      </c>
      <c r="T384" s="21">
        <v>1</v>
      </c>
      <c r="U384" s="21" t="s">
        <v>117</v>
      </c>
      <c r="V384" s="70">
        <v>-2.9568271992912756E-2</v>
      </c>
      <c r="W384" s="70">
        <v>3.0431728007087242E-2</v>
      </c>
      <c r="X384" s="24">
        <v>1.5690490813148636</v>
      </c>
      <c r="Y384" s="24" t="s">
        <v>1455</v>
      </c>
      <c r="Z384" s="75">
        <v>4912.1459999999997</v>
      </c>
      <c r="AA384" t="s">
        <v>1414</v>
      </c>
      <c r="AB384" s="24">
        <v>6.3368055555555554</v>
      </c>
    </row>
    <row r="385" spans="1:28" x14ac:dyDescent="0.55000000000000004">
      <c r="A385" s="24" t="s">
        <v>547</v>
      </c>
      <c r="B385" s="24" t="s">
        <v>1325</v>
      </c>
      <c r="C385" s="24" t="s">
        <v>125</v>
      </c>
      <c r="D385" s="24" t="s">
        <v>72</v>
      </c>
      <c r="E385" s="24" t="s">
        <v>89</v>
      </c>
      <c r="F385" s="70">
        <v>4.2967470192094829E-4</v>
      </c>
      <c r="G385" s="24">
        <v>7.5682520000000002</v>
      </c>
      <c r="H385" s="24">
        <v>5.870279</v>
      </c>
      <c r="I385" s="24">
        <v>6.454904</v>
      </c>
      <c r="J385" s="24">
        <v>6.7248549999999998</v>
      </c>
      <c r="K385" s="24">
        <v>5.9810280000000002</v>
      </c>
      <c r="L385" s="24">
        <v>5.7092150000000004</v>
      </c>
      <c r="M385" s="24">
        <v>2.8193999999999999</v>
      </c>
      <c r="N385" s="24">
        <v>0.43872874697519998</v>
      </c>
      <c r="O385" s="24">
        <v>0.4</v>
      </c>
      <c r="P385" s="24">
        <v>5.2852852852852834</v>
      </c>
      <c r="Q385" s="24">
        <v>8.6288180610889782</v>
      </c>
      <c r="R385" s="24">
        <v>7.34</v>
      </c>
      <c r="S385" s="24">
        <v>4.6091154290555814</v>
      </c>
      <c r="T385" s="21">
        <v>1</v>
      </c>
      <c r="U385" s="21" t="s">
        <v>141</v>
      </c>
      <c r="V385" s="70">
        <v>-2.9570709787331121E-2</v>
      </c>
      <c r="W385" s="70">
        <v>3.0429290212668877E-2</v>
      </c>
      <c r="X385" s="24">
        <v>1.1852085805624324</v>
      </c>
      <c r="Y385" s="24" t="s">
        <v>1908</v>
      </c>
      <c r="Z385" s="75">
        <v>4743.973</v>
      </c>
      <c r="AA385" t="s">
        <v>1414</v>
      </c>
      <c r="AB385" s="24">
        <v>5.570934256055363</v>
      </c>
    </row>
    <row r="386" spans="1:28" x14ac:dyDescent="0.55000000000000004">
      <c r="A386" s="24" t="s">
        <v>604</v>
      </c>
      <c r="B386" s="24" t="s">
        <v>1381</v>
      </c>
      <c r="C386" s="24" t="s">
        <v>177</v>
      </c>
      <c r="D386" s="24" t="s">
        <v>72</v>
      </c>
      <c r="E386" s="24" t="s">
        <v>89</v>
      </c>
      <c r="F386" s="70">
        <v>4.2667820102705839E-4</v>
      </c>
      <c r="G386" s="24">
        <v>6.9780790000000001</v>
      </c>
      <c r="H386" s="24">
        <v>5.2310800000000004</v>
      </c>
      <c r="I386" s="24">
        <v>6.1827959999999997</v>
      </c>
      <c r="J386" s="24">
        <v>6.2153939999999999</v>
      </c>
      <c r="K386" s="24">
        <v>2.336795</v>
      </c>
      <c r="L386" s="24">
        <v>11.074669999999999</v>
      </c>
      <c r="M386" s="24">
        <v>21.439599999999999</v>
      </c>
      <c r="N386" s="24">
        <v>8.698941486970325</v>
      </c>
      <c r="O386" s="24">
        <v>9.6999999999999993</v>
      </c>
      <c r="P386" s="24">
        <v>7.7777777777777768</v>
      </c>
      <c r="Q386" s="24">
        <v>4.8041168658698545</v>
      </c>
      <c r="R386" s="24">
        <v>5.76</v>
      </c>
      <c r="S386" s="24">
        <v>7.8968618391939884</v>
      </c>
      <c r="T386" s="21">
        <v>1</v>
      </c>
      <c r="U386" s="21" t="s">
        <v>117</v>
      </c>
      <c r="V386" s="70">
        <v>-2.9572937309720871E-2</v>
      </c>
      <c r="W386" s="70">
        <v>3.0427062690279127E-2</v>
      </c>
      <c r="X386" s="24">
        <v>1.6704795659326945</v>
      </c>
      <c r="Y386" s="24" t="s">
        <v>1446</v>
      </c>
      <c r="Z386" s="75">
        <v>4786.7510000000002</v>
      </c>
      <c r="AA386" t="s">
        <v>1414</v>
      </c>
      <c r="AB386" s="24">
        <v>6.5570934256055367</v>
      </c>
    </row>
    <row r="387" spans="1:28" x14ac:dyDescent="0.55000000000000004">
      <c r="A387" s="24" t="s">
        <v>588</v>
      </c>
      <c r="B387" s="24" t="s">
        <v>890</v>
      </c>
      <c r="C387" s="24" t="s">
        <v>106</v>
      </c>
      <c r="D387" s="24" t="s">
        <v>72</v>
      </c>
      <c r="E387" s="24" t="s">
        <v>88</v>
      </c>
      <c r="F387" s="70">
        <v>4.2406441200756195E-4</v>
      </c>
      <c r="G387" s="24">
        <v>7.6124340000000004</v>
      </c>
      <c r="H387" s="24">
        <v>5.4372259999999999</v>
      </c>
      <c r="I387" s="24">
        <v>7.5317980000000002</v>
      </c>
      <c r="J387" s="24">
        <v>6.7100960000000001</v>
      </c>
      <c r="K387" s="24">
        <v>2.132946</v>
      </c>
      <c r="L387" s="24">
        <v>4.6502119999999998</v>
      </c>
      <c r="M387" s="24">
        <v>18.674600000000002</v>
      </c>
      <c r="N387" s="24">
        <v>2.9768186772592782</v>
      </c>
      <c r="O387" s="24">
        <v>2.1</v>
      </c>
      <c r="P387" s="24">
        <v>4.7945205479452051</v>
      </c>
      <c r="Q387" s="24">
        <v>5.2982176563935521</v>
      </c>
      <c r="R387" s="24">
        <v>6.21</v>
      </c>
      <c r="S387" s="24">
        <v>5.1436009687042326</v>
      </c>
      <c r="T387" s="21">
        <v>1</v>
      </c>
      <c r="U387" s="21" t="s">
        <v>141</v>
      </c>
      <c r="V387" s="70">
        <v>-2.9576320077244506E-2</v>
      </c>
      <c r="W387" s="70">
        <v>3.0423679922755492E-2</v>
      </c>
      <c r="X387" s="24">
        <v>0.80301514398008123</v>
      </c>
      <c r="Y387" s="24" t="s">
        <v>1826</v>
      </c>
      <c r="Z387" s="75">
        <v>4506.6869999999999</v>
      </c>
      <c r="AA387" t="s">
        <v>1414</v>
      </c>
      <c r="AB387" s="24">
        <v>6.5104166666666661</v>
      </c>
    </row>
    <row r="388" spans="1:28" x14ac:dyDescent="0.55000000000000004">
      <c r="A388" s="24" t="s">
        <v>577</v>
      </c>
      <c r="B388" s="24" t="s">
        <v>1228</v>
      </c>
      <c r="C388" s="24" t="s">
        <v>113</v>
      </c>
      <c r="D388" s="24" t="s">
        <v>72</v>
      </c>
      <c r="E388" s="24" t="s">
        <v>87</v>
      </c>
      <c r="F388" s="70">
        <v>4.1783987017558565E-4</v>
      </c>
      <c r="G388" s="24">
        <v>5.7379090000000001</v>
      </c>
      <c r="H388" s="24">
        <v>7.2428920000000003</v>
      </c>
      <c r="I388" s="24">
        <v>4.7446020000000004</v>
      </c>
      <c r="J388" s="24">
        <v>5.8914119999999999</v>
      </c>
      <c r="K388" s="24">
        <v>0.91114779999999995</v>
      </c>
      <c r="L388" s="24">
        <v>3.2570700000000001</v>
      </c>
      <c r="M388" s="24">
        <v>43.052</v>
      </c>
      <c r="N388" s="24">
        <v>3.9933520052627451</v>
      </c>
      <c r="O388" s="24">
        <v>0.8</v>
      </c>
      <c r="P388" s="24">
        <v>3.4309623430962342</v>
      </c>
      <c r="Q388" s="24">
        <v>2.1273841601944317</v>
      </c>
      <c r="R388" s="24">
        <v>1.85</v>
      </c>
      <c r="S388" s="24">
        <v>2.1567427383944664</v>
      </c>
      <c r="T388" s="21">
        <v>1</v>
      </c>
      <c r="U388" s="21" t="s">
        <v>141</v>
      </c>
      <c r="V388" s="70">
        <v>-2.9581775640572343E-2</v>
      </c>
      <c r="W388" s="70">
        <v>3.0418224359427655E-2</v>
      </c>
      <c r="X388" s="24">
        <v>1.2448951273284707</v>
      </c>
      <c r="Y388" s="24" t="s">
        <v>1930</v>
      </c>
      <c r="Z388" s="75">
        <v>3630.6970000000001</v>
      </c>
      <c r="AA388" t="s">
        <v>1414</v>
      </c>
      <c r="AB388" s="24">
        <v>6.429840142095915</v>
      </c>
    </row>
    <row r="389" spans="1:28" x14ac:dyDescent="0.55000000000000004">
      <c r="A389" s="24" t="s">
        <v>626</v>
      </c>
      <c r="B389" s="24" t="s">
        <v>918</v>
      </c>
      <c r="C389" s="24" t="s">
        <v>106</v>
      </c>
      <c r="D389" s="24" t="s">
        <v>72</v>
      </c>
      <c r="E389" s="24" t="s">
        <v>95</v>
      </c>
      <c r="F389" s="70">
        <v>4.1709285902776194E-4</v>
      </c>
      <c r="G389" s="24" t="e">
        <v>#N/A</v>
      </c>
      <c r="H389" s="24" t="e">
        <v>#N/A</v>
      </c>
      <c r="I389" s="24" t="e">
        <v>#N/A</v>
      </c>
      <c r="J389" s="24" t="e">
        <v>#N/A</v>
      </c>
      <c r="K389" s="24">
        <v>0.64718089999999995</v>
      </c>
      <c r="L389" s="24">
        <v>11.79766</v>
      </c>
      <c r="M389" s="24" t="e">
        <v>#N/A</v>
      </c>
      <c r="N389" s="24">
        <v>6.1821228548606157</v>
      </c>
      <c r="O389" s="24">
        <v>5.9</v>
      </c>
      <c r="P389" s="24">
        <v>6.8012422360248461</v>
      </c>
      <c r="Q389" s="24">
        <v>6.7943254474834989</v>
      </c>
      <c r="R389" s="24">
        <v>2.77</v>
      </c>
      <c r="S389" s="24">
        <v>6.5543263885044087</v>
      </c>
      <c r="T389" s="21">
        <v>1</v>
      </c>
      <c r="U389" s="21" t="s">
        <v>141</v>
      </c>
      <c r="V389" s="70">
        <v>-2.9582522651720167E-2</v>
      </c>
      <c r="W389" s="70">
        <v>3.041747734827983E-2</v>
      </c>
      <c r="X389" s="24">
        <v>1.6273204254381863</v>
      </c>
      <c r="Y389" s="24" t="s">
        <v>1843</v>
      </c>
      <c r="Z389" s="75">
        <v>4620.2860000000001</v>
      </c>
      <c r="AA389" t="s">
        <v>1414</v>
      </c>
      <c r="AB389" s="24">
        <v>6.9468267581475125</v>
      </c>
    </row>
    <row r="390" spans="1:28" x14ac:dyDescent="0.55000000000000004">
      <c r="A390" s="24" t="s">
        <v>610</v>
      </c>
      <c r="B390" s="24" t="s">
        <v>1127</v>
      </c>
      <c r="C390" s="24" t="s">
        <v>1898</v>
      </c>
      <c r="D390" s="24" t="s">
        <v>72</v>
      </c>
      <c r="E390" s="24" t="s">
        <v>95</v>
      </c>
      <c r="F390" s="70">
        <v>4.1317160033581632E-4</v>
      </c>
      <c r="G390" s="24">
        <v>5.0189969999999997</v>
      </c>
      <c r="H390" s="24">
        <v>4.6726510000000001</v>
      </c>
      <c r="I390" s="24">
        <v>2.362657</v>
      </c>
      <c r="J390" s="24">
        <v>4.0181019999999998</v>
      </c>
      <c r="K390" s="24">
        <v>3.9678529999999999</v>
      </c>
      <c r="L390" s="24">
        <v>6.616517</v>
      </c>
      <c r="M390" s="24">
        <v>9.4574999999999996</v>
      </c>
      <c r="N390" s="24">
        <v>6.1883872658096823</v>
      </c>
      <c r="O390" s="24">
        <v>5</v>
      </c>
      <c r="P390" s="24">
        <v>6.1490683229813667</v>
      </c>
      <c r="Q390" s="24">
        <v>2.6308498791319228</v>
      </c>
      <c r="R390" s="24">
        <v>6.96</v>
      </c>
      <c r="S390" s="24">
        <v>4.8549789124937757</v>
      </c>
      <c r="T390" s="21">
        <v>1</v>
      </c>
      <c r="U390" s="21" t="s">
        <v>141</v>
      </c>
      <c r="V390" s="70">
        <v>-2.9587212888916251E-2</v>
      </c>
      <c r="W390" s="70">
        <v>3.0412787111083747E-2</v>
      </c>
      <c r="X390" s="24">
        <v>1.3989224840630585</v>
      </c>
      <c r="Y390" s="24" t="s">
        <v>1948</v>
      </c>
      <c r="Z390" s="75">
        <v>4084.5920000000001</v>
      </c>
      <c r="AA390" t="s">
        <v>1414</v>
      </c>
      <c r="AB390" s="24">
        <v>6.672384219554031</v>
      </c>
    </row>
    <row r="391" spans="1:28" x14ac:dyDescent="0.55000000000000004">
      <c r="A391" s="24" t="s">
        <v>599</v>
      </c>
      <c r="B391" s="24" t="s">
        <v>1236</v>
      </c>
      <c r="C391" s="24" t="s">
        <v>110</v>
      </c>
      <c r="D391" s="24" t="s">
        <v>72</v>
      </c>
      <c r="E391" s="24" t="s">
        <v>88</v>
      </c>
      <c r="F391" s="70">
        <v>4.1170385014972414E-4</v>
      </c>
      <c r="G391" s="24" t="e">
        <v>#N/A</v>
      </c>
      <c r="H391" s="24" t="e">
        <v>#N/A</v>
      </c>
      <c r="I391" s="24" t="e">
        <v>#N/A</v>
      </c>
      <c r="J391" s="24" t="e">
        <v>#N/A</v>
      </c>
      <c r="K391" s="24">
        <v>5.6307290000000003E-2</v>
      </c>
      <c r="L391" s="24" t="e">
        <v>#N/A</v>
      </c>
      <c r="M391" s="24" t="e">
        <v>#N/A</v>
      </c>
      <c r="N391" s="24">
        <v>6.1693826415842636</v>
      </c>
      <c r="O391" s="24">
        <v>2.4</v>
      </c>
      <c r="P391" s="24">
        <v>1.9452054794520546</v>
      </c>
      <c r="Q391" s="24">
        <v>2.0427439516690331</v>
      </c>
      <c r="R391" s="24">
        <v>0</v>
      </c>
      <c r="S391" s="24" t="e">
        <v>#N/A</v>
      </c>
      <c r="T391" s="21">
        <v>1</v>
      </c>
      <c r="U391" s="21" t="s">
        <v>141</v>
      </c>
      <c r="V391" s="70">
        <v>-2.9587911660598206E-2</v>
      </c>
      <c r="W391" s="70">
        <v>3.0412088339401792E-2</v>
      </c>
      <c r="X391" s="24">
        <v>7.2121775379277747E-2</v>
      </c>
      <c r="Y391" s="24" t="s">
        <v>1581</v>
      </c>
      <c r="Z391" s="75">
        <v>4816.2979999999998</v>
      </c>
      <c r="AA391" t="s">
        <v>1414</v>
      </c>
      <c r="AB391" s="24">
        <v>6.7013888888888884</v>
      </c>
    </row>
    <row r="392" spans="1:28" x14ac:dyDescent="0.55000000000000004">
      <c r="A392" s="24" t="s">
        <v>607</v>
      </c>
      <c r="B392" s="24" t="s">
        <v>1364</v>
      </c>
      <c r="C392" s="24" t="s">
        <v>112</v>
      </c>
      <c r="D392" s="24" t="s">
        <v>72</v>
      </c>
      <c r="E392" s="24" t="s">
        <v>89</v>
      </c>
      <c r="F392" s="70">
        <v>4.0540900018125916E-4</v>
      </c>
      <c r="G392" s="24">
        <v>5.4132129999999998</v>
      </c>
      <c r="H392" s="24">
        <v>5.1587940000000003</v>
      </c>
      <c r="I392" s="24">
        <v>4.2965260000000001</v>
      </c>
      <c r="J392" s="24">
        <v>5.001881</v>
      </c>
      <c r="K392" s="24">
        <v>1.612463</v>
      </c>
      <c r="L392" s="24">
        <v>2.9744630000000001</v>
      </c>
      <c r="M392" s="24">
        <v>7.0845000000000002</v>
      </c>
      <c r="N392" s="24">
        <v>5.9044743503577104</v>
      </c>
      <c r="O392" s="24">
        <v>8.6999999999999993</v>
      </c>
      <c r="P392" s="24">
        <v>10</v>
      </c>
      <c r="Q392" s="24">
        <v>0.44175154935812311</v>
      </c>
      <c r="R392" s="24">
        <v>5.27</v>
      </c>
      <c r="S392" s="24">
        <v>3.5066019841142739</v>
      </c>
      <c r="T392" s="21">
        <v>1</v>
      </c>
      <c r="U392" s="21" t="s">
        <v>141</v>
      </c>
      <c r="V392" s="70">
        <v>-2.959420651056667E-2</v>
      </c>
      <c r="W392" s="70">
        <v>3.0405793489433328E-2</v>
      </c>
      <c r="X392" s="24">
        <v>1.144737977498808</v>
      </c>
      <c r="Y392" s="24" t="s">
        <v>1603</v>
      </c>
      <c r="Z392" s="75">
        <v>4354.9589999999998</v>
      </c>
      <c r="AA392" t="s">
        <v>1414</v>
      </c>
      <c r="AB392" s="24">
        <v>6.608996539792388</v>
      </c>
    </row>
    <row r="393" spans="1:28" x14ac:dyDescent="0.55000000000000004">
      <c r="A393" s="24" t="s">
        <v>592</v>
      </c>
      <c r="B393" s="24" t="s">
        <v>1117</v>
      </c>
      <c r="C393" s="24" t="s">
        <v>107</v>
      </c>
      <c r="D393" s="24" t="s">
        <v>72</v>
      </c>
      <c r="E393" s="24" t="s">
        <v>99</v>
      </c>
      <c r="F393" s="70">
        <v>4.0421342204997602E-4</v>
      </c>
      <c r="G393" s="24">
        <v>6.58934</v>
      </c>
      <c r="H393" s="24">
        <v>5.2227249999999996</v>
      </c>
      <c r="I393" s="24">
        <v>5.5796150000000004</v>
      </c>
      <c r="J393" s="24">
        <v>6.0130990000000004</v>
      </c>
      <c r="K393" s="24">
        <v>5.5065400000000002</v>
      </c>
      <c r="L393" s="24">
        <v>7.130236</v>
      </c>
      <c r="M393" s="24">
        <v>1.9320999999999999</v>
      </c>
      <c r="N393" s="24">
        <v>9.736384155691292</v>
      </c>
      <c r="O393" s="24">
        <v>8.3000000000000007</v>
      </c>
      <c r="P393" s="24">
        <v>8.722741433021806</v>
      </c>
      <c r="Q393" s="24">
        <v>2.2431846342218495</v>
      </c>
      <c r="R393" s="24">
        <v>8.5</v>
      </c>
      <c r="S393" s="24">
        <v>6.2486669609006693</v>
      </c>
      <c r="T393" s="21">
        <v>1</v>
      </c>
      <c r="U393" s="21" t="s">
        <v>141</v>
      </c>
      <c r="V393" s="70">
        <v>-2.9595402088697952E-2</v>
      </c>
      <c r="W393" s="70">
        <v>3.0404597911302046E-2</v>
      </c>
      <c r="X393" s="24">
        <v>0.80299373008740205</v>
      </c>
      <c r="Y393" s="24" t="s">
        <v>1747</v>
      </c>
      <c r="Z393" s="75">
        <v>4395.4350000000004</v>
      </c>
      <c r="AA393" t="s">
        <v>1414</v>
      </c>
      <c r="AB393" s="24">
        <v>6.3016157989228008</v>
      </c>
    </row>
    <row r="394" spans="1:28" x14ac:dyDescent="0.55000000000000004">
      <c r="A394" s="24" t="s">
        <v>598</v>
      </c>
      <c r="B394" s="24" t="s">
        <v>1034</v>
      </c>
      <c r="C394" s="24" t="s">
        <v>106</v>
      </c>
      <c r="D394" s="24" t="s">
        <v>72</v>
      </c>
      <c r="E394" s="24" t="s">
        <v>86</v>
      </c>
      <c r="F394" s="70">
        <v>4.0419159406050633E-4</v>
      </c>
      <c r="G394" s="24">
        <v>6.8129860000000004</v>
      </c>
      <c r="H394" s="24">
        <v>5.239071</v>
      </c>
      <c r="I394" s="24">
        <v>5.1367450000000003</v>
      </c>
      <c r="J394" s="24">
        <v>5.6754319999999998</v>
      </c>
      <c r="K394" s="24">
        <v>5.2180809999999997</v>
      </c>
      <c r="L394" s="24">
        <v>13.17489</v>
      </c>
      <c r="M394" s="24">
        <v>3.3862999999999999</v>
      </c>
      <c r="N394" s="24">
        <v>6.8240158947761618</v>
      </c>
      <c r="O394" s="24">
        <v>8.6</v>
      </c>
      <c r="P394" s="24">
        <v>7.2580652965661603</v>
      </c>
      <c r="Q394" s="24">
        <v>6.0011266018870586</v>
      </c>
      <c r="R394" s="24">
        <v>7.3</v>
      </c>
      <c r="S394" s="24">
        <v>6.6027685499258135</v>
      </c>
      <c r="T394" s="21">
        <v>1</v>
      </c>
      <c r="U394" s="21" t="s">
        <v>141</v>
      </c>
      <c r="V394" s="70">
        <v>-2.9595507274753199E-2</v>
      </c>
      <c r="W394" s="70">
        <v>3.0404492725246798E-2</v>
      </c>
      <c r="X394" s="24">
        <v>0.87510917605457816</v>
      </c>
      <c r="Y394" s="24" t="s">
        <v>1804</v>
      </c>
      <c r="Z394" s="75">
        <v>4080.848</v>
      </c>
      <c r="AA394" t="s">
        <v>1414</v>
      </c>
      <c r="AB394" s="24">
        <v>6.4273504273504276</v>
      </c>
    </row>
    <row r="395" spans="1:28" x14ac:dyDescent="0.55000000000000004">
      <c r="A395" s="24" t="s">
        <v>606</v>
      </c>
      <c r="B395" s="24" t="s">
        <v>1075</v>
      </c>
      <c r="C395" s="24" t="s">
        <v>107</v>
      </c>
      <c r="D395" s="24" t="s">
        <v>72</v>
      </c>
      <c r="E395" s="24" t="s">
        <v>89</v>
      </c>
      <c r="F395" s="70">
        <v>4.0410823599472992E-4</v>
      </c>
      <c r="G395" s="24">
        <v>5.5365019999999996</v>
      </c>
      <c r="H395" s="24">
        <v>5.173686</v>
      </c>
      <c r="I395" s="24">
        <v>5.5815029999999997</v>
      </c>
      <c r="J395" s="24">
        <v>5.409376</v>
      </c>
      <c r="K395" s="24">
        <v>1.169591</v>
      </c>
      <c r="L395" s="24">
        <v>2.6639699999999999</v>
      </c>
      <c r="M395" s="24">
        <v>17.1768</v>
      </c>
      <c r="N395" s="24">
        <v>5.3706494328658119</v>
      </c>
      <c r="O395" s="24">
        <v>4.2</v>
      </c>
      <c r="P395" s="24">
        <v>1.9519519519519521</v>
      </c>
      <c r="Q395" s="24">
        <v>5.768960823373174</v>
      </c>
      <c r="R395" s="24">
        <v>2.93</v>
      </c>
      <c r="S395" s="24">
        <v>2.9051179542478662</v>
      </c>
      <c r="T395" s="21">
        <v>1</v>
      </c>
      <c r="U395" s="21" t="s">
        <v>141</v>
      </c>
      <c r="V395" s="70">
        <v>-2.959616010885251E-2</v>
      </c>
      <c r="W395" s="70">
        <v>3.0403839891147488E-2</v>
      </c>
      <c r="X395" s="24">
        <v>0.96071104055873624</v>
      </c>
      <c r="Y395" s="24" t="s">
        <v>1700</v>
      </c>
      <c r="Z395" s="75">
        <v>4186.1270000000004</v>
      </c>
      <c r="AA395" t="s">
        <v>1414</v>
      </c>
      <c r="AB395" s="24">
        <v>6.5916955017301042</v>
      </c>
    </row>
    <row r="396" spans="1:28" x14ac:dyDescent="0.55000000000000004">
      <c r="A396" s="24" t="s">
        <v>618</v>
      </c>
      <c r="B396" s="24" t="s">
        <v>1180</v>
      </c>
      <c r="C396" s="24" t="s">
        <v>106</v>
      </c>
      <c r="D396" s="24" t="s">
        <v>72</v>
      </c>
      <c r="E396" s="24" t="s">
        <v>89</v>
      </c>
      <c r="F396" s="70">
        <v>4.0322646398008587E-4</v>
      </c>
      <c r="G396" s="24">
        <v>7.2158170000000004</v>
      </c>
      <c r="H396" s="24">
        <v>6.8077430000000003</v>
      </c>
      <c r="I396" s="24">
        <v>7.994021</v>
      </c>
      <c r="J396" s="24">
        <v>7.3268560000000003</v>
      </c>
      <c r="K396" s="24">
        <v>2.6883400000000002</v>
      </c>
      <c r="L396" s="24">
        <v>5.9835659999999997</v>
      </c>
      <c r="M396" s="24">
        <v>0.82416</v>
      </c>
      <c r="N396" s="24">
        <v>2.2822562229411618</v>
      </c>
      <c r="O396" s="24">
        <v>3.2</v>
      </c>
      <c r="P396" s="24">
        <v>5.9459459459459456</v>
      </c>
      <c r="Q396" s="24">
        <v>5.9246347941567068</v>
      </c>
      <c r="R396" s="24">
        <v>4.83</v>
      </c>
      <c r="S396" s="24">
        <v>4.3690783696393485</v>
      </c>
      <c r="T396" s="21">
        <v>1</v>
      </c>
      <c r="U396" s="21" t="s">
        <v>141</v>
      </c>
      <c r="V396" s="70">
        <v>-2.959674008334362E-2</v>
      </c>
      <c r="W396" s="70">
        <v>3.0403259916656378E-2</v>
      </c>
      <c r="X396" s="24">
        <v>1.6739506248868501</v>
      </c>
      <c r="Y396" s="24" t="s">
        <v>1772</v>
      </c>
      <c r="Z396" s="75">
        <v>4586.9740000000002</v>
      </c>
      <c r="AA396" t="s">
        <v>1414</v>
      </c>
      <c r="AB396" s="24">
        <v>6.7993079584775087</v>
      </c>
    </row>
    <row r="397" spans="1:28" x14ac:dyDescent="0.55000000000000004">
      <c r="A397" s="24" t="s">
        <v>631</v>
      </c>
      <c r="B397" s="24" t="s">
        <v>1370</v>
      </c>
      <c r="C397" s="24" t="s">
        <v>177</v>
      </c>
      <c r="D397" s="24" t="s">
        <v>72</v>
      </c>
      <c r="E397" s="24" t="s">
        <v>89</v>
      </c>
      <c r="F397" s="70">
        <v>4.0287542740431102E-4</v>
      </c>
      <c r="G397" s="24">
        <v>6.0900169999999996</v>
      </c>
      <c r="H397" s="24">
        <v>6.8451750000000002</v>
      </c>
      <c r="I397" s="24">
        <v>5.3932989999999998</v>
      </c>
      <c r="J397" s="24">
        <v>6.1075489999999997</v>
      </c>
      <c r="K397" s="24">
        <v>4.7809460000000001</v>
      </c>
      <c r="L397" s="24">
        <v>7.7417030000000002</v>
      </c>
      <c r="M397" s="24">
        <v>24.127099999999999</v>
      </c>
      <c r="N397" s="24">
        <v>3.0170739996942291</v>
      </c>
      <c r="O397" s="24">
        <v>3.1</v>
      </c>
      <c r="P397" s="24">
        <v>4.5945945945945947</v>
      </c>
      <c r="Q397" s="24">
        <v>7.8469455511288189</v>
      </c>
      <c r="R397" s="24">
        <v>7.4</v>
      </c>
      <c r="S397" s="24">
        <v>5.1841703231816005</v>
      </c>
      <c r="T397" s="21">
        <v>1</v>
      </c>
      <c r="U397" s="21" t="s">
        <v>141</v>
      </c>
      <c r="V397" s="70">
        <v>-2.9597158025271981E-2</v>
      </c>
      <c r="W397" s="70">
        <v>3.0402841974728017E-2</v>
      </c>
      <c r="X397" s="24">
        <v>1.2428803868547589</v>
      </c>
      <c r="Y397" s="24" t="s">
        <v>1695</v>
      </c>
      <c r="Z397" s="75">
        <v>4738.875</v>
      </c>
      <c r="AA397" t="s">
        <v>1414</v>
      </c>
      <c r="AB397" s="24">
        <v>7.0242214532871969</v>
      </c>
    </row>
    <row r="398" spans="1:28" x14ac:dyDescent="0.55000000000000004">
      <c r="A398" s="24" t="s">
        <v>601</v>
      </c>
      <c r="B398" s="24" t="s">
        <v>903</v>
      </c>
      <c r="C398" s="24" t="s">
        <v>112</v>
      </c>
      <c r="D398" s="24" t="s">
        <v>72</v>
      </c>
      <c r="E398" s="24" t="s">
        <v>90</v>
      </c>
      <c r="F398" s="70">
        <v>3.9960121548381967E-4</v>
      </c>
      <c r="G398" s="24">
        <v>4.2130859999999997</v>
      </c>
      <c r="H398" s="24">
        <v>7.628342</v>
      </c>
      <c r="I398" s="24">
        <v>4.9359719999999996</v>
      </c>
      <c r="J398" s="24">
        <v>5.661435</v>
      </c>
      <c r="K398" s="24">
        <v>3.361993</v>
      </c>
      <c r="L398" s="24">
        <v>11.411210000000001</v>
      </c>
      <c r="M398" s="24">
        <v>0.49184</v>
      </c>
      <c r="N398" s="24">
        <v>9.6402392135764998</v>
      </c>
      <c r="O398" s="24">
        <v>8</v>
      </c>
      <c r="P398" s="24">
        <v>5.2150543241993894</v>
      </c>
      <c r="Q398" s="24">
        <v>6.2075763976904677</v>
      </c>
      <c r="R398" s="24">
        <v>3.86</v>
      </c>
      <c r="S398" s="24">
        <v>5.0252904237141003</v>
      </c>
      <c r="T398" s="21">
        <v>1</v>
      </c>
      <c r="U398" s="21" t="s">
        <v>141</v>
      </c>
      <c r="V398" s="70">
        <v>-2.9600025070871082E-2</v>
      </c>
      <c r="W398" s="70">
        <v>3.0399974929128916E-2</v>
      </c>
      <c r="X398" s="24">
        <v>0.88131427361869097</v>
      </c>
      <c r="Y398" s="24" t="s">
        <v>1638</v>
      </c>
      <c r="Z398" s="75">
        <v>4548.652</v>
      </c>
      <c r="AA398" t="s">
        <v>1414</v>
      </c>
      <c r="AB398" s="24">
        <v>6.4786324786324787</v>
      </c>
    </row>
    <row r="399" spans="1:28" x14ac:dyDescent="0.55000000000000004">
      <c r="A399" s="24" t="s">
        <v>608</v>
      </c>
      <c r="B399" s="24" t="s">
        <v>972</v>
      </c>
      <c r="C399" s="24" t="s">
        <v>127</v>
      </c>
      <c r="D399" s="24" t="s">
        <v>72</v>
      </c>
      <c r="E399" s="24" t="s">
        <v>89</v>
      </c>
      <c r="F399" s="70">
        <v>3.9849114051354416E-4</v>
      </c>
      <c r="G399" s="24">
        <v>6.8252689999999996</v>
      </c>
      <c r="H399" s="24">
        <v>5.542586</v>
      </c>
      <c r="I399" s="24">
        <v>6.5162990000000001</v>
      </c>
      <c r="J399" s="24">
        <v>6.3477730000000001</v>
      </c>
      <c r="K399" s="24">
        <v>0</v>
      </c>
      <c r="L399" s="24">
        <v>6.479616</v>
      </c>
      <c r="M399" s="24">
        <v>90.891400000000004</v>
      </c>
      <c r="N399" s="24">
        <v>10</v>
      </c>
      <c r="O399" s="24">
        <v>9.6</v>
      </c>
      <c r="P399" s="24">
        <v>7.5075075075075066</v>
      </c>
      <c r="Q399" s="24">
        <v>4.1701715360779108</v>
      </c>
      <c r="R399" s="24">
        <v>0</v>
      </c>
      <c r="S399" s="24">
        <v>6.4127762896112621</v>
      </c>
      <c r="T399" s="21">
        <v>1</v>
      </c>
      <c r="U399" s="21" t="s">
        <v>141</v>
      </c>
      <c r="V399" s="70">
        <v>-2.9601124370234384E-2</v>
      </c>
      <c r="W399" s="70">
        <v>3.0398875629765613E-2</v>
      </c>
      <c r="X399" s="24">
        <v>1.0753264306244112</v>
      </c>
      <c r="Y399" s="24" t="s">
        <v>1647</v>
      </c>
      <c r="Z399" s="75">
        <v>4550.5559999999996</v>
      </c>
      <c r="AA399" t="s">
        <v>1414</v>
      </c>
      <c r="AB399" s="24">
        <v>6.6262975778546718</v>
      </c>
    </row>
    <row r="400" spans="1:28" x14ac:dyDescent="0.55000000000000004">
      <c r="A400" s="24" t="s">
        <v>663</v>
      </c>
      <c r="B400" s="24" t="s">
        <v>1065</v>
      </c>
      <c r="C400" s="24" t="s">
        <v>111</v>
      </c>
      <c r="D400" s="24" t="s">
        <v>72</v>
      </c>
      <c r="E400" s="24" t="s">
        <v>94</v>
      </c>
      <c r="F400" s="70">
        <v>3.9358639985359096E-4</v>
      </c>
      <c r="G400" s="24">
        <v>7.1834129999999998</v>
      </c>
      <c r="H400" s="24">
        <v>6.1717519999999997</v>
      </c>
      <c r="I400" s="24">
        <v>6.0008850000000002</v>
      </c>
      <c r="J400" s="24">
        <v>6.5080689999999999</v>
      </c>
      <c r="K400" s="24">
        <v>3.7967469999999999</v>
      </c>
      <c r="L400" s="24">
        <v>5.69198</v>
      </c>
      <c r="M400" s="24">
        <v>39.485799999999998</v>
      </c>
      <c r="N400" s="24">
        <v>2.8755353499858272</v>
      </c>
      <c r="O400" s="24">
        <v>3</v>
      </c>
      <c r="P400" s="24">
        <v>1.7013888888888893</v>
      </c>
      <c r="Q400" s="24">
        <v>5.1888367507886421</v>
      </c>
      <c r="R400" s="24">
        <v>4</v>
      </c>
      <c r="S400" s="24">
        <v>4.5297764969777994</v>
      </c>
      <c r="T400" s="21">
        <v>1</v>
      </c>
      <c r="U400" s="21" t="s">
        <v>141</v>
      </c>
      <c r="V400" s="70">
        <v>-2.9606398385032994E-2</v>
      </c>
      <c r="W400" s="70">
        <v>3.0393601614967004E-2</v>
      </c>
      <c r="X400" s="24">
        <v>1.1061416440802556</v>
      </c>
      <c r="Y400" s="24" t="s">
        <v>1662</v>
      </c>
      <c r="Z400" s="75">
        <v>4969.9070000000002</v>
      </c>
      <c r="AA400" t="s">
        <v>1414</v>
      </c>
      <c r="AB400" s="24">
        <v>7.2984749455337692</v>
      </c>
    </row>
    <row r="401" spans="1:28" x14ac:dyDescent="0.55000000000000004">
      <c r="A401" s="24" t="s">
        <v>628</v>
      </c>
      <c r="B401" s="24" t="s">
        <v>1150</v>
      </c>
      <c r="C401" s="24" t="s">
        <v>108</v>
      </c>
      <c r="D401" s="24" t="s">
        <v>72</v>
      </c>
      <c r="E401" s="24" t="s">
        <v>84</v>
      </c>
      <c r="F401" s="70">
        <v>3.9228156030632588E-4</v>
      </c>
      <c r="G401" s="24">
        <v>5.0085800000000003</v>
      </c>
      <c r="H401" s="24">
        <v>6.7815399999999997</v>
      </c>
      <c r="I401" s="24">
        <v>5.5997950000000003</v>
      </c>
      <c r="J401" s="24">
        <v>5.7966379999999997</v>
      </c>
      <c r="K401" s="24">
        <v>3.0377269999999998</v>
      </c>
      <c r="L401" s="24">
        <v>5.2867179999999996</v>
      </c>
      <c r="M401" s="24">
        <v>1182.2080000000001</v>
      </c>
      <c r="N401" s="24">
        <v>4.8688722151837354</v>
      </c>
      <c r="O401" s="24">
        <v>4.8</v>
      </c>
      <c r="P401" s="24">
        <v>4.656716417910447</v>
      </c>
      <c r="Q401" s="24">
        <v>6.6252401741942322</v>
      </c>
      <c r="R401" s="24">
        <v>7.22</v>
      </c>
      <c r="S401" s="24">
        <v>4.8997488747223308</v>
      </c>
      <c r="T401" s="21">
        <v>1</v>
      </c>
      <c r="U401" s="21" t="s">
        <v>141</v>
      </c>
      <c r="V401" s="70">
        <v>-2.9607333950441603E-2</v>
      </c>
      <c r="W401" s="70">
        <v>3.0392666049558394E-2</v>
      </c>
      <c r="X401" s="24">
        <v>1.0179578991684715</v>
      </c>
      <c r="Y401" s="24" t="s">
        <v>1939</v>
      </c>
      <c r="Z401" s="75">
        <v>4619.0050000000001</v>
      </c>
      <c r="AA401" t="s">
        <v>1414</v>
      </c>
      <c r="AB401" s="24">
        <v>6.9270833333333339</v>
      </c>
    </row>
    <row r="402" spans="1:28" x14ac:dyDescent="0.55000000000000004">
      <c r="A402" s="24" t="s">
        <v>614</v>
      </c>
      <c r="B402" s="24" t="s">
        <v>1078</v>
      </c>
      <c r="C402" s="24" t="s">
        <v>111</v>
      </c>
      <c r="D402" s="24" t="s">
        <v>72</v>
      </c>
      <c r="E402" s="24" t="s">
        <v>99</v>
      </c>
      <c r="F402" s="70">
        <v>3.9198142513742723E-4</v>
      </c>
      <c r="G402" s="24">
        <v>0</v>
      </c>
      <c r="H402" s="24">
        <v>6.2415669999999999</v>
      </c>
      <c r="I402" s="24">
        <v>0</v>
      </c>
      <c r="J402" s="24">
        <v>1.248313</v>
      </c>
      <c r="K402" s="24">
        <v>6.0292849999999998</v>
      </c>
      <c r="L402" s="24">
        <v>7.0283610000000003</v>
      </c>
      <c r="M402" s="24">
        <v>607.6019</v>
      </c>
      <c r="N402" s="24">
        <v>3.2300106338342252</v>
      </c>
      <c r="O402" s="24">
        <v>3.8</v>
      </c>
      <c r="P402" s="24">
        <v>7.2897196261682238</v>
      </c>
      <c r="Q402" s="24">
        <v>5.7049357136705954</v>
      </c>
      <c r="R402" s="24">
        <v>5.66</v>
      </c>
      <c r="S402" s="24">
        <v>4.9778755681083098</v>
      </c>
      <c r="T402" s="21">
        <v>1</v>
      </c>
      <c r="U402" s="21" t="s">
        <v>141</v>
      </c>
      <c r="V402" s="70">
        <v>-2.960814491391036E-2</v>
      </c>
      <c r="W402" s="70">
        <v>3.0391855086089638E-2</v>
      </c>
      <c r="X402" s="24">
        <v>0.44062664705003612</v>
      </c>
      <c r="Y402" s="24" t="s">
        <v>1669</v>
      </c>
      <c r="Z402" s="75">
        <v>2926.8760000000002</v>
      </c>
      <c r="AA402" t="s">
        <v>1414</v>
      </c>
      <c r="AB402" s="24">
        <v>6.6965888689407542</v>
      </c>
    </row>
    <row r="403" spans="1:28" x14ac:dyDescent="0.55000000000000004">
      <c r="A403" s="24" t="s">
        <v>621</v>
      </c>
      <c r="B403" s="24" t="s">
        <v>981</v>
      </c>
      <c r="C403" s="24" t="s">
        <v>105</v>
      </c>
      <c r="D403" s="24" t="s">
        <v>72</v>
      </c>
      <c r="E403" s="24" t="s">
        <v>88</v>
      </c>
      <c r="F403" s="70">
        <v>3.9099876020093712E-4</v>
      </c>
      <c r="G403" s="24">
        <v>7.149419</v>
      </c>
      <c r="H403" s="24">
        <v>4.3969699999999996</v>
      </c>
      <c r="I403" s="24">
        <v>4.3020870000000002</v>
      </c>
      <c r="J403" s="24">
        <v>4.9095069999999996</v>
      </c>
      <c r="K403" s="24">
        <v>2.057191</v>
      </c>
      <c r="L403" s="24">
        <v>4.5245160000000002</v>
      </c>
      <c r="M403" s="24">
        <v>14.2799</v>
      </c>
      <c r="N403" s="24">
        <v>3.4817538402005606</v>
      </c>
      <c r="O403" s="24">
        <v>6.1</v>
      </c>
      <c r="P403" s="24">
        <v>5.0684931506849313</v>
      </c>
      <c r="Q403" s="24">
        <v>7.7665480664829207</v>
      </c>
      <c r="R403" s="24">
        <v>6.12</v>
      </c>
      <c r="S403" s="24">
        <v>4.9703661961455925</v>
      </c>
      <c r="T403" s="21">
        <v>1</v>
      </c>
      <c r="U403" s="21" t="s">
        <v>141</v>
      </c>
      <c r="V403" s="70">
        <v>-2.960938572905113E-2</v>
      </c>
      <c r="W403" s="70">
        <v>3.0390614270948867E-2</v>
      </c>
      <c r="X403" s="24">
        <v>1.2005298525442316</v>
      </c>
      <c r="Y403" s="24" t="s">
        <v>1968</v>
      </c>
      <c r="Z403" s="75">
        <v>4312.9629999999997</v>
      </c>
      <c r="AA403" t="s">
        <v>1414</v>
      </c>
      <c r="AB403" s="24">
        <v>7.0833333333333339</v>
      </c>
    </row>
    <row r="404" spans="1:28" x14ac:dyDescent="0.55000000000000004">
      <c r="A404" s="24" t="s">
        <v>615</v>
      </c>
      <c r="B404" s="24" t="s">
        <v>1137</v>
      </c>
      <c r="C404" s="24" t="s">
        <v>106</v>
      </c>
      <c r="D404" s="24" t="s">
        <v>72</v>
      </c>
      <c r="E404" s="24" t="s">
        <v>93</v>
      </c>
      <c r="F404" s="70">
        <v>3.8910065793343486E-4</v>
      </c>
      <c r="G404" s="24">
        <v>6.7058039999999997</v>
      </c>
      <c r="H404" s="24">
        <v>5.64994</v>
      </c>
      <c r="I404" s="24">
        <v>5.5332980000000003</v>
      </c>
      <c r="J404" s="24">
        <v>5.9630140000000003</v>
      </c>
      <c r="K404" s="24">
        <v>1.6055219999999999</v>
      </c>
      <c r="L404" s="24">
        <v>6.0100360000000004</v>
      </c>
      <c r="M404" s="24">
        <v>2.5849000000000002</v>
      </c>
      <c r="N404" s="24">
        <v>3.0242269044583097</v>
      </c>
      <c r="O404" s="24">
        <v>8.9</v>
      </c>
      <c r="P404" s="24">
        <v>6.4285714285714288</v>
      </c>
      <c r="Q404" s="24">
        <v>3.8596300621995274</v>
      </c>
      <c r="R404" s="24">
        <v>4.47</v>
      </c>
      <c r="S404" s="24">
        <v>4.9192623625181131</v>
      </c>
      <c r="T404" s="21">
        <v>1</v>
      </c>
      <c r="U404" s="21" t="s">
        <v>141</v>
      </c>
      <c r="V404" s="70">
        <v>-2.9610514852814494E-2</v>
      </c>
      <c r="W404" s="70">
        <v>3.0389485147185504E-2</v>
      </c>
      <c r="X404" s="24">
        <v>1.4496478366009613</v>
      </c>
      <c r="Y404" s="24" t="s">
        <v>1763</v>
      </c>
      <c r="Z404" s="75">
        <v>4392.6120000000001</v>
      </c>
      <c r="AA404" t="s">
        <v>1414</v>
      </c>
      <c r="AB404" s="24">
        <v>6.7581475128644941</v>
      </c>
    </row>
    <row r="405" spans="1:28" x14ac:dyDescent="0.55000000000000004">
      <c r="A405" s="24" t="s">
        <v>609</v>
      </c>
      <c r="B405" s="24" t="s">
        <v>1361</v>
      </c>
      <c r="C405" s="24" t="s">
        <v>107</v>
      </c>
      <c r="D405" s="24" t="s">
        <v>72</v>
      </c>
      <c r="E405" s="24" t="s">
        <v>86</v>
      </c>
      <c r="F405" s="70">
        <v>3.8859919935187588E-4</v>
      </c>
      <c r="G405" s="24">
        <v>7.765218</v>
      </c>
      <c r="H405" s="24">
        <v>7.7225409999999997</v>
      </c>
      <c r="I405" s="24">
        <v>6.0892749999999998</v>
      </c>
      <c r="J405" s="24">
        <v>7.1637009999999997</v>
      </c>
      <c r="K405" s="24">
        <v>6.283747</v>
      </c>
      <c r="L405" s="24">
        <v>10.65307</v>
      </c>
      <c r="M405" s="24">
        <v>3.9834999999999998</v>
      </c>
      <c r="N405" s="24">
        <v>5.788267909636474</v>
      </c>
      <c r="O405" s="24">
        <v>6.1</v>
      </c>
      <c r="P405" s="24">
        <v>6.3978501503064678</v>
      </c>
      <c r="Q405" s="24">
        <v>3.3544571187156742</v>
      </c>
      <c r="R405" s="24">
        <v>5.7100010000000001</v>
      </c>
      <c r="S405" s="24">
        <v>4.59818886149358</v>
      </c>
      <c r="T405" s="21">
        <v>1</v>
      </c>
      <c r="U405" s="21" t="s">
        <v>141</v>
      </c>
      <c r="V405" s="70">
        <v>-2.9611225233994457E-2</v>
      </c>
      <c r="W405" s="70">
        <v>3.0388774766005541E-2</v>
      </c>
      <c r="X405" s="24">
        <v>1.5196373998338846</v>
      </c>
      <c r="Y405" s="24" t="s">
        <v>1735</v>
      </c>
      <c r="Z405" s="75">
        <v>3837.7339999999999</v>
      </c>
      <c r="AA405" t="s">
        <v>1414</v>
      </c>
      <c r="AB405" s="24">
        <v>6.615384615384615</v>
      </c>
    </row>
    <row r="406" spans="1:28" x14ac:dyDescent="0.55000000000000004">
      <c r="A406" s="24" t="s">
        <v>611</v>
      </c>
      <c r="B406" s="24" t="s">
        <v>1158</v>
      </c>
      <c r="C406" s="24" t="s">
        <v>108</v>
      </c>
      <c r="D406" s="24" t="s">
        <v>72</v>
      </c>
      <c r="E406" s="24" t="s">
        <v>82</v>
      </c>
      <c r="F406" s="70">
        <v>3.876442664244426E-4</v>
      </c>
      <c r="G406" s="24">
        <v>8.6640029999999992</v>
      </c>
      <c r="H406" s="24">
        <v>5.3226420000000001</v>
      </c>
      <c r="I406" s="24">
        <v>6.4980229999999999</v>
      </c>
      <c r="J406" s="24">
        <v>6.736434</v>
      </c>
      <c r="K406" s="24">
        <v>4.1901330000000003</v>
      </c>
      <c r="L406" s="24">
        <v>10.946770000000001</v>
      </c>
      <c r="M406" s="24">
        <v>1.102E-2</v>
      </c>
      <c r="N406" s="24">
        <v>7.5893679005209833</v>
      </c>
      <c r="O406" s="24">
        <v>7</v>
      </c>
      <c r="P406" s="24">
        <v>4.5913983431611118</v>
      </c>
      <c r="Q406" s="24">
        <v>6.0991409660611193</v>
      </c>
      <c r="R406" s="24">
        <v>7.53</v>
      </c>
      <c r="S406" s="24">
        <v>5.6508523245098434</v>
      </c>
      <c r="T406" s="21">
        <v>1</v>
      </c>
      <c r="U406" s="21" t="s">
        <v>141</v>
      </c>
      <c r="V406" s="70">
        <v>-2.9611971244323486E-2</v>
      </c>
      <c r="W406" s="70">
        <v>3.0388028755676512E-2</v>
      </c>
      <c r="X406" s="24">
        <v>0.89526109752106053</v>
      </c>
      <c r="Y406" s="24" t="s">
        <v>1932</v>
      </c>
      <c r="Z406" s="75">
        <v>3969.1370000000002</v>
      </c>
      <c r="AA406" t="s">
        <v>1414</v>
      </c>
      <c r="AB406" s="24">
        <v>6.649572649572649</v>
      </c>
    </row>
    <row r="407" spans="1:28" x14ac:dyDescent="0.55000000000000004">
      <c r="A407" s="24" t="s">
        <v>613</v>
      </c>
      <c r="B407" s="24" t="s">
        <v>1375</v>
      </c>
      <c r="C407" s="24" t="s">
        <v>110</v>
      </c>
      <c r="D407" s="24" t="s">
        <v>72</v>
      </c>
      <c r="E407" s="24" t="s">
        <v>89</v>
      </c>
      <c r="F407" s="70">
        <v>3.864123585709385E-4</v>
      </c>
      <c r="G407" s="24" t="e">
        <v>#N/A</v>
      </c>
      <c r="H407" s="24" t="e">
        <v>#N/A</v>
      </c>
      <c r="I407" s="24" t="e">
        <v>#N/A</v>
      </c>
      <c r="J407" s="24" t="e">
        <v>#N/A</v>
      </c>
      <c r="K407" s="24">
        <v>2.6872419999999999</v>
      </c>
      <c r="L407" s="24">
        <v>6.2958319999999999</v>
      </c>
      <c r="M407" s="24" t="e">
        <v>#N/A</v>
      </c>
      <c r="N407" s="24">
        <v>5.5046464013552452</v>
      </c>
      <c r="O407" s="24">
        <v>9.6999999999999993</v>
      </c>
      <c r="P407" s="24">
        <v>8.5585585585585573</v>
      </c>
      <c r="Q407" s="24">
        <v>1.3084694555112879</v>
      </c>
      <c r="R407" s="24">
        <v>7.27</v>
      </c>
      <c r="S407" s="24">
        <v>5.5114558647206282</v>
      </c>
      <c r="T407" s="21">
        <v>1</v>
      </c>
      <c r="U407" s="21" t="s">
        <v>141</v>
      </c>
      <c r="V407" s="70">
        <v>-2.9613203152176991E-2</v>
      </c>
      <c r="W407" s="70">
        <v>3.0386796847823007E-2</v>
      </c>
      <c r="X407" s="24">
        <v>0.98897158137080188</v>
      </c>
      <c r="Y407" s="24" t="s">
        <v>1576</v>
      </c>
      <c r="Z407" s="75">
        <v>4366.2470000000003</v>
      </c>
      <c r="AA407" t="s">
        <v>1414</v>
      </c>
      <c r="AB407" s="24">
        <v>6.7128027681660898</v>
      </c>
    </row>
    <row r="408" spans="1:28" x14ac:dyDescent="0.55000000000000004">
      <c r="A408" s="24" t="s">
        <v>651</v>
      </c>
      <c r="B408" s="24" t="s">
        <v>909</v>
      </c>
      <c r="C408" s="24" t="s">
        <v>110</v>
      </c>
      <c r="D408" s="24" t="s">
        <v>72</v>
      </c>
      <c r="E408" s="24" t="s">
        <v>88</v>
      </c>
      <c r="F408" s="70">
        <v>3.831230168655082E-4</v>
      </c>
      <c r="G408" s="24">
        <v>6.7754779999999997</v>
      </c>
      <c r="H408" s="24">
        <v>6.8459440000000003</v>
      </c>
      <c r="I408" s="24">
        <v>6.3926460000000001</v>
      </c>
      <c r="J408" s="24">
        <v>6.6505320000000001</v>
      </c>
      <c r="K408" s="24">
        <v>3.017836</v>
      </c>
      <c r="L408" s="24">
        <v>4.5897790000000001</v>
      </c>
      <c r="M408" s="24">
        <v>0.33162999999999998</v>
      </c>
      <c r="N408" s="24">
        <v>6.3047978666049733</v>
      </c>
      <c r="O408" s="24">
        <v>3.6</v>
      </c>
      <c r="P408" s="24">
        <v>6.3013698630136981</v>
      </c>
      <c r="Q408" s="24">
        <v>2.9627773601714971</v>
      </c>
      <c r="R408" s="24">
        <v>6.5</v>
      </c>
      <c r="S408" s="24">
        <v>6.0157794573259373</v>
      </c>
      <c r="T408" s="21">
        <v>1</v>
      </c>
      <c r="U408" s="21" t="s">
        <v>141</v>
      </c>
      <c r="V408" s="70">
        <v>-2.9617237853063021E-2</v>
      </c>
      <c r="W408" s="70">
        <v>3.0382762146936977E-2</v>
      </c>
      <c r="X408" s="24">
        <v>0.25523648980953562</v>
      </c>
      <c r="Y408" s="24" t="s">
        <v>1567</v>
      </c>
      <c r="Z408" s="75">
        <v>3842.2420000000002</v>
      </c>
      <c r="AA408" t="s">
        <v>1414</v>
      </c>
      <c r="AB408" s="24">
        <v>7.6041666666666661</v>
      </c>
    </row>
    <row r="409" spans="1:28" x14ac:dyDescent="0.55000000000000004">
      <c r="A409" s="24" t="s">
        <v>656</v>
      </c>
      <c r="B409" s="24" t="s">
        <v>1036</v>
      </c>
      <c r="C409" s="24" t="s">
        <v>106</v>
      </c>
      <c r="D409" s="24" t="s">
        <v>72</v>
      </c>
      <c r="E409" s="24" t="s">
        <v>94</v>
      </c>
      <c r="F409" s="70">
        <v>3.8237765768490696E-4</v>
      </c>
      <c r="G409" s="24">
        <v>5.0480989999999997</v>
      </c>
      <c r="H409" s="24">
        <v>5.0856180000000002</v>
      </c>
      <c r="I409" s="24">
        <v>6.717587</v>
      </c>
      <c r="J409" s="24">
        <v>5.7233980000000004</v>
      </c>
      <c r="K409" s="24">
        <v>3.955076</v>
      </c>
      <c r="L409" s="24">
        <v>4.597594</v>
      </c>
      <c r="M409" s="24">
        <v>125.02970000000001</v>
      </c>
      <c r="N409" s="24">
        <v>9.0458890093026749</v>
      </c>
      <c r="O409" s="24">
        <v>4</v>
      </c>
      <c r="P409" s="24">
        <v>4.0625000000000009</v>
      </c>
      <c r="Q409" s="24">
        <v>4.4461974237644579</v>
      </c>
      <c r="R409" s="24">
        <v>6.6</v>
      </c>
      <c r="S409" s="24">
        <v>4.8507306020369851</v>
      </c>
      <c r="T409" s="21">
        <v>1</v>
      </c>
      <c r="U409" s="21" t="s">
        <v>141</v>
      </c>
      <c r="V409" s="70">
        <v>-2.9617261472386559E-2</v>
      </c>
      <c r="W409" s="70">
        <v>3.0382738527613438E-2</v>
      </c>
      <c r="X409" s="24">
        <v>1.0165657744799774</v>
      </c>
      <c r="Y409" s="24" t="s">
        <v>1784</v>
      </c>
      <c r="Z409" s="75">
        <v>4562.0320000000002</v>
      </c>
      <c r="AA409" t="s">
        <v>1414</v>
      </c>
      <c r="AB409" s="24">
        <v>7.1459694989106755</v>
      </c>
    </row>
    <row r="410" spans="1:28" x14ac:dyDescent="0.55000000000000004">
      <c r="A410" s="24" t="s">
        <v>638</v>
      </c>
      <c r="B410" s="24" t="s">
        <v>1264</v>
      </c>
      <c r="C410" s="24" t="s">
        <v>110</v>
      </c>
      <c r="D410" s="24" t="s">
        <v>72</v>
      </c>
      <c r="E410" s="24" t="s">
        <v>95</v>
      </c>
      <c r="F410" s="70">
        <v>3.8066810844576709E-4</v>
      </c>
      <c r="G410" s="24">
        <v>6.8440479999999999</v>
      </c>
      <c r="H410" s="24">
        <v>3.669257</v>
      </c>
      <c r="I410" s="24">
        <v>5.8536049999999999</v>
      </c>
      <c r="J410" s="24">
        <v>5.1779539999999997</v>
      </c>
      <c r="K410" s="24">
        <v>2.250537</v>
      </c>
      <c r="L410" s="24">
        <v>7.670661</v>
      </c>
      <c r="M410" s="24">
        <v>17.488600000000002</v>
      </c>
      <c r="N410" s="24">
        <v>7.690058926189737</v>
      </c>
      <c r="O410" s="24">
        <v>5.7</v>
      </c>
      <c r="P410" s="24">
        <v>2.6086956521739131</v>
      </c>
      <c r="Q410" s="24">
        <v>7.0702849227259161</v>
      </c>
      <c r="R410" s="24">
        <v>5.15</v>
      </c>
      <c r="S410" s="24">
        <v>5.7705702803503964</v>
      </c>
      <c r="T410" s="21">
        <v>1</v>
      </c>
      <c r="U410" s="21" t="s">
        <v>141</v>
      </c>
      <c r="V410" s="70">
        <v>-2.9619687457143155E-2</v>
      </c>
      <c r="W410" s="70">
        <v>3.0380312542856842E-2</v>
      </c>
      <c r="X410" s="24">
        <v>1.3311087489990427</v>
      </c>
      <c r="Y410" s="24" t="s">
        <v>1550</v>
      </c>
      <c r="Z410" s="75">
        <v>4000.0590000000002</v>
      </c>
      <c r="AA410" t="s">
        <v>1414</v>
      </c>
      <c r="AB410" s="24">
        <v>7.1526586620926249</v>
      </c>
    </row>
    <row r="411" spans="1:28" x14ac:dyDescent="0.55000000000000004">
      <c r="A411" s="24" t="s">
        <v>612</v>
      </c>
      <c r="B411" s="24" t="s">
        <v>1015</v>
      </c>
      <c r="C411" s="24" t="s">
        <v>106</v>
      </c>
      <c r="D411" s="24" t="s">
        <v>72</v>
      </c>
      <c r="E411" s="24" t="s">
        <v>94</v>
      </c>
      <c r="F411" s="70">
        <v>3.8064692824245962E-4</v>
      </c>
      <c r="G411" s="24">
        <v>6.9190329999999998</v>
      </c>
      <c r="H411" s="24">
        <v>7.648053</v>
      </c>
      <c r="I411" s="24">
        <v>4.5673190000000004</v>
      </c>
      <c r="J411" s="24">
        <v>6.1241519999999996</v>
      </c>
      <c r="K411" s="24">
        <v>4.798298</v>
      </c>
      <c r="L411" s="24">
        <v>5.2756040000000004</v>
      </c>
      <c r="M411" s="24">
        <v>21.927099999999999</v>
      </c>
      <c r="N411" s="24">
        <v>6.0845154232099983</v>
      </c>
      <c r="O411" s="24">
        <v>6.9</v>
      </c>
      <c r="P411" s="24">
        <v>3.0208333333333344</v>
      </c>
      <c r="Q411" s="24">
        <v>3.467840431125131</v>
      </c>
      <c r="R411" s="24">
        <v>7.28</v>
      </c>
      <c r="S411" s="24">
        <v>4.9743945293313123</v>
      </c>
      <c r="T411" s="21">
        <v>1</v>
      </c>
      <c r="U411" s="21" t="s">
        <v>141</v>
      </c>
      <c r="V411" s="70">
        <v>-2.96197163808063E-2</v>
      </c>
      <c r="W411" s="70">
        <v>3.0380283619193697E-2</v>
      </c>
      <c r="X411" s="24">
        <v>1.2172787134616239</v>
      </c>
      <c r="Y411" s="24" t="s">
        <v>1831</v>
      </c>
      <c r="Z411" s="75">
        <v>4708.8270000000002</v>
      </c>
      <c r="AA411" t="s">
        <v>1414</v>
      </c>
      <c r="AB411" s="24">
        <v>6.1873638344226576</v>
      </c>
    </row>
    <row r="412" spans="1:28" x14ac:dyDescent="0.55000000000000004">
      <c r="A412" s="24" t="s">
        <v>625</v>
      </c>
      <c r="B412" s="24" t="s">
        <v>908</v>
      </c>
      <c r="C412" s="24" t="s">
        <v>113</v>
      </c>
      <c r="D412" s="24" t="s">
        <v>72</v>
      </c>
      <c r="E412" s="24" t="s">
        <v>97</v>
      </c>
      <c r="F412" s="70">
        <v>3.7899594040479329E-4</v>
      </c>
      <c r="G412" s="24">
        <v>5.4264450000000002</v>
      </c>
      <c r="H412" s="24">
        <v>7.9590389999999998</v>
      </c>
      <c r="I412" s="24">
        <v>4.1449040000000004</v>
      </c>
      <c r="J412" s="24">
        <v>5.8434619999999997</v>
      </c>
      <c r="K412" s="24">
        <v>4.5512290000000002</v>
      </c>
      <c r="L412" s="24">
        <v>3.5666920000000002</v>
      </c>
      <c r="M412" s="24">
        <v>247.68010000000001</v>
      </c>
      <c r="N412" s="24">
        <v>9.8398779552943836</v>
      </c>
      <c r="O412" s="24">
        <v>1.2</v>
      </c>
      <c r="P412" s="24">
        <v>4.7744360902255636</v>
      </c>
      <c r="Q412" s="24">
        <v>0</v>
      </c>
      <c r="R412" s="24">
        <v>6.29</v>
      </c>
      <c r="S412" s="24">
        <v>4.0754008458901989</v>
      </c>
      <c r="T412" s="21">
        <v>1</v>
      </c>
      <c r="U412" s="21" t="s">
        <v>141</v>
      </c>
      <c r="V412" s="70">
        <v>-2.9621388548847275E-2</v>
      </c>
      <c r="W412" s="70">
        <v>3.0378611451152723E-2</v>
      </c>
      <c r="X412" s="24">
        <v>0.59018652936785787</v>
      </c>
      <c r="Y412" s="24" t="s">
        <v>1888</v>
      </c>
      <c r="Z412" s="75">
        <v>3850.9380000000001</v>
      </c>
      <c r="AA412" t="s">
        <v>1414</v>
      </c>
      <c r="AB412" s="24">
        <v>6.9001751313485116</v>
      </c>
    </row>
    <row r="413" spans="1:28" x14ac:dyDescent="0.55000000000000004">
      <c r="A413" s="24" t="s">
        <v>642</v>
      </c>
      <c r="B413" s="24" t="s">
        <v>1181</v>
      </c>
      <c r="C413" s="24" t="s">
        <v>113</v>
      </c>
      <c r="D413" s="24" t="s">
        <v>72</v>
      </c>
      <c r="E413" s="24" t="s">
        <v>90</v>
      </c>
      <c r="F413" s="70">
        <v>3.7621916866090974E-4</v>
      </c>
      <c r="G413" s="24">
        <v>3.9913620000000001</v>
      </c>
      <c r="H413" s="24">
        <v>6.9533310000000004</v>
      </c>
      <c r="I413" s="24">
        <v>4.9405330000000003</v>
      </c>
      <c r="J413" s="24">
        <v>5.3602610000000004</v>
      </c>
      <c r="K413" s="24">
        <v>6.0731020000000004</v>
      </c>
      <c r="L413" s="24">
        <v>31.037710000000001</v>
      </c>
      <c r="M413" s="24">
        <v>2.4376000000000002</v>
      </c>
      <c r="N413" s="24">
        <v>4.8281400012896416</v>
      </c>
      <c r="O413" s="24">
        <v>9.8000000000000007</v>
      </c>
      <c r="P413" s="24">
        <v>4.0591402214129273</v>
      </c>
      <c r="Q413" s="24">
        <v>7.1806787776369543</v>
      </c>
      <c r="R413" s="24">
        <v>5.73</v>
      </c>
      <c r="S413" s="24">
        <v>7.027370480098849</v>
      </c>
      <c r="T413" s="21">
        <v>1</v>
      </c>
      <c r="U413" s="21" t="s">
        <v>117</v>
      </c>
      <c r="V413" s="70">
        <v>-2.9624165320591159E-2</v>
      </c>
      <c r="W413" s="70">
        <v>3.0375834679408839E-2</v>
      </c>
      <c r="X413" s="24">
        <v>1.0346030269700901</v>
      </c>
      <c r="Y413" s="24" t="s">
        <v>1485</v>
      </c>
      <c r="Z413" s="75">
        <v>4591.7790000000005</v>
      </c>
      <c r="AA413" t="s">
        <v>1414</v>
      </c>
      <c r="AB413" s="24">
        <v>7.1794871794871797</v>
      </c>
    </row>
    <row r="414" spans="1:28" x14ac:dyDescent="0.55000000000000004">
      <c r="A414" s="24" t="s">
        <v>649</v>
      </c>
      <c r="B414" s="24" t="s">
        <v>977</v>
      </c>
      <c r="C414" s="24" t="s">
        <v>107</v>
      </c>
      <c r="D414" s="24" t="s">
        <v>72</v>
      </c>
      <c r="E414" s="24" t="s">
        <v>89</v>
      </c>
      <c r="F414" s="70">
        <v>3.7376200901509377E-4</v>
      </c>
      <c r="G414" s="24">
        <v>6.9060050000000004</v>
      </c>
      <c r="H414" s="24">
        <v>6.3641379999999996</v>
      </c>
      <c r="I414" s="24">
        <v>6.1016510000000004</v>
      </c>
      <c r="J414" s="24">
        <v>6.5021389999999997</v>
      </c>
      <c r="K414" s="24">
        <v>1.9747520000000001</v>
      </c>
      <c r="L414" s="24">
        <v>9.425243</v>
      </c>
      <c r="M414" s="24">
        <v>34.309600000000003</v>
      </c>
      <c r="N414" s="24">
        <v>8.5563004730365027</v>
      </c>
      <c r="O414" s="24">
        <v>9.3000000000000007</v>
      </c>
      <c r="P414" s="24">
        <v>7.1771771771771755</v>
      </c>
      <c r="Q414" s="24">
        <v>4.2256894643647636</v>
      </c>
      <c r="R414" s="24">
        <v>6.28</v>
      </c>
      <c r="S414" s="24">
        <v>7.1525565004028966</v>
      </c>
      <c r="T414" s="21">
        <v>1</v>
      </c>
      <c r="U414" s="21" t="s">
        <v>117</v>
      </c>
      <c r="V414" s="70">
        <v>-2.9625853501732836E-2</v>
      </c>
      <c r="W414" s="70">
        <v>3.0374146498267161E-2</v>
      </c>
      <c r="X414" s="24">
        <v>1.3406547796014099</v>
      </c>
      <c r="Y414" s="24" t="s">
        <v>1447</v>
      </c>
      <c r="Z414" s="75">
        <v>3964.9690000000001</v>
      </c>
      <c r="AA414" t="s">
        <v>1414</v>
      </c>
      <c r="AB414" s="24">
        <v>7.335640138408305</v>
      </c>
    </row>
    <row r="415" spans="1:28" x14ac:dyDescent="0.55000000000000004">
      <c r="A415" s="24" t="s">
        <v>624</v>
      </c>
      <c r="B415" s="24" t="s">
        <v>1320</v>
      </c>
      <c r="C415" s="24" t="s">
        <v>110</v>
      </c>
      <c r="D415" s="24" t="s">
        <v>72</v>
      </c>
      <c r="E415" s="24" t="s">
        <v>88</v>
      </c>
      <c r="F415" s="70">
        <v>3.7324711959294031E-4</v>
      </c>
      <c r="G415" s="24">
        <v>7.6783669999999997</v>
      </c>
      <c r="H415" s="24">
        <v>6.3269200000000003</v>
      </c>
      <c r="I415" s="24">
        <v>8.6956819999999997</v>
      </c>
      <c r="J415" s="24">
        <v>7.5447139999999999</v>
      </c>
      <c r="K415" s="24">
        <v>1.103243</v>
      </c>
      <c r="L415" s="24">
        <v>2.3974479999999998</v>
      </c>
      <c r="M415" s="24">
        <v>0.28954999999999997</v>
      </c>
      <c r="N415" s="24">
        <v>1.5125084949526035</v>
      </c>
      <c r="O415" s="24">
        <v>0.6</v>
      </c>
      <c r="P415" s="24">
        <v>4.7123287671232879</v>
      </c>
      <c r="Q415" s="24">
        <v>3.8752014254294394</v>
      </c>
      <c r="R415" s="24">
        <v>4.71</v>
      </c>
      <c r="S415" s="24">
        <v>2.4362634821931008</v>
      </c>
      <c r="T415" s="21">
        <v>1</v>
      </c>
      <c r="U415" s="21" t="s">
        <v>141</v>
      </c>
      <c r="V415" s="70">
        <v>-2.9627111530956863E-2</v>
      </c>
      <c r="W415" s="70">
        <v>3.0372888469043135E-2</v>
      </c>
      <c r="X415" s="24">
        <v>1.1614480903073532</v>
      </c>
      <c r="Y415" s="24" t="s">
        <v>1536</v>
      </c>
      <c r="Z415" s="75">
        <v>3758.4050000000002</v>
      </c>
      <c r="AA415" t="s">
        <v>1414</v>
      </c>
      <c r="AB415" s="24">
        <v>7.1354166666666661</v>
      </c>
    </row>
    <row r="416" spans="1:28" x14ac:dyDescent="0.55000000000000004">
      <c r="A416" s="24" t="s">
        <v>672</v>
      </c>
      <c r="B416" s="24" t="s">
        <v>1373</v>
      </c>
      <c r="C416" s="24" t="s">
        <v>127</v>
      </c>
      <c r="D416" s="24" t="s">
        <v>72</v>
      </c>
      <c r="E416" s="24" t="s">
        <v>85</v>
      </c>
      <c r="F416" s="70">
        <v>3.7075503096306963E-4</v>
      </c>
      <c r="G416" s="24">
        <v>5.2556200000000004</v>
      </c>
      <c r="H416" s="24">
        <v>5.3210379999999997</v>
      </c>
      <c r="I416" s="24">
        <v>4.8113960000000002</v>
      </c>
      <c r="J416" s="24">
        <v>5.1419779999999999</v>
      </c>
      <c r="K416" s="24">
        <v>1.7133039999999999</v>
      </c>
      <c r="L416" s="24">
        <v>8.9440410000000004</v>
      </c>
      <c r="M416" s="24">
        <v>712.19010000000003</v>
      </c>
      <c r="N416" s="24">
        <v>6.9332182004228136</v>
      </c>
      <c r="O416" s="24">
        <v>9.6</v>
      </c>
      <c r="P416" s="24">
        <v>8.2282282282282271</v>
      </c>
      <c r="Q416" s="24">
        <v>6.1719787516600269</v>
      </c>
      <c r="R416" s="24">
        <v>4.9800000000000004</v>
      </c>
      <c r="S416" s="24">
        <v>7.2646449716431629</v>
      </c>
      <c r="T416" s="21">
        <v>1</v>
      </c>
      <c r="U416" s="21" t="s">
        <v>141</v>
      </c>
      <c r="V416" s="70">
        <v>-2.9629051518107102E-2</v>
      </c>
      <c r="W416" s="70">
        <v>3.0370948481892895E-2</v>
      </c>
      <c r="X416" s="24">
        <v>1.3723567103881744</v>
      </c>
      <c r="Y416" s="24" t="s">
        <v>1437</v>
      </c>
      <c r="Z416" s="75">
        <v>3575.712</v>
      </c>
      <c r="AA416" t="s">
        <v>1414</v>
      </c>
      <c r="AB416" s="24">
        <v>7.7335640138408301</v>
      </c>
    </row>
    <row r="417" spans="1:28" x14ac:dyDescent="0.55000000000000004">
      <c r="A417" s="24" t="s">
        <v>622</v>
      </c>
      <c r="B417" s="24" t="s">
        <v>1132</v>
      </c>
      <c r="C417" s="24" t="s">
        <v>109</v>
      </c>
      <c r="D417" s="24" t="s">
        <v>72</v>
      </c>
      <c r="E417" s="24" t="s">
        <v>94</v>
      </c>
      <c r="F417" s="70">
        <v>3.7027966684504462E-4</v>
      </c>
      <c r="G417" s="24">
        <v>6.3327479999999996</v>
      </c>
      <c r="H417" s="24">
        <v>7.4302219999999997</v>
      </c>
      <c r="I417" s="24">
        <v>4.7890769999999998</v>
      </c>
      <c r="J417" s="24">
        <v>5.934774</v>
      </c>
      <c r="K417" s="24">
        <v>4.922631</v>
      </c>
      <c r="L417" s="24">
        <v>5.1400550000000003</v>
      </c>
      <c r="M417" s="24">
        <v>0.67471999999999999</v>
      </c>
      <c r="N417" s="24">
        <v>7.3324540992046296</v>
      </c>
      <c r="O417" s="24">
        <v>0.2</v>
      </c>
      <c r="P417" s="24">
        <v>6.2500000000000009</v>
      </c>
      <c r="Q417" s="24">
        <v>4.0665523133543635</v>
      </c>
      <c r="R417" s="24">
        <v>7.57</v>
      </c>
      <c r="S417" s="24">
        <v>4.9303702066823547</v>
      </c>
      <c r="T417" s="21">
        <v>1</v>
      </c>
      <c r="U417" s="21" t="s">
        <v>141</v>
      </c>
      <c r="V417" s="70">
        <v>-2.9629846268311399E-2</v>
      </c>
      <c r="W417" s="70">
        <v>3.0370153731688599E-2</v>
      </c>
      <c r="X417" s="24">
        <v>1.0104241622924031</v>
      </c>
      <c r="Y417" s="24" t="s">
        <v>1521</v>
      </c>
      <c r="Z417" s="75">
        <v>4095.9720000000002</v>
      </c>
      <c r="AA417" t="s">
        <v>1414</v>
      </c>
      <c r="AB417" s="24">
        <v>6.4052287581699341</v>
      </c>
    </row>
    <row r="418" spans="1:28" x14ac:dyDescent="0.55000000000000004">
      <c r="A418" s="24" t="s">
        <v>635</v>
      </c>
      <c r="B418" s="24" t="s">
        <v>1359</v>
      </c>
      <c r="C418" s="24" t="s">
        <v>106</v>
      </c>
      <c r="D418" s="24" t="s">
        <v>72</v>
      </c>
      <c r="E418" s="24" t="s">
        <v>86</v>
      </c>
      <c r="F418" s="70">
        <v>3.6989859764943923E-4</v>
      </c>
      <c r="G418" s="24">
        <v>7.5477749999999997</v>
      </c>
      <c r="H418" s="24">
        <v>3.8975279999999999</v>
      </c>
      <c r="I418" s="24">
        <v>5.1221899999999998</v>
      </c>
      <c r="J418" s="24">
        <v>5.4212340000000001</v>
      </c>
      <c r="K418" s="24">
        <v>6.1335430000000004</v>
      </c>
      <c r="L418" s="24">
        <v>7.0849219999999997</v>
      </c>
      <c r="M418" s="24">
        <v>5.2474999999999996</v>
      </c>
      <c r="N418" s="24">
        <v>1.6086160223930346</v>
      </c>
      <c r="O418" s="24">
        <v>0.1</v>
      </c>
      <c r="P418" s="24">
        <v>3.9784950514510813</v>
      </c>
      <c r="Q418" s="24">
        <v>5.5527390508379106</v>
      </c>
      <c r="R418" s="24">
        <v>4.97</v>
      </c>
      <c r="S418" s="24">
        <v>2.9433124469156779</v>
      </c>
      <c r="T418" s="21">
        <v>1</v>
      </c>
      <c r="U418" s="21" t="s">
        <v>141</v>
      </c>
      <c r="V418" s="70">
        <v>-2.963048589160263E-2</v>
      </c>
      <c r="W418" s="70">
        <v>3.0369514108397368E-2</v>
      </c>
      <c r="X418" s="24">
        <v>1.6087870272967353</v>
      </c>
      <c r="Y418" s="24" t="s">
        <v>1851</v>
      </c>
      <c r="Z418" s="75">
        <v>3537.6410000000001</v>
      </c>
      <c r="AA418" t="s">
        <v>1414</v>
      </c>
      <c r="AB418" s="24">
        <v>7.0598290598290605</v>
      </c>
    </row>
    <row r="419" spans="1:28" x14ac:dyDescent="0.55000000000000004">
      <c r="A419" s="24" t="s">
        <v>597</v>
      </c>
      <c r="B419" s="24" t="s">
        <v>954</v>
      </c>
      <c r="C419" s="24" t="s">
        <v>109</v>
      </c>
      <c r="D419" s="24" t="s">
        <v>72</v>
      </c>
      <c r="E419" s="24" t="s">
        <v>100</v>
      </c>
      <c r="F419" s="70">
        <v>3.6926487918909431E-4</v>
      </c>
      <c r="G419" s="24">
        <v>9.0021470000000008</v>
      </c>
      <c r="H419" s="24">
        <v>2.1128990000000001</v>
      </c>
      <c r="I419" s="24">
        <v>7.4216550000000003</v>
      </c>
      <c r="J419" s="24">
        <v>5.6142510000000003</v>
      </c>
      <c r="K419" s="24">
        <v>2.1285970000000001</v>
      </c>
      <c r="L419" s="24">
        <v>8.1791999999999998</v>
      </c>
      <c r="M419" s="24">
        <v>3.1280999999999999</v>
      </c>
      <c r="N419" s="24">
        <v>8.5192143042704966</v>
      </c>
      <c r="O419" s="24">
        <v>5.3</v>
      </c>
      <c r="P419" s="24">
        <v>4.9378881987577659</v>
      </c>
      <c r="Q419" s="24">
        <v>4.9158453975065868</v>
      </c>
      <c r="R419" s="24">
        <v>4.09</v>
      </c>
      <c r="S419" s="24">
        <v>6.4895654651821832</v>
      </c>
      <c r="T419" s="21">
        <v>1</v>
      </c>
      <c r="U419" s="21" t="s">
        <v>141</v>
      </c>
      <c r="V419" s="70">
        <v>-2.9631119610062973E-2</v>
      </c>
      <c r="W419" s="70">
        <v>3.0368880389937025E-2</v>
      </c>
      <c r="X419" s="24">
        <v>1.341799983439572</v>
      </c>
      <c r="Y419" s="24" t="s">
        <v>1517</v>
      </c>
      <c r="Z419" s="75">
        <v>4240.9709999999995</v>
      </c>
      <c r="AA419" t="s">
        <v>1414</v>
      </c>
      <c r="AB419" s="24">
        <v>6.4493996569468273</v>
      </c>
    </row>
    <row r="420" spans="1:28" x14ac:dyDescent="0.55000000000000004">
      <c r="A420" s="24" t="s">
        <v>636</v>
      </c>
      <c r="B420" s="24" t="s">
        <v>1244</v>
      </c>
      <c r="C420" s="24" t="s">
        <v>105</v>
      </c>
      <c r="D420" s="24" t="s">
        <v>72</v>
      </c>
      <c r="E420" s="24" t="s">
        <v>89</v>
      </c>
      <c r="F420" s="70">
        <v>3.6564146540265884E-4</v>
      </c>
      <c r="G420" s="24">
        <v>5.288754</v>
      </c>
      <c r="H420" s="24">
        <v>3.7907380000000002</v>
      </c>
      <c r="I420" s="24">
        <v>2.9955880000000001</v>
      </c>
      <c r="J420" s="24">
        <v>4.1513999999999998</v>
      </c>
      <c r="K420" s="24">
        <v>1.3877489999999999</v>
      </c>
      <c r="L420" s="24">
        <v>3.4089290000000001</v>
      </c>
      <c r="M420" s="24">
        <v>14.471500000000001</v>
      </c>
      <c r="N420" s="24">
        <v>1.8608168635912312</v>
      </c>
      <c r="O420" s="24">
        <v>9.9</v>
      </c>
      <c r="P420" s="24">
        <v>3.6036036036036028</v>
      </c>
      <c r="Q420" s="24">
        <v>2.128707392651616</v>
      </c>
      <c r="R420" s="24">
        <v>3.39</v>
      </c>
      <c r="S420" s="24">
        <v>2.8323494385767511</v>
      </c>
      <c r="T420" s="21">
        <v>1</v>
      </c>
      <c r="U420" s="21" t="s">
        <v>141</v>
      </c>
      <c r="V420" s="70">
        <v>-2.963397404534527E-2</v>
      </c>
      <c r="W420" s="70">
        <v>3.0366025954654728E-2</v>
      </c>
      <c r="X420" s="24">
        <v>1.6217571889833544</v>
      </c>
      <c r="Y420" s="24" t="s">
        <v>1987</v>
      </c>
      <c r="Z420" s="75">
        <v>3964.7260000000001</v>
      </c>
      <c r="AA420" t="s">
        <v>1414</v>
      </c>
      <c r="AB420" s="24">
        <v>7.1107266435986158</v>
      </c>
    </row>
    <row r="421" spans="1:28" x14ac:dyDescent="0.55000000000000004">
      <c r="A421" s="24" t="s">
        <v>637</v>
      </c>
      <c r="B421" s="24" t="s">
        <v>1358</v>
      </c>
      <c r="C421" s="24" t="s">
        <v>106</v>
      </c>
      <c r="D421" s="24" t="s">
        <v>72</v>
      </c>
      <c r="E421" s="24" t="s">
        <v>93</v>
      </c>
      <c r="F421" s="70">
        <v>3.6542438780624576E-4</v>
      </c>
      <c r="G421" s="24">
        <v>4.1201220000000003</v>
      </c>
      <c r="H421" s="24">
        <v>4.1219159999999997</v>
      </c>
      <c r="I421" s="24">
        <v>4.5242089999999999</v>
      </c>
      <c r="J421" s="24">
        <v>4.2554160000000003</v>
      </c>
      <c r="K421" s="24">
        <v>4.0137210000000003</v>
      </c>
      <c r="L421" s="24">
        <v>4.8726139999999996</v>
      </c>
      <c r="M421" s="24">
        <v>0.75517999999999996</v>
      </c>
      <c r="N421" s="24">
        <v>6.7314110685286828</v>
      </c>
      <c r="O421" s="24">
        <v>5.6</v>
      </c>
      <c r="P421" s="24">
        <v>10</v>
      </c>
      <c r="Q421" s="24">
        <v>1.7966341635657443</v>
      </c>
      <c r="R421" s="24">
        <v>7.22</v>
      </c>
      <c r="S421" s="24">
        <v>5.3649295992278727</v>
      </c>
      <c r="T421" s="21">
        <v>1</v>
      </c>
      <c r="U421" s="21" t="s">
        <v>141</v>
      </c>
      <c r="V421" s="70">
        <v>-2.9634191122941682E-2</v>
      </c>
      <c r="W421" s="70">
        <v>3.0365808877058316E-2</v>
      </c>
      <c r="X421" s="24">
        <v>1.097075699972375</v>
      </c>
      <c r="Y421" s="24" t="s">
        <v>1774</v>
      </c>
      <c r="Z421" s="75">
        <v>4249.2250000000004</v>
      </c>
      <c r="AA421" t="s">
        <v>1414</v>
      </c>
      <c r="AB421" s="24">
        <v>7.1355060034305318</v>
      </c>
    </row>
    <row r="422" spans="1:28" x14ac:dyDescent="0.55000000000000004">
      <c r="A422" s="24" t="s">
        <v>641</v>
      </c>
      <c r="B422" s="24" t="s">
        <v>999</v>
      </c>
      <c r="C422" s="24" t="s">
        <v>109</v>
      </c>
      <c r="D422" s="24" t="s">
        <v>72</v>
      </c>
      <c r="E422" s="24" t="s">
        <v>85</v>
      </c>
      <c r="F422" s="70">
        <v>3.6541813224151429E-4</v>
      </c>
      <c r="G422" s="24">
        <v>2.345491</v>
      </c>
      <c r="H422" s="24">
        <v>8.268103</v>
      </c>
      <c r="I422" s="24">
        <v>2.342482</v>
      </c>
      <c r="J422" s="24">
        <v>4.121372</v>
      </c>
      <c r="K422" s="24">
        <v>1.9100680000000001</v>
      </c>
      <c r="L422" s="24">
        <v>8.8874899999999997</v>
      </c>
      <c r="M422" s="24">
        <v>5.3288000000000002E-2</v>
      </c>
      <c r="N422" s="24">
        <v>7.0780208740859782</v>
      </c>
      <c r="O422" s="24">
        <v>5.2</v>
      </c>
      <c r="P422" s="24">
        <v>1.7417417417417413</v>
      </c>
      <c r="Q422" s="24">
        <v>8.1273063302346173</v>
      </c>
      <c r="R422" s="24">
        <v>4.6900000000000004</v>
      </c>
      <c r="S422" s="24">
        <v>7.2292202052537355</v>
      </c>
      <c r="T422" s="21">
        <v>1</v>
      </c>
      <c r="U422" s="21" t="s">
        <v>141</v>
      </c>
      <c r="V422" s="70">
        <v>-2.9634906308051857E-2</v>
      </c>
      <c r="W422" s="70">
        <v>3.036509369194814E-2</v>
      </c>
      <c r="X422" s="24">
        <v>0.90935572079467708</v>
      </c>
      <c r="Y422" s="24" t="s">
        <v>1513</v>
      </c>
      <c r="Z422" s="75">
        <v>4223.7370000000001</v>
      </c>
      <c r="AA422" t="s">
        <v>1414</v>
      </c>
      <c r="AB422" s="24">
        <v>7.1972318339100347</v>
      </c>
    </row>
    <row r="423" spans="1:28" x14ac:dyDescent="0.55000000000000004">
      <c r="A423" s="24" t="s">
        <v>623</v>
      </c>
      <c r="B423" s="24" t="s">
        <v>1052</v>
      </c>
      <c r="C423" s="24" t="s">
        <v>112</v>
      </c>
      <c r="D423" s="24" t="s">
        <v>72</v>
      </c>
      <c r="E423" s="24" t="s">
        <v>93</v>
      </c>
      <c r="F423" s="70">
        <v>3.6224513616815306E-4</v>
      </c>
      <c r="G423" s="24">
        <v>7.3051979999999999</v>
      </c>
      <c r="H423" s="24">
        <v>7.8048700000000002</v>
      </c>
      <c r="I423" s="24">
        <v>5.2883589999999998</v>
      </c>
      <c r="J423" s="24">
        <v>6.7994760000000003</v>
      </c>
      <c r="K423" s="24">
        <v>2.1097630000000001</v>
      </c>
      <c r="L423" s="24">
        <v>4.1941800000000002</v>
      </c>
      <c r="M423" s="24">
        <v>5.3768000000000002</v>
      </c>
      <c r="N423" s="24">
        <v>4.2502093452354721</v>
      </c>
      <c r="O423" s="24">
        <v>1.3</v>
      </c>
      <c r="P423" s="24">
        <v>4.9378881987577659</v>
      </c>
      <c r="Q423" s="24">
        <v>5.6568074530787413</v>
      </c>
      <c r="R423" s="24">
        <v>3.63</v>
      </c>
      <c r="S423" s="24">
        <v>3.0741428182806674</v>
      </c>
      <c r="T423" s="21">
        <v>1</v>
      </c>
      <c r="U423" s="21" t="s">
        <v>141</v>
      </c>
      <c r="V423" s="70">
        <v>-2.9638139353083914E-2</v>
      </c>
      <c r="W423" s="70">
        <v>3.0361860646916084E-2</v>
      </c>
      <c r="X423" s="24">
        <v>1.0183357405948146</v>
      </c>
      <c r="Y423" s="24" t="s">
        <v>1602</v>
      </c>
      <c r="Z423" s="75">
        <v>3738.97</v>
      </c>
      <c r="AA423" t="s">
        <v>1414</v>
      </c>
      <c r="AB423" s="24">
        <v>6.8953687821612348</v>
      </c>
    </row>
    <row r="424" spans="1:28" x14ac:dyDescent="0.55000000000000004">
      <c r="A424" s="24" t="s">
        <v>629</v>
      </c>
      <c r="B424" s="24" t="s">
        <v>884</v>
      </c>
      <c r="C424" s="24" t="s">
        <v>110</v>
      </c>
      <c r="D424" s="24" t="s">
        <v>72</v>
      </c>
      <c r="E424" s="24" t="s">
        <v>96</v>
      </c>
      <c r="F424" s="70">
        <v>3.6158689764735559E-4</v>
      </c>
      <c r="G424" s="24">
        <v>7.5364310000000003</v>
      </c>
      <c r="H424" s="24">
        <v>6.1330669999999996</v>
      </c>
      <c r="I424" s="24">
        <v>6.3536729999999997</v>
      </c>
      <c r="J424" s="24">
        <v>6.6743899999999998</v>
      </c>
      <c r="K424" s="24">
        <v>1.9143810000000001</v>
      </c>
      <c r="L424" s="24">
        <v>3.6446879999999999</v>
      </c>
      <c r="M424" s="24">
        <v>6.2243000000000004</v>
      </c>
      <c r="N424" s="24">
        <v>1.1785716690962587</v>
      </c>
      <c r="O424" s="24">
        <v>3.1</v>
      </c>
      <c r="P424" s="24">
        <v>2.3529411764705883</v>
      </c>
      <c r="Q424" s="24">
        <v>6.6963455470155084</v>
      </c>
      <c r="R424" s="24">
        <v>6.7199989999999996</v>
      </c>
      <c r="S424" s="24">
        <v>3.538964977331065</v>
      </c>
      <c r="T424" s="21">
        <v>1</v>
      </c>
      <c r="U424" s="21" t="s">
        <v>141</v>
      </c>
      <c r="V424" s="70">
        <v>-2.9638797591604711E-2</v>
      </c>
      <c r="W424" s="70">
        <v>3.0361202408395287E-2</v>
      </c>
      <c r="X424" s="24">
        <v>0.90400326406889986</v>
      </c>
      <c r="Y424" s="24" t="s">
        <v>1543</v>
      </c>
      <c r="Z424" s="75">
        <v>3709.877</v>
      </c>
      <c r="AA424" t="s">
        <v>1414</v>
      </c>
      <c r="AB424" s="24">
        <v>7.1923743500866557</v>
      </c>
    </row>
    <row r="425" spans="1:28" x14ac:dyDescent="0.55000000000000004">
      <c r="A425" s="24" t="s">
        <v>620</v>
      </c>
      <c r="B425" s="24" t="s">
        <v>1140</v>
      </c>
      <c r="C425" s="24" t="s">
        <v>106</v>
      </c>
      <c r="D425" s="24" t="s">
        <v>72</v>
      </c>
      <c r="E425" s="24" t="s">
        <v>87</v>
      </c>
      <c r="F425" s="70">
        <v>3.6067240009057274E-4</v>
      </c>
      <c r="G425" s="24">
        <v>4.7734610000000002</v>
      </c>
      <c r="H425" s="24">
        <v>6.7454179999999999</v>
      </c>
      <c r="I425" s="24">
        <v>7.6804750000000004</v>
      </c>
      <c r="J425" s="24">
        <v>6.7250490000000003</v>
      </c>
      <c r="K425" s="24">
        <v>2.1942699999999999</v>
      </c>
      <c r="L425" s="24">
        <v>5.3770179999999996</v>
      </c>
      <c r="M425" s="24">
        <v>22.3994</v>
      </c>
      <c r="N425" s="24">
        <v>6.6756710294755432</v>
      </c>
      <c r="O425" s="24">
        <v>7.1</v>
      </c>
      <c r="P425" s="24">
        <v>10</v>
      </c>
      <c r="Q425" s="24">
        <v>2.6079146193268876</v>
      </c>
      <c r="R425" s="24">
        <v>4.8899999999999997</v>
      </c>
      <c r="S425" s="24">
        <v>5.7782138026997121</v>
      </c>
      <c r="T425" s="21">
        <v>1</v>
      </c>
      <c r="U425" s="21" t="s">
        <v>141</v>
      </c>
      <c r="V425" s="70">
        <v>-2.9638943110657356E-2</v>
      </c>
      <c r="W425" s="70">
        <v>3.0361056889342642E-2</v>
      </c>
      <c r="X425" s="24">
        <v>1.0070804685255448</v>
      </c>
      <c r="Y425" s="24" t="s">
        <v>1823</v>
      </c>
      <c r="Z425" s="75">
        <v>3835.0729999999999</v>
      </c>
      <c r="AA425" t="s">
        <v>1414</v>
      </c>
      <c r="AB425" s="24">
        <v>7.1936056838365889</v>
      </c>
    </row>
    <row r="426" spans="1:28" x14ac:dyDescent="0.55000000000000004">
      <c r="A426" s="24" t="s">
        <v>616</v>
      </c>
      <c r="B426" s="24" t="s">
        <v>1207</v>
      </c>
      <c r="C426" s="24" t="s">
        <v>106</v>
      </c>
      <c r="D426" s="24" t="s">
        <v>72</v>
      </c>
      <c r="E426" s="24" t="s">
        <v>89</v>
      </c>
      <c r="F426" s="70">
        <v>3.5879551394907993E-4</v>
      </c>
      <c r="G426" s="24">
        <v>4.7618270000000003</v>
      </c>
      <c r="H426" s="24">
        <v>3.6593019999999998</v>
      </c>
      <c r="I426" s="24">
        <v>3.8259509999999999</v>
      </c>
      <c r="J426" s="24">
        <v>3.9464670000000002</v>
      </c>
      <c r="K426" s="24">
        <v>4.2583640000000003</v>
      </c>
      <c r="L426" s="24">
        <v>10.820600000000001</v>
      </c>
      <c r="M426" s="24">
        <v>3.2985000000000002</v>
      </c>
      <c r="N426" s="24">
        <v>3.9680136603408829</v>
      </c>
      <c r="O426" s="24">
        <v>2.5</v>
      </c>
      <c r="P426" s="24">
        <v>7.5675675675675667</v>
      </c>
      <c r="Q426" s="24">
        <v>7.2862250996015945</v>
      </c>
      <c r="R426" s="24">
        <v>6.71</v>
      </c>
      <c r="S426" s="24">
        <v>7.5903889447262003</v>
      </c>
      <c r="T426" s="21">
        <v>1</v>
      </c>
      <c r="U426" s="21" t="s">
        <v>117</v>
      </c>
      <c r="V426" s="70">
        <v>-2.9640971470107105E-2</v>
      </c>
      <c r="W426" s="70">
        <v>3.0359028529892893E-2</v>
      </c>
      <c r="X426" s="24">
        <v>1.2110490022953575</v>
      </c>
      <c r="Y426" s="24" t="s">
        <v>1821</v>
      </c>
      <c r="Z426" s="75">
        <v>3570.741</v>
      </c>
      <c r="AA426" t="s">
        <v>1414</v>
      </c>
      <c r="AB426" s="24">
        <v>6.764705882352942</v>
      </c>
    </row>
    <row r="427" spans="1:28" x14ac:dyDescent="0.55000000000000004">
      <c r="A427" s="24" t="s">
        <v>648</v>
      </c>
      <c r="B427" s="24" t="s">
        <v>1095</v>
      </c>
      <c r="C427" s="24" t="s">
        <v>1898</v>
      </c>
      <c r="D427" s="24" t="s">
        <v>72</v>
      </c>
      <c r="E427" s="24" t="s">
        <v>95</v>
      </c>
      <c r="F427" s="70">
        <v>3.5864404064082299E-4</v>
      </c>
      <c r="G427" s="24">
        <v>4.1494540000000004</v>
      </c>
      <c r="H427" s="24">
        <v>4.5538290000000003</v>
      </c>
      <c r="I427" s="24">
        <v>4.0110359999999998</v>
      </c>
      <c r="J427" s="24">
        <v>4.2558369999999996</v>
      </c>
      <c r="K427" s="24">
        <v>0.25531399999999999</v>
      </c>
      <c r="L427" s="24">
        <v>3.2395040000000002</v>
      </c>
      <c r="M427" s="24">
        <v>87.422700000000006</v>
      </c>
      <c r="N427" s="24">
        <v>3.1747353760758203</v>
      </c>
      <c r="O427" s="24">
        <v>0.8</v>
      </c>
      <c r="P427" s="24">
        <v>4.6025104602510467</v>
      </c>
      <c r="Q427" s="24">
        <v>1.0836371321392719</v>
      </c>
      <c r="R427" s="24">
        <v>0</v>
      </c>
      <c r="S427" s="24">
        <v>2.5124506728657723</v>
      </c>
      <c r="T427" s="21">
        <v>1</v>
      </c>
      <c r="U427" s="21" t="s">
        <v>141</v>
      </c>
      <c r="V427" s="70">
        <v>-2.9641588975302988E-2</v>
      </c>
      <c r="W427" s="70">
        <v>3.035841102469701E-2</v>
      </c>
      <c r="X427" s="24">
        <v>0.80181755261866916</v>
      </c>
      <c r="Y427" s="24" t="s">
        <v>1946</v>
      </c>
      <c r="Z427" s="75">
        <v>3934.98</v>
      </c>
      <c r="AA427" t="s">
        <v>1414</v>
      </c>
      <c r="AB427" s="24">
        <v>7.6909413854351687</v>
      </c>
    </row>
    <row r="428" spans="1:28" x14ac:dyDescent="0.55000000000000004">
      <c r="A428" s="24" t="s">
        <v>634</v>
      </c>
      <c r="B428" s="24" t="s">
        <v>963</v>
      </c>
      <c r="C428" s="24" t="s">
        <v>107</v>
      </c>
      <c r="D428" s="24" t="s">
        <v>72</v>
      </c>
      <c r="E428" s="24" t="s">
        <v>98</v>
      </c>
      <c r="F428" s="70">
        <v>3.5711363796580453E-4</v>
      </c>
      <c r="G428" s="24">
        <v>8.1785709999999998</v>
      </c>
      <c r="H428" s="24">
        <v>8.4051290000000005</v>
      </c>
      <c r="I428" s="24">
        <v>5.3619450000000004</v>
      </c>
      <c r="J428" s="24">
        <v>7.142544</v>
      </c>
      <c r="K428" s="24">
        <v>5.126315</v>
      </c>
      <c r="L428" s="24">
        <v>7.0240039999999997</v>
      </c>
      <c r="M428" s="24">
        <v>6.9759000000000002</v>
      </c>
      <c r="N428" s="24">
        <v>5.6453634630906819</v>
      </c>
      <c r="O428" s="24">
        <v>7.1</v>
      </c>
      <c r="P428" s="24">
        <v>8.0745341614906838</v>
      </c>
      <c r="Q428" s="24">
        <v>4.6284781486813156</v>
      </c>
      <c r="R428" s="24">
        <v>8.0500000000000007</v>
      </c>
      <c r="S428" s="24">
        <v>6.4546848036030386</v>
      </c>
      <c r="T428" s="21">
        <v>1</v>
      </c>
      <c r="U428" s="21" t="s">
        <v>141</v>
      </c>
      <c r="V428" s="70">
        <v>-2.9643270851286263E-2</v>
      </c>
      <c r="W428" s="70">
        <v>3.0356729148713735E-2</v>
      </c>
      <c r="X428" s="24">
        <v>0.68363858661253596</v>
      </c>
      <c r="Y428" s="24" t="s">
        <v>1756</v>
      </c>
      <c r="Z428" s="75">
        <v>3568.6350000000002</v>
      </c>
      <c r="AA428" t="s">
        <v>1414</v>
      </c>
      <c r="AB428" s="24">
        <v>7.0840480274442541</v>
      </c>
    </row>
    <row r="429" spans="1:28" x14ac:dyDescent="0.55000000000000004">
      <c r="A429" s="24" t="s">
        <v>643</v>
      </c>
      <c r="B429" s="24" t="s">
        <v>1210</v>
      </c>
      <c r="C429" s="24" t="s">
        <v>110</v>
      </c>
      <c r="D429" s="24" t="s">
        <v>72</v>
      </c>
      <c r="E429" s="24" t="s">
        <v>89</v>
      </c>
      <c r="F429" s="70">
        <v>3.5281502116380202E-4</v>
      </c>
      <c r="G429" s="24">
        <v>6.5014250000000002</v>
      </c>
      <c r="H429" s="24">
        <v>4.5864250000000002</v>
      </c>
      <c r="I429" s="24">
        <v>7.1106290000000003</v>
      </c>
      <c r="J429" s="24">
        <v>6.109686</v>
      </c>
      <c r="K429" s="24">
        <v>2.804522</v>
      </c>
      <c r="L429" s="24">
        <v>6.0894110000000001</v>
      </c>
      <c r="M429" s="24">
        <v>364.5915</v>
      </c>
      <c r="N429" s="24">
        <v>4.2079099110477669</v>
      </c>
      <c r="O429" s="24">
        <v>2.8</v>
      </c>
      <c r="P429" s="24">
        <v>4.864864864864864</v>
      </c>
      <c r="Q429" s="24">
        <v>4.6276007082779991</v>
      </c>
      <c r="R429" s="24">
        <v>6.38</v>
      </c>
      <c r="S429" s="24">
        <v>5.5037627176504902</v>
      </c>
      <c r="T429" s="21">
        <v>1</v>
      </c>
      <c r="U429" s="21" t="s">
        <v>141</v>
      </c>
      <c r="V429" s="70">
        <v>-2.9647569468088265E-2</v>
      </c>
      <c r="W429" s="70">
        <v>3.0352430531911733E-2</v>
      </c>
      <c r="X429" s="24">
        <v>0.68096454922557381</v>
      </c>
      <c r="Y429" s="24" t="s">
        <v>1566</v>
      </c>
      <c r="Z429" s="75">
        <v>4087.1129999999998</v>
      </c>
      <c r="AA429" t="s">
        <v>1414</v>
      </c>
      <c r="AB429" s="24">
        <v>7.2318339100346023</v>
      </c>
    </row>
    <row r="430" spans="1:28" x14ac:dyDescent="0.55000000000000004">
      <c r="A430" s="24" t="s">
        <v>727</v>
      </c>
      <c r="B430" s="24" t="s">
        <v>874</v>
      </c>
      <c r="C430" s="24" t="s">
        <v>105</v>
      </c>
      <c r="D430" s="24" t="s">
        <v>72</v>
      </c>
      <c r="E430" s="24" t="s">
        <v>96</v>
      </c>
      <c r="F430" s="70">
        <v>3.5004115179442067E-4</v>
      </c>
      <c r="G430" s="24" t="e">
        <v>#N/A</v>
      </c>
      <c r="H430" s="24" t="e">
        <v>#N/A</v>
      </c>
      <c r="I430" s="24" t="e">
        <v>#N/A</v>
      </c>
      <c r="J430" s="24" t="e">
        <v>#N/A</v>
      </c>
      <c r="K430" s="24">
        <v>0.52501759999999997</v>
      </c>
      <c r="L430" s="24">
        <v>1.3370010000000001</v>
      </c>
      <c r="M430" s="24" t="e">
        <v>#N/A</v>
      </c>
      <c r="N430" s="24">
        <v>8.2372455586215434</v>
      </c>
      <c r="O430" s="24">
        <v>9.1999999999999993</v>
      </c>
      <c r="P430" s="24">
        <v>9.3212669683257925</v>
      </c>
      <c r="Q430" s="24">
        <v>0</v>
      </c>
      <c r="R430" s="24">
        <v>5.26</v>
      </c>
      <c r="S430" s="24">
        <v>3.7974779586256924</v>
      </c>
      <c r="T430" s="21">
        <v>1</v>
      </c>
      <c r="U430" s="21" t="s">
        <v>141</v>
      </c>
      <c r="V430" s="70">
        <v>-2.9650343337457648E-2</v>
      </c>
      <c r="W430" s="70">
        <v>3.034965666254235E-2</v>
      </c>
      <c r="X430" s="24">
        <v>1.2092453779747048</v>
      </c>
      <c r="Y430" s="24" t="s">
        <v>2011</v>
      </c>
      <c r="Z430" s="75">
        <v>3775.81</v>
      </c>
      <c r="AA430" t="s">
        <v>1414</v>
      </c>
      <c r="AB430" s="24">
        <v>8.890814558058926</v>
      </c>
    </row>
    <row r="431" spans="1:28" x14ac:dyDescent="0.55000000000000004">
      <c r="A431" s="24" t="s">
        <v>640</v>
      </c>
      <c r="B431" s="24" t="s">
        <v>1297</v>
      </c>
      <c r="C431" s="24" t="s">
        <v>106</v>
      </c>
      <c r="D431" s="24" t="s">
        <v>72</v>
      </c>
      <c r="E431" s="24" t="s">
        <v>86</v>
      </c>
      <c r="F431" s="70">
        <v>3.469707398163848E-4</v>
      </c>
      <c r="G431" s="24">
        <v>5.9496890000000002</v>
      </c>
      <c r="H431" s="24">
        <v>7.6603159999999999</v>
      </c>
      <c r="I431" s="24">
        <v>4.467098</v>
      </c>
      <c r="J431" s="24">
        <v>6.0295009999999998</v>
      </c>
      <c r="K431" s="24">
        <v>6.5243989999999998</v>
      </c>
      <c r="L431" s="24">
        <v>15.43773</v>
      </c>
      <c r="M431" s="24">
        <v>10.077500000000001</v>
      </c>
      <c r="N431" s="24">
        <v>5.9120076036667104</v>
      </c>
      <c r="O431" s="24">
        <v>5.8</v>
      </c>
      <c r="P431" s="24">
        <v>5.0268822609550821</v>
      </c>
      <c r="Q431" s="24">
        <v>8.25235882270103</v>
      </c>
      <c r="R431" s="24">
        <v>7.76</v>
      </c>
      <c r="S431" s="24">
        <v>6.7491493963996696</v>
      </c>
      <c r="T431" s="21">
        <v>1</v>
      </c>
      <c r="U431" s="21" t="s">
        <v>117</v>
      </c>
      <c r="V431" s="70">
        <v>-2.9653413749435684E-2</v>
      </c>
      <c r="W431" s="70">
        <v>3.0346586250564314E-2</v>
      </c>
      <c r="X431" s="24">
        <v>1.3450430657338657</v>
      </c>
      <c r="Y431" s="24" t="s">
        <v>1471</v>
      </c>
      <c r="Z431" s="75">
        <v>4206.1379999999999</v>
      </c>
      <c r="AA431" t="s">
        <v>1414</v>
      </c>
      <c r="AB431" s="24">
        <v>7.1452991452991457</v>
      </c>
    </row>
    <row r="432" spans="1:28" x14ac:dyDescent="0.55000000000000004">
      <c r="A432" s="24" t="s">
        <v>669</v>
      </c>
      <c r="B432" s="24" t="s">
        <v>1019</v>
      </c>
      <c r="C432" s="24" t="s">
        <v>112</v>
      </c>
      <c r="D432" s="24" t="s">
        <v>72</v>
      </c>
      <c r="E432" s="24" t="s">
        <v>98</v>
      </c>
      <c r="F432" s="70">
        <v>3.4618669837318503E-4</v>
      </c>
      <c r="G432" s="24">
        <v>5.174925</v>
      </c>
      <c r="H432" s="24">
        <v>6.6191310000000003</v>
      </c>
      <c r="I432" s="24">
        <v>6.9218070000000003</v>
      </c>
      <c r="J432" s="24">
        <v>6.1322510000000001</v>
      </c>
      <c r="K432" s="24">
        <v>3.6091030000000002</v>
      </c>
      <c r="L432" s="24">
        <v>10.739190000000001</v>
      </c>
      <c r="M432" s="24">
        <v>832.90459999999996</v>
      </c>
      <c r="N432" s="24">
        <v>5.8709273700385047</v>
      </c>
      <c r="O432" s="24">
        <v>1</v>
      </c>
      <c r="P432" s="24">
        <v>2.950310559006212</v>
      </c>
      <c r="Q432" s="24">
        <v>7.6216606458972755</v>
      </c>
      <c r="R432" s="24">
        <v>4.21</v>
      </c>
      <c r="S432" s="24">
        <v>6.5350530939736924</v>
      </c>
      <c r="T432" s="21">
        <v>1</v>
      </c>
      <c r="U432" s="21" t="s">
        <v>141</v>
      </c>
      <c r="V432" s="70">
        <v>-2.9654197790878883E-2</v>
      </c>
      <c r="W432" s="70">
        <v>3.0345802209121114E-2</v>
      </c>
      <c r="X432" s="24">
        <v>1.1406514816682862</v>
      </c>
      <c r="Y432" s="24" t="s">
        <v>1610</v>
      </c>
      <c r="Z432" s="75">
        <v>3936.03</v>
      </c>
      <c r="AA432" t="s">
        <v>1414</v>
      </c>
      <c r="AB432" s="24">
        <v>7.6843910806174955</v>
      </c>
    </row>
    <row r="433" spans="1:28" x14ac:dyDescent="0.55000000000000004">
      <c r="A433" s="24" t="s">
        <v>627</v>
      </c>
      <c r="B433" s="24" t="s">
        <v>1339</v>
      </c>
      <c r="C433" s="24" t="s">
        <v>127</v>
      </c>
      <c r="D433" s="24" t="s">
        <v>72</v>
      </c>
      <c r="E433" s="24" t="s">
        <v>82</v>
      </c>
      <c r="F433" s="70">
        <v>3.4375195706835387E-4</v>
      </c>
      <c r="G433" s="24">
        <v>5.6302219999999998</v>
      </c>
      <c r="H433" s="24">
        <v>5.9028219999999996</v>
      </c>
      <c r="I433" s="24">
        <v>3.8725269999999998</v>
      </c>
      <c r="J433" s="24">
        <v>5.1104390000000004</v>
      </c>
      <c r="K433" s="24">
        <v>1.130919</v>
      </c>
      <c r="L433" s="24">
        <v>8.9609170000000002</v>
      </c>
      <c r="M433" s="24">
        <v>10.077500000000001</v>
      </c>
      <c r="N433" s="24">
        <v>6.9122367970777621</v>
      </c>
      <c r="O433" s="24">
        <v>3.3</v>
      </c>
      <c r="P433" s="24">
        <v>6.7741942767950833</v>
      </c>
      <c r="Q433" s="24">
        <v>4.130404168426983</v>
      </c>
      <c r="R433" s="24">
        <v>4.5199999999999996</v>
      </c>
      <c r="S433" s="24">
        <v>5.3357967871792695</v>
      </c>
      <c r="T433" s="21">
        <v>1</v>
      </c>
      <c r="U433" s="21" t="s">
        <v>141</v>
      </c>
      <c r="V433" s="70">
        <v>-2.9655863553679575E-2</v>
      </c>
      <c r="W433" s="70">
        <v>3.0344136446320422E-2</v>
      </c>
      <c r="X433" s="24">
        <v>1.051147164881775</v>
      </c>
      <c r="Y433" s="24" t="s">
        <v>1658</v>
      </c>
      <c r="Z433" s="75">
        <v>3678.567</v>
      </c>
      <c r="AA433" t="s">
        <v>1414</v>
      </c>
      <c r="AB433" s="24">
        <v>6.9230769230769234</v>
      </c>
    </row>
    <row r="434" spans="1:28" x14ac:dyDescent="0.55000000000000004">
      <c r="A434" s="24" t="s">
        <v>644</v>
      </c>
      <c r="B434" s="24" t="s">
        <v>1352</v>
      </c>
      <c r="C434" s="24" t="s">
        <v>107</v>
      </c>
      <c r="D434" s="24" t="s">
        <v>72</v>
      </c>
      <c r="E434" s="24" t="s">
        <v>88</v>
      </c>
      <c r="F434" s="70">
        <v>3.4254276780147278E-4</v>
      </c>
      <c r="G434" s="24">
        <v>7.7917550000000002</v>
      </c>
      <c r="H434" s="24">
        <v>7.2092510000000001</v>
      </c>
      <c r="I434" s="24">
        <v>4.5203119999999997</v>
      </c>
      <c r="J434" s="24">
        <v>6.2501759999999997</v>
      </c>
      <c r="K434" s="24">
        <v>1.110676</v>
      </c>
      <c r="L434" s="24">
        <v>8.3930679999999995</v>
      </c>
      <c r="M434" s="24">
        <v>8.4408999999999992</v>
      </c>
      <c r="N434" s="24">
        <v>5.8985549457321431</v>
      </c>
      <c r="O434" s="24">
        <v>2.6</v>
      </c>
      <c r="P434" s="24">
        <v>8.0821917808219172</v>
      </c>
      <c r="Q434" s="24">
        <v>8.4317492135081711</v>
      </c>
      <c r="R434" s="24">
        <v>3.99</v>
      </c>
      <c r="S434" s="24">
        <v>8.1760877934435694</v>
      </c>
      <c r="T434" s="21">
        <v>1</v>
      </c>
      <c r="U434" s="21" t="s">
        <v>117</v>
      </c>
      <c r="V434" s="70">
        <v>-2.9657072742946457E-2</v>
      </c>
      <c r="W434" s="70">
        <v>3.034292725705354E-2</v>
      </c>
      <c r="X434" s="24">
        <v>0.79932950778469802</v>
      </c>
      <c r="Y434" s="24" t="s">
        <v>1454</v>
      </c>
      <c r="Z434" s="75">
        <v>3787.7640000000001</v>
      </c>
      <c r="AA434" t="s">
        <v>1414</v>
      </c>
      <c r="AB434" s="24">
        <v>7.4826388888888884</v>
      </c>
    </row>
    <row r="435" spans="1:28" x14ac:dyDescent="0.55000000000000004">
      <c r="A435" s="24" t="s">
        <v>645</v>
      </c>
      <c r="B435" s="24" t="s">
        <v>1073</v>
      </c>
      <c r="C435" s="24" t="s">
        <v>106</v>
      </c>
      <c r="D435" s="24" t="s">
        <v>72</v>
      </c>
      <c r="E435" s="24" t="s">
        <v>87</v>
      </c>
      <c r="F435" s="70">
        <v>3.4049973452720118E-4</v>
      </c>
      <c r="G435" s="24">
        <v>6.1831100000000001</v>
      </c>
      <c r="H435" s="24">
        <v>7.5499470000000004</v>
      </c>
      <c r="I435" s="24">
        <v>6.7475870000000002</v>
      </c>
      <c r="J435" s="24">
        <v>6.7625039999999998</v>
      </c>
      <c r="K435" s="24">
        <v>2.6260530000000002</v>
      </c>
      <c r="L435" s="24">
        <v>7.9698779999999996</v>
      </c>
      <c r="M435" s="24">
        <v>5.7157999999999998</v>
      </c>
      <c r="N435" s="24">
        <v>5.9640558502366146</v>
      </c>
      <c r="O435" s="24">
        <v>7.1</v>
      </c>
      <c r="P435" s="24">
        <v>8.3263598326359833</v>
      </c>
      <c r="Q435" s="24">
        <v>2.9018513235061025</v>
      </c>
      <c r="R435" s="24">
        <v>6.3200010000000004</v>
      </c>
      <c r="S435" s="24">
        <v>6.9016047492075332</v>
      </c>
      <c r="T435" s="21">
        <v>1</v>
      </c>
      <c r="U435" s="21" t="s">
        <v>117</v>
      </c>
      <c r="V435" s="70">
        <v>-2.9659779357292883E-2</v>
      </c>
      <c r="W435" s="70">
        <v>3.0340220642707114E-2</v>
      </c>
      <c r="X435" s="24">
        <v>0.46557431593642518</v>
      </c>
      <c r="Y435" s="24" t="s">
        <v>1468</v>
      </c>
      <c r="Z435" s="75">
        <v>3814.9180000000001</v>
      </c>
      <c r="AA435" t="s">
        <v>1414</v>
      </c>
      <c r="AB435" s="24">
        <v>7.6376554174067488</v>
      </c>
    </row>
    <row r="436" spans="1:28" x14ac:dyDescent="0.55000000000000004">
      <c r="A436" s="24" t="s">
        <v>659</v>
      </c>
      <c r="B436" s="24" t="s">
        <v>1391</v>
      </c>
      <c r="C436" s="24" t="s">
        <v>113</v>
      </c>
      <c r="D436" s="24" t="s">
        <v>72</v>
      </c>
      <c r="E436" s="24" t="s">
        <v>89</v>
      </c>
      <c r="F436" s="70">
        <v>3.4047812805423054E-4</v>
      </c>
      <c r="G436" s="24">
        <v>5.986618</v>
      </c>
      <c r="H436" s="24">
        <v>5.1943840000000003</v>
      </c>
      <c r="I436" s="24">
        <v>2.7308460000000001</v>
      </c>
      <c r="J436" s="24">
        <v>4.7722160000000002</v>
      </c>
      <c r="K436" s="24">
        <v>0.78332440000000003</v>
      </c>
      <c r="L436" s="24">
        <v>4.8002079999999996</v>
      </c>
      <c r="M436" s="24">
        <v>69.138599999999997</v>
      </c>
      <c r="N436" s="24">
        <v>1.6014695655297357</v>
      </c>
      <c r="O436" s="24">
        <v>0.3</v>
      </c>
      <c r="P436" s="24">
        <v>5.6756756756756745</v>
      </c>
      <c r="Q436" s="24">
        <v>5.9349634794156714</v>
      </c>
      <c r="R436" s="24">
        <v>1.88</v>
      </c>
      <c r="S436" s="24">
        <v>3.5999404104305874</v>
      </c>
      <c r="T436" s="21">
        <v>1</v>
      </c>
      <c r="U436" s="21" t="s">
        <v>141</v>
      </c>
      <c r="V436" s="70">
        <v>-2.9659906361197839E-2</v>
      </c>
      <c r="W436" s="70">
        <v>3.0340093638802159E-2</v>
      </c>
      <c r="X436" s="24">
        <v>1.4992496267140782</v>
      </c>
      <c r="Y436" s="24" t="s">
        <v>1873</v>
      </c>
      <c r="Z436" s="75">
        <v>3329.39</v>
      </c>
      <c r="AA436" t="s">
        <v>1414</v>
      </c>
      <c r="AB436" s="24">
        <v>7.508650519031141</v>
      </c>
    </row>
    <row r="437" spans="1:28" x14ac:dyDescent="0.55000000000000004">
      <c r="A437" s="24" t="s">
        <v>655</v>
      </c>
      <c r="B437" s="24" t="s">
        <v>1100</v>
      </c>
      <c r="C437" s="24" t="s">
        <v>107</v>
      </c>
      <c r="D437" s="24" t="s">
        <v>72</v>
      </c>
      <c r="E437" s="24" t="s">
        <v>86</v>
      </c>
      <c r="F437" s="70">
        <v>3.3959375514314578E-4</v>
      </c>
      <c r="G437" s="24">
        <v>6.7114950000000002</v>
      </c>
      <c r="H437" s="24">
        <v>5.637365</v>
      </c>
      <c r="I437" s="24">
        <v>5.5579150000000004</v>
      </c>
      <c r="J437" s="24">
        <v>5.9317960000000003</v>
      </c>
      <c r="K437" s="24">
        <v>3.5145219999999999</v>
      </c>
      <c r="L437" s="24">
        <v>2.5052189999999999</v>
      </c>
      <c r="M437" s="24">
        <v>2.6731000000000001E-2</v>
      </c>
      <c r="N437" s="24">
        <v>1.807974418330633</v>
      </c>
      <c r="O437" s="24">
        <v>2</v>
      </c>
      <c r="P437" s="24">
        <v>0</v>
      </c>
      <c r="Q437" s="24">
        <v>3.3319250809745111</v>
      </c>
      <c r="R437" s="24">
        <v>3.53</v>
      </c>
      <c r="S437" s="24">
        <v>1.2010948364007896</v>
      </c>
      <c r="T437" s="21">
        <v>1</v>
      </c>
      <c r="U437" s="21" t="s">
        <v>141</v>
      </c>
      <c r="V437" s="70">
        <v>-2.9660021755604782E-2</v>
      </c>
      <c r="W437" s="70">
        <v>3.0339978244395216E-2</v>
      </c>
      <c r="X437" s="24">
        <v>1.5338941331936444</v>
      </c>
      <c r="Y437" s="24" t="s">
        <v>1716</v>
      </c>
      <c r="Z437" s="75">
        <v>3636.6950000000002</v>
      </c>
      <c r="AA437" t="s">
        <v>1414</v>
      </c>
      <c r="AB437" s="24">
        <v>7.4017094017094021</v>
      </c>
    </row>
    <row r="438" spans="1:28" x14ac:dyDescent="0.55000000000000004">
      <c r="A438" s="24" t="s">
        <v>684</v>
      </c>
      <c r="B438" s="24" t="s">
        <v>1394</v>
      </c>
      <c r="C438" s="24" t="s">
        <v>106</v>
      </c>
      <c r="D438" s="24" t="s">
        <v>72</v>
      </c>
      <c r="E438" s="24" t="s">
        <v>91</v>
      </c>
      <c r="F438" s="70">
        <v>3.3861409356507674E-4</v>
      </c>
      <c r="G438" s="24">
        <v>7.8260040000000002</v>
      </c>
      <c r="H438" s="24">
        <v>6.8945290000000004</v>
      </c>
      <c r="I438" s="24">
        <v>6.0968830000000001</v>
      </c>
      <c r="J438" s="24">
        <v>6.7617649999999996</v>
      </c>
      <c r="K438" s="24">
        <v>6.2893720000000002</v>
      </c>
      <c r="L438" s="24">
        <v>15.12697</v>
      </c>
      <c r="M438" s="24">
        <v>2.0767000000000002</v>
      </c>
      <c r="N438" s="24">
        <v>5.8395990496290837</v>
      </c>
      <c r="O438" s="24">
        <v>5.9</v>
      </c>
      <c r="P438" s="24">
        <v>7.4223602484472062</v>
      </c>
      <c r="Q438" s="24">
        <v>6.4135231007415054</v>
      </c>
      <c r="R438" s="24">
        <v>6.85</v>
      </c>
      <c r="S438" s="24">
        <v>7.8530010623844042</v>
      </c>
      <c r="T438" s="21">
        <v>1</v>
      </c>
      <c r="U438" s="21" t="s">
        <v>117</v>
      </c>
      <c r="V438" s="70">
        <v>-2.9661290393508025E-2</v>
      </c>
      <c r="W438" s="70">
        <v>3.0338709606491973E-2</v>
      </c>
      <c r="X438" s="24">
        <v>1.2249781714963974</v>
      </c>
      <c r="Y438" s="24" t="s">
        <v>1801</v>
      </c>
      <c r="Z438" s="75">
        <v>3815.51</v>
      </c>
      <c r="AA438" t="s">
        <v>1414</v>
      </c>
      <c r="AB438" s="24">
        <v>7.9416809605488847</v>
      </c>
    </row>
    <row r="439" spans="1:28" x14ac:dyDescent="0.55000000000000004">
      <c r="A439" s="24" t="s">
        <v>711</v>
      </c>
      <c r="B439" s="24" t="s">
        <v>872</v>
      </c>
      <c r="C439" s="24" t="s">
        <v>125</v>
      </c>
      <c r="D439" s="24" t="s">
        <v>72</v>
      </c>
      <c r="E439" s="24" t="s">
        <v>89</v>
      </c>
      <c r="F439" s="70">
        <v>3.3455578284088283E-4</v>
      </c>
      <c r="G439" s="24">
        <v>5.3502400000000003</v>
      </c>
      <c r="H439" s="24">
        <v>5.0816169999999996</v>
      </c>
      <c r="I439" s="24">
        <v>5.8731330000000002</v>
      </c>
      <c r="J439" s="24">
        <v>5.4265210000000002</v>
      </c>
      <c r="K439" s="24">
        <v>8.049191E-2</v>
      </c>
      <c r="L439" s="24">
        <v>4.8828040000000001</v>
      </c>
      <c r="M439" s="24">
        <v>57.479100000000003</v>
      </c>
      <c r="N439" s="24">
        <v>7.85173944881178</v>
      </c>
      <c r="O439" s="24">
        <v>9.1</v>
      </c>
      <c r="P439" s="24">
        <v>8.048048048048047</v>
      </c>
      <c r="Q439" s="24">
        <v>2.0811199645861</v>
      </c>
      <c r="R439" s="24">
        <v>0</v>
      </c>
      <c r="S439" s="24">
        <v>4.4282268614667943</v>
      </c>
      <c r="T439" s="21">
        <v>1</v>
      </c>
      <c r="U439" s="21" t="s">
        <v>141</v>
      </c>
      <c r="V439" s="70">
        <v>-2.9665828706411185E-2</v>
      </c>
      <c r="W439" s="70">
        <v>3.0334171293588813E-2</v>
      </c>
      <c r="X439" s="24">
        <v>0.93432305510398328</v>
      </c>
      <c r="Y439" s="24" t="s">
        <v>1900</v>
      </c>
      <c r="Z439" s="75">
        <v>4035.098</v>
      </c>
      <c r="AA439" t="s">
        <v>1414</v>
      </c>
      <c r="AB439" s="24">
        <v>8.4083044982698958</v>
      </c>
    </row>
    <row r="440" spans="1:28" x14ac:dyDescent="0.55000000000000004">
      <c r="A440" s="24" t="s">
        <v>680</v>
      </c>
      <c r="B440" s="24" t="s">
        <v>871</v>
      </c>
      <c r="C440" s="24" t="s">
        <v>109</v>
      </c>
      <c r="D440" s="24" t="s">
        <v>72</v>
      </c>
      <c r="E440" s="24" t="s">
        <v>86</v>
      </c>
      <c r="F440" s="70">
        <v>3.3288426594833728E-4</v>
      </c>
      <c r="G440" s="24">
        <v>6.0589719999999998</v>
      </c>
      <c r="H440" s="24">
        <v>4.3859560000000002</v>
      </c>
      <c r="I440" s="24">
        <v>4.0810149999999998</v>
      </c>
      <c r="J440" s="24">
        <v>4.7811310000000002</v>
      </c>
      <c r="K440" s="24">
        <v>1.3426659999999999</v>
      </c>
      <c r="L440" s="24">
        <v>-1.3862019999999999</v>
      </c>
      <c r="M440" s="24">
        <v>0.37534000000000001</v>
      </c>
      <c r="N440" s="24">
        <v>0.53620534079767812</v>
      </c>
      <c r="O440" s="24">
        <v>2.2999999999999998</v>
      </c>
      <c r="P440" s="24">
        <v>4.4623660712221582</v>
      </c>
      <c r="Q440" s="24">
        <v>4.6852555978031276</v>
      </c>
      <c r="R440" s="24">
        <v>1.2</v>
      </c>
      <c r="S440" s="24">
        <v>1.6974779158975228</v>
      </c>
      <c r="T440" s="21">
        <v>1</v>
      </c>
      <c r="U440" s="21" t="s">
        <v>141</v>
      </c>
      <c r="V440" s="70">
        <v>-2.9666731244799592E-2</v>
      </c>
      <c r="W440" s="70">
        <v>3.0333268755200406E-2</v>
      </c>
      <c r="X440" s="24">
        <v>1.3350209710677157</v>
      </c>
      <c r="Y440" s="24" t="s">
        <v>1511</v>
      </c>
      <c r="Z440" s="75">
        <v>4331.3410000000003</v>
      </c>
      <c r="AA440" t="s">
        <v>1414</v>
      </c>
      <c r="AB440" s="24">
        <v>7.8290598290598288</v>
      </c>
    </row>
    <row r="441" spans="1:28" x14ac:dyDescent="0.55000000000000004">
      <c r="A441" s="24" t="s">
        <v>619</v>
      </c>
      <c r="B441" s="24" t="s">
        <v>910</v>
      </c>
      <c r="C441" s="24" t="s">
        <v>125</v>
      </c>
      <c r="D441" s="24" t="s">
        <v>72</v>
      </c>
      <c r="E441" s="24" t="s">
        <v>84</v>
      </c>
      <c r="F441" s="70">
        <v>3.3264667156664743E-4</v>
      </c>
      <c r="G441" s="24">
        <v>3.6108340000000001</v>
      </c>
      <c r="H441" s="24">
        <v>6.5429719999999998</v>
      </c>
      <c r="I441" s="24">
        <v>4.6373620000000004</v>
      </c>
      <c r="J441" s="24">
        <v>4.9303889999999999</v>
      </c>
      <c r="K441" s="24">
        <v>14.997</v>
      </c>
      <c r="L441" s="24">
        <v>20.281549999999999</v>
      </c>
      <c r="M441" s="24">
        <v>2673.2249999999999</v>
      </c>
      <c r="N441" s="24">
        <v>0</v>
      </c>
      <c r="O441" s="24">
        <v>9.3000000000000007</v>
      </c>
      <c r="P441" s="24">
        <v>0</v>
      </c>
      <c r="Q441" s="24">
        <v>2.9547353420484828</v>
      </c>
      <c r="R441" s="24">
        <v>7.91</v>
      </c>
      <c r="S441" s="24">
        <v>4.7954735342048487</v>
      </c>
      <c r="T441" s="21">
        <v>1</v>
      </c>
      <c r="U441" s="21" t="s">
        <v>141</v>
      </c>
      <c r="V441" s="70">
        <v>-2.9666968839181282E-2</v>
      </c>
      <c r="W441" s="70">
        <v>3.0333031160818716E-2</v>
      </c>
      <c r="X441" s="24">
        <v>0.46577750028823128</v>
      </c>
      <c r="Y441" s="24" t="s">
        <v>1913</v>
      </c>
      <c r="Z441" s="75">
        <v>2475.04</v>
      </c>
      <c r="AA441" t="s">
        <v>1414</v>
      </c>
      <c r="AB441" s="24">
        <v>6.7708333333333339</v>
      </c>
    </row>
    <row r="442" spans="1:28" x14ac:dyDescent="0.55000000000000004">
      <c r="A442" s="24" t="s">
        <v>654</v>
      </c>
      <c r="B442" s="24" t="s">
        <v>880</v>
      </c>
      <c r="C442" s="24" t="s">
        <v>108</v>
      </c>
      <c r="D442" s="24" t="s">
        <v>72</v>
      </c>
      <c r="E442" s="24" t="s">
        <v>87</v>
      </c>
      <c r="F442" s="70">
        <v>3.3134390574252986E-4</v>
      </c>
      <c r="G442" s="24">
        <v>5.9094559999999996</v>
      </c>
      <c r="H442" s="24">
        <v>6.1422910000000002</v>
      </c>
      <c r="I442" s="24">
        <v>4.7733829999999999</v>
      </c>
      <c r="J442" s="24">
        <v>5.6384840000000001</v>
      </c>
      <c r="K442" s="24">
        <v>5.4733510000000001</v>
      </c>
      <c r="L442" s="24">
        <v>4.8751579999999999</v>
      </c>
      <c r="M442" s="24">
        <v>13.350199999999999</v>
      </c>
      <c r="N442" s="24">
        <v>0.76667356049559232</v>
      </c>
      <c r="O442" s="24">
        <v>2.1</v>
      </c>
      <c r="P442" s="24">
        <v>6.2343096234309625</v>
      </c>
      <c r="Q442" s="24">
        <v>3.9411074126908652</v>
      </c>
      <c r="R442" s="24">
        <v>7.4200010000000001</v>
      </c>
      <c r="S442" s="24">
        <v>2.9014011014856234</v>
      </c>
      <c r="T442" s="21">
        <v>1</v>
      </c>
      <c r="U442" s="21" t="s">
        <v>141</v>
      </c>
      <c r="V442" s="70">
        <v>-2.9668271605005399E-2</v>
      </c>
      <c r="W442" s="70">
        <v>3.0331728394994598E-2</v>
      </c>
      <c r="X442" s="24">
        <v>1.0177168110710577</v>
      </c>
      <c r="Y442" s="24" t="s">
        <v>1940</v>
      </c>
      <c r="Z442" s="75">
        <v>2987.308</v>
      </c>
      <c r="AA442" t="s">
        <v>1414</v>
      </c>
      <c r="AB442" s="24">
        <v>7.7975133214920067</v>
      </c>
    </row>
    <row r="443" spans="1:28" x14ac:dyDescent="0.55000000000000004">
      <c r="A443" s="24" t="s">
        <v>639</v>
      </c>
      <c r="B443" s="24" t="s">
        <v>1386</v>
      </c>
      <c r="C443" s="24" t="s">
        <v>177</v>
      </c>
      <c r="D443" s="24" t="s">
        <v>72</v>
      </c>
      <c r="E443" s="24" t="s">
        <v>89</v>
      </c>
      <c r="F443" s="70">
        <v>3.2733507540611098E-4</v>
      </c>
      <c r="G443" s="24">
        <v>7.457128</v>
      </c>
      <c r="H443" s="24">
        <v>5.8275050000000004</v>
      </c>
      <c r="I443" s="24">
        <v>6.520715</v>
      </c>
      <c r="J443" s="24">
        <v>6.6017830000000002</v>
      </c>
      <c r="K443" s="24">
        <v>3.1782439999999998</v>
      </c>
      <c r="L443" s="24">
        <v>6.5877489999999996</v>
      </c>
      <c r="M443" s="24">
        <v>197.488</v>
      </c>
      <c r="N443" s="24">
        <v>5.4743896488269002</v>
      </c>
      <c r="O443" s="24">
        <v>4.9000000000000004</v>
      </c>
      <c r="P443" s="24">
        <v>6.5765765765765751</v>
      </c>
      <c r="Q443" s="24">
        <v>4.8089132359451092</v>
      </c>
      <c r="R443" s="24">
        <v>6.25</v>
      </c>
      <c r="S443" s="24">
        <v>6.348855119170512</v>
      </c>
      <c r="T443" s="21">
        <v>1</v>
      </c>
      <c r="U443" s="21" t="s">
        <v>141</v>
      </c>
      <c r="V443" s="70">
        <v>-2.9673049413845957E-2</v>
      </c>
      <c r="W443" s="70">
        <v>3.032695058615404E-2</v>
      </c>
      <c r="X443" s="24">
        <v>0.91744108690060355</v>
      </c>
      <c r="Y443" s="24" t="s">
        <v>1685</v>
      </c>
      <c r="Z443" s="75">
        <v>3246.9920000000002</v>
      </c>
      <c r="AA443" t="s">
        <v>1414</v>
      </c>
      <c r="AB443" s="24">
        <v>7.1626297577854672</v>
      </c>
    </row>
    <row r="444" spans="1:28" x14ac:dyDescent="0.55000000000000004">
      <c r="A444" s="24" t="s">
        <v>632</v>
      </c>
      <c r="B444" s="24" t="s">
        <v>1371</v>
      </c>
      <c r="C444" s="24" t="s">
        <v>113</v>
      </c>
      <c r="D444" s="24" t="s">
        <v>72</v>
      </c>
      <c r="E444" s="24" t="s">
        <v>88</v>
      </c>
      <c r="F444" s="70">
        <v>3.2496763854896279E-4</v>
      </c>
      <c r="G444" s="24">
        <v>5.6955739999999997</v>
      </c>
      <c r="H444" s="24">
        <v>7.5361019999999996</v>
      </c>
      <c r="I444" s="24">
        <v>4.4658360000000004</v>
      </c>
      <c r="J444" s="24">
        <v>5.9398900000000001</v>
      </c>
      <c r="K444" s="24">
        <v>1.22373</v>
      </c>
      <c r="L444" s="24">
        <v>2.9131999999999998</v>
      </c>
      <c r="M444" s="24">
        <v>6.9926000000000004</v>
      </c>
      <c r="N444" s="24">
        <v>4.149644744008433</v>
      </c>
      <c r="O444" s="24">
        <v>1.4</v>
      </c>
      <c r="P444" s="24">
        <v>5.1506849315068495</v>
      </c>
      <c r="Q444" s="24">
        <v>4.3997149141123089</v>
      </c>
      <c r="R444" s="24">
        <v>5.23</v>
      </c>
      <c r="S444" s="24">
        <v>3.4236331173817049</v>
      </c>
      <c r="T444" s="21">
        <v>1</v>
      </c>
      <c r="U444" s="21" t="s">
        <v>141</v>
      </c>
      <c r="V444" s="70">
        <v>-2.9675318470215657E-2</v>
      </c>
      <c r="W444" s="70">
        <v>3.0324681529784341E-2</v>
      </c>
      <c r="X444" s="24">
        <v>1.1771735404728139</v>
      </c>
      <c r="Y444" s="24" t="s">
        <v>1884</v>
      </c>
      <c r="Z444" s="75">
        <v>3345.0369999999998</v>
      </c>
      <c r="AA444" t="s">
        <v>1414</v>
      </c>
      <c r="AB444" s="24">
        <v>7.2743055555555554</v>
      </c>
    </row>
    <row r="445" spans="1:28" x14ac:dyDescent="0.55000000000000004">
      <c r="A445" s="24" t="s">
        <v>650</v>
      </c>
      <c r="B445" s="24" t="s">
        <v>1379</v>
      </c>
      <c r="C445" s="24" t="s">
        <v>106</v>
      </c>
      <c r="D445" s="24" t="s">
        <v>72</v>
      </c>
      <c r="E445" s="24" t="s">
        <v>88</v>
      </c>
      <c r="F445" s="70">
        <v>3.2429704053227212E-4</v>
      </c>
      <c r="G445" s="24">
        <v>3.7354259999999999</v>
      </c>
      <c r="H445" s="24">
        <v>4.847753</v>
      </c>
      <c r="I445" s="24">
        <v>6.5220789999999997</v>
      </c>
      <c r="J445" s="24">
        <v>5.2950179999999998</v>
      </c>
      <c r="K445" s="24">
        <v>2.9010199999999999</v>
      </c>
      <c r="L445" s="24">
        <v>9.3946579999999997</v>
      </c>
      <c r="M445" s="24">
        <v>55.8553</v>
      </c>
      <c r="N445" s="24">
        <v>1.8360802928804949E-2</v>
      </c>
      <c r="O445" s="24">
        <v>4.5999999999999996</v>
      </c>
      <c r="P445" s="24">
        <v>6.5205479452054789</v>
      </c>
      <c r="Q445" s="24">
        <v>8.4452985884907719</v>
      </c>
      <c r="R445" s="24">
        <v>6.88</v>
      </c>
      <c r="S445" s="24">
        <v>7.171024519013141</v>
      </c>
      <c r="T445" s="21">
        <v>1</v>
      </c>
      <c r="U445" s="21" t="s">
        <v>117</v>
      </c>
      <c r="V445" s="70">
        <v>-2.9675416850703105E-2</v>
      </c>
      <c r="W445" s="70">
        <v>3.0324583149296893E-2</v>
      </c>
      <c r="X445" s="24">
        <v>0.59927781046137685</v>
      </c>
      <c r="Y445" s="24" t="s">
        <v>1467</v>
      </c>
      <c r="Z445" s="75">
        <v>3715.53</v>
      </c>
      <c r="AA445" t="s">
        <v>1414</v>
      </c>
      <c r="AB445" s="24">
        <v>7.5868055555555554</v>
      </c>
    </row>
    <row r="446" spans="1:28" x14ac:dyDescent="0.55000000000000004">
      <c r="A446" s="24" t="s">
        <v>664</v>
      </c>
      <c r="B446" s="24" t="s">
        <v>1395</v>
      </c>
      <c r="C446" s="24" t="s">
        <v>125</v>
      </c>
      <c r="D446" s="24" t="s">
        <v>72</v>
      </c>
      <c r="E446" s="24" t="s">
        <v>89</v>
      </c>
      <c r="F446" s="70">
        <v>3.2308224668014461E-4</v>
      </c>
      <c r="G446" s="24">
        <v>4.589188</v>
      </c>
      <c r="H446" s="24">
        <v>5.1070120000000001</v>
      </c>
      <c r="I446" s="24">
        <v>5.6820789999999999</v>
      </c>
      <c r="J446" s="24">
        <v>5.0724020000000003</v>
      </c>
      <c r="K446" s="24">
        <v>3.053944</v>
      </c>
      <c r="L446" s="24">
        <v>7.9061409999999999</v>
      </c>
      <c r="M446" s="24">
        <v>72.757900000000006</v>
      </c>
      <c r="N446" s="24">
        <v>1.1757081834576102</v>
      </c>
      <c r="O446" s="24">
        <v>1.7</v>
      </c>
      <c r="P446" s="24">
        <v>5.4654654654654644</v>
      </c>
      <c r="Q446" s="24">
        <v>7.9780876494023909</v>
      </c>
      <c r="R446" s="24">
        <v>5.18</v>
      </c>
      <c r="S446" s="24">
        <v>5.3353197411896929</v>
      </c>
      <c r="T446" s="21">
        <v>1</v>
      </c>
      <c r="U446" s="21" t="s">
        <v>141</v>
      </c>
      <c r="V446" s="70">
        <v>-2.9676533264067783E-2</v>
      </c>
      <c r="W446" s="70">
        <v>3.0323466735932215E-2</v>
      </c>
      <c r="X446" s="24">
        <v>1.746356858165679</v>
      </c>
      <c r="Y446" s="24" t="s">
        <v>1910</v>
      </c>
      <c r="Z446" s="75">
        <v>3500.46</v>
      </c>
      <c r="AA446" t="s">
        <v>1414</v>
      </c>
      <c r="AB446" s="24">
        <v>7.5951557093425599</v>
      </c>
    </row>
    <row r="447" spans="1:28" x14ac:dyDescent="0.55000000000000004">
      <c r="A447" s="24" t="s">
        <v>660</v>
      </c>
      <c r="B447" s="24" t="s">
        <v>1103</v>
      </c>
      <c r="C447" s="24" t="s">
        <v>110</v>
      </c>
      <c r="D447" s="24" t="s">
        <v>72</v>
      </c>
      <c r="E447" s="24" t="s">
        <v>86</v>
      </c>
      <c r="F447" s="70">
        <v>3.2245423288692569E-4</v>
      </c>
      <c r="G447" s="24">
        <v>4.0126749999999998</v>
      </c>
      <c r="H447" s="24">
        <v>6.611459</v>
      </c>
      <c r="I447" s="24">
        <v>5.9863369999999998</v>
      </c>
      <c r="J447" s="24">
        <v>5.6130310000000003</v>
      </c>
      <c r="K447" s="24">
        <v>1.845909</v>
      </c>
      <c r="L447" s="24">
        <v>9.0761430000000001</v>
      </c>
      <c r="M447" s="24" t="e">
        <v>#N/A</v>
      </c>
      <c r="N447" s="24">
        <v>10</v>
      </c>
      <c r="O447" s="24">
        <v>9.3000000000000007</v>
      </c>
      <c r="P447" s="24">
        <v>8.243728843411704</v>
      </c>
      <c r="Q447" s="24">
        <v>4.3337558090409809</v>
      </c>
      <c r="R447" s="24">
        <v>6.29</v>
      </c>
      <c r="S447" s="24">
        <v>5.490599370549889</v>
      </c>
      <c r="T447" s="21">
        <v>1</v>
      </c>
      <c r="U447" s="21" t="s">
        <v>141</v>
      </c>
      <c r="V447" s="70">
        <v>-2.9677161277861002E-2</v>
      </c>
      <c r="W447" s="70">
        <v>3.0322838722138996E-2</v>
      </c>
      <c r="X447" s="24">
        <v>1.3016385528996581</v>
      </c>
      <c r="Y447" s="24" t="s">
        <v>1533</v>
      </c>
      <c r="Z447" s="75">
        <v>2800.1460000000002</v>
      </c>
      <c r="AA447" t="s">
        <v>1414</v>
      </c>
      <c r="AB447" s="24">
        <v>7.4871794871794872</v>
      </c>
    </row>
    <row r="448" spans="1:28" x14ac:dyDescent="0.55000000000000004">
      <c r="A448" s="24" t="s">
        <v>646</v>
      </c>
      <c r="B448" s="24" t="s">
        <v>1122</v>
      </c>
      <c r="C448" s="24" t="s">
        <v>178</v>
      </c>
      <c r="D448" s="24" t="s">
        <v>72</v>
      </c>
      <c r="E448" s="24" t="s">
        <v>82</v>
      </c>
      <c r="F448" s="70">
        <v>3.219288030200886E-4</v>
      </c>
      <c r="G448" s="24">
        <v>6.9990730000000001</v>
      </c>
      <c r="H448" s="24">
        <v>5.8164239999999996</v>
      </c>
      <c r="I448" s="24">
        <v>4.95472</v>
      </c>
      <c r="J448" s="24">
        <v>5.8696219999999997</v>
      </c>
      <c r="K448" s="24">
        <v>7.3335499999999998</v>
      </c>
      <c r="L448" s="24">
        <v>21.651219999999999</v>
      </c>
      <c r="M448" s="24">
        <v>38.469700000000003</v>
      </c>
      <c r="N448" s="24">
        <v>4.8178283601204566</v>
      </c>
      <c r="O448" s="24">
        <v>9.4</v>
      </c>
      <c r="P448" s="24">
        <v>5.1720435668864049</v>
      </c>
      <c r="Q448" s="24">
        <v>8.5424588086185054</v>
      </c>
      <c r="R448" s="24">
        <v>8.17</v>
      </c>
      <c r="S448" s="24">
        <v>7.2482784698700637</v>
      </c>
      <c r="T448" s="21">
        <v>1</v>
      </c>
      <c r="U448" s="21" t="s">
        <v>117</v>
      </c>
      <c r="V448" s="70">
        <v>-2.967768670772784E-2</v>
      </c>
      <c r="W448" s="70">
        <v>3.0322313292272158E-2</v>
      </c>
      <c r="X448" s="24">
        <v>1.1276056415392006</v>
      </c>
      <c r="Y448" s="24" t="s">
        <v>1954</v>
      </c>
      <c r="Z448" s="75">
        <v>3097.9180000000001</v>
      </c>
      <c r="AA448" t="s">
        <v>1414</v>
      </c>
      <c r="AB448" s="24">
        <v>7.2478632478632479</v>
      </c>
    </row>
    <row r="449" spans="1:28" x14ac:dyDescent="0.55000000000000004">
      <c r="A449" s="24" t="s">
        <v>675</v>
      </c>
      <c r="B449" s="24" t="s">
        <v>917</v>
      </c>
      <c r="C449" s="24" t="s">
        <v>106</v>
      </c>
      <c r="D449" s="24" t="s">
        <v>72</v>
      </c>
      <c r="E449" s="24" t="s">
        <v>86</v>
      </c>
      <c r="F449" s="70">
        <v>3.2044396776111393E-4</v>
      </c>
      <c r="G449" s="24">
        <v>5.7826709999999997</v>
      </c>
      <c r="H449" s="24">
        <v>4.9139559999999998</v>
      </c>
      <c r="I449" s="24">
        <v>7.7356379999999998</v>
      </c>
      <c r="J449" s="24">
        <v>6.1621589999999999</v>
      </c>
      <c r="K449" s="24">
        <v>8.9378620000000009</v>
      </c>
      <c r="L449" s="24">
        <v>7.6335559999999996</v>
      </c>
      <c r="M449" s="24">
        <v>1.7232000000000001</v>
      </c>
      <c r="N449" s="24">
        <v>1.2626027159762931</v>
      </c>
      <c r="O449" s="24">
        <v>6.5</v>
      </c>
      <c r="P449" s="24">
        <v>4.9641585982966232</v>
      </c>
      <c r="Q449" s="24">
        <v>6.7816735671032271</v>
      </c>
      <c r="R449" s="24">
        <v>7.4</v>
      </c>
      <c r="S449" s="24">
        <v>3.4296083481118287</v>
      </c>
      <c r="T449" s="21">
        <v>1</v>
      </c>
      <c r="U449" s="21" t="s">
        <v>141</v>
      </c>
      <c r="V449" s="70">
        <v>-2.9679819852905319E-2</v>
      </c>
      <c r="W449" s="70">
        <v>3.0320180147094679E-2</v>
      </c>
      <c r="X449" s="24">
        <v>1.536481551788226</v>
      </c>
      <c r="Y449" s="24" t="s">
        <v>1830</v>
      </c>
      <c r="Z449" s="75">
        <v>3545.6019999999999</v>
      </c>
      <c r="AA449" t="s">
        <v>1414</v>
      </c>
      <c r="AB449" s="24">
        <v>7.7435897435897436</v>
      </c>
    </row>
    <row r="450" spans="1:28" x14ac:dyDescent="0.55000000000000004">
      <c r="A450" s="24" t="s">
        <v>666</v>
      </c>
      <c r="B450" s="24" t="s">
        <v>861</v>
      </c>
      <c r="C450" s="24" t="s">
        <v>112</v>
      </c>
      <c r="D450" s="24" t="s">
        <v>72</v>
      </c>
      <c r="E450" s="24" t="s">
        <v>96</v>
      </c>
      <c r="F450" s="70">
        <v>3.1929634934629582E-4</v>
      </c>
      <c r="G450" s="24">
        <v>6.0445539999999998</v>
      </c>
      <c r="H450" s="24">
        <v>6.7198840000000004</v>
      </c>
      <c r="I450" s="24">
        <v>4.833367</v>
      </c>
      <c r="J450" s="24">
        <v>5.8659350000000003</v>
      </c>
      <c r="K450" s="24">
        <v>1.776375</v>
      </c>
      <c r="L450" s="24">
        <v>4.6393050000000002</v>
      </c>
      <c r="M450" s="24">
        <v>5.0636999999999999</v>
      </c>
      <c r="N450" s="24">
        <v>3.7729584230527409</v>
      </c>
      <c r="O450" s="24">
        <v>0.6</v>
      </c>
      <c r="P450" s="24">
        <v>1.945701357466064</v>
      </c>
      <c r="Q450" s="24">
        <v>9.6614725324801434</v>
      </c>
      <c r="R450" s="24">
        <v>5.62</v>
      </c>
      <c r="S450" s="24">
        <v>5.9131046938941658</v>
      </c>
      <c r="T450" s="21">
        <v>1</v>
      </c>
      <c r="U450" s="21" t="s">
        <v>141</v>
      </c>
      <c r="V450" s="70">
        <v>-2.9680319161401632E-2</v>
      </c>
      <c r="W450" s="70">
        <v>3.0319680838598366E-2</v>
      </c>
      <c r="X450" s="24">
        <v>1.2514594941470856</v>
      </c>
      <c r="Y450" s="24" t="s">
        <v>1585</v>
      </c>
      <c r="Z450" s="75">
        <v>3284.817</v>
      </c>
      <c r="AA450" t="s">
        <v>1414</v>
      </c>
      <c r="AB450" s="24">
        <v>7.8336221837088393</v>
      </c>
    </row>
    <row r="451" spans="1:28" x14ac:dyDescent="0.55000000000000004">
      <c r="A451" s="24" t="s">
        <v>665</v>
      </c>
      <c r="B451" s="24" t="s">
        <v>1086</v>
      </c>
      <c r="C451" s="24" t="s">
        <v>105</v>
      </c>
      <c r="D451" s="24" t="s">
        <v>72</v>
      </c>
      <c r="E451" s="24" t="s">
        <v>86</v>
      </c>
      <c r="F451" s="70">
        <v>3.1831814905706487E-4</v>
      </c>
      <c r="G451" s="24">
        <v>5.237806</v>
      </c>
      <c r="H451" s="24">
        <v>2.883683</v>
      </c>
      <c r="I451" s="24">
        <v>3.3313999999999999</v>
      </c>
      <c r="J451" s="24">
        <v>3.7466210000000002</v>
      </c>
      <c r="K451" s="24">
        <v>0.77452659999999995</v>
      </c>
      <c r="L451" s="24">
        <v>5.1761439999999999</v>
      </c>
      <c r="M451" s="24">
        <v>7.9032</v>
      </c>
      <c r="N451" s="24">
        <v>0</v>
      </c>
      <c r="O451" s="24">
        <v>7.3</v>
      </c>
      <c r="P451" s="24">
        <v>3.0107530119089261</v>
      </c>
      <c r="Q451" s="24">
        <v>3.5755527390508384</v>
      </c>
      <c r="R451" s="24">
        <v>1.22</v>
      </c>
      <c r="S451" s="24">
        <v>2.488363127271231</v>
      </c>
      <c r="T451" s="21">
        <v>1</v>
      </c>
      <c r="U451" s="21" t="s">
        <v>141</v>
      </c>
      <c r="V451" s="70">
        <v>-2.9681297361690864E-2</v>
      </c>
      <c r="W451" s="70">
        <v>3.0318702638309134E-2</v>
      </c>
      <c r="X451" s="24">
        <v>1.3766874299713021</v>
      </c>
      <c r="Y451" s="24" t="s">
        <v>1961</v>
      </c>
      <c r="Z451" s="75">
        <v>3782.92</v>
      </c>
      <c r="AA451" t="s">
        <v>1414</v>
      </c>
      <c r="AB451" s="24">
        <v>7.5726495726495724</v>
      </c>
    </row>
    <row r="452" spans="1:28" x14ac:dyDescent="0.55000000000000004">
      <c r="A452" s="24" t="s">
        <v>652</v>
      </c>
      <c r="B452" s="24" t="s">
        <v>967</v>
      </c>
      <c r="C452" s="24" t="s">
        <v>110</v>
      </c>
      <c r="D452" s="24" t="s">
        <v>72</v>
      </c>
      <c r="E452" s="24" t="s">
        <v>99</v>
      </c>
      <c r="F452" s="70">
        <v>3.1605119440683208E-4</v>
      </c>
      <c r="G452" s="24">
        <v>5.3315299999999999</v>
      </c>
      <c r="H452" s="24">
        <v>3.9535149999999999</v>
      </c>
      <c r="I452" s="24">
        <v>5.1096050000000002</v>
      </c>
      <c r="J452" s="24">
        <v>5.0115420000000004</v>
      </c>
      <c r="K452" s="24">
        <v>2.3822589999999999</v>
      </c>
      <c r="L452" s="24">
        <v>6.7333619999999996</v>
      </c>
      <c r="M452" s="24">
        <v>412.41390000000001</v>
      </c>
      <c r="N452" s="24">
        <v>6.2369645148360933</v>
      </c>
      <c r="O452" s="24">
        <v>4.3</v>
      </c>
      <c r="P452" s="24">
        <v>4.8909657320872277</v>
      </c>
      <c r="Q452" s="24">
        <v>4.2292995774908686</v>
      </c>
      <c r="R452" s="24">
        <v>3.65</v>
      </c>
      <c r="S452" s="24">
        <v>4.7335584723021435</v>
      </c>
      <c r="T452" s="21">
        <v>1</v>
      </c>
      <c r="U452" s="21" t="s">
        <v>141</v>
      </c>
      <c r="V452" s="70">
        <v>-2.9683564316341098E-2</v>
      </c>
      <c r="W452" s="70">
        <v>3.03164356836589E-2</v>
      </c>
      <c r="X452" s="24">
        <v>0.44782971784050746</v>
      </c>
      <c r="Y452" s="24" t="s">
        <v>1559</v>
      </c>
      <c r="Z452" s="75">
        <v>2935.2660000000001</v>
      </c>
      <c r="AA452" t="s">
        <v>1414</v>
      </c>
      <c r="AB452" s="24">
        <v>7.3788150807899466</v>
      </c>
    </row>
    <row r="453" spans="1:28" x14ac:dyDescent="0.55000000000000004">
      <c r="A453" s="24" t="s">
        <v>667</v>
      </c>
      <c r="B453" s="24" t="s">
        <v>885</v>
      </c>
      <c r="C453" s="24" t="s">
        <v>105</v>
      </c>
      <c r="D453" s="24" t="s">
        <v>72</v>
      </c>
      <c r="E453" s="24" t="s">
        <v>85</v>
      </c>
      <c r="F453" s="70">
        <v>3.116982331443162E-4</v>
      </c>
      <c r="G453" s="24">
        <v>8.2128669999999993</v>
      </c>
      <c r="H453" s="24">
        <v>6.3421900000000004</v>
      </c>
      <c r="I453" s="24">
        <v>4.1562159999999997</v>
      </c>
      <c r="J453" s="24">
        <v>6.4346690000000004</v>
      </c>
      <c r="K453" s="24">
        <v>1.8635360000000001</v>
      </c>
      <c r="L453" s="24">
        <v>4.2945279999999997</v>
      </c>
      <c r="M453" s="24">
        <v>19.598600000000001</v>
      </c>
      <c r="N453" s="24">
        <v>4.5990925178693516</v>
      </c>
      <c r="O453" s="24">
        <v>8</v>
      </c>
      <c r="P453" s="24">
        <v>6.2162162162162149</v>
      </c>
      <c r="Q453" s="24">
        <v>3.7771137671536081</v>
      </c>
      <c r="R453" s="24">
        <v>5.15</v>
      </c>
      <c r="S453" s="24">
        <v>3.5053841292947419</v>
      </c>
      <c r="T453" s="21">
        <v>1</v>
      </c>
      <c r="U453" s="21" t="s">
        <v>141</v>
      </c>
      <c r="V453" s="70">
        <v>-2.9687917277603611E-2</v>
      </c>
      <c r="W453" s="70">
        <v>3.0312082722396386E-2</v>
      </c>
      <c r="X453" s="24">
        <v>1.2790662470243477</v>
      </c>
      <c r="Y453" s="24" t="s">
        <v>1994</v>
      </c>
      <c r="Z453" s="75">
        <v>3059.3539999999998</v>
      </c>
      <c r="AA453" t="s">
        <v>1414</v>
      </c>
      <c r="AB453" s="24">
        <v>7.6470588235294112</v>
      </c>
    </row>
    <row r="454" spans="1:28" x14ac:dyDescent="0.55000000000000004">
      <c r="A454" s="24" t="s">
        <v>647</v>
      </c>
      <c r="B454" s="24" t="s">
        <v>1136</v>
      </c>
      <c r="C454" s="24" t="s">
        <v>106</v>
      </c>
      <c r="D454" s="24" t="s">
        <v>72</v>
      </c>
      <c r="E454" s="24" t="s">
        <v>89</v>
      </c>
      <c r="F454" s="70">
        <v>3.1118055900692109E-4</v>
      </c>
      <c r="G454" s="24">
        <v>5.6184269999999996</v>
      </c>
      <c r="H454" s="24">
        <v>6.1865670000000001</v>
      </c>
      <c r="I454" s="24">
        <v>7.9036590000000002</v>
      </c>
      <c r="J454" s="24">
        <v>6.4744390000000003</v>
      </c>
      <c r="K454" s="24">
        <v>3.0120200000000001</v>
      </c>
      <c r="L454" s="24">
        <v>4.7368490000000003</v>
      </c>
      <c r="M454" s="24">
        <v>3.9483000000000001</v>
      </c>
      <c r="N454" s="24">
        <v>1.4264101393382258</v>
      </c>
      <c r="O454" s="24">
        <v>2.8</v>
      </c>
      <c r="P454" s="24">
        <v>7.1471471471471464</v>
      </c>
      <c r="Q454" s="24">
        <v>3.7027810978308988</v>
      </c>
      <c r="R454" s="24">
        <v>6.18</v>
      </c>
      <c r="S454" s="24">
        <v>3.7786777520999975</v>
      </c>
      <c r="T454" s="21">
        <v>1</v>
      </c>
      <c r="U454" s="21" t="s">
        <v>141</v>
      </c>
      <c r="V454" s="70">
        <v>-2.9689203930245146E-2</v>
      </c>
      <c r="W454" s="70">
        <v>3.0310796069754852E-2</v>
      </c>
      <c r="X454" s="24">
        <v>1.3297999407703083</v>
      </c>
      <c r="Y454" s="24" t="s">
        <v>1773</v>
      </c>
      <c r="Z454" s="75">
        <v>3298.0030000000002</v>
      </c>
      <c r="AA454" t="s">
        <v>1414</v>
      </c>
      <c r="AB454" s="24">
        <v>7.3010380622837365</v>
      </c>
    </row>
    <row r="455" spans="1:28" x14ac:dyDescent="0.55000000000000004">
      <c r="A455" s="24" t="s">
        <v>633</v>
      </c>
      <c r="B455" s="24" t="s">
        <v>1409</v>
      </c>
      <c r="C455" s="24" t="s">
        <v>1898</v>
      </c>
      <c r="D455" s="24" t="s">
        <v>72</v>
      </c>
      <c r="E455" s="24" t="s">
        <v>82</v>
      </c>
      <c r="F455" s="70">
        <v>3.066738719776512E-4</v>
      </c>
      <c r="G455" s="24">
        <v>6.8551820000000001</v>
      </c>
      <c r="H455" s="24">
        <v>6.3371919999999999</v>
      </c>
      <c r="I455" s="24">
        <v>6.3678410000000003</v>
      </c>
      <c r="J455" s="24">
        <v>6.5033159999999999</v>
      </c>
      <c r="K455" s="24">
        <v>8.0175260000000002</v>
      </c>
      <c r="L455" s="24">
        <v>11.80278</v>
      </c>
      <c r="M455" s="24">
        <v>7.5701000000000001</v>
      </c>
      <c r="N455" s="24">
        <v>5.9945007330201969</v>
      </c>
      <c r="O455" s="24">
        <v>5.6</v>
      </c>
      <c r="P455" s="24">
        <v>5.2150543241993894</v>
      </c>
      <c r="Q455" s="24">
        <v>1.0435149978876217</v>
      </c>
      <c r="R455" s="24">
        <v>7.09</v>
      </c>
      <c r="S455" s="24">
        <v>4.8626429839928367</v>
      </c>
      <c r="T455" s="21">
        <v>1</v>
      </c>
      <c r="U455" s="21" t="s">
        <v>141</v>
      </c>
      <c r="V455" s="70">
        <v>-2.9693710617274417E-2</v>
      </c>
      <c r="W455" s="70">
        <v>3.0306289382725581E-2</v>
      </c>
      <c r="X455" s="24">
        <v>1.1277413487455952</v>
      </c>
      <c r="Y455" s="24" t="s">
        <v>1945</v>
      </c>
      <c r="Z455" s="75">
        <v>4098.7820000000002</v>
      </c>
      <c r="AA455" t="s">
        <v>1414</v>
      </c>
      <c r="AB455" s="24">
        <v>7.0256410256410255</v>
      </c>
    </row>
    <row r="456" spans="1:28" x14ac:dyDescent="0.55000000000000004">
      <c r="A456" s="24" t="s">
        <v>703</v>
      </c>
      <c r="B456" s="24" t="s">
        <v>1186</v>
      </c>
      <c r="C456" s="24" t="s">
        <v>113</v>
      </c>
      <c r="D456" s="24" t="s">
        <v>72</v>
      </c>
      <c r="E456" s="24" t="s">
        <v>96</v>
      </c>
      <c r="F456" s="70">
        <v>3.0583718746588824E-4</v>
      </c>
      <c r="G456" s="24">
        <v>5.4526029999999999</v>
      </c>
      <c r="H456" s="24">
        <v>3.361103</v>
      </c>
      <c r="I456" s="24">
        <v>4.1213410000000001</v>
      </c>
      <c r="J456" s="24">
        <v>4.3116830000000004</v>
      </c>
      <c r="K456" s="24">
        <v>0.81848390000000004</v>
      </c>
      <c r="L456" s="24">
        <v>4.7681649999999998</v>
      </c>
      <c r="M456" s="24">
        <v>6.7881999999999998</v>
      </c>
      <c r="N456" s="24">
        <v>6.7602044408580495</v>
      </c>
      <c r="O456" s="24">
        <v>7.9</v>
      </c>
      <c r="P456" s="24">
        <v>4.4343891402714943</v>
      </c>
      <c r="Q456" s="24">
        <v>7.5850829383231977</v>
      </c>
      <c r="R456" s="24">
        <v>4.0199999999999996</v>
      </c>
      <c r="S456" s="24">
        <v>6.7521991303077371</v>
      </c>
      <c r="T456" s="21">
        <v>1</v>
      </c>
      <c r="U456" s="21" t="s">
        <v>141</v>
      </c>
      <c r="V456" s="70">
        <v>-2.9694237448287565E-2</v>
      </c>
      <c r="W456" s="70">
        <v>3.0305762551712433E-2</v>
      </c>
      <c r="X456" s="24">
        <v>1.2175295322696773</v>
      </c>
      <c r="Y456" s="24" t="s">
        <v>1890</v>
      </c>
      <c r="Z456" s="75">
        <v>3035.9259999999999</v>
      </c>
      <c r="AA456" t="s">
        <v>1414</v>
      </c>
      <c r="AB456" s="24">
        <v>8.4748700173310212</v>
      </c>
    </row>
    <row r="457" spans="1:28" x14ac:dyDescent="0.55000000000000004">
      <c r="A457" s="24" t="s">
        <v>673</v>
      </c>
      <c r="B457" s="24" t="s">
        <v>1023</v>
      </c>
      <c r="C457" s="24" t="s">
        <v>105</v>
      </c>
      <c r="D457" s="24" t="s">
        <v>72</v>
      </c>
      <c r="E457" s="24" t="s">
        <v>83</v>
      </c>
      <c r="F457" s="70">
        <v>3.0537806246036422E-4</v>
      </c>
      <c r="G457" s="24">
        <v>7.3364750000000001</v>
      </c>
      <c r="H457" s="24">
        <v>6.9355770000000003</v>
      </c>
      <c r="I457" s="24">
        <v>4.5446540000000004</v>
      </c>
      <c r="J457" s="24">
        <v>6.2722360000000004</v>
      </c>
      <c r="K457" s="24">
        <v>2.2705199999999999</v>
      </c>
      <c r="L457" s="24">
        <v>4.2257179999999996</v>
      </c>
      <c r="M457" s="24">
        <v>79.779700000000005</v>
      </c>
      <c r="N457" s="24">
        <v>1.5841934376371039</v>
      </c>
      <c r="O457" s="24">
        <v>7.6</v>
      </c>
      <c r="P457" s="24">
        <v>5.2537313432835822</v>
      </c>
      <c r="Q457" s="24">
        <v>3.4238892915660828</v>
      </c>
      <c r="R457" s="24">
        <v>2.73</v>
      </c>
      <c r="S457" s="24">
        <v>4.2164531528046352</v>
      </c>
      <c r="T457" s="21">
        <v>1</v>
      </c>
      <c r="U457" s="21" t="s">
        <v>141</v>
      </c>
      <c r="V457" s="70">
        <v>-2.9694547301786181E-2</v>
      </c>
      <c r="W457" s="70">
        <v>3.0305452698213817E-2</v>
      </c>
      <c r="X457" s="24">
        <v>0.99192299275207507</v>
      </c>
      <c r="Y457" s="24" t="s">
        <v>1988</v>
      </c>
      <c r="Z457" s="75">
        <v>3002.7930000000001</v>
      </c>
      <c r="AA457" t="s">
        <v>1414</v>
      </c>
      <c r="AB457" s="24">
        <v>7.7083333333333339</v>
      </c>
    </row>
    <row r="458" spans="1:28" x14ac:dyDescent="0.55000000000000004">
      <c r="A458" s="24" t="s">
        <v>658</v>
      </c>
      <c r="B458" s="24" t="s">
        <v>1155</v>
      </c>
      <c r="C458" s="24" t="s">
        <v>107</v>
      </c>
      <c r="D458" s="24" t="s">
        <v>72</v>
      </c>
      <c r="E458" s="24" t="s">
        <v>89</v>
      </c>
      <c r="F458" s="70">
        <v>3.0490437492517575E-4</v>
      </c>
      <c r="G458" s="24">
        <v>5.875121</v>
      </c>
      <c r="H458" s="24">
        <v>5.6949290000000001</v>
      </c>
      <c r="I458" s="24">
        <v>4.1262280000000002</v>
      </c>
      <c r="J458" s="24">
        <v>5.2963950000000004</v>
      </c>
      <c r="K458" s="24">
        <v>1.9846429999999999</v>
      </c>
      <c r="L458" s="24">
        <v>6.8392410000000003</v>
      </c>
      <c r="M458" s="24">
        <v>36.9422</v>
      </c>
      <c r="N458" s="24">
        <v>5.3987471191377949</v>
      </c>
      <c r="O458" s="24">
        <v>5.5</v>
      </c>
      <c r="P458" s="24">
        <v>4.4444444444444446</v>
      </c>
      <c r="Q458" s="24">
        <v>6.8603364320495794</v>
      </c>
      <c r="R458" s="24">
        <v>5.24</v>
      </c>
      <c r="S458" s="24">
        <v>5.6843767415190474</v>
      </c>
      <c r="T458" s="21">
        <v>1</v>
      </c>
      <c r="U458" s="21" t="s">
        <v>141</v>
      </c>
      <c r="V458" s="70">
        <v>-2.9694711135822754E-2</v>
      </c>
      <c r="W458" s="70">
        <v>3.0305288864177243E-2</v>
      </c>
      <c r="X458" s="24">
        <v>0.64839551202135415</v>
      </c>
      <c r="Y458" s="24" t="s">
        <v>1759</v>
      </c>
      <c r="Z458" s="75">
        <v>3335.0659999999998</v>
      </c>
      <c r="AA458" t="s">
        <v>1414</v>
      </c>
      <c r="AB458" s="24">
        <v>7.491349480968859</v>
      </c>
    </row>
    <row r="459" spans="1:28" x14ac:dyDescent="0.55000000000000004">
      <c r="A459" s="24" t="s">
        <v>653</v>
      </c>
      <c r="B459" s="24" t="s">
        <v>1216</v>
      </c>
      <c r="C459" s="24" t="s">
        <v>127</v>
      </c>
      <c r="D459" s="24" t="s">
        <v>72</v>
      </c>
      <c r="E459" s="24" t="s">
        <v>88</v>
      </c>
      <c r="F459" s="70">
        <v>3.0396941000784377E-4</v>
      </c>
      <c r="G459" s="24">
        <v>6.8987249999999998</v>
      </c>
      <c r="H459" s="24">
        <v>4.6564680000000003</v>
      </c>
      <c r="I459" s="24">
        <v>4.2763710000000001</v>
      </c>
      <c r="J459" s="24">
        <v>4.9528800000000004</v>
      </c>
      <c r="K459" s="24">
        <v>0</v>
      </c>
      <c r="L459" s="24">
        <v>4.213082</v>
      </c>
      <c r="M459" s="24">
        <v>34.244399999999999</v>
      </c>
      <c r="N459" s="24">
        <v>5.2306640419242694</v>
      </c>
      <c r="O459" s="24">
        <v>0.8</v>
      </c>
      <c r="P459" s="24">
        <v>7.4246575342465757</v>
      </c>
      <c r="Q459" s="24">
        <v>5.2824410479133608</v>
      </c>
      <c r="R459" s="24">
        <v>0</v>
      </c>
      <c r="S459" s="24">
        <v>4.906827099306402</v>
      </c>
      <c r="T459" s="21">
        <v>1</v>
      </c>
      <c r="U459" s="21" t="s">
        <v>141</v>
      </c>
      <c r="V459" s="70">
        <v>-2.9695646100740086E-2</v>
      </c>
      <c r="W459" s="70">
        <v>3.0304353899259912E-2</v>
      </c>
      <c r="X459" s="24">
        <v>1.1471597395631792</v>
      </c>
      <c r="Y459" s="24" t="s">
        <v>1657</v>
      </c>
      <c r="Z459" s="75">
        <v>3361.4520000000002</v>
      </c>
      <c r="AA459" t="s">
        <v>1414</v>
      </c>
      <c r="AB459" s="24">
        <v>7.6388888888888884</v>
      </c>
    </row>
    <row r="460" spans="1:28" x14ac:dyDescent="0.55000000000000004">
      <c r="A460" s="24" t="s">
        <v>630</v>
      </c>
      <c r="B460" s="24" t="s">
        <v>1311</v>
      </c>
      <c r="C460" s="24" t="s">
        <v>107</v>
      </c>
      <c r="D460" s="24" t="s">
        <v>72</v>
      </c>
      <c r="E460" s="24" t="s">
        <v>91</v>
      </c>
      <c r="F460" s="70">
        <v>3.039520958427083E-4</v>
      </c>
      <c r="G460" s="24">
        <v>5.8681890000000001</v>
      </c>
      <c r="H460" s="24">
        <v>5.2002240000000004</v>
      </c>
      <c r="I460" s="24">
        <v>4.8244790000000002</v>
      </c>
      <c r="J460" s="24">
        <v>5.3546860000000001</v>
      </c>
      <c r="K460" s="24">
        <v>2.6258050000000002</v>
      </c>
      <c r="L460" s="24">
        <v>9.3745010000000004</v>
      </c>
      <c r="M460" s="24">
        <v>153.57810000000001</v>
      </c>
      <c r="N460" s="24">
        <v>7.6587306057803186</v>
      </c>
      <c r="O460" s="24">
        <v>6.6</v>
      </c>
      <c r="P460" s="24">
        <v>5.1242236024844718</v>
      </c>
      <c r="Q460" s="24">
        <v>5.9018029714534048</v>
      </c>
      <c r="R460" s="24">
        <v>6.03</v>
      </c>
      <c r="S460" s="24">
        <v>6.6403665746651557</v>
      </c>
      <c r="T460" s="21">
        <v>1</v>
      </c>
      <c r="U460" s="21" t="s">
        <v>141</v>
      </c>
      <c r="V460" s="70">
        <v>-2.9695663414905222E-2</v>
      </c>
      <c r="W460" s="70">
        <v>3.0304336585094776E-2</v>
      </c>
      <c r="X460" s="24">
        <v>1.2549488691359667</v>
      </c>
      <c r="Y460" s="24" t="s">
        <v>1749</v>
      </c>
      <c r="Z460" s="75">
        <v>3268.5259999999998</v>
      </c>
      <c r="AA460" t="s">
        <v>1414</v>
      </c>
      <c r="AB460" s="24">
        <v>7.0154373927958833</v>
      </c>
    </row>
    <row r="461" spans="1:28" x14ac:dyDescent="0.55000000000000004">
      <c r="A461" s="24" t="s">
        <v>662</v>
      </c>
      <c r="B461" s="24" t="s">
        <v>975</v>
      </c>
      <c r="C461" s="24" t="s">
        <v>113</v>
      </c>
      <c r="D461" s="24" t="s">
        <v>72</v>
      </c>
      <c r="E461" s="24" t="s">
        <v>89</v>
      </c>
      <c r="F461" s="70">
        <v>3.035470138196352E-4</v>
      </c>
      <c r="G461" s="24">
        <v>8.2431099999999997</v>
      </c>
      <c r="H461" s="24">
        <v>6.4229250000000002</v>
      </c>
      <c r="I461" s="24">
        <v>6.5797819999999998</v>
      </c>
      <c r="J461" s="24">
        <v>7.0238800000000001</v>
      </c>
      <c r="K461" s="24">
        <v>0</v>
      </c>
      <c r="L461" s="24">
        <v>8.1749170000000007</v>
      </c>
      <c r="M461" s="24">
        <v>2.1583000000000001</v>
      </c>
      <c r="N461" s="24">
        <v>4.566674105611666</v>
      </c>
      <c r="O461" s="24">
        <v>3.4</v>
      </c>
      <c r="P461" s="24">
        <v>0</v>
      </c>
      <c r="Q461" s="24">
        <v>7.9791024789729974</v>
      </c>
      <c r="R461" s="24">
        <v>0</v>
      </c>
      <c r="S461" s="24">
        <v>5.4156540938941085</v>
      </c>
      <c r="T461" s="21">
        <v>1</v>
      </c>
      <c r="U461" s="21" t="s">
        <v>141</v>
      </c>
      <c r="V461" s="70">
        <v>-2.9696837475432433E-2</v>
      </c>
      <c r="W461" s="70">
        <v>3.0303162524567565E-2</v>
      </c>
      <c r="X461" s="24">
        <v>1.2694907546712348</v>
      </c>
      <c r="Y461" s="24" t="s">
        <v>1891</v>
      </c>
      <c r="Z461" s="75">
        <v>4836.6409999999996</v>
      </c>
      <c r="AA461" t="s">
        <v>1414</v>
      </c>
      <c r="AB461" s="24">
        <v>7.5605536332179932</v>
      </c>
    </row>
    <row r="462" spans="1:28" x14ac:dyDescent="0.55000000000000004">
      <c r="A462" s="24" t="s">
        <v>674</v>
      </c>
      <c r="B462" s="24" t="s">
        <v>883</v>
      </c>
      <c r="C462" s="24" t="s">
        <v>109</v>
      </c>
      <c r="D462" s="24" t="s">
        <v>72</v>
      </c>
      <c r="E462" s="24" t="s">
        <v>99</v>
      </c>
      <c r="F462" s="70">
        <v>3.0338558174816693E-4</v>
      </c>
      <c r="G462" s="24">
        <v>5.0333769999999998</v>
      </c>
      <c r="H462" s="24">
        <v>6.1629820000000004</v>
      </c>
      <c r="I462" s="24">
        <v>5.6584479999999999</v>
      </c>
      <c r="J462" s="24">
        <v>5.3843120000000004</v>
      </c>
      <c r="K462" s="24">
        <v>1.9916199999999999</v>
      </c>
      <c r="L462" s="24">
        <v>4.4753540000000003</v>
      </c>
      <c r="M462" s="24">
        <v>74.719499999999996</v>
      </c>
      <c r="N462" s="24">
        <v>10</v>
      </c>
      <c r="O462" s="24">
        <v>5.9</v>
      </c>
      <c r="P462" s="24">
        <v>0.87227414330218089</v>
      </c>
      <c r="Q462" s="24">
        <v>3.1107567229060744</v>
      </c>
      <c r="R462" s="24">
        <v>2.62</v>
      </c>
      <c r="S462" s="24">
        <v>2.9566795657216716</v>
      </c>
      <c r="T462" s="21">
        <v>1</v>
      </c>
      <c r="U462" s="21" t="s">
        <v>141</v>
      </c>
      <c r="V462" s="70">
        <v>-2.9696998907503901E-2</v>
      </c>
      <c r="W462" s="70">
        <v>3.0303001092496097E-2</v>
      </c>
      <c r="X462" s="24">
        <v>0.7018663455001054</v>
      </c>
      <c r="Y462" s="24" t="s">
        <v>1515</v>
      </c>
      <c r="Z462" s="75">
        <v>3859.509</v>
      </c>
      <c r="AA462" t="s">
        <v>1414</v>
      </c>
      <c r="AB462" s="24">
        <v>7.7737881508079001</v>
      </c>
    </row>
    <row r="463" spans="1:28" x14ac:dyDescent="0.55000000000000004">
      <c r="A463" s="24" t="s">
        <v>661</v>
      </c>
      <c r="B463" s="24" t="s">
        <v>1276</v>
      </c>
      <c r="C463" s="24" t="s">
        <v>110</v>
      </c>
      <c r="D463" s="24" t="s">
        <v>72</v>
      </c>
      <c r="E463" s="24" t="s">
        <v>84</v>
      </c>
      <c r="F463" s="70">
        <v>3.0321494214379413E-4</v>
      </c>
      <c r="G463" s="24">
        <v>7.1198269999999999</v>
      </c>
      <c r="H463" s="24">
        <v>7.7205579999999996</v>
      </c>
      <c r="I463" s="24">
        <v>7.2196470000000001</v>
      </c>
      <c r="J463" s="24">
        <v>7.3533439999999999</v>
      </c>
      <c r="K463" s="24">
        <v>3.529271</v>
      </c>
      <c r="L463" s="24">
        <v>6.7992549999999996</v>
      </c>
      <c r="M463" s="24">
        <v>375.43759999999997</v>
      </c>
      <c r="N463" s="24">
        <v>5.545270837270083</v>
      </c>
      <c r="O463" s="24">
        <v>7</v>
      </c>
      <c r="P463" s="24">
        <v>4.8656716417910451</v>
      </c>
      <c r="Q463" s="24">
        <v>3.8629436224612554</v>
      </c>
      <c r="R463" s="24">
        <v>5.93</v>
      </c>
      <c r="S463" s="24">
        <v>5.0512403251394744</v>
      </c>
      <c r="T463" s="21">
        <v>1</v>
      </c>
      <c r="U463" s="21" t="s">
        <v>141</v>
      </c>
      <c r="V463" s="70">
        <v>-2.9697169547108274E-2</v>
      </c>
      <c r="W463" s="70">
        <v>3.0302830452891723E-2</v>
      </c>
      <c r="X463" s="24">
        <v>1.0138594782541301</v>
      </c>
      <c r="Y463" s="24" t="s">
        <v>1538</v>
      </c>
      <c r="Z463" s="75">
        <v>3062.6819999999998</v>
      </c>
      <c r="AA463" t="s">
        <v>1414</v>
      </c>
      <c r="AB463" s="24">
        <v>7.5</v>
      </c>
    </row>
    <row r="464" spans="1:28" x14ac:dyDescent="0.55000000000000004">
      <c r="A464" s="24" t="s">
        <v>678</v>
      </c>
      <c r="B464" s="24" t="s">
        <v>1152</v>
      </c>
      <c r="C464" s="24" t="s">
        <v>105</v>
      </c>
      <c r="D464" s="24" t="s">
        <v>72</v>
      </c>
      <c r="E464" s="24" t="s">
        <v>86</v>
      </c>
      <c r="F464" s="70">
        <v>3.012415783029859E-4</v>
      </c>
      <c r="G464" s="24" t="e">
        <v>#N/A</v>
      </c>
      <c r="H464" s="24" t="e">
        <v>#N/A</v>
      </c>
      <c r="I464" s="24" t="e">
        <v>#N/A</v>
      </c>
      <c r="J464" s="24" t="e">
        <v>#N/A</v>
      </c>
      <c r="K464" s="24">
        <v>3.214842</v>
      </c>
      <c r="L464" s="24">
        <v>6.3524510000000003</v>
      </c>
      <c r="M464" s="24" t="e">
        <v>#N/A</v>
      </c>
      <c r="N464" s="24">
        <v>6.0288728702508179</v>
      </c>
      <c r="O464" s="24">
        <v>9.1</v>
      </c>
      <c r="P464" s="24">
        <v>8.0286750568467813</v>
      </c>
      <c r="Q464" s="24">
        <v>2.1391353330516831</v>
      </c>
      <c r="R464" s="24">
        <v>7.02</v>
      </c>
      <c r="S464" s="24">
        <v>3.9956877181028529</v>
      </c>
      <c r="T464" s="21">
        <v>1</v>
      </c>
      <c r="U464" s="21" t="s">
        <v>141</v>
      </c>
      <c r="V464" s="70">
        <v>-2.9698373932444944E-2</v>
      </c>
      <c r="W464" s="70">
        <v>3.0301626067555053E-2</v>
      </c>
      <c r="X464" s="24">
        <v>1.8750807406090586</v>
      </c>
      <c r="Y464" s="24" t="s">
        <v>1996</v>
      </c>
      <c r="Z464" s="75">
        <v>3696.9250000000002</v>
      </c>
      <c r="AA464" t="s">
        <v>1414</v>
      </c>
      <c r="AB464" s="24">
        <v>7.7948717948717947</v>
      </c>
    </row>
    <row r="465" spans="1:28" x14ac:dyDescent="0.55000000000000004">
      <c r="A465" s="24" t="s">
        <v>677</v>
      </c>
      <c r="B465" s="24" t="s">
        <v>1338</v>
      </c>
      <c r="C465" s="24" t="s">
        <v>105</v>
      </c>
      <c r="D465" s="24" t="s">
        <v>72</v>
      </c>
      <c r="E465" s="24" t="s">
        <v>96</v>
      </c>
      <c r="F465" s="70">
        <v>2.9597677103727975E-4</v>
      </c>
      <c r="G465" s="24">
        <v>2.2637510000000001</v>
      </c>
      <c r="H465" s="24">
        <v>3.8752819999999999</v>
      </c>
      <c r="I465" s="24">
        <v>1.2703880000000001</v>
      </c>
      <c r="J465" s="24">
        <v>2.449201</v>
      </c>
      <c r="K465" s="24">
        <v>1.0762799999999999</v>
      </c>
      <c r="L465" s="24">
        <v>3.2655699999999999</v>
      </c>
      <c r="M465" s="24" t="e">
        <v>#N/A</v>
      </c>
      <c r="N465" s="24">
        <v>8.8954104888592838</v>
      </c>
      <c r="O465" s="24">
        <v>8.6999999999999993</v>
      </c>
      <c r="P465" s="24">
        <v>7.3303167420814486</v>
      </c>
      <c r="Q465" s="24">
        <v>1.1882512305276989</v>
      </c>
      <c r="R465" s="24">
        <v>5.29</v>
      </c>
      <c r="S465" s="24">
        <v>5.0512861612260931</v>
      </c>
      <c r="T465" s="21">
        <v>1</v>
      </c>
      <c r="U465" s="21" t="s">
        <v>141</v>
      </c>
      <c r="V465" s="70">
        <v>-2.9703638739710651E-2</v>
      </c>
      <c r="W465" s="70">
        <v>3.0296361260289346E-2</v>
      </c>
      <c r="X465" s="24">
        <v>1.5869314832452104</v>
      </c>
      <c r="Y465" s="24" t="s">
        <v>1995</v>
      </c>
      <c r="Z465" s="75">
        <v>3216.8809999999999</v>
      </c>
      <c r="AA465" t="s">
        <v>1414</v>
      </c>
      <c r="AB465" s="24">
        <v>8.0242634315424617</v>
      </c>
    </row>
    <row r="466" spans="1:28" x14ac:dyDescent="0.55000000000000004">
      <c r="A466" s="24" t="s">
        <v>725</v>
      </c>
      <c r="B466" s="24" t="s">
        <v>1238</v>
      </c>
      <c r="C466" s="24" t="s">
        <v>111</v>
      </c>
      <c r="D466" s="24" t="s">
        <v>72</v>
      </c>
      <c r="E466" s="24" t="s">
        <v>92</v>
      </c>
      <c r="F466" s="70">
        <v>2.9521099392085785E-4</v>
      </c>
      <c r="G466" s="24">
        <v>6.2903229999999999</v>
      </c>
      <c r="H466" s="24">
        <v>8.0354779999999995</v>
      </c>
      <c r="I466" s="24">
        <v>6.662045</v>
      </c>
      <c r="J466" s="24">
        <v>6.7136979999999999</v>
      </c>
      <c r="K466" s="24">
        <v>8.1484550000000002</v>
      </c>
      <c r="L466" s="24">
        <v>6.7027609999999997</v>
      </c>
      <c r="M466" s="24">
        <v>317.66230000000002</v>
      </c>
      <c r="N466" s="24">
        <v>2.4159299964756644</v>
      </c>
      <c r="O466" s="24">
        <v>7.5</v>
      </c>
      <c r="P466" s="24">
        <v>0</v>
      </c>
      <c r="Q466" s="24">
        <v>2.4987318528562512</v>
      </c>
      <c r="R466" s="24">
        <v>6.12</v>
      </c>
      <c r="S466" s="24">
        <v>2.786875740484529</v>
      </c>
      <c r="T466" s="21">
        <v>1</v>
      </c>
      <c r="U466" s="21" t="s">
        <v>141</v>
      </c>
      <c r="V466" s="70">
        <v>-2.9705173495331211E-2</v>
      </c>
      <c r="W466" s="70">
        <v>3.0294826504668786E-2</v>
      </c>
      <c r="X466" s="24">
        <v>0.62627582247110758</v>
      </c>
      <c r="Y466" s="24" t="s">
        <v>1673</v>
      </c>
      <c r="Z466" s="75">
        <v>3420.24</v>
      </c>
      <c r="AA466" t="s">
        <v>1414</v>
      </c>
      <c r="AB466" s="24">
        <v>10</v>
      </c>
    </row>
    <row r="467" spans="1:28" x14ac:dyDescent="0.55000000000000004">
      <c r="A467" s="24" t="s">
        <v>692</v>
      </c>
      <c r="B467" s="24" t="s">
        <v>1218</v>
      </c>
      <c r="C467" s="24" t="s">
        <v>107</v>
      </c>
      <c r="D467" s="24" t="s">
        <v>72</v>
      </c>
      <c r="E467" s="24" t="s">
        <v>90</v>
      </c>
      <c r="F467" s="70">
        <v>2.9251248620666275E-4</v>
      </c>
      <c r="G467" s="24">
        <v>0</v>
      </c>
      <c r="H467" s="24">
        <v>5.4016359999999999</v>
      </c>
      <c r="I467" s="24">
        <v>0</v>
      </c>
      <c r="J467" s="24">
        <v>1.8905730000000001</v>
      </c>
      <c r="K467" s="24">
        <v>9.0353940000000001</v>
      </c>
      <c r="L467" s="24">
        <v>4.1534979999999999</v>
      </c>
      <c r="M467" s="24">
        <v>2.2755000000000001</v>
      </c>
      <c r="N467" s="24">
        <v>1.1514665972257834</v>
      </c>
      <c r="O467" s="24">
        <v>0</v>
      </c>
      <c r="P467" s="24">
        <v>2.5627239314756918</v>
      </c>
      <c r="Q467" s="24">
        <v>5.7344036051260403</v>
      </c>
      <c r="R467" s="24">
        <v>5.78</v>
      </c>
      <c r="S467" s="24">
        <v>1.4143527236016091</v>
      </c>
      <c r="T467" s="21">
        <v>1</v>
      </c>
      <c r="U467" s="21" t="s">
        <v>141</v>
      </c>
      <c r="V467" s="70">
        <v>-2.9707162822847993E-2</v>
      </c>
      <c r="W467" s="70">
        <v>3.0292837177152004E-2</v>
      </c>
      <c r="X467" s="24">
        <v>1.0448228190419064</v>
      </c>
      <c r="Y467" s="24" t="s">
        <v>1742</v>
      </c>
      <c r="Z467" s="75">
        <v>3029.5650000000001</v>
      </c>
      <c r="AA467" t="s">
        <v>1414</v>
      </c>
      <c r="AB467" s="24">
        <v>8.0341880341880341</v>
      </c>
    </row>
    <row r="468" spans="1:28" x14ac:dyDescent="0.55000000000000004">
      <c r="A468" s="24" t="s">
        <v>682</v>
      </c>
      <c r="B468" s="24" t="s">
        <v>1372</v>
      </c>
      <c r="C468" s="24" t="s">
        <v>106</v>
      </c>
      <c r="D468" s="24" t="s">
        <v>72</v>
      </c>
      <c r="E468" s="24" t="s">
        <v>89</v>
      </c>
      <c r="F468" s="70">
        <v>2.9245268789993424E-4</v>
      </c>
      <c r="G468" s="24">
        <v>7.4846909999999998</v>
      </c>
      <c r="H468" s="24">
        <v>6.331537</v>
      </c>
      <c r="I468" s="24">
        <v>5.5921919999999998</v>
      </c>
      <c r="J468" s="24">
        <v>6.5709949999999999</v>
      </c>
      <c r="K468" s="24">
        <v>2.3052000000000001</v>
      </c>
      <c r="L468" s="24">
        <v>5.0699149999999999</v>
      </c>
      <c r="M468" s="24">
        <v>1.2781</v>
      </c>
      <c r="N468" s="24">
        <v>5.5003243786330502</v>
      </c>
      <c r="O468" s="24">
        <v>6.7</v>
      </c>
      <c r="P468" s="24">
        <v>8.8888888888888875</v>
      </c>
      <c r="Q468" s="24">
        <v>2.3131551571491813</v>
      </c>
      <c r="R468" s="24">
        <v>6.23</v>
      </c>
      <c r="S468" s="24">
        <v>5.3379296277797401</v>
      </c>
      <c r="T468" s="21">
        <v>1</v>
      </c>
      <c r="U468" s="21" t="s">
        <v>141</v>
      </c>
      <c r="V468" s="70">
        <v>-2.9707872003045404E-2</v>
      </c>
      <c r="W468" s="70">
        <v>3.0292127996954594E-2</v>
      </c>
      <c r="X468" s="24">
        <v>1.1144747212044404</v>
      </c>
      <c r="Y468" s="24" t="s">
        <v>1853</v>
      </c>
      <c r="Z468" s="75">
        <v>3431.7089999999998</v>
      </c>
      <c r="AA468" t="s">
        <v>1414</v>
      </c>
      <c r="AB468" s="24">
        <v>7.9065743944636679</v>
      </c>
    </row>
    <row r="469" spans="1:28" x14ac:dyDescent="0.55000000000000004">
      <c r="A469" s="24" t="s">
        <v>695</v>
      </c>
      <c r="B469" s="24" t="s">
        <v>1329</v>
      </c>
      <c r="C469" s="24" t="s">
        <v>106</v>
      </c>
      <c r="D469" s="24" t="s">
        <v>72</v>
      </c>
      <c r="E469" s="24" t="s">
        <v>87</v>
      </c>
      <c r="F469" s="70">
        <v>2.9022375786619302E-4</v>
      </c>
      <c r="G469" s="24">
        <v>6.4496570000000002</v>
      </c>
      <c r="H469" s="24">
        <v>6.1633870000000002</v>
      </c>
      <c r="I469" s="24">
        <v>6.5687100000000003</v>
      </c>
      <c r="J469" s="24">
        <v>6.3994920000000004</v>
      </c>
      <c r="K469" s="24">
        <v>1.9167959999999999</v>
      </c>
      <c r="L469" s="24">
        <v>6.4652229999999999</v>
      </c>
      <c r="M469" s="24">
        <v>51.829300000000003</v>
      </c>
      <c r="N469" s="24">
        <v>4.8742985716061256</v>
      </c>
      <c r="O469" s="24">
        <v>9</v>
      </c>
      <c r="P469" s="24">
        <v>8.7029288702928866</v>
      </c>
      <c r="Q469" s="24">
        <v>3.6781666402493798</v>
      </c>
      <c r="R469" s="24">
        <v>5.8</v>
      </c>
      <c r="S469" s="24">
        <v>6.4651152672613428</v>
      </c>
      <c r="T469" s="21">
        <v>1</v>
      </c>
      <c r="U469" s="21" t="s">
        <v>141</v>
      </c>
      <c r="V469" s="70">
        <v>-2.9709660065902723E-2</v>
      </c>
      <c r="W469" s="70">
        <v>3.0290339934097275E-2</v>
      </c>
      <c r="X469" s="24">
        <v>0.72327253868952268</v>
      </c>
      <c r="Y469" s="24" t="s">
        <v>1766</v>
      </c>
      <c r="Z469" s="75">
        <v>3212.1759999999999</v>
      </c>
      <c r="AA469" t="s">
        <v>1414</v>
      </c>
      <c r="AB469" s="24">
        <v>8.5257548845470694</v>
      </c>
    </row>
    <row r="470" spans="1:28" x14ac:dyDescent="0.55000000000000004">
      <c r="A470" s="24" t="s">
        <v>686</v>
      </c>
      <c r="B470" s="24" t="s">
        <v>978</v>
      </c>
      <c r="C470" s="24" t="s">
        <v>111</v>
      </c>
      <c r="D470" s="24" t="s">
        <v>72</v>
      </c>
      <c r="E470" s="24" t="s">
        <v>85</v>
      </c>
      <c r="F470" s="70">
        <v>2.897610351782662E-4</v>
      </c>
      <c r="G470" s="24">
        <v>7.1346270000000001</v>
      </c>
      <c r="H470" s="24">
        <v>5.3910689999999999</v>
      </c>
      <c r="I470" s="24">
        <v>7.5736840000000001</v>
      </c>
      <c r="J470" s="24">
        <v>6.8737269999999997</v>
      </c>
      <c r="K470" s="24">
        <v>3.9147059999999998</v>
      </c>
      <c r="L470" s="24">
        <v>4.9199130000000002</v>
      </c>
      <c r="M470" s="24">
        <v>35.132599999999996</v>
      </c>
      <c r="N470" s="24">
        <v>4.7503788739840553</v>
      </c>
      <c r="O470" s="24">
        <v>1.6</v>
      </c>
      <c r="P470" s="24">
        <v>1.5315315315315314</v>
      </c>
      <c r="Q470" s="24">
        <v>7.3470008853474988</v>
      </c>
      <c r="R470" s="24">
        <v>5.85</v>
      </c>
      <c r="S470" s="24">
        <v>3.9932518300309137</v>
      </c>
      <c r="T470" s="21">
        <v>1</v>
      </c>
      <c r="U470" s="21" t="s">
        <v>141</v>
      </c>
      <c r="V470" s="70">
        <v>-2.9710273467741549E-2</v>
      </c>
      <c r="W470" s="70">
        <v>3.0289726532258449E-2</v>
      </c>
      <c r="X470" s="24">
        <v>1.2892101147360575</v>
      </c>
      <c r="Y470" s="24" t="s">
        <v>1670</v>
      </c>
      <c r="Z470" s="75">
        <v>2915.165</v>
      </c>
      <c r="AA470" t="s">
        <v>1414</v>
      </c>
      <c r="AB470" s="24">
        <v>7.9757785467128031</v>
      </c>
    </row>
    <row r="471" spans="1:28" x14ac:dyDescent="0.55000000000000004">
      <c r="A471" s="24" t="s">
        <v>668</v>
      </c>
      <c r="B471" s="24" t="s">
        <v>1159</v>
      </c>
      <c r="C471" s="24" t="s">
        <v>106</v>
      </c>
      <c r="D471" s="24" t="s">
        <v>72</v>
      </c>
      <c r="E471" s="24" t="s">
        <v>86</v>
      </c>
      <c r="F471" s="70">
        <v>2.8944966798793021E-4</v>
      </c>
      <c r="G471" s="24">
        <v>6.3072429999999997</v>
      </c>
      <c r="H471" s="24">
        <v>7.2635940000000003</v>
      </c>
      <c r="I471" s="24">
        <v>7.5932079999999997</v>
      </c>
      <c r="J471" s="24">
        <v>7.0920540000000001</v>
      </c>
      <c r="K471" s="24">
        <v>6.0220729999999998</v>
      </c>
      <c r="L471" s="24">
        <v>12.1464</v>
      </c>
      <c r="M471" s="24">
        <v>0.36797999999999997</v>
      </c>
      <c r="N471" s="24">
        <v>9.0467465190992886</v>
      </c>
      <c r="O471" s="24">
        <v>1.7</v>
      </c>
      <c r="P471" s="24">
        <v>6.90860289339816</v>
      </c>
      <c r="Q471" s="24">
        <v>6.1618555133079855</v>
      </c>
      <c r="R471" s="24">
        <v>7.23</v>
      </c>
      <c r="S471" s="24">
        <v>6.0766331822061508</v>
      </c>
      <c r="T471" s="21">
        <v>1</v>
      </c>
      <c r="U471" s="21" t="s">
        <v>141</v>
      </c>
      <c r="V471" s="70">
        <v>-2.9710623454073801E-2</v>
      </c>
      <c r="W471" s="70">
        <v>3.0289376545926196E-2</v>
      </c>
      <c r="X471" s="24">
        <v>1.2746970571517333</v>
      </c>
      <c r="Y471" s="24" t="s">
        <v>1895</v>
      </c>
      <c r="Z471" s="75">
        <v>2959.2150000000001</v>
      </c>
      <c r="AA471" t="s">
        <v>1414</v>
      </c>
      <c r="AB471" s="24">
        <v>7.6239316239316235</v>
      </c>
    </row>
    <row r="472" spans="1:28" x14ac:dyDescent="0.55000000000000004">
      <c r="A472" s="24" t="s">
        <v>670</v>
      </c>
      <c r="B472" s="24" t="s">
        <v>1084</v>
      </c>
      <c r="C472" s="24" t="s">
        <v>106</v>
      </c>
      <c r="D472" s="24" t="s">
        <v>72</v>
      </c>
      <c r="E472" s="24" t="s">
        <v>84</v>
      </c>
      <c r="F472" s="70">
        <v>2.8701548898075433E-4</v>
      </c>
      <c r="G472" s="24">
        <v>6.3362499999999997</v>
      </c>
      <c r="H472" s="24">
        <v>5.1642419999999998</v>
      </c>
      <c r="I472" s="24">
        <v>4.0316910000000004</v>
      </c>
      <c r="J472" s="24">
        <v>5.1773939999999996</v>
      </c>
      <c r="K472" s="24">
        <v>5.205654</v>
      </c>
      <c r="L472" s="24">
        <v>8.3189600000000006</v>
      </c>
      <c r="M472" s="24">
        <v>25.431799999999999</v>
      </c>
      <c r="N472" s="24">
        <v>2.899014183123648</v>
      </c>
      <c r="O472" s="24">
        <v>1.9</v>
      </c>
      <c r="P472" s="24">
        <v>5.8507462686567155</v>
      </c>
      <c r="Q472" s="24">
        <v>5.9776299969951658</v>
      </c>
      <c r="R472" s="24">
        <v>7.27</v>
      </c>
      <c r="S472" s="24">
        <v>5.9516045209306601</v>
      </c>
      <c r="T472" s="21">
        <v>1</v>
      </c>
      <c r="U472" s="21" t="s">
        <v>141</v>
      </c>
      <c r="V472" s="70">
        <v>-2.9713137010474872E-2</v>
      </c>
      <c r="W472" s="70">
        <v>3.0286862989525126E-2</v>
      </c>
      <c r="X472" s="24">
        <v>1.3555720766414741</v>
      </c>
      <c r="Y472" s="24" t="s">
        <v>1859</v>
      </c>
      <c r="Z472" s="75">
        <v>3352.0430000000001</v>
      </c>
      <c r="AA472" t="s">
        <v>1414</v>
      </c>
      <c r="AB472" s="24">
        <v>7.65625</v>
      </c>
    </row>
    <row r="473" spans="1:28" x14ac:dyDescent="0.55000000000000004">
      <c r="A473" s="24" t="s">
        <v>671</v>
      </c>
      <c r="B473" s="24" t="s">
        <v>915</v>
      </c>
      <c r="C473" s="24" t="s">
        <v>106</v>
      </c>
      <c r="D473" s="24" t="s">
        <v>72</v>
      </c>
      <c r="E473" s="24" t="s">
        <v>90</v>
      </c>
      <c r="F473" s="70">
        <v>2.8647850027305866E-4</v>
      </c>
      <c r="G473" s="24">
        <v>5.6620169999999996</v>
      </c>
      <c r="H473" s="24">
        <v>3.272656</v>
      </c>
      <c r="I473" s="24">
        <v>4.9340869999999999</v>
      </c>
      <c r="J473" s="24">
        <v>4.5709650000000002</v>
      </c>
      <c r="K473" s="24">
        <v>4.5696529999999997</v>
      </c>
      <c r="L473" s="24">
        <v>6.603745</v>
      </c>
      <c r="M473" s="24">
        <v>2.9159000000000002</v>
      </c>
      <c r="N473" s="24">
        <v>5.767644627298103</v>
      </c>
      <c r="O473" s="24">
        <v>5.6</v>
      </c>
      <c r="P473" s="24">
        <v>3.623656303618958</v>
      </c>
      <c r="Q473" s="24">
        <v>6.9621180115476715</v>
      </c>
      <c r="R473" s="24">
        <v>7.16</v>
      </c>
      <c r="S473" s="24">
        <v>3.8185894770659123</v>
      </c>
      <c r="T473" s="21">
        <v>1</v>
      </c>
      <c r="U473" s="21" t="s">
        <v>141</v>
      </c>
      <c r="V473" s="70">
        <v>-2.9713369000271314E-2</v>
      </c>
      <c r="W473" s="70">
        <v>3.0286630999728684E-2</v>
      </c>
      <c r="X473" s="24">
        <v>0.9434307891340582</v>
      </c>
      <c r="Y473" s="24" t="s">
        <v>1855</v>
      </c>
      <c r="Z473" s="75">
        <v>2945.585</v>
      </c>
      <c r="AA473" t="s">
        <v>1414</v>
      </c>
      <c r="AB473" s="24">
        <v>7.6752136752136755</v>
      </c>
    </row>
    <row r="474" spans="1:28" x14ac:dyDescent="0.55000000000000004">
      <c r="A474" s="24" t="s">
        <v>760</v>
      </c>
      <c r="B474" s="24" t="s">
        <v>1383</v>
      </c>
      <c r="C474" s="24" t="s">
        <v>109</v>
      </c>
      <c r="D474" s="24" t="s">
        <v>72</v>
      </c>
      <c r="E474" s="24" t="s">
        <v>89</v>
      </c>
      <c r="F474" s="70">
        <v>2.8629950321554519E-4</v>
      </c>
      <c r="G474" s="24">
        <v>0</v>
      </c>
      <c r="H474" s="24">
        <v>0</v>
      </c>
      <c r="I474" s="24">
        <v>0</v>
      </c>
      <c r="J474" s="24">
        <v>0</v>
      </c>
      <c r="K474" s="24">
        <v>1.3444860000000001</v>
      </c>
      <c r="L474" s="24">
        <v>4.5163950000000002</v>
      </c>
      <c r="M474" s="24">
        <v>11.487</v>
      </c>
      <c r="N474" s="24">
        <v>6.4123619445704794</v>
      </c>
      <c r="O474" s="24">
        <v>2.8</v>
      </c>
      <c r="P474" s="24">
        <v>5.2852852852852834</v>
      </c>
      <c r="Q474" s="24">
        <v>4.1054305002213374</v>
      </c>
      <c r="R474" s="24">
        <v>5.29</v>
      </c>
      <c r="S474" s="24">
        <v>3.8904645647739367</v>
      </c>
      <c r="T474" s="21">
        <v>1</v>
      </c>
      <c r="U474" s="21" t="s">
        <v>141</v>
      </c>
      <c r="V474" s="70">
        <v>-2.9714084986036525E-2</v>
      </c>
      <c r="W474" s="70">
        <v>3.0285915013963473E-2</v>
      </c>
      <c r="X474" s="24">
        <v>1.386194174969956</v>
      </c>
      <c r="Y474" s="24" t="s">
        <v>1522</v>
      </c>
      <c r="Z474" s="75">
        <v>2951.098</v>
      </c>
      <c r="AA474" t="s">
        <v>1414</v>
      </c>
      <c r="AB474" s="24">
        <v>9.2560553633217992</v>
      </c>
    </row>
    <row r="475" spans="1:28" x14ac:dyDescent="0.55000000000000004">
      <c r="A475" s="24" t="s">
        <v>657</v>
      </c>
      <c r="B475" s="24" t="s">
        <v>1286</v>
      </c>
      <c r="C475" s="24" t="s">
        <v>108</v>
      </c>
      <c r="D475" s="24" t="s">
        <v>72</v>
      </c>
      <c r="E475" s="24" t="s">
        <v>92</v>
      </c>
      <c r="F475" s="70">
        <v>2.850832587923782E-4</v>
      </c>
      <c r="G475" s="24">
        <v>6.7866960000000001</v>
      </c>
      <c r="H475" s="24">
        <v>5.595345</v>
      </c>
      <c r="I475" s="24">
        <v>5.3529730000000004</v>
      </c>
      <c r="J475" s="24">
        <v>6.118309</v>
      </c>
      <c r="K475" s="24">
        <v>3.5386730000000002</v>
      </c>
      <c r="L475" s="24">
        <v>5.3577380000000003</v>
      </c>
      <c r="M475" s="24">
        <v>117.5369</v>
      </c>
      <c r="N475" s="24">
        <v>10</v>
      </c>
      <c r="O475" s="24">
        <v>7.6</v>
      </c>
      <c r="P475" s="24">
        <v>5.0731707317073162</v>
      </c>
      <c r="Q475" s="24">
        <v>5.5927672287935417</v>
      </c>
      <c r="R475" s="24">
        <v>6.44</v>
      </c>
      <c r="S475" s="24">
        <v>4.4827910323258537</v>
      </c>
      <c r="T475" s="21">
        <v>1</v>
      </c>
      <c r="U475" s="21" t="s">
        <v>141</v>
      </c>
      <c r="V475" s="70">
        <v>-2.9714532251955552E-2</v>
      </c>
      <c r="W475" s="70">
        <v>3.0285467748044446E-2</v>
      </c>
      <c r="X475" s="24">
        <v>0.93840156572815536</v>
      </c>
      <c r="Y475" s="24" t="s">
        <v>1489</v>
      </c>
      <c r="Z475" s="75">
        <v>3414.578</v>
      </c>
      <c r="AA475" t="s">
        <v>1414</v>
      </c>
      <c r="AB475" s="24">
        <v>8.6561264822134394</v>
      </c>
    </row>
    <row r="476" spans="1:28" x14ac:dyDescent="0.55000000000000004">
      <c r="A476" s="24" t="s">
        <v>691</v>
      </c>
      <c r="B476" s="24" t="s">
        <v>1312</v>
      </c>
      <c r="C476" s="24" t="s">
        <v>113</v>
      </c>
      <c r="D476" s="24" t="s">
        <v>72</v>
      </c>
      <c r="E476" s="24" t="s">
        <v>99</v>
      </c>
      <c r="F476" s="70">
        <v>2.8477505602856229E-4</v>
      </c>
      <c r="G476" s="24">
        <v>7.8635729999999997</v>
      </c>
      <c r="H476" s="24">
        <v>6.6699200000000003</v>
      </c>
      <c r="I476" s="24">
        <v>6.0617789999999996</v>
      </c>
      <c r="J476" s="24">
        <v>7.2644830000000002</v>
      </c>
      <c r="K476" s="24">
        <v>4.1178109999999997</v>
      </c>
      <c r="L476" s="24">
        <v>9.5581230000000001</v>
      </c>
      <c r="M476" s="24">
        <v>104.04389999999999</v>
      </c>
      <c r="N476" s="24">
        <v>3.8586322295907034</v>
      </c>
      <c r="O476" s="24">
        <v>7.9</v>
      </c>
      <c r="P476" s="24">
        <v>5.2959501557632391</v>
      </c>
      <c r="Q476" s="24">
        <v>7.6059694326755531</v>
      </c>
      <c r="R476" s="24">
        <v>4.32</v>
      </c>
      <c r="S476" s="24">
        <v>6.4510226022344845</v>
      </c>
      <c r="T476" s="21">
        <v>1</v>
      </c>
      <c r="U476" s="21" t="s">
        <v>141</v>
      </c>
      <c r="V476" s="70">
        <v>-2.9714887242381773E-2</v>
      </c>
      <c r="W476" s="70">
        <v>3.0285112757618225E-2</v>
      </c>
      <c r="X476" s="24">
        <v>0.84435696903870716</v>
      </c>
      <c r="Y476" s="24" t="s">
        <v>1874</v>
      </c>
      <c r="Z476" s="75">
        <v>2753.9520000000002</v>
      </c>
      <c r="AA476" t="s">
        <v>1414</v>
      </c>
      <c r="AB476" s="24">
        <v>8.0789946140035909</v>
      </c>
    </row>
    <row r="477" spans="1:28" x14ac:dyDescent="0.55000000000000004">
      <c r="A477" s="24" t="s">
        <v>690</v>
      </c>
      <c r="B477" s="24" t="s">
        <v>1368</v>
      </c>
      <c r="C477" s="24" t="s">
        <v>111</v>
      </c>
      <c r="D477" s="24" t="s">
        <v>72</v>
      </c>
      <c r="E477" s="24" t="s">
        <v>88</v>
      </c>
      <c r="F477" s="70">
        <v>2.8472826836615524E-4</v>
      </c>
      <c r="G477" s="24">
        <v>5.2016910000000003</v>
      </c>
      <c r="H477" s="24">
        <v>4.1253760000000002</v>
      </c>
      <c r="I477" s="24">
        <v>5.7781820000000002</v>
      </c>
      <c r="J477" s="24">
        <v>5.0017610000000001</v>
      </c>
      <c r="K477" s="24">
        <v>0.195599</v>
      </c>
      <c r="L477" s="24">
        <v>4.2242309999999996</v>
      </c>
      <c r="M477" s="24">
        <v>53.682299999999998</v>
      </c>
      <c r="N477" s="24">
        <v>5.5795289372340919</v>
      </c>
      <c r="O477" s="24">
        <v>1.2</v>
      </c>
      <c r="P477" s="24">
        <v>0.93150684931506844</v>
      </c>
      <c r="Q477" s="24">
        <v>6.9143539630836051</v>
      </c>
      <c r="R477" s="24">
        <v>0</v>
      </c>
      <c r="S477" s="24">
        <v>3.9180907642907346</v>
      </c>
      <c r="T477" s="21">
        <v>1</v>
      </c>
      <c r="U477" s="21" t="s">
        <v>141</v>
      </c>
      <c r="V477" s="70">
        <v>-2.9714888943773724E-2</v>
      </c>
      <c r="W477" s="70">
        <v>3.0285111056226274E-2</v>
      </c>
      <c r="X477" s="24">
        <v>2.1880220631979563</v>
      </c>
      <c r="Y477" s="24" t="s">
        <v>1678</v>
      </c>
      <c r="Z477" s="75">
        <v>2673.8539999999998</v>
      </c>
      <c r="AA477" t="s">
        <v>1414</v>
      </c>
      <c r="AB477" s="24">
        <v>8.28125</v>
      </c>
    </row>
    <row r="478" spans="1:28" x14ac:dyDescent="0.55000000000000004">
      <c r="A478" s="24" t="s">
        <v>685</v>
      </c>
      <c r="B478" s="24" t="s">
        <v>1335</v>
      </c>
      <c r="C478" s="24" t="s">
        <v>106</v>
      </c>
      <c r="D478" s="24" t="s">
        <v>72</v>
      </c>
      <c r="E478" s="24" t="s">
        <v>94</v>
      </c>
      <c r="F478" s="70">
        <v>2.8472656697420604E-4</v>
      </c>
      <c r="G478" s="24">
        <v>9.6280359999999998</v>
      </c>
      <c r="H478" s="24">
        <v>6.7937969999999996</v>
      </c>
      <c r="I478" s="24">
        <v>5.1222880000000002</v>
      </c>
      <c r="J478" s="24">
        <v>7.2588889999999999</v>
      </c>
      <c r="K478" s="24">
        <v>3.6532420000000001</v>
      </c>
      <c r="L478" s="24">
        <v>5.5951969999999998</v>
      </c>
      <c r="M478" s="24">
        <v>0.70313999999999999</v>
      </c>
      <c r="N478" s="24">
        <v>3.5358206362377445</v>
      </c>
      <c r="O478" s="24">
        <v>6.9</v>
      </c>
      <c r="P478" s="24">
        <v>4.7222222222222223</v>
      </c>
      <c r="Q478" s="24">
        <v>3.5565628286014723</v>
      </c>
      <c r="R478" s="24">
        <v>6.49</v>
      </c>
      <c r="S478" s="24">
        <v>4.9065398876888366</v>
      </c>
      <c r="T478" s="21">
        <v>1</v>
      </c>
      <c r="U478" s="21" t="s">
        <v>141</v>
      </c>
      <c r="V478" s="70">
        <v>-2.9715609433223506E-2</v>
      </c>
      <c r="W478" s="70">
        <v>3.0284390566776492E-2</v>
      </c>
      <c r="X478" s="24">
        <v>1.1566123587791823</v>
      </c>
      <c r="Y478" s="24" t="s">
        <v>1770</v>
      </c>
      <c r="Z478" s="75">
        <v>2856.5749999999998</v>
      </c>
      <c r="AA478" t="s">
        <v>1414</v>
      </c>
      <c r="AB478" s="24">
        <v>7.7777777777777777</v>
      </c>
    </row>
    <row r="479" spans="1:28" x14ac:dyDescent="0.55000000000000004">
      <c r="A479" s="24" t="s">
        <v>688</v>
      </c>
      <c r="B479" s="24" t="s">
        <v>1305</v>
      </c>
      <c r="C479" s="24" t="s">
        <v>113</v>
      </c>
      <c r="D479" s="24" t="s">
        <v>72</v>
      </c>
      <c r="E479" s="24" t="s">
        <v>85</v>
      </c>
      <c r="F479" s="70">
        <v>2.8392230899136687E-4</v>
      </c>
      <c r="G479" s="24">
        <v>4.55579</v>
      </c>
      <c r="H479" s="24">
        <v>4.1933740000000004</v>
      </c>
      <c r="I479" s="24">
        <v>3.2103519999999999</v>
      </c>
      <c r="J479" s="24">
        <v>3.9865059999999999</v>
      </c>
      <c r="K479" s="24">
        <v>2.0102380000000002</v>
      </c>
      <c r="L479" s="24">
        <v>17.39209</v>
      </c>
      <c r="M479" s="24">
        <v>968.07209999999998</v>
      </c>
      <c r="N479" s="24">
        <v>2.6604714648596732</v>
      </c>
      <c r="O479" s="24">
        <v>6.2</v>
      </c>
      <c r="P479" s="24">
        <v>7.0570570570570554</v>
      </c>
      <c r="Q479" s="24">
        <v>9.4473948649845081</v>
      </c>
      <c r="R479" s="24">
        <v>4.82</v>
      </c>
      <c r="S479" s="24">
        <v>7.5429381645339362</v>
      </c>
      <c r="T479" s="21">
        <v>1</v>
      </c>
      <c r="U479" s="21" t="s">
        <v>117</v>
      </c>
      <c r="V479" s="70">
        <v>-2.9715693201756561E-2</v>
      </c>
      <c r="W479" s="70">
        <v>3.0284306798243437E-2</v>
      </c>
      <c r="X479" s="24">
        <v>1.0980451054086899</v>
      </c>
      <c r="Y479" s="24" t="s">
        <v>1875</v>
      </c>
      <c r="Z479" s="75">
        <v>3041.4250000000002</v>
      </c>
      <c r="AA479" t="s">
        <v>1414</v>
      </c>
      <c r="AB479" s="24">
        <v>8.0103806228373706</v>
      </c>
    </row>
    <row r="480" spans="1:28" x14ac:dyDescent="0.55000000000000004">
      <c r="A480" s="24" t="s">
        <v>683</v>
      </c>
      <c r="B480" s="24" t="s">
        <v>1083</v>
      </c>
      <c r="C480" s="24" t="s">
        <v>161</v>
      </c>
      <c r="D480" s="24" t="s">
        <v>72</v>
      </c>
      <c r="E480" s="24" t="s">
        <v>85</v>
      </c>
      <c r="F480" s="70">
        <v>2.8339166930231016E-4</v>
      </c>
      <c r="G480" s="24">
        <v>7.2954040000000004</v>
      </c>
      <c r="H480" s="24">
        <v>5.899381</v>
      </c>
      <c r="I480" s="24">
        <v>5.8215859999999999</v>
      </c>
      <c r="J480" s="24">
        <v>6.3387900000000004</v>
      </c>
      <c r="K480" s="24">
        <v>3.4511780000000001</v>
      </c>
      <c r="L480" s="24">
        <v>9.1916069999999994</v>
      </c>
      <c r="M480" s="24">
        <v>560.25310000000002</v>
      </c>
      <c r="N480" s="24">
        <v>6.0146956552973556</v>
      </c>
      <c r="O480" s="24">
        <v>3.6</v>
      </c>
      <c r="P480" s="24">
        <v>6.7267267267267252</v>
      </c>
      <c r="Q480" s="24">
        <v>6.6430577689243027</v>
      </c>
      <c r="R480" s="24">
        <v>7.04</v>
      </c>
      <c r="S480" s="24">
        <v>7.2330499826294643</v>
      </c>
      <c r="T480" s="21">
        <v>1</v>
      </c>
      <c r="U480" s="21" t="s">
        <v>141</v>
      </c>
      <c r="V480" s="70">
        <v>-2.9716514873986417E-2</v>
      </c>
      <c r="W480" s="70">
        <v>3.028348512601358E-2</v>
      </c>
      <c r="X480" s="24">
        <v>1.5062429932347325</v>
      </c>
      <c r="Y480" s="24" t="s">
        <v>1506</v>
      </c>
      <c r="Z480" s="75">
        <v>3308.3719999999998</v>
      </c>
      <c r="AA480" t="s">
        <v>1414</v>
      </c>
      <c r="AB480" s="24">
        <v>7.9238754325259517</v>
      </c>
    </row>
    <row r="481" spans="1:28" x14ac:dyDescent="0.55000000000000004">
      <c r="A481" s="24" t="s">
        <v>699</v>
      </c>
      <c r="B481" s="24" t="s">
        <v>1145</v>
      </c>
      <c r="C481" s="24" t="s">
        <v>106</v>
      </c>
      <c r="D481" s="24" t="s">
        <v>72</v>
      </c>
      <c r="E481" s="24" t="s">
        <v>85</v>
      </c>
      <c r="F481" s="70">
        <v>2.828294642930747E-4</v>
      </c>
      <c r="G481" s="24">
        <v>5.3126290000000003</v>
      </c>
      <c r="H481" s="24">
        <v>4.3287599999999999</v>
      </c>
      <c r="I481" s="24">
        <v>5.7617060000000002</v>
      </c>
      <c r="J481" s="24">
        <v>5.1521920000000003</v>
      </c>
      <c r="K481" s="24">
        <v>2.8987729999999998</v>
      </c>
      <c r="L481" s="24">
        <v>12.170450000000001</v>
      </c>
      <c r="M481" s="24">
        <v>28.1463</v>
      </c>
      <c r="N481" s="24">
        <v>5.9325694431567131</v>
      </c>
      <c r="O481" s="24">
        <v>8.4</v>
      </c>
      <c r="P481" s="24">
        <v>7.8978978978978978</v>
      </c>
      <c r="Q481" s="24">
        <v>6.6354946879150063</v>
      </c>
      <c r="R481" s="24">
        <v>6.3</v>
      </c>
      <c r="S481" s="24">
        <v>8.1858780043686465</v>
      </c>
      <c r="T481" s="21">
        <v>1</v>
      </c>
      <c r="U481" s="21" t="s">
        <v>117</v>
      </c>
      <c r="V481" s="70">
        <v>-2.9717555024958993E-2</v>
      </c>
      <c r="W481" s="70">
        <v>3.0282444975041005E-2</v>
      </c>
      <c r="X481" s="24">
        <v>1.2368516831692944</v>
      </c>
      <c r="Y481" s="24" t="s">
        <v>1460</v>
      </c>
      <c r="Z481" s="75">
        <v>2675.9490000000001</v>
      </c>
      <c r="AA481" t="s">
        <v>1414</v>
      </c>
      <c r="AB481" s="24">
        <v>8.2006920415224922</v>
      </c>
    </row>
    <row r="482" spans="1:28" x14ac:dyDescent="0.55000000000000004">
      <c r="A482" s="24" t="s">
        <v>706</v>
      </c>
      <c r="B482" s="24" t="s">
        <v>1357</v>
      </c>
      <c r="C482" s="24" t="s">
        <v>106</v>
      </c>
      <c r="D482" s="24" t="s">
        <v>72</v>
      </c>
      <c r="E482" s="24" t="s">
        <v>93</v>
      </c>
      <c r="F482" s="70">
        <v>2.8196695865642679E-4</v>
      </c>
      <c r="G482" s="24">
        <v>6.9054840000000004</v>
      </c>
      <c r="H482" s="24">
        <v>4.8407220000000004</v>
      </c>
      <c r="I482" s="24">
        <v>6.8096769999999998</v>
      </c>
      <c r="J482" s="24">
        <v>6.1852939999999998</v>
      </c>
      <c r="K482" s="24">
        <v>1.431883</v>
      </c>
      <c r="L482" s="24">
        <v>0.62075380000000002</v>
      </c>
      <c r="M482" s="24">
        <v>10.105399999999999</v>
      </c>
      <c r="N482" s="24">
        <v>0.77276577978990246</v>
      </c>
      <c r="O482" s="24">
        <v>0</v>
      </c>
      <c r="P482" s="24">
        <v>6.3354037267080763</v>
      </c>
      <c r="Q482" s="24">
        <v>5.4592541488986068</v>
      </c>
      <c r="R482" s="24">
        <v>3.2</v>
      </c>
      <c r="S482" s="24">
        <v>1.8781704569987003</v>
      </c>
      <c r="T482" s="21">
        <v>1</v>
      </c>
      <c r="U482" s="21" t="s">
        <v>141</v>
      </c>
      <c r="V482" s="70">
        <v>-2.9718417530595641E-2</v>
      </c>
      <c r="W482" s="70">
        <v>3.0281582469404357E-2</v>
      </c>
      <c r="X482" s="24">
        <v>1.9899984119427772</v>
      </c>
      <c r="Y482" s="24" t="s">
        <v>1798</v>
      </c>
      <c r="Z482" s="75">
        <v>3000.3409999999999</v>
      </c>
      <c r="AA482" t="s">
        <v>1414</v>
      </c>
      <c r="AB482" s="24">
        <v>8.3190394511149215</v>
      </c>
    </row>
    <row r="483" spans="1:28" x14ac:dyDescent="0.55000000000000004">
      <c r="A483" s="24" t="s">
        <v>721</v>
      </c>
      <c r="B483" s="24" t="s">
        <v>992</v>
      </c>
      <c r="C483" s="24" t="s">
        <v>107</v>
      </c>
      <c r="D483" s="24" t="s">
        <v>72</v>
      </c>
      <c r="E483" s="24" t="s">
        <v>93</v>
      </c>
      <c r="F483" s="70">
        <v>2.8054049162937379E-4</v>
      </c>
      <c r="G483" s="24">
        <v>5.7742430000000002</v>
      </c>
      <c r="H483" s="24">
        <v>6.5451689999999996</v>
      </c>
      <c r="I483" s="24">
        <v>6.0865359999999997</v>
      </c>
      <c r="J483" s="24">
        <v>6.1353160000000004</v>
      </c>
      <c r="K483" s="24">
        <v>2.8138079999999999</v>
      </c>
      <c r="L483" s="24">
        <v>7.4670800000000002</v>
      </c>
      <c r="M483" s="24">
        <v>30.030999999999999</v>
      </c>
      <c r="N483" s="24">
        <v>3.7406015821979754</v>
      </c>
      <c r="O483" s="24">
        <v>3.8</v>
      </c>
      <c r="P483" s="24">
        <v>4.6894409937888213</v>
      </c>
      <c r="Q483" s="24">
        <v>7.1514061439009158</v>
      </c>
      <c r="R483" s="24">
        <v>5.35</v>
      </c>
      <c r="S483" s="24">
        <v>5.3296896445579875</v>
      </c>
      <c r="T483" s="21">
        <v>1</v>
      </c>
      <c r="U483" s="21" t="s">
        <v>141</v>
      </c>
      <c r="V483" s="70">
        <v>-2.9719843997622696E-2</v>
      </c>
      <c r="W483" s="70">
        <v>3.0280156002377302E-2</v>
      </c>
      <c r="X483" s="24">
        <v>1.2996317474299086</v>
      </c>
      <c r="Y483" s="24" t="s">
        <v>1722</v>
      </c>
      <c r="Z483" s="75">
        <v>2561.0419999999999</v>
      </c>
      <c r="AA483" t="s">
        <v>1414</v>
      </c>
      <c r="AB483" s="24">
        <v>8.5763293310463116</v>
      </c>
    </row>
    <row r="484" spans="1:28" x14ac:dyDescent="0.55000000000000004">
      <c r="A484" s="24" t="s">
        <v>697</v>
      </c>
      <c r="B484" s="24" t="s">
        <v>1107</v>
      </c>
      <c r="C484" s="24" t="s">
        <v>109</v>
      </c>
      <c r="D484" s="24" t="s">
        <v>72</v>
      </c>
      <c r="E484" s="24" t="s">
        <v>94</v>
      </c>
      <c r="F484" s="70">
        <v>2.7892917337107441E-4</v>
      </c>
      <c r="G484" s="24">
        <v>4.0939889999999997</v>
      </c>
      <c r="H484" s="24">
        <v>5.4867049999999997</v>
      </c>
      <c r="I484" s="24">
        <v>6.4254930000000003</v>
      </c>
      <c r="J484" s="24">
        <v>5.3051339999999998</v>
      </c>
      <c r="K484" s="24">
        <v>6.1870690000000002</v>
      </c>
      <c r="L484" s="24">
        <v>7.5676839999999999</v>
      </c>
      <c r="M484" s="24">
        <v>0.89398999999999995</v>
      </c>
      <c r="N484" s="24">
        <v>2.485969130800207</v>
      </c>
      <c r="O484" s="24">
        <v>7</v>
      </c>
      <c r="P484" s="24">
        <v>2.9861111111111112</v>
      </c>
      <c r="Q484" s="24">
        <v>4.3292152996845426</v>
      </c>
      <c r="R484" s="24">
        <v>7.96</v>
      </c>
      <c r="S484" s="24">
        <v>6.260191074581563</v>
      </c>
      <c r="T484" s="21">
        <v>1</v>
      </c>
      <c r="U484" s="21" t="s">
        <v>141</v>
      </c>
      <c r="V484" s="70">
        <v>-2.9721455315880996E-2</v>
      </c>
      <c r="W484" s="70">
        <v>3.0278544684119002E-2</v>
      </c>
      <c r="X484" s="24">
        <v>0.87736972542933644</v>
      </c>
      <c r="Y484" s="24" t="s">
        <v>1516</v>
      </c>
      <c r="Z484" s="75">
        <v>2990.9029999999998</v>
      </c>
      <c r="AA484" t="s">
        <v>1414</v>
      </c>
      <c r="AB484" s="24">
        <v>8.0392156862745097</v>
      </c>
    </row>
    <row r="485" spans="1:28" x14ac:dyDescent="0.55000000000000004">
      <c r="A485" s="24" t="s">
        <v>724</v>
      </c>
      <c r="B485" s="24" t="s">
        <v>1101</v>
      </c>
      <c r="C485" s="24" t="s">
        <v>113</v>
      </c>
      <c r="D485" s="24" t="s">
        <v>72</v>
      </c>
      <c r="E485" s="24" t="s">
        <v>93</v>
      </c>
      <c r="F485" s="70">
        <v>2.7749084725752442E-4</v>
      </c>
      <c r="G485" s="24">
        <v>7.4217170000000001</v>
      </c>
      <c r="H485" s="24">
        <v>5.256081</v>
      </c>
      <c r="I485" s="24">
        <v>4.3996769999999996</v>
      </c>
      <c r="J485" s="24">
        <v>5.6924919999999997</v>
      </c>
      <c r="K485" s="24">
        <v>1.0176419999999999</v>
      </c>
      <c r="L485" s="24">
        <v>2.063968</v>
      </c>
      <c r="M485" s="24">
        <v>7.8253000000000004</v>
      </c>
      <c r="N485" s="24">
        <v>6.1131992968270765</v>
      </c>
      <c r="O485" s="24">
        <v>5.0999999999999996</v>
      </c>
      <c r="P485" s="24">
        <v>6.6770186335403734</v>
      </c>
      <c r="Q485" s="24">
        <v>0.43440073878914631</v>
      </c>
      <c r="R485" s="24">
        <v>3.76</v>
      </c>
      <c r="S485" s="24">
        <v>2.6937346422561519</v>
      </c>
      <c r="T485" s="21">
        <v>1</v>
      </c>
      <c r="U485" s="21" t="s">
        <v>141</v>
      </c>
      <c r="V485" s="70">
        <v>-2.9722124663490404E-2</v>
      </c>
      <c r="W485" s="70">
        <v>3.0277875336509594E-2</v>
      </c>
      <c r="X485" s="24">
        <v>1.3535605091055327</v>
      </c>
      <c r="Y485" s="24" t="s">
        <v>1886</v>
      </c>
      <c r="Z485" s="75">
        <v>3281.6390000000001</v>
      </c>
      <c r="AA485" t="s">
        <v>1414</v>
      </c>
      <c r="AB485" s="24">
        <v>8.627787307032591</v>
      </c>
    </row>
    <row r="486" spans="1:28" x14ac:dyDescent="0.55000000000000004">
      <c r="A486" s="24" t="s">
        <v>698</v>
      </c>
      <c r="B486" s="24" t="s">
        <v>857</v>
      </c>
      <c r="C486" s="24" t="s">
        <v>106</v>
      </c>
      <c r="D486" s="24" t="s">
        <v>72</v>
      </c>
      <c r="E486" s="24" t="s">
        <v>87</v>
      </c>
      <c r="F486" s="70">
        <v>2.7550337063929705E-4</v>
      </c>
      <c r="G486" s="24">
        <v>3.2310500000000002</v>
      </c>
      <c r="H486" s="24">
        <v>5.976985</v>
      </c>
      <c r="I486" s="24">
        <v>5.5283980000000001</v>
      </c>
      <c r="J486" s="24">
        <v>4.7440350000000002</v>
      </c>
      <c r="K486" s="24">
        <v>2.97865</v>
      </c>
      <c r="L486" s="24">
        <v>9.1210109999999993</v>
      </c>
      <c r="M486" s="24">
        <v>209.583</v>
      </c>
      <c r="N486" s="24">
        <v>1.9011011052939493</v>
      </c>
      <c r="O486" s="24">
        <v>2.9</v>
      </c>
      <c r="P486" s="24">
        <v>7.9916317991631818</v>
      </c>
      <c r="Q486" s="24">
        <v>4.4867121044011204</v>
      </c>
      <c r="R486" s="24">
        <v>5.65</v>
      </c>
      <c r="S486" s="24">
        <v>6.9307955765232379</v>
      </c>
      <c r="T486" s="21">
        <v>1</v>
      </c>
      <c r="U486" s="21" t="s">
        <v>117</v>
      </c>
      <c r="V486" s="70">
        <v>-2.9724881118612771E-2</v>
      </c>
      <c r="W486" s="70">
        <v>3.0275118881387227E-2</v>
      </c>
      <c r="X486" s="24">
        <v>0.67525363100847768</v>
      </c>
      <c r="Y486" s="24" t="s">
        <v>1476</v>
      </c>
      <c r="Z486" s="75">
        <v>3216.3539999999998</v>
      </c>
      <c r="AA486" t="s">
        <v>1414</v>
      </c>
      <c r="AB486" s="24">
        <v>8.5790408525754884</v>
      </c>
    </row>
    <row r="487" spans="1:28" x14ac:dyDescent="0.55000000000000004">
      <c r="A487" s="24" t="s">
        <v>689</v>
      </c>
      <c r="B487" s="24" t="s">
        <v>1245</v>
      </c>
      <c r="C487" s="24" t="s">
        <v>107</v>
      </c>
      <c r="D487" s="24" t="s">
        <v>72</v>
      </c>
      <c r="E487" s="24" t="s">
        <v>85</v>
      </c>
      <c r="F487" s="70">
        <v>2.7345809735193036E-4</v>
      </c>
      <c r="G487" s="24">
        <v>6.5969249999999997</v>
      </c>
      <c r="H487" s="24">
        <v>4.2660920000000004</v>
      </c>
      <c r="I487" s="24">
        <v>4.0179460000000002</v>
      </c>
      <c r="J487" s="24">
        <v>4.9603210000000004</v>
      </c>
      <c r="K487" s="24">
        <v>1.6042350000000001</v>
      </c>
      <c r="L487" s="24">
        <v>5.6014840000000001</v>
      </c>
      <c r="M487" s="24">
        <v>3.8540999999999999</v>
      </c>
      <c r="N487" s="24">
        <v>6.1811097393079866</v>
      </c>
      <c r="O487" s="24">
        <v>0.8</v>
      </c>
      <c r="P487" s="24">
        <v>7.5675675675675667</v>
      </c>
      <c r="Q487" s="24">
        <v>5.7326250553342195</v>
      </c>
      <c r="R487" s="24">
        <v>5.41</v>
      </c>
      <c r="S487" s="24">
        <v>5.1595150007236086</v>
      </c>
      <c r="T487" s="21">
        <v>1</v>
      </c>
      <c r="U487" s="21" t="s">
        <v>141</v>
      </c>
      <c r="V487" s="70">
        <v>-2.97268828562826E-2</v>
      </c>
      <c r="W487" s="70">
        <v>3.0273117143717398E-2</v>
      </c>
      <c r="X487" s="24">
        <v>1.7194764679311365</v>
      </c>
      <c r="Y487" s="24" t="s">
        <v>1704</v>
      </c>
      <c r="Z487" s="75">
        <v>2947.1</v>
      </c>
      <c r="AA487" t="s">
        <v>1414</v>
      </c>
      <c r="AB487" s="24">
        <v>8.0276816608996544</v>
      </c>
    </row>
    <row r="488" spans="1:28" x14ac:dyDescent="0.55000000000000004">
      <c r="A488" s="24" t="s">
        <v>718</v>
      </c>
      <c r="B488" s="24" t="s">
        <v>1012</v>
      </c>
      <c r="C488" s="24" t="s">
        <v>105</v>
      </c>
      <c r="D488" s="24" t="s">
        <v>72</v>
      </c>
      <c r="E488" s="24" t="s">
        <v>83</v>
      </c>
      <c r="F488" s="70">
        <v>2.7273265446532848E-4</v>
      </c>
      <c r="G488" s="24">
        <v>4.8508170000000002</v>
      </c>
      <c r="H488" s="24">
        <v>6.388865</v>
      </c>
      <c r="I488" s="24">
        <v>6.8193999999999999</v>
      </c>
      <c r="J488" s="24">
        <v>6.0196940000000003</v>
      </c>
      <c r="K488" s="24">
        <v>5.8288310000000001</v>
      </c>
      <c r="L488" s="24">
        <v>8.9281640000000007</v>
      </c>
      <c r="M488" s="24">
        <v>671.04359999999997</v>
      </c>
      <c r="N488" s="24">
        <v>1.8666184597196922</v>
      </c>
      <c r="O488" s="24">
        <v>0.4</v>
      </c>
      <c r="P488" s="24">
        <v>8.8059701492537314</v>
      </c>
      <c r="Q488" s="24">
        <v>10</v>
      </c>
      <c r="R488" s="24">
        <v>6.04</v>
      </c>
      <c r="S488" s="24">
        <v>6.3169393431046004</v>
      </c>
      <c r="T488" s="21">
        <v>1</v>
      </c>
      <c r="U488" s="21" t="s">
        <v>141</v>
      </c>
      <c r="V488" s="70">
        <v>-2.9726926391900138E-2</v>
      </c>
      <c r="W488" s="70">
        <v>3.027307360809986E-2</v>
      </c>
      <c r="X488" s="24">
        <v>1.4831735415283598</v>
      </c>
      <c r="Y488" s="24" t="s">
        <v>1965</v>
      </c>
      <c r="Z488" s="75">
        <v>2700.0720000000001</v>
      </c>
      <c r="AA488" t="s">
        <v>1414</v>
      </c>
      <c r="AB488" s="24">
        <v>8.4895833333333339</v>
      </c>
    </row>
    <row r="489" spans="1:28" x14ac:dyDescent="0.55000000000000004">
      <c r="A489" s="24" t="s">
        <v>726</v>
      </c>
      <c r="B489" s="24" t="s">
        <v>1330</v>
      </c>
      <c r="C489" s="24" t="s">
        <v>105</v>
      </c>
      <c r="D489" s="24" t="s">
        <v>72</v>
      </c>
      <c r="E489" s="24" t="s">
        <v>96</v>
      </c>
      <c r="F489" s="70">
        <v>2.7254490085957904E-4</v>
      </c>
      <c r="G489" s="24">
        <v>3.7773439999999998</v>
      </c>
      <c r="H489" s="24">
        <v>4.1021799999999997</v>
      </c>
      <c r="I489" s="24">
        <v>4.6731100000000003</v>
      </c>
      <c r="J489" s="24">
        <v>4.1842110000000003</v>
      </c>
      <c r="K489" s="24">
        <v>0.38328109999999999</v>
      </c>
      <c r="L489" s="24">
        <v>1.8600939999999999</v>
      </c>
      <c r="M489" s="24">
        <v>19.653400000000001</v>
      </c>
      <c r="N489" s="24">
        <v>8.9897972428157651</v>
      </c>
      <c r="O489" s="24">
        <v>3.7</v>
      </c>
      <c r="P489" s="24">
        <v>8.8687782805429887</v>
      </c>
      <c r="Q489" s="24">
        <v>0.19647459606447218</v>
      </c>
      <c r="R489" s="24">
        <v>4.84</v>
      </c>
      <c r="S489" s="24">
        <v>3.3561612799552396</v>
      </c>
      <c r="T489" s="21">
        <v>1</v>
      </c>
      <c r="U489" s="21" t="s">
        <v>141</v>
      </c>
      <c r="V489" s="70">
        <v>-2.9727070609888349E-2</v>
      </c>
      <c r="W489" s="70">
        <v>3.0272929390111648E-2</v>
      </c>
      <c r="X489" s="24">
        <v>1.7896103988791876</v>
      </c>
      <c r="Y489" s="24" t="s">
        <v>2005</v>
      </c>
      <c r="Z489" s="75">
        <v>2752.3</v>
      </c>
      <c r="AA489" t="s">
        <v>1414</v>
      </c>
      <c r="AB489" s="24">
        <v>8.8734835355285959</v>
      </c>
    </row>
    <row r="490" spans="1:28" x14ac:dyDescent="0.55000000000000004">
      <c r="A490" s="24" t="s">
        <v>679</v>
      </c>
      <c r="B490" s="24" t="s">
        <v>1278</v>
      </c>
      <c r="C490" s="24" t="s">
        <v>127</v>
      </c>
      <c r="D490" s="24" t="s">
        <v>72</v>
      </c>
      <c r="E490" s="24" t="s">
        <v>88</v>
      </c>
      <c r="F490" s="70">
        <v>2.7191918894958566E-4</v>
      </c>
      <c r="G490" s="24">
        <v>4.7210859999999997</v>
      </c>
      <c r="H490" s="24">
        <v>5.6043419999999999</v>
      </c>
      <c r="I490" s="24">
        <v>3.8877320000000002</v>
      </c>
      <c r="J490" s="24">
        <v>4.7410459999999999</v>
      </c>
      <c r="K490" s="24">
        <v>0</v>
      </c>
      <c r="L490" s="24">
        <v>3.9047610000000001</v>
      </c>
      <c r="M490" s="24">
        <v>27.4998</v>
      </c>
      <c r="N490" s="24">
        <v>8.7881580877112899</v>
      </c>
      <c r="O490" s="24">
        <v>9.6999999999999993</v>
      </c>
      <c r="P490" s="24">
        <v>7.4520547945205475</v>
      </c>
      <c r="Q490" s="24">
        <v>0.38364096996018826</v>
      </c>
      <c r="R490" s="24">
        <v>0</v>
      </c>
      <c r="S490" s="24">
        <v>4.5427946714389265</v>
      </c>
      <c r="T490" s="21">
        <v>1</v>
      </c>
      <c r="U490" s="21" t="s">
        <v>141</v>
      </c>
      <c r="V490" s="70">
        <v>-2.9727696321798343E-2</v>
      </c>
      <c r="W490" s="70">
        <v>3.0272303678201655E-2</v>
      </c>
      <c r="X490" s="24">
        <v>1.15656861054356</v>
      </c>
      <c r="Y490" s="24" t="s">
        <v>1661</v>
      </c>
      <c r="Z490" s="75">
        <v>3044.5259999999998</v>
      </c>
      <c r="AA490" t="s">
        <v>1414</v>
      </c>
      <c r="AB490" s="24">
        <v>8.0902777777777786</v>
      </c>
    </row>
    <row r="491" spans="1:28" x14ac:dyDescent="0.55000000000000004">
      <c r="A491" s="24" t="s">
        <v>681</v>
      </c>
      <c r="B491" s="24" t="s">
        <v>1284</v>
      </c>
      <c r="C491" s="24" t="s">
        <v>127</v>
      </c>
      <c r="D491" s="24" t="s">
        <v>72</v>
      </c>
      <c r="E491" s="24" t="s">
        <v>82</v>
      </c>
      <c r="F491" s="70">
        <v>2.716059326670713E-4</v>
      </c>
      <c r="G491" s="24">
        <v>6.2549710000000003</v>
      </c>
      <c r="H491" s="24">
        <v>3.9085930000000002</v>
      </c>
      <c r="I491" s="24">
        <v>5.4889729999999997</v>
      </c>
      <c r="J491" s="24">
        <v>5.1656389999999996</v>
      </c>
      <c r="K491" s="24">
        <v>4.7103169999999999</v>
      </c>
      <c r="L491" s="24">
        <v>16.411169999999998</v>
      </c>
      <c r="M491" s="24">
        <v>2.2827000000000002</v>
      </c>
      <c r="N491" s="24">
        <v>6.5146652848150914</v>
      </c>
      <c r="O491" s="24">
        <v>2.6</v>
      </c>
      <c r="P491" s="24">
        <v>5.8064522372529295</v>
      </c>
      <c r="Q491" s="24">
        <v>7.8707224334600765</v>
      </c>
      <c r="R491" s="24">
        <v>7.33</v>
      </c>
      <c r="S491" s="24">
        <v>7.1857748195978068</v>
      </c>
      <c r="T491" s="21">
        <v>1</v>
      </c>
      <c r="U491" s="21" t="s">
        <v>141</v>
      </c>
      <c r="V491" s="70">
        <v>-2.9728009578080857E-2</v>
      </c>
      <c r="W491" s="70">
        <v>3.0271990421919141E-2</v>
      </c>
      <c r="X491" s="24">
        <v>0.95642821420778579</v>
      </c>
      <c r="Y491" s="24" t="s">
        <v>1648</v>
      </c>
      <c r="Z491" s="75">
        <v>3147.0030000000002</v>
      </c>
      <c r="AA491" t="s">
        <v>1414</v>
      </c>
      <c r="AB491" s="24">
        <v>7.8461538461538458</v>
      </c>
    </row>
    <row r="492" spans="1:28" x14ac:dyDescent="0.55000000000000004">
      <c r="A492" s="24" t="s">
        <v>700</v>
      </c>
      <c r="B492" s="24" t="s">
        <v>1048</v>
      </c>
      <c r="C492" s="24" t="s">
        <v>113</v>
      </c>
      <c r="D492" s="24" t="s">
        <v>72</v>
      </c>
      <c r="E492" s="24" t="s">
        <v>99</v>
      </c>
      <c r="F492" s="70">
        <v>2.6926796930719469E-4</v>
      </c>
      <c r="G492" s="24">
        <v>6.2220300000000002</v>
      </c>
      <c r="H492" s="24">
        <v>7.428134</v>
      </c>
      <c r="I492" s="24">
        <v>6.8441689999999999</v>
      </c>
      <c r="J492" s="24">
        <v>6.5876780000000004</v>
      </c>
      <c r="K492" s="24">
        <v>4.7948729999999999</v>
      </c>
      <c r="L492" s="24">
        <v>12.36477</v>
      </c>
      <c r="M492" s="24">
        <v>635.30780000000004</v>
      </c>
      <c r="N492" s="24">
        <v>7.4362673886132802</v>
      </c>
      <c r="O492" s="24">
        <v>9.5</v>
      </c>
      <c r="P492" s="24">
        <v>6.4485981308411224</v>
      </c>
      <c r="Q492" s="24">
        <v>9.184371236200878</v>
      </c>
      <c r="R492" s="24">
        <v>5.13</v>
      </c>
      <c r="S492" s="24">
        <v>8.1399627630213374</v>
      </c>
      <c r="T492" s="21">
        <v>1</v>
      </c>
      <c r="U492" s="21" t="s">
        <v>117</v>
      </c>
      <c r="V492" s="70">
        <v>-2.9730602799657925E-2</v>
      </c>
      <c r="W492" s="70">
        <v>3.0269397200342073E-2</v>
      </c>
      <c r="X492" s="24">
        <v>0.73314777519094543</v>
      </c>
      <c r="Y492" s="24" t="s">
        <v>1482</v>
      </c>
      <c r="Z492" s="75">
        <v>3182.75</v>
      </c>
      <c r="AA492" t="s">
        <v>1414</v>
      </c>
      <c r="AB492" s="24">
        <v>8.2405745062836626</v>
      </c>
    </row>
    <row r="493" spans="1:28" x14ac:dyDescent="0.55000000000000004">
      <c r="A493" s="24" t="s">
        <v>720</v>
      </c>
      <c r="B493" s="24" t="s">
        <v>1334</v>
      </c>
      <c r="C493" s="24" t="s">
        <v>107</v>
      </c>
      <c r="D493" s="24" t="s">
        <v>72</v>
      </c>
      <c r="E493" s="24" t="s">
        <v>94</v>
      </c>
      <c r="F493" s="70">
        <v>2.6909970497258413E-4</v>
      </c>
      <c r="G493" s="24">
        <v>7.3932979999999997</v>
      </c>
      <c r="H493" s="24">
        <v>7.1637029999999999</v>
      </c>
      <c r="I493" s="24">
        <v>6.5864710000000004</v>
      </c>
      <c r="J493" s="24">
        <v>7.024648</v>
      </c>
      <c r="K493" s="24">
        <v>6.2454869999999998</v>
      </c>
      <c r="L493" s="24">
        <v>8.9823120000000003</v>
      </c>
      <c r="M493" s="24">
        <v>20.834399999999999</v>
      </c>
      <c r="N493" s="24">
        <v>1.9016178211698795</v>
      </c>
      <c r="O493" s="24">
        <v>5</v>
      </c>
      <c r="P493" s="24">
        <v>0.55555555555555547</v>
      </c>
      <c r="Q493" s="24">
        <v>8.5705835962145098</v>
      </c>
      <c r="R493" s="24">
        <v>5.73</v>
      </c>
      <c r="S493" s="24">
        <v>5.7239739009949879</v>
      </c>
      <c r="T493" s="21">
        <v>1</v>
      </c>
      <c r="U493" s="21" t="s">
        <v>141</v>
      </c>
      <c r="V493" s="70">
        <v>-2.9731116519944874E-2</v>
      </c>
      <c r="W493" s="70">
        <v>3.0268883480055124E-2</v>
      </c>
      <c r="X493" s="24">
        <v>1.2541987984015239</v>
      </c>
      <c r="Y493" s="24" t="s">
        <v>1703</v>
      </c>
      <c r="Z493" s="75">
        <v>2942.2750000000001</v>
      </c>
      <c r="AA493" t="s">
        <v>1414</v>
      </c>
      <c r="AB493" s="24">
        <v>8.5403050108932472</v>
      </c>
    </row>
    <row r="494" spans="1:28" x14ac:dyDescent="0.55000000000000004">
      <c r="A494" s="24" t="s">
        <v>693</v>
      </c>
      <c r="B494" s="24" t="s">
        <v>1037</v>
      </c>
      <c r="C494" s="24" t="s">
        <v>108</v>
      </c>
      <c r="D494" s="24" t="s">
        <v>72</v>
      </c>
      <c r="E494" s="24" t="s">
        <v>89</v>
      </c>
      <c r="F494" s="70">
        <v>2.6841602292503459E-4</v>
      </c>
      <c r="G494" s="24">
        <v>5.14222</v>
      </c>
      <c r="H494" s="24">
        <v>5.4965130000000002</v>
      </c>
      <c r="I494" s="24">
        <v>4.6384350000000003</v>
      </c>
      <c r="J494" s="24">
        <v>5.097372</v>
      </c>
      <c r="K494" s="24">
        <v>1.2246330000000001</v>
      </c>
      <c r="L494" s="24">
        <v>2.7946270000000002</v>
      </c>
      <c r="M494" s="24">
        <v>72.491799999999998</v>
      </c>
      <c r="N494" s="24">
        <v>5.5089697208139299</v>
      </c>
      <c r="O494" s="24">
        <v>8.5</v>
      </c>
      <c r="P494" s="24">
        <v>5.9459459459459456</v>
      </c>
      <c r="Q494" s="24">
        <v>1.1564851704293935</v>
      </c>
      <c r="R494" s="24">
        <v>4.8</v>
      </c>
      <c r="S494" s="24">
        <v>2.3437682768446919</v>
      </c>
      <c r="T494" s="21">
        <v>1</v>
      </c>
      <c r="U494" s="21" t="s">
        <v>141</v>
      </c>
      <c r="V494" s="70">
        <v>-2.9731199487822893E-2</v>
      </c>
      <c r="W494" s="70">
        <v>3.0268800512177105E-2</v>
      </c>
      <c r="X494" s="24">
        <v>2.2020650506367434</v>
      </c>
      <c r="Y494" s="24" t="s">
        <v>1944</v>
      </c>
      <c r="Z494" s="75">
        <v>3095.0259999999998</v>
      </c>
      <c r="AA494" t="s">
        <v>1414</v>
      </c>
      <c r="AB494" s="24">
        <v>8.0968858131487877</v>
      </c>
    </row>
    <row r="495" spans="1:28" x14ac:dyDescent="0.55000000000000004">
      <c r="A495" s="24" t="s">
        <v>707</v>
      </c>
      <c r="B495" s="24" t="s">
        <v>1160</v>
      </c>
      <c r="C495" s="24" t="s">
        <v>127</v>
      </c>
      <c r="D495" s="24" t="s">
        <v>72</v>
      </c>
      <c r="E495" s="24" t="s">
        <v>88</v>
      </c>
      <c r="F495" s="70">
        <v>2.6814580185066124E-4</v>
      </c>
      <c r="G495" s="24">
        <v>7.0714969999999999</v>
      </c>
      <c r="H495" s="24">
        <v>6.0911790000000003</v>
      </c>
      <c r="I495" s="24">
        <v>7.1583389999999998</v>
      </c>
      <c r="J495" s="24">
        <v>6.7141060000000001</v>
      </c>
      <c r="K495" s="24">
        <v>0.11723219999999999</v>
      </c>
      <c r="L495" s="24">
        <v>2.5755460000000001</v>
      </c>
      <c r="M495" s="24">
        <v>5.0499000000000001</v>
      </c>
      <c r="N495" s="24">
        <v>7.8448496315927532</v>
      </c>
      <c r="O495" s="24">
        <v>9.4</v>
      </c>
      <c r="P495" s="24">
        <v>6.5205479452054789</v>
      </c>
      <c r="Q495" s="24">
        <v>0.25186302513989822</v>
      </c>
      <c r="R495" s="24">
        <v>0</v>
      </c>
      <c r="S495" s="24">
        <v>3.6145511716675598</v>
      </c>
      <c r="T495" s="21">
        <v>1</v>
      </c>
      <c r="U495" s="21" t="s">
        <v>141</v>
      </c>
      <c r="V495" s="70">
        <v>-2.9731469708897267E-2</v>
      </c>
      <c r="W495" s="70">
        <v>3.0268530291102731E-2</v>
      </c>
      <c r="X495" s="24">
        <v>1.2768547127454564</v>
      </c>
      <c r="Y495" s="24" t="s">
        <v>1659</v>
      </c>
      <c r="Z495" s="75">
        <v>3199.23</v>
      </c>
      <c r="AA495" t="s">
        <v>1414</v>
      </c>
      <c r="AB495" s="24">
        <v>8.5763888888888893</v>
      </c>
    </row>
    <row r="496" spans="1:28" x14ac:dyDescent="0.55000000000000004">
      <c r="A496" s="24" t="s">
        <v>705</v>
      </c>
      <c r="B496" s="24" t="s">
        <v>1251</v>
      </c>
      <c r="C496" s="24" t="s">
        <v>112</v>
      </c>
      <c r="D496" s="24" t="s">
        <v>72</v>
      </c>
      <c r="E496" s="24" t="s">
        <v>97</v>
      </c>
      <c r="F496" s="70">
        <v>2.6729705685621922E-4</v>
      </c>
      <c r="G496" s="24">
        <v>5.8306579999999997</v>
      </c>
      <c r="H496" s="24">
        <v>6.8869899999999999</v>
      </c>
      <c r="I496" s="24">
        <v>5.0747790000000004</v>
      </c>
      <c r="J496" s="24">
        <v>5.930809</v>
      </c>
      <c r="K496" s="24">
        <v>6.8803289999999997</v>
      </c>
      <c r="L496" s="24">
        <v>8.8327530000000003</v>
      </c>
      <c r="M496" s="24">
        <v>10.917899999999999</v>
      </c>
      <c r="N496" s="24">
        <v>1.4018119998905139</v>
      </c>
      <c r="O496" s="24">
        <v>6</v>
      </c>
      <c r="P496" s="24">
        <v>8.3458646616541348</v>
      </c>
      <c r="Q496" s="24">
        <v>6.2342399393129799</v>
      </c>
      <c r="R496" s="24">
        <v>8.1199999999999992</v>
      </c>
      <c r="S496" s="24">
        <v>6.5445230749658743</v>
      </c>
      <c r="T496" s="21">
        <v>1</v>
      </c>
      <c r="U496" s="21" t="s">
        <v>141</v>
      </c>
      <c r="V496" s="70">
        <v>-2.973308743239585E-2</v>
      </c>
      <c r="W496" s="70">
        <v>3.0266912567604148E-2</v>
      </c>
      <c r="X496" s="24">
        <v>0.47342237915491242</v>
      </c>
      <c r="Y496" s="24" t="s">
        <v>1618</v>
      </c>
      <c r="Z496" s="75">
        <v>3175.6880000000001</v>
      </c>
      <c r="AA496" t="s">
        <v>1414</v>
      </c>
      <c r="AB496" s="24">
        <v>8.3012259194395792</v>
      </c>
    </row>
    <row r="497" spans="1:28" x14ac:dyDescent="0.55000000000000004">
      <c r="A497" s="24" t="s">
        <v>719</v>
      </c>
      <c r="B497" s="24" t="s">
        <v>959</v>
      </c>
      <c r="C497" s="24" t="s">
        <v>108</v>
      </c>
      <c r="D497" s="24" t="s">
        <v>72</v>
      </c>
      <c r="E497" s="24" t="s">
        <v>90</v>
      </c>
      <c r="F497" s="70">
        <v>2.6593681032669651E-4</v>
      </c>
      <c r="G497" s="24">
        <v>7.1645750000000001</v>
      </c>
      <c r="H497" s="24">
        <v>6.3571119999999999</v>
      </c>
      <c r="I497" s="24">
        <v>5.9058909999999996</v>
      </c>
      <c r="J497" s="24">
        <v>6.4414230000000003</v>
      </c>
      <c r="K497" s="24">
        <v>4.6394799999999998</v>
      </c>
      <c r="L497" s="24">
        <v>4.9154859999999996</v>
      </c>
      <c r="M497" s="24">
        <v>0.31291999999999998</v>
      </c>
      <c r="N497" s="24">
        <v>4.4706683992057004</v>
      </c>
      <c r="O497" s="24">
        <v>1.1000000000000001</v>
      </c>
      <c r="P497" s="24">
        <v>7.1236566799630836</v>
      </c>
      <c r="Q497" s="24">
        <v>1.0237994648641038</v>
      </c>
      <c r="R497" s="24">
        <v>4.29</v>
      </c>
      <c r="S497" s="24">
        <v>3.1271425060739948</v>
      </c>
      <c r="T497" s="21">
        <v>1</v>
      </c>
      <c r="U497" s="21" t="s">
        <v>141</v>
      </c>
      <c r="V497" s="70">
        <v>-2.9733709040948787E-2</v>
      </c>
      <c r="W497" s="70">
        <v>3.0266290959051211E-2</v>
      </c>
      <c r="X497" s="24">
        <v>0.65738164601466975</v>
      </c>
      <c r="Y497" s="24" t="s">
        <v>1942</v>
      </c>
      <c r="Z497" s="75">
        <v>2843.866</v>
      </c>
      <c r="AA497" t="s">
        <v>1414</v>
      </c>
      <c r="AB497" s="24">
        <v>8.4957264957264957</v>
      </c>
    </row>
    <row r="498" spans="1:28" x14ac:dyDescent="0.55000000000000004">
      <c r="A498" s="24" t="s">
        <v>687</v>
      </c>
      <c r="B498" s="24" t="s">
        <v>1403</v>
      </c>
      <c r="C498" s="24" t="s">
        <v>106</v>
      </c>
      <c r="D498" s="24" t="s">
        <v>72</v>
      </c>
      <c r="E498" s="24" t="s">
        <v>89</v>
      </c>
      <c r="F498" s="70">
        <v>2.6590646979914192E-4</v>
      </c>
      <c r="G498" s="24">
        <v>5.1471410000000004</v>
      </c>
      <c r="H498" s="24">
        <v>6.4972700000000003</v>
      </c>
      <c r="I498" s="24">
        <v>4.8924370000000001</v>
      </c>
      <c r="J498" s="24">
        <v>5.4757689999999997</v>
      </c>
      <c r="K498" s="24">
        <v>1.948709</v>
      </c>
      <c r="L498" s="24">
        <v>8.9483149999999991</v>
      </c>
      <c r="M498" s="24">
        <v>2.4990999999999999</v>
      </c>
      <c r="N498" s="24">
        <v>6.5787773253175992</v>
      </c>
      <c r="O498" s="24">
        <v>8.9</v>
      </c>
      <c r="P498" s="24">
        <v>7.2672672672672656</v>
      </c>
      <c r="Q498" s="24">
        <v>4.6102622841965477</v>
      </c>
      <c r="R498" s="24">
        <v>5.43</v>
      </c>
      <c r="S498" s="24">
        <v>7.2211173093734908</v>
      </c>
      <c r="T498" s="21">
        <v>1</v>
      </c>
      <c r="U498" s="21" t="s">
        <v>117</v>
      </c>
      <c r="V498" s="70">
        <v>-2.9734416319590489E-2</v>
      </c>
      <c r="W498" s="70">
        <v>3.0265583680409509E-2</v>
      </c>
      <c r="X498" s="24">
        <v>0.93825705083989397</v>
      </c>
      <c r="Y498" s="24" t="s">
        <v>1469</v>
      </c>
      <c r="Z498" s="75">
        <v>2707.1779999999999</v>
      </c>
      <c r="AA498" t="s">
        <v>1414</v>
      </c>
      <c r="AB498" s="24">
        <v>7.9930795847750868</v>
      </c>
    </row>
    <row r="499" spans="1:28" x14ac:dyDescent="0.55000000000000004">
      <c r="A499" s="24" t="s">
        <v>704</v>
      </c>
      <c r="B499" s="24" t="s">
        <v>1188</v>
      </c>
      <c r="C499" s="24" t="s">
        <v>107</v>
      </c>
      <c r="D499" s="24" t="s">
        <v>72</v>
      </c>
      <c r="E499" s="24" t="s">
        <v>99</v>
      </c>
      <c r="F499" s="70">
        <v>2.650022300187854E-4</v>
      </c>
      <c r="G499" s="24">
        <v>8.9028349999999996</v>
      </c>
      <c r="H499" s="24">
        <v>7.8387969999999996</v>
      </c>
      <c r="I499" s="24">
        <v>4.6503550000000002</v>
      </c>
      <c r="J499" s="24">
        <v>7.839531</v>
      </c>
      <c r="K499" s="24">
        <v>0.45512819999999998</v>
      </c>
      <c r="L499" s="24">
        <v>1.951092</v>
      </c>
      <c r="M499" s="24">
        <v>32.715800000000002</v>
      </c>
      <c r="N499" s="24">
        <v>5.0347624525188355</v>
      </c>
      <c r="O499" s="24">
        <v>8.5</v>
      </c>
      <c r="P499" s="24">
        <v>1.9314641744548289</v>
      </c>
      <c r="Q499" s="24">
        <v>0</v>
      </c>
      <c r="R499" s="24">
        <v>2.98</v>
      </c>
      <c r="S499" s="24">
        <v>1.6460170482367733</v>
      </c>
      <c r="T499" s="21">
        <v>1</v>
      </c>
      <c r="U499" s="21" t="s">
        <v>141</v>
      </c>
      <c r="V499" s="70">
        <v>-2.9734613280729145E-2</v>
      </c>
      <c r="W499" s="70">
        <v>3.0265386719270853E-2</v>
      </c>
      <c r="X499" s="24">
        <v>0.65927189527864294</v>
      </c>
      <c r="Y499" s="24" t="s">
        <v>1746</v>
      </c>
      <c r="Z499" s="75">
        <v>2674.85</v>
      </c>
      <c r="AA499" t="s">
        <v>1414</v>
      </c>
      <c r="AB499" s="24">
        <v>8.3123877917414717</v>
      </c>
    </row>
    <row r="500" spans="1:28" x14ac:dyDescent="0.55000000000000004">
      <c r="A500" s="24" t="s">
        <v>702</v>
      </c>
      <c r="B500" s="24" t="s">
        <v>913</v>
      </c>
      <c r="C500" s="24" t="s">
        <v>126</v>
      </c>
      <c r="D500" s="24" t="s">
        <v>72</v>
      </c>
      <c r="E500" s="24" t="s">
        <v>87</v>
      </c>
      <c r="F500" s="70">
        <v>2.640376408651524E-4</v>
      </c>
      <c r="G500" s="24">
        <v>5.0516449999999997</v>
      </c>
      <c r="H500" s="24">
        <v>5.4645970000000004</v>
      </c>
      <c r="I500" s="24">
        <v>5.0481579999999999</v>
      </c>
      <c r="J500" s="24">
        <v>5.1744849999999998</v>
      </c>
      <c r="K500" s="24">
        <v>2.3315269999999999</v>
      </c>
      <c r="L500" s="24">
        <v>8.4559739999999994</v>
      </c>
      <c r="M500" s="24">
        <v>67.165099999999995</v>
      </c>
      <c r="N500" s="24">
        <v>2.2792444513091845</v>
      </c>
      <c r="O500" s="24">
        <v>3.6</v>
      </c>
      <c r="P500" s="24">
        <v>5.98326359832636</v>
      </c>
      <c r="Q500" s="24">
        <v>7.0023426850530992</v>
      </c>
      <c r="R500" s="24">
        <v>4.13</v>
      </c>
      <c r="S500" s="24">
        <v>5.8342533674748802</v>
      </c>
      <c r="T500" s="21">
        <v>1</v>
      </c>
      <c r="U500" s="21" t="s">
        <v>141</v>
      </c>
      <c r="V500" s="70">
        <v>-2.9735577869882776E-2</v>
      </c>
      <c r="W500" s="70">
        <v>3.0264422130117222E-2</v>
      </c>
      <c r="X500" s="24">
        <v>0.59447717115139953</v>
      </c>
      <c r="Y500" s="24" t="s">
        <v>1860</v>
      </c>
      <c r="Z500" s="75">
        <v>2767.01</v>
      </c>
      <c r="AA500" t="s">
        <v>1414</v>
      </c>
      <c r="AB500" s="24">
        <v>8.6500888099467144</v>
      </c>
    </row>
    <row r="501" spans="1:28" x14ac:dyDescent="0.55000000000000004">
      <c r="A501" s="24" t="s">
        <v>712</v>
      </c>
      <c r="B501" s="24" t="s">
        <v>1390</v>
      </c>
      <c r="C501" s="24" t="s">
        <v>106</v>
      </c>
      <c r="D501" s="24" t="s">
        <v>72</v>
      </c>
      <c r="E501" s="24" t="s">
        <v>99</v>
      </c>
      <c r="F501" s="70">
        <v>2.6300969988186045E-4</v>
      </c>
      <c r="G501" s="24">
        <v>7.495673</v>
      </c>
      <c r="H501" s="24">
        <v>5.6061940000000003</v>
      </c>
      <c r="I501" s="24">
        <v>6.529979</v>
      </c>
      <c r="J501" s="24">
        <v>6.9246379999999998</v>
      </c>
      <c r="K501" s="24">
        <v>4.0347739999999996</v>
      </c>
      <c r="L501" s="24">
        <v>25.68094</v>
      </c>
      <c r="M501" s="24">
        <v>286.00639999999999</v>
      </c>
      <c r="N501" s="24">
        <v>7.0770547998777751</v>
      </c>
      <c r="O501" s="24">
        <v>8.3000000000000007</v>
      </c>
      <c r="P501" s="24">
        <v>7.7881619937694699</v>
      </c>
      <c r="Q501" s="24">
        <v>8.950376218290776</v>
      </c>
      <c r="R501" s="24">
        <v>7.04</v>
      </c>
      <c r="S501" s="24">
        <v>8.1284302673602831</v>
      </c>
      <c r="T501" s="21">
        <v>1</v>
      </c>
      <c r="U501" s="21" t="s">
        <v>117</v>
      </c>
      <c r="V501" s="70">
        <v>-2.9736605810866068E-2</v>
      </c>
      <c r="W501" s="70">
        <v>3.026339418913393E-2</v>
      </c>
      <c r="X501" s="24">
        <v>0.95495156899669764</v>
      </c>
      <c r="Y501" s="24" t="s">
        <v>1472</v>
      </c>
      <c r="Z501" s="75">
        <v>2982.7570000000001</v>
      </c>
      <c r="AA501" t="s">
        <v>1414</v>
      </c>
      <c r="AB501" s="24">
        <v>8.4560143626570916</v>
      </c>
    </row>
    <row r="502" spans="1:28" x14ac:dyDescent="0.55000000000000004">
      <c r="A502" s="24" t="s">
        <v>710</v>
      </c>
      <c r="B502" s="24" t="s">
        <v>1349</v>
      </c>
      <c r="C502" s="24" t="s">
        <v>127</v>
      </c>
      <c r="D502" s="24" t="s">
        <v>72</v>
      </c>
      <c r="E502" s="24" t="s">
        <v>87</v>
      </c>
      <c r="F502" s="70">
        <v>2.6186581342507574E-4</v>
      </c>
      <c r="G502" s="24">
        <v>5.3062829999999996</v>
      </c>
      <c r="H502" s="24">
        <v>4.568149</v>
      </c>
      <c r="I502" s="24">
        <v>6.997865</v>
      </c>
      <c r="J502" s="24">
        <v>5.5923170000000004</v>
      </c>
      <c r="K502" s="24">
        <v>3.0995689999999998</v>
      </c>
      <c r="L502" s="24">
        <v>5.9840350000000004</v>
      </c>
      <c r="M502" s="24">
        <v>4.3426999999999998</v>
      </c>
      <c r="N502" s="24">
        <v>6.1687103191892643</v>
      </c>
      <c r="O502" s="24">
        <v>6.5</v>
      </c>
      <c r="P502" s="24">
        <v>7.8661087866108792</v>
      </c>
      <c r="Q502" s="24">
        <v>2.6033359750620804</v>
      </c>
      <c r="R502" s="24">
        <v>5.74</v>
      </c>
      <c r="S502" s="24">
        <v>5.279842216003785</v>
      </c>
      <c r="T502" s="21">
        <v>1</v>
      </c>
      <c r="U502" s="21" t="s">
        <v>141</v>
      </c>
      <c r="V502" s="70">
        <v>-2.9738518675826994E-2</v>
      </c>
      <c r="W502" s="70">
        <v>3.0261481324173004E-2</v>
      </c>
      <c r="X502" s="24">
        <v>0.65048739603883854</v>
      </c>
      <c r="Y502" s="24" t="s">
        <v>1655</v>
      </c>
      <c r="Z502" s="75">
        <v>3776.8130000000001</v>
      </c>
      <c r="AA502" t="s">
        <v>1414</v>
      </c>
      <c r="AB502" s="24">
        <v>8.7921847246891645</v>
      </c>
    </row>
    <row r="503" spans="1:28" x14ac:dyDescent="0.55000000000000004">
      <c r="A503" s="24" t="s">
        <v>701</v>
      </c>
      <c r="B503" s="24" t="s">
        <v>1308</v>
      </c>
      <c r="C503" s="24" t="s">
        <v>125</v>
      </c>
      <c r="D503" s="24" t="s">
        <v>72</v>
      </c>
      <c r="E503" s="24" t="s">
        <v>89</v>
      </c>
      <c r="F503" s="70">
        <v>2.6150802070622913E-4</v>
      </c>
      <c r="G503" s="24">
        <v>7.5370189999999999</v>
      </c>
      <c r="H503" s="24">
        <v>5.7077239999999998</v>
      </c>
      <c r="I503" s="24">
        <v>7.384169</v>
      </c>
      <c r="J503" s="24">
        <v>6.9423760000000003</v>
      </c>
      <c r="K503" s="24">
        <v>7.4054820000000001</v>
      </c>
      <c r="L503" s="24">
        <v>9.2599540000000005</v>
      </c>
      <c r="M503" s="24">
        <v>48.833799999999997</v>
      </c>
      <c r="N503" s="24">
        <v>3.4104169695086677</v>
      </c>
      <c r="O503" s="24">
        <v>1.8</v>
      </c>
      <c r="P503" s="24">
        <v>6.1261261261261248</v>
      </c>
      <c r="Q503" s="24">
        <v>8.2934926958831348</v>
      </c>
      <c r="R503" s="24">
        <v>8.0700009999999995</v>
      </c>
      <c r="S503" s="24">
        <v>6.816283788195225</v>
      </c>
      <c r="T503" s="21">
        <v>1</v>
      </c>
      <c r="U503" s="21" t="s">
        <v>141</v>
      </c>
      <c r="V503" s="70">
        <v>-2.9738876468545838E-2</v>
      </c>
      <c r="W503" s="70">
        <v>3.0261123531454159E-2</v>
      </c>
      <c r="X503" s="24">
        <v>1.1227487760873494</v>
      </c>
      <c r="Y503" s="24" t="s">
        <v>1919</v>
      </c>
      <c r="Z503" s="75">
        <v>2671.4189999999999</v>
      </c>
      <c r="AA503" t="s">
        <v>1414</v>
      </c>
      <c r="AB503" s="24">
        <v>8.235294117647058</v>
      </c>
    </row>
    <row r="504" spans="1:28" x14ac:dyDescent="0.55000000000000004">
      <c r="A504" s="24" t="s">
        <v>717</v>
      </c>
      <c r="B504" s="24" t="s">
        <v>1400</v>
      </c>
      <c r="C504" s="24" t="s">
        <v>106</v>
      </c>
      <c r="D504" s="24" t="s">
        <v>72</v>
      </c>
      <c r="E504" s="24" t="s">
        <v>89</v>
      </c>
      <c r="F504" s="70">
        <v>2.6124320405334337E-4</v>
      </c>
      <c r="G504" s="24">
        <v>7.4914389999999997</v>
      </c>
      <c r="H504" s="24">
        <v>5.5499520000000002</v>
      </c>
      <c r="I504" s="24">
        <v>6.9272499999999999</v>
      </c>
      <c r="J504" s="24">
        <v>6.7397359999999997</v>
      </c>
      <c r="K504" s="24">
        <v>2.957068</v>
      </c>
      <c r="L504" s="24">
        <v>9.5451329999999999</v>
      </c>
      <c r="M504" s="24">
        <v>38.642299999999999</v>
      </c>
      <c r="N504" s="24">
        <v>4.6444782950301136</v>
      </c>
      <c r="O504" s="24">
        <v>8.1999999999999993</v>
      </c>
      <c r="P504" s="24">
        <v>4.9849849849849832</v>
      </c>
      <c r="Q504" s="24">
        <v>6.5139442231075702</v>
      </c>
      <c r="R504" s="24">
        <v>6.55</v>
      </c>
      <c r="S504" s="24">
        <v>6.8515039643071995</v>
      </c>
      <c r="T504" s="21">
        <v>1</v>
      </c>
      <c r="U504" s="21" t="s">
        <v>141</v>
      </c>
      <c r="V504" s="70">
        <v>-2.9739141285198726E-2</v>
      </c>
      <c r="W504" s="70">
        <v>3.0260858714801272E-2</v>
      </c>
      <c r="X504" s="24">
        <v>0.83066259751776916</v>
      </c>
      <c r="Y504" s="24" t="s">
        <v>1829</v>
      </c>
      <c r="Z504" s="75">
        <v>2730.7840000000001</v>
      </c>
      <c r="AA504" t="s">
        <v>1414</v>
      </c>
      <c r="AB504" s="24">
        <v>8.5121107266435985</v>
      </c>
    </row>
    <row r="505" spans="1:28" x14ac:dyDescent="0.55000000000000004">
      <c r="A505" s="24" t="s">
        <v>2017</v>
      </c>
      <c r="B505" s="24" t="s">
        <v>2018</v>
      </c>
      <c r="C505" s="24" t="s">
        <v>109</v>
      </c>
      <c r="D505" s="24" t="s">
        <v>72</v>
      </c>
      <c r="E505" s="24" t="s">
        <v>86</v>
      </c>
      <c r="F505" s="70">
        <v>2.5873665338383317E-4</v>
      </c>
      <c r="G505" s="24">
        <v>1.731303</v>
      </c>
      <c r="H505" s="24">
        <v>0.74348610000000004</v>
      </c>
      <c r="I505" s="24">
        <v>3.9305189999999999</v>
      </c>
      <c r="J505" s="24">
        <v>2.2158630000000001</v>
      </c>
      <c r="K505" s="24">
        <v>0.80792679999999995</v>
      </c>
      <c r="L505" s="24">
        <v>2.7620640000000001</v>
      </c>
      <c r="M505" s="24">
        <v>27.4998</v>
      </c>
      <c r="N505" s="24">
        <v>2.4266728884818005</v>
      </c>
      <c r="O505" s="24">
        <v>9.9</v>
      </c>
      <c r="P505" s="24">
        <v>2.0967744190080024</v>
      </c>
      <c r="Q505" s="24">
        <v>1.7814392339107168</v>
      </c>
      <c r="R505" s="24">
        <v>0</v>
      </c>
      <c r="S505" s="24" t="e">
        <v>#N/A</v>
      </c>
      <c r="T505" s="21">
        <v>1</v>
      </c>
      <c r="U505" s="21" t="s">
        <v>141</v>
      </c>
      <c r="V505" s="70">
        <v>-2.9741216082640513E-2</v>
      </c>
      <c r="W505" s="70">
        <v>3.0258783917359484E-2</v>
      </c>
      <c r="X505" s="24">
        <v>-3.1423454576460811E-3</v>
      </c>
      <c r="Y505" s="24" t="s">
        <v>2019</v>
      </c>
      <c r="Z505" s="75">
        <v>0</v>
      </c>
      <c r="AA505" t="s">
        <v>1414</v>
      </c>
      <c r="AB505" s="24">
        <v>0</v>
      </c>
    </row>
    <row r="506" spans="1:28" x14ac:dyDescent="0.55000000000000004">
      <c r="A506" s="24" t="s">
        <v>709</v>
      </c>
      <c r="B506" s="24" t="s">
        <v>955</v>
      </c>
      <c r="C506" s="24" t="s">
        <v>127</v>
      </c>
      <c r="D506" s="24" t="s">
        <v>72</v>
      </c>
      <c r="E506" s="24" t="s">
        <v>97</v>
      </c>
      <c r="F506" s="70">
        <v>2.5839942810741424E-4</v>
      </c>
      <c r="G506" s="24">
        <v>5.6035209999999998</v>
      </c>
      <c r="H506" s="24">
        <v>4.5096759999999998</v>
      </c>
      <c r="I506" s="24">
        <v>6.8177649999999996</v>
      </c>
      <c r="J506" s="24">
        <v>5.6436539999999997</v>
      </c>
      <c r="K506" s="24">
        <v>3.8814689999999999E-2</v>
      </c>
      <c r="L506" s="24">
        <v>4.5547019999999998</v>
      </c>
      <c r="M506" s="24">
        <v>2.6093999999999999</v>
      </c>
      <c r="N506" s="24">
        <v>3.2658596213982101</v>
      </c>
      <c r="O506" s="24">
        <v>3.1</v>
      </c>
      <c r="P506" s="24">
        <v>3.9849624060150375</v>
      </c>
      <c r="Q506" s="24">
        <v>3.3716688915453554</v>
      </c>
      <c r="R506" s="24">
        <v>0</v>
      </c>
      <c r="S506" s="24">
        <v>2.8521586280646094</v>
      </c>
      <c r="T506" s="21">
        <v>1</v>
      </c>
      <c r="U506" s="21" t="s">
        <v>141</v>
      </c>
      <c r="V506" s="70">
        <v>-2.9741647835868235E-2</v>
      </c>
      <c r="W506" s="70">
        <v>3.0258352164131763E-2</v>
      </c>
      <c r="X506" s="24">
        <v>1.2857302367941283</v>
      </c>
      <c r="Y506" s="24" t="s">
        <v>1645</v>
      </c>
      <c r="Z506" s="75">
        <v>2925.0819999999999</v>
      </c>
      <c r="AA506" t="s">
        <v>1414</v>
      </c>
      <c r="AB506" s="24">
        <v>8.3712784588441345</v>
      </c>
    </row>
    <row r="507" spans="1:28" x14ac:dyDescent="0.55000000000000004">
      <c r="A507" s="24" t="s">
        <v>730</v>
      </c>
      <c r="B507" s="24" t="s">
        <v>1226</v>
      </c>
      <c r="C507" s="24" t="s">
        <v>113</v>
      </c>
      <c r="D507" s="24" t="s">
        <v>72</v>
      </c>
      <c r="E507" s="24" t="s">
        <v>99</v>
      </c>
      <c r="F507" s="70">
        <v>2.5773278270874758E-4</v>
      </c>
      <c r="G507" s="24">
        <v>7.9884849999999998</v>
      </c>
      <c r="H507" s="24">
        <v>7.3562289999999999</v>
      </c>
      <c r="I507" s="24">
        <v>7.6134259999999996</v>
      </c>
      <c r="J507" s="24">
        <v>7.7870220000000003</v>
      </c>
      <c r="K507" s="24">
        <v>7.0304089999999997</v>
      </c>
      <c r="L507" s="24">
        <v>11.338469999999999</v>
      </c>
      <c r="M507" s="24">
        <v>78.1892</v>
      </c>
      <c r="N507" s="24">
        <v>6.9206255016656426</v>
      </c>
      <c r="O507" s="24">
        <v>3.3</v>
      </c>
      <c r="P507" s="24">
        <v>5.8566978193146397</v>
      </c>
      <c r="Q507" s="24">
        <v>5.2066523171158057</v>
      </c>
      <c r="R507" s="24">
        <v>7.66</v>
      </c>
      <c r="S507" s="24">
        <v>7.6915185507961361</v>
      </c>
      <c r="T507" s="21">
        <v>1</v>
      </c>
      <c r="U507" s="21" t="s">
        <v>117</v>
      </c>
      <c r="V507" s="70">
        <v>-2.9741882728039182E-2</v>
      </c>
      <c r="W507" s="70">
        <v>3.0258117271960816E-2</v>
      </c>
      <c r="X507" s="24">
        <v>0.67205160684673704</v>
      </c>
      <c r="Y507" s="24" t="s">
        <v>1486</v>
      </c>
      <c r="Z507" s="75">
        <v>2663.07</v>
      </c>
      <c r="AA507" t="s">
        <v>1414</v>
      </c>
      <c r="AB507" s="24">
        <v>8.7791741472172351</v>
      </c>
    </row>
    <row r="508" spans="1:28" x14ac:dyDescent="0.55000000000000004">
      <c r="A508" s="24" t="s">
        <v>741</v>
      </c>
      <c r="B508" s="24" t="s">
        <v>1178</v>
      </c>
      <c r="C508" s="24" t="s">
        <v>112</v>
      </c>
      <c r="D508" s="24" t="s">
        <v>72</v>
      </c>
      <c r="E508" s="24" t="s">
        <v>94</v>
      </c>
      <c r="F508" s="70">
        <v>2.5719439162231686E-4</v>
      </c>
      <c r="G508" s="24">
        <v>6.0832230000000003</v>
      </c>
      <c r="H508" s="24">
        <v>7.1292499999999999</v>
      </c>
      <c r="I508" s="24">
        <v>6.408785</v>
      </c>
      <c r="J508" s="24">
        <v>6.4226530000000004</v>
      </c>
      <c r="K508" s="24">
        <v>2.6792820000000002</v>
      </c>
      <c r="L508" s="24">
        <v>7.253476</v>
      </c>
      <c r="M508" s="24">
        <v>21.7563</v>
      </c>
      <c r="N508" s="24">
        <v>0</v>
      </c>
      <c r="O508" s="24">
        <v>7.6</v>
      </c>
      <c r="P508" s="24">
        <v>2.1875000000000004</v>
      </c>
      <c r="Q508" s="24">
        <v>4.4855191903259728</v>
      </c>
      <c r="R508" s="24">
        <v>0</v>
      </c>
      <c r="S508" s="24">
        <v>4.8133927828212162</v>
      </c>
      <c r="T508" s="21">
        <v>1</v>
      </c>
      <c r="U508" s="21" t="s">
        <v>141</v>
      </c>
      <c r="V508" s="70">
        <v>-2.9743148063240403E-2</v>
      </c>
      <c r="W508" s="70">
        <v>3.0256851936759595E-2</v>
      </c>
      <c r="X508" s="24">
        <v>1.2618053312148403</v>
      </c>
      <c r="Y508" s="24" t="s">
        <v>1611</v>
      </c>
      <c r="Z508" s="75">
        <v>2512.527</v>
      </c>
      <c r="AA508" t="s">
        <v>1414</v>
      </c>
      <c r="AB508" s="24">
        <v>8.9978213507625266</v>
      </c>
    </row>
    <row r="509" spans="1:28" x14ac:dyDescent="0.55000000000000004">
      <c r="A509" s="24" t="s">
        <v>715</v>
      </c>
      <c r="B509" s="24" t="s">
        <v>899</v>
      </c>
      <c r="C509" s="24" t="s">
        <v>107</v>
      </c>
      <c r="D509" s="24" t="s">
        <v>72</v>
      </c>
      <c r="E509" s="24" t="s">
        <v>85</v>
      </c>
      <c r="F509" s="70">
        <v>2.5646744750752547E-4</v>
      </c>
      <c r="G509" s="24">
        <v>6.5085620000000004</v>
      </c>
      <c r="H509" s="24">
        <v>3.6304970000000001</v>
      </c>
      <c r="I509" s="24">
        <v>7.1208479999999996</v>
      </c>
      <c r="J509" s="24">
        <v>6.1166340000000003</v>
      </c>
      <c r="K509" s="24">
        <v>2.8798140000000001</v>
      </c>
      <c r="L509" s="24">
        <v>9.9520900000000001</v>
      </c>
      <c r="M509" s="24">
        <v>2.9279999999999999</v>
      </c>
      <c r="N509" s="24">
        <v>5.3771344120538398</v>
      </c>
      <c r="O509" s="24">
        <v>5.4</v>
      </c>
      <c r="P509" s="24">
        <v>7.6876876876876867</v>
      </c>
      <c r="Q509" s="24">
        <v>7.2572675962815412</v>
      </c>
      <c r="R509" s="24">
        <v>6.62</v>
      </c>
      <c r="S509" s="24">
        <v>7.383458113365613</v>
      </c>
      <c r="T509" s="21">
        <v>1</v>
      </c>
      <c r="U509" s="21" t="s">
        <v>141</v>
      </c>
      <c r="V509" s="70">
        <v>-2.9743190097629751E-2</v>
      </c>
      <c r="W509" s="70">
        <v>3.0256809902370247E-2</v>
      </c>
      <c r="X509" s="24">
        <v>1.4319801749881487</v>
      </c>
      <c r="Y509" s="24" t="s">
        <v>1496</v>
      </c>
      <c r="Z509" s="75">
        <v>2972.4409999999998</v>
      </c>
      <c r="AA509" t="s">
        <v>1414</v>
      </c>
      <c r="AB509" s="24">
        <v>8.4775086505190309</v>
      </c>
    </row>
    <row r="510" spans="1:28" x14ac:dyDescent="0.55000000000000004">
      <c r="A510" s="24" t="s">
        <v>2033</v>
      </c>
      <c r="B510" s="24" t="s">
        <v>2034</v>
      </c>
      <c r="C510" s="24" t="s">
        <v>125</v>
      </c>
      <c r="D510" s="24" t="s">
        <v>72</v>
      </c>
      <c r="E510" s="24" t="s">
        <v>87</v>
      </c>
      <c r="F510" s="70">
        <v>2.5439254998385602E-4</v>
      </c>
      <c r="G510" s="24">
        <v>0</v>
      </c>
      <c r="H510" s="24">
        <v>0</v>
      </c>
      <c r="I510" s="24">
        <v>0</v>
      </c>
      <c r="J510" s="24">
        <v>0</v>
      </c>
      <c r="K510" s="24">
        <v>1.0654330000000001</v>
      </c>
      <c r="L510" s="24" t="e">
        <v>#N/A</v>
      </c>
      <c r="M510" s="24" t="e">
        <v>#N/A</v>
      </c>
      <c r="N510" s="24">
        <v>10</v>
      </c>
      <c r="O510" s="24">
        <v>7.9</v>
      </c>
      <c r="P510" s="24" t="e">
        <v>#N/A</v>
      </c>
      <c r="Q510" s="24">
        <v>0.508797062397633</v>
      </c>
      <c r="R510" s="24">
        <v>0</v>
      </c>
      <c r="S510" s="24" t="e">
        <v>#N/A</v>
      </c>
      <c r="T510" s="21">
        <v>1</v>
      </c>
      <c r="U510" s="21" t="s">
        <v>141</v>
      </c>
      <c r="V510" s="70">
        <v>-2.9745222960764074E-2</v>
      </c>
      <c r="W510" s="70">
        <v>3.0254777039235924E-2</v>
      </c>
      <c r="X510" s="24">
        <v>3.7112576949632783E-2</v>
      </c>
      <c r="Y510" s="24" t="s">
        <v>2035</v>
      </c>
      <c r="Z510" s="75">
        <v>0</v>
      </c>
      <c r="AA510" t="s">
        <v>1414</v>
      </c>
      <c r="AB510" s="24">
        <v>0</v>
      </c>
    </row>
    <row r="511" spans="1:28" x14ac:dyDescent="0.55000000000000004">
      <c r="A511" s="24" t="s">
        <v>713</v>
      </c>
      <c r="B511" s="24" t="s">
        <v>1396</v>
      </c>
      <c r="C511" s="24" t="s">
        <v>105</v>
      </c>
      <c r="D511" s="24" t="s">
        <v>72</v>
      </c>
      <c r="E511" s="24" t="s">
        <v>94</v>
      </c>
      <c r="F511" s="70">
        <v>2.5381828015987284E-4</v>
      </c>
      <c r="G511" s="24" t="e">
        <v>#N/A</v>
      </c>
      <c r="H511" s="24" t="e">
        <v>#N/A</v>
      </c>
      <c r="I511" s="24" t="e">
        <v>#N/A</v>
      </c>
      <c r="J511" s="24" t="e">
        <v>#N/A</v>
      </c>
      <c r="K511" s="24">
        <v>0.43197760000000002</v>
      </c>
      <c r="L511" s="24">
        <v>2.3386589999999998</v>
      </c>
      <c r="M511" s="24" t="e">
        <v>#N/A</v>
      </c>
      <c r="N511" s="24">
        <v>9.8646424473187508</v>
      </c>
      <c r="O511" s="24">
        <v>9.3000000000000007</v>
      </c>
      <c r="P511" s="24">
        <v>7.5347222222222241</v>
      </c>
      <c r="Q511" s="24">
        <v>0</v>
      </c>
      <c r="R511" s="24">
        <v>5.35</v>
      </c>
      <c r="S511" s="24">
        <v>3.385365896466058</v>
      </c>
      <c r="T511" s="21">
        <v>1</v>
      </c>
      <c r="U511" s="21" t="s">
        <v>141</v>
      </c>
      <c r="V511" s="70">
        <v>-2.9745797230588056E-2</v>
      </c>
      <c r="W511" s="70">
        <v>3.0254202769411941E-2</v>
      </c>
      <c r="X511" s="24">
        <v>1.1617143592360168</v>
      </c>
      <c r="Y511" s="24" t="s">
        <v>1998</v>
      </c>
      <c r="Z511" s="75">
        <v>2629.6660000000002</v>
      </c>
      <c r="AA511" t="s">
        <v>1414</v>
      </c>
      <c r="AB511" s="24">
        <v>8.3877995642701535</v>
      </c>
    </row>
    <row r="512" spans="1:28" x14ac:dyDescent="0.55000000000000004">
      <c r="A512" s="24" t="s">
        <v>737</v>
      </c>
      <c r="B512" s="24" t="s">
        <v>971</v>
      </c>
      <c r="C512" s="24" t="s">
        <v>107</v>
      </c>
      <c r="D512" s="24" t="s">
        <v>72</v>
      </c>
      <c r="E512" s="24" t="s">
        <v>96</v>
      </c>
      <c r="F512" s="70">
        <v>2.5350482371360052E-4</v>
      </c>
      <c r="G512" s="24">
        <v>8.4869970000000006</v>
      </c>
      <c r="H512" s="24">
        <v>5.8930930000000004</v>
      </c>
      <c r="I512" s="24">
        <v>4.4775780000000003</v>
      </c>
      <c r="J512" s="24">
        <v>6.2858890000000001</v>
      </c>
      <c r="K512" s="24">
        <v>2.724815</v>
      </c>
      <c r="L512" s="24">
        <v>8.9911110000000001</v>
      </c>
      <c r="M512" s="24">
        <v>2.9056999999999999</v>
      </c>
      <c r="N512" s="24">
        <v>7.7295918835901816</v>
      </c>
      <c r="O512" s="24">
        <v>1.3</v>
      </c>
      <c r="P512" s="24">
        <v>5.7013574660633495</v>
      </c>
      <c r="Q512" s="24">
        <v>6.7061484729115843</v>
      </c>
      <c r="R512" s="24">
        <v>6.7100010000000001</v>
      </c>
      <c r="S512" s="24">
        <v>7.5209842274967436</v>
      </c>
      <c r="T512" s="21">
        <v>1</v>
      </c>
      <c r="U512" s="21" t="s">
        <v>141</v>
      </c>
      <c r="V512" s="70">
        <v>-2.9746110687034328E-2</v>
      </c>
      <c r="W512" s="70">
        <v>3.025388931296567E-2</v>
      </c>
      <c r="X512" s="24">
        <v>1.7448279636835695</v>
      </c>
      <c r="Y512" s="24" t="s">
        <v>1448</v>
      </c>
      <c r="Z512" s="75">
        <v>2678.91</v>
      </c>
      <c r="AA512" t="s">
        <v>1414</v>
      </c>
      <c r="AB512" s="24">
        <v>9.0641247833622192</v>
      </c>
    </row>
    <row r="513" spans="1:28" x14ac:dyDescent="0.55000000000000004">
      <c r="A513" s="24" t="s">
        <v>694</v>
      </c>
      <c r="B513" s="24" t="s">
        <v>961</v>
      </c>
      <c r="C513" s="24" t="s">
        <v>1582</v>
      </c>
      <c r="D513" s="24" t="s">
        <v>72</v>
      </c>
      <c r="E513" s="24" t="s">
        <v>89</v>
      </c>
      <c r="F513" s="70">
        <v>2.5264331889574676E-4</v>
      </c>
      <c r="G513" s="24" t="e">
        <v>#N/A</v>
      </c>
      <c r="H513" s="24" t="e">
        <v>#N/A</v>
      </c>
      <c r="I513" s="24" t="e">
        <v>#N/A</v>
      </c>
      <c r="J513" s="24" t="e">
        <v>#N/A</v>
      </c>
      <c r="K513" s="24">
        <v>10.884309999999999</v>
      </c>
      <c r="L513" s="24">
        <v>14.702070000000001</v>
      </c>
      <c r="M513" s="24" t="e">
        <v>#N/A</v>
      </c>
      <c r="N513" s="24">
        <v>5.1329161386247613</v>
      </c>
      <c r="O513" s="24">
        <v>3.6</v>
      </c>
      <c r="P513" s="24">
        <v>7.1771771771771755</v>
      </c>
      <c r="Q513" s="24">
        <v>5.9308145196989823</v>
      </c>
      <c r="R513" s="24">
        <v>9.15</v>
      </c>
      <c r="S513" s="24">
        <v>7.9584771692929106</v>
      </c>
      <c r="T513" s="21">
        <v>1</v>
      </c>
      <c r="U513" s="21" t="s">
        <v>117</v>
      </c>
      <c r="V513" s="70">
        <v>-2.9746972191852183E-2</v>
      </c>
      <c r="W513" s="70">
        <v>3.0253027808147814E-2</v>
      </c>
      <c r="X513" s="24">
        <v>0.8626095669602849</v>
      </c>
      <c r="Y513" s="24" t="s">
        <v>1583</v>
      </c>
      <c r="Z513" s="75">
        <v>0</v>
      </c>
      <c r="AA513" t="s">
        <v>1414</v>
      </c>
      <c r="AB513" s="24">
        <v>8.1141868512110733</v>
      </c>
    </row>
    <row r="514" spans="1:28" x14ac:dyDescent="0.55000000000000004">
      <c r="A514" s="24" t="s">
        <v>729</v>
      </c>
      <c r="B514" s="24" t="s">
        <v>1051</v>
      </c>
      <c r="C514" s="24" t="s">
        <v>106</v>
      </c>
      <c r="D514" s="24" t="s">
        <v>72</v>
      </c>
      <c r="E514" s="24" t="s">
        <v>94</v>
      </c>
      <c r="F514" s="70">
        <v>2.5141779347459813E-4</v>
      </c>
      <c r="G514" s="24">
        <v>8.3990290000000005</v>
      </c>
      <c r="H514" s="24">
        <v>7.5885059999999998</v>
      </c>
      <c r="I514" s="24">
        <v>6.4778900000000004</v>
      </c>
      <c r="J514" s="24">
        <v>7.4684689999999998</v>
      </c>
      <c r="K514" s="24">
        <v>3.4278369999999998</v>
      </c>
      <c r="L514" s="24">
        <v>4.6164949999999996</v>
      </c>
      <c r="M514" s="24">
        <v>17.936499999999999</v>
      </c>
      <c r="N514" s="24">
        <v>2.6048202446233244</v>
      </c>
      <c r="O514" s="24">
        <v>7.1</v>
      </c>
      <c r="P514" s="24">
        <v>2.1180555555555554</v>
      </c>
      <c r="Q514" s="24">
        <v>3.0829390115667716</v>
      </c>
      <c r="R514" s="24">
        <v>5.63</v>
      </c>
      <c r="S514" s="24">
        <v>3.5069466167193806</v>
      </c>
      <c r="T514" s="21">
        <v>1</v>
      </c>
      <c r="U514" s="21" t="s">
        <v>141</v>
      </c>
      <c r="V514" s="70">
        <v>-2.9748357525226803E-2</v>
      </c>
      <c r="W514" s="70">
        <v>3.0251642474773195E-2</v>
      </c>
      <c r="X514" s="24">
        <v>1.3609618105876209</v>
      </c>
      <c r="Y514" s="24" t="s">
        <v>1769</v>
      </c>
      <c r="Z514" s="75">
        <v>3233.5410000000002</v>
      </c>
      <c r="AA514" t="s">
        <v>1414</v>
      </c>
      <c r="AB514" s="24">
        <v>8.7363834422657956</v>
      </c>
    </row>
    <row r="515" spans="1:28" x14ac:dyDescent="0.55000000000000004">
      <c r="A515" s="24" t="s">
        <v>2023</v>
      </c>
      <c r="B515" s="24" t="s">
        <v>2024</v>
      </c>
      <c r="C515" s="24" t="s">
        <v>111</v>
      </c>
      <c r="D515" s="24" t="s">
        <v>72</v>
      </c>
      <c r="E515" s="24" t="s">
        <v>93</v>
      </c>
      <c r="F515" s="70">
        <v>2.4965373814997611E-4</v>
      </c>
      <c r="G515" s="24" t="e">
        <v>#N/A</v>
      </c>
      <c r="H515" s="24" t="e">
        <v>#N/A</v>
      </c>
      <c r="I515" s="24" t="e">
        <v>#N/A</v>
      </c>
      <c r="J515" s="24" t="e">
        <v>#N/A</v>
      </c>
      <c r="K515" s="24">
        <v>1.484521</v>
      </c>
      <c r="L515" s="24" t="e">
        <v>#N/A</v>
      </c>
      <c r="M515" s="24" t="e">
        <v>#N/A</v>
      </c>
      <c r="N515" s="24">
        <v>8.7750626719916962</v>
      </c>
      <c r="O515" s="24">
        <v>2</v>
      </c>
      <c r="P515" s="24">
        <v>7.2049689440993792</v>
      </c>
      <c r="Q515" s="24">
        <v>2.2639900046174319</v>
      </c>
      <c r="R515" s="24">
        <v>0</v>
      </c>
      <c r="S515" s="24" t="e">
        <v>#N/A</v>
      </c>
      <c r="T515" s="21">
        <v>1</v>
      </c>
      <c r="U515" s="21" t="s">
        <v>141</v>
      </c>
      <c r="V515" s="70">
        <v>-2.9750012779430159E-2</v>
      </c>
      <c r="W515" s="70">
        <v>3.0249987220569839E-2</v>
      </c>
      <c r="X515" s="24">
        <v>1.9612836854971404E-2</v>
      </c>
      <c r="Y515" s="24" t="s">
        <v>2025</v>
      </c>
      <c r="Z515" s="75">
        <v>0</v>
      </c>
      <c r="AA515" t="s">
        <v>1414</v>
      </c>
      <c r="AB515" s="24">
        <v>0</v>
      </c>
    </row>
    <row r="516" spans="1:28" x14ac:dyDescent="0.55000000000000004">
      <c r="A516" s="24" t="s">
        <v>757</v>
      </c>
      <c r="B516" s="24" t="s">
        <v>1113</v>
      </c>
      <c r="C516" s="24" t="s">
        <v>112</v>
      </c>
      <c r="D516" s="24" t="s">
        <v>72</v>
      </c>
      <c r="E516" s="24" t="s">
        <v>84</v>
      </c>
      <c r="F516" s="70">
        <v>2.4960273131777075E-4</v>
      </c>
      <c r="G516" s="24">
        <v>6.4622609999999998</v>
      </c>
      <c r="H516" s="24">
        <v>5.4044639999999999</v>
      </c>
      <c r="I516" s="24">
        <v>4.4246239999999997</v>
      </c>
      <c r="J516" s="24">
        <v>5.4304490000000003</v>
      </c>
      <c r="K516" s="24">
        <v>2.6574689999999999</v>
      </c>
      <c r="L516" s="24">
        <v>5.7212839999999998</v>
      </c>
      <c r="M516" s="24">
        <v>28.3475</v>
      </c>
      <c r="N516" s="24">
        <v>6.9668911403501399</v>
      </c>
      <c r="O516" s="24">
        <v>6.8</v>
      </c>
      <c r="P516" s="24">
        <v>9.1641791044776113</v>
      </c>
      <c r="Q516" s="24">
        <v>3.7821626029540605</v>
      </c>
      <c r="R516" s="24">
        <v>4.9400000000000004</v>
      </c>
      <c r="S516" s="24">
        <v>5.809540229592951</v>
      </c>
      <c r="T516" s="21">
        <v>1</v>
      </c>
      <c r="U516" s="21" t="s">
        <v>141</v>
      </c>
      <c r="V516" s="70">
        <v>-2.9750562629275567E-2</v>
      </c>
      <c r="W516" s="70">
        <v>3.0249437370724431E-2</v>
      </c>
      <c r="X516" s="24">
        <v>0.85436863145312425</v>
      </c>
      <c r="Y516" s="24" t="s">
        <v>1625</v>
      </c>
      <c r="Z516" s="75">
        <v>2854.49</v>
      </c>
      <c r="AA516" t="s">
        <v>1414</v>
      </c>
      <c r="AB516" s="24">
        <v>9.1666666666666661</v>
      </c>
    </row>
    <row r="517" spans="1:28" x14ac:dyDescent="0.55000000000000004">
      <c r="A517" s="24" t="s">
        <v>728</v>
      </c>
      <c r="B517" s="24" t="s">
        <v>1242</v>
      </c>
      <c r="C517" s="24" t="s">
        <v>177</v>
      </c>
      <c r="D517" s="24" t="s">
        <v>72</v>
      </c>
      <c r="E517" s="24" t="s">
        <v>84</v>
      </c>
      <c r="F517" s="70">
        <v>2.4880908201414879E-4</v>
      </c>
      <c r="G517" s="24">
        <v>6.9420539999999997</v>
      </c>
      <c r="H517" s="24">
        <v>6.8813019999999998</v>
      </c>
      <c r="I517" s="24">
        <v>6.3589779999999996</v>
      </c>
      <c r="J517" s="24">
        <v>6.7274450000000003</v>
      </c>
      <c r="K517" s="24">
        <v>3.1999719999999998</v>
      </c>
      <c r="L517" s="24">
        <v>10.84332</v>
      </c>
      <c r="M517" s="24">
        <v>361.63929999999999</v>
      </c>
      <c r="N517" s="24">
        <v>6.4779855495926588</v>
      </c>
      <c r="O517" s="24">
        <v>6</v>
      </c>
      <c r="P517" s="24">
        <v>7.3731343283582085</v>
      </c>
      <c r="Q517" s="24">
        <v>5.1424360697685723</v>
      </c>
      <c r="R517" s="24">
        <v>6.09</v>
      </c>
      <c r="S517" s="24">
        <v>7.3597539135892598</v>
      </c>
      <c r="T517" s="21">
        <v>1</v>
      </c>
      <c r="U517" s="21" t="s">
        <v>117</v>
      </c>
      <c r="V517" s="70">
        <v>-2.9750806428733782E-2</v>
      </c>
      <c r="W517" s="70">
        <v>3.0249193571266215E-2</v>
      </c>
      <c r="X517" s="24">
        <v>1.0238929492893294</v>
      </c>
      <c r="Y517" s="24" t="s">
        <v>1445</v>
      </c>
      <c r="Z517" s="75">
        <v>2558.4119999999998</v>
      </c>
      <c r="AA517" t="s">
        <v>1414</v>
      </c>
      <c r="AB517" s="24">
        <v>8.6631944444444446</v>
      </c>
    </row>
    <row r="518" spans="1:28" x14ac:dyDescent="0.55000000000000004">
      <c r="A518" s="24" t="s">
        <v>755</v>
      </c>
      <c r="B518" s="24" t="s">
        <v>1003</v>
      </c>
      <c r="C518" s="24" t="s">
        <v>112</v>
      </c>
      <c r="D518" s="24" t="s">
        <v>72</v>
      </c>
      <c r="E518" s="24" t="s">
        <v>84</v>
      </c>
      <c r="F518" s="70">
        <v>2.4814158530329504E-4</v>
      </c>
      <c r="G518" s="24">
        <v>5.7409059999999998</v>
      </c>
      <c r="H518" s="24">
        <v>8.1225939999999994</v>
      </c>
      <c r="I518" s="24">
        <v>7.1582460000000001</v>
      </c>
      <c r="J518" s="24">
        <v>7.0072479999999997</v>
      </c>
      <c r="K518" s="24">
        <v>0.47050530000000002</v>
      </c>
      <c r="L518" s="24">
        <v>0.26147550000000003</v>
      </c>
      <c r="M518" s="24">
        <v>376.60449999999997</v>
      </c>
      <c r="N518" s="24">
        <v>2.1371773389565911</v>
      </c>
      <c r="O518" s="24">
        <v>7.4</v>
      </c>
      <c r="P518" s="24">
        <v>2.9253731343283578</v>
      </c>
      <c r="Q518" s="24">
        <v>5.9748150756282925</v>
      </c>
      <c r="R518" s="24">
        <v>5.14</v>
      </c>
      <c r="S518" s="24">
        <v>1.8783859401052609</v>
      </c>
      <c r="T518" s="21">
        <v>1</v>
      </c>
      <c r="U518" s="21" t="s">
        <v>141</v>
      </c>
      <c r="V518" s="70">
        <v>-2.9751851783964087E-2</v>
      </c>
      <c r="W518" s="70">
        <v>3.024814821603591E-2</v>
      </c>
      <c r="X518" s="24">
        <v>1.5483876077923544</v>
      </c>
      <c r="Y518" s="24" t="s">
        <v>1590</v>
      </c>
      <c r="Z518" s="75">
        <v>2450.5079999999998</v>
      </c>
      <c r="AA518" t="s">
        <v>1414</v>
      </c>
      <c r="AB518" s="24">
        <v>9.1319444444444446</v>
      </c>
    </row>
    <row r="519" spans="1:28" x14ac:dyDescent="0.55000000000000004">
      <c r="A519" s="24" t="s">
        <v>731</v>
      </c>
      <c r="B519" s="24" t="s">
        <v>1263</v>
      </c>
      <c r="C519" s="24" t="s">
        <v>113</v>
      </c>
      <c r="D519" s="24" t="s">
        <v>72</v>
      </c>
      <c r="E519" s="24" t="s">
        <v>97</v>
      </c>
      <c r="F519" s="70">
        <v>2.4776372678384114E-4</v>
      </c>
      <c r="G519" s="24">
        <v>5.4905660000000003</v>
      </c>
      <c r="H519" s="24">
        <v>6.2902279999999999</v>
      </c>
      <c r="I519" s="24">
        <v>4.8056419999999997</v>
      </c>
      <c r="J519" s="24">
        <v>5.5288120000000003</v>
      </c>
      <c r="K519" s="24">
        <v>0.39634819999999998</v>
      </c>
      <c r="L519" s="24">
        <v>-3.4793889999999998</v>
      </c>
      <c r="M519" s="24">
        <v>37.2425</v>
      </c>
      <c r="N519" s="24">
        <v>2.406344265477689</v>
      </c>
      <c r="O519" s="24">
        <v>5.2</v>
      </c>
      <c r="P519" s="24">
        <v>1.0150375939849621</v>
      </c>
      <c r="Q519" s="24">
        <v>9.5058761107218022</v>
      </c>
      <c r="R519" s="24">
        <v>0</v>
      </c>
      <c r="S519" s="24">
        <v>1.6001585263552143</v>
      </c>
      <c r="T519" s="21">
        <v>1</v>
      </c>
      <c r="U519" s="21" t="s">
        <v>141</v>
      </c>
      <c r="V519" s="70">
        <v>-2.9752242903948775E-2</v>
      </c>
      <c r="W519" s="70">
        <v>3.0247757096051223E-2</v>
      </c>
      <c r="X519" s="24">
        <v>0.69478959601325907</v>
      </c>
      <c r="Y519" s="24" t="s">
        <v>1880</v>
      </c>
      <c r="Z519" s="75">
        <v>2523.7159999999999</v>
      </c>
      <c r="AA519" t="s">
        <v>1414</v>
      </c>
      <c r="AB519" s="24">
        <v>8.7565674255691768</v>
      </c>
    </row>
    <row r="520" spans="1:28" x14ac:dyDescent="0.55000000000000004">
      <c r="A520" s="24" t="s">
        <v>766</v>
      </c>
      <c r="B520" s="24" t="s">
        <v>1097</v>
      </c>
      <c r="C520" s="24" t="s">
        <v>106</v>
      </c>
      <c r="D520" s="24" t="s">
        <v>72</v>
      </c>
      <c r="E520" s="24" t="s">
        <v>95</v>
      </c>
      <c r="F520" s="70">
        <v>2.464063656783014E-4</v>
      </c>
      <c r="G520" s="24">
        <v>2.9127779999999999</v>
      </c>
      <c r="H520" s="24">
        <v>5.1194689999999996</v>
      </c>
      <c r="I520" s="24">
        <v>6.572012</v>
      </c>
      <c r="J520" s="24">
        <v>5.2591479999999997</v>
      </c>
      <c r="K520" s="24">
        <v>0</v>
      </c>
      <c r="L520" s="24">
        <v>-7.0171570000000001</v>
      </c>
      <c r="M520" s="24">
        <v>39.950800000000001</v>
      </c>
      <c r="N520" s="24">
        <v>3.687343437501962</v>
      </c>
      <c r="O520" s="24">
        <v>3.4</v>
      </c>
      <c r="P520" s="24">
        <v>1.4285714285714288</v>
      </c>
      <c r="Q520" s="24">
        <v>2.557332753890865</v>
      </c>
      <c r="R520" s="24">
        <v>0</v>
      </c>
      <c r="S520" s="24">
        <v>1.2278347152501219</v>
      </c>
      <c r="T520" s="21">
        <v>1</v>
      </c>
      <c r="U520" s="21" t="s">
        <v>141</v>
      </c>
      <c r="V520" s="70">
        <v>-2.9753978123573766E-2</v>
      </c>
      <c r="W520" s="70">
        <v>3.0246021876426232E-2</v>
      </c>
      <c r="X520" s="24">
        <v>1.9780860038793275</v>
      </c>
      <c r="Y520" s="24" t="s">
        <v>1818</v>
      </c>
      <c r="Z520" s="75">
        <v>2749.0740000000001</v>
      </c>
      <c r="AA520" t="s">
        <v>1414</v>
      </c>
      <c r="AB520" s="24">
        <v>9.34819897084048</v>
      </c>
    </row>
    <row r="521" spans="1:28" x14ac:dyDescent="0.55000000000000004">
      <c r="A521" s="24" t="s">
        <v>714</v>
      </c>
      <c r="B521" s="24" t="s">
        <v>914</v>
      </c>
      <c r="C521" s="24" t="s">
        <v>1898</v>
      </c>
      <c r="D521" s="24" t="s">
        <v>72</v>
      </c>
      <c r="E521" s="24" t="s">
        <v>96</v>
      </c>
      <c r="F521" s="70">
        <v>2.4611519134843361E-4</v>
      </c>
      <c r="G521" s="24">
        <v>5.1398700000000002</v>
      </c>
      <c r="H521" s="24">
        <v>5.6431019999999998</v>
      </c>
      <c r="I521" s="24">
        <v>4.7354190000000003</v>
      </c>
      <c r="J521" s="24">
        <v>5.1793820000000004</v>
      </c>
      <c r="K521" s="24">
        <v>0.57455409999999996</v>
      </c>
      <c r="L521" s="24">
        <v>2.5642399999999999</v>
      </c>
      <c r="M521" s="24">
        <v>10.5238</v>
      </c>
      <c r="N521" s="24">
        <v>0</v>
      </c>
      <c r="O521" s="24">
        <v>7.8</v>
      </c>
      <c r="P521" s="24">
        <v>6.9683257918552055</v>
      </c>
      <c r="Q521" s="24">
        <v>0.68426007356876206</v>
      </c>
      <c r="R521" s="24">
        <v>5.0999999999999996</v>
      </c>
      <c r="S521" s="24">
        <v>2.7173860773248957</v>
      </c>
      <c r="T521" s="21">
        <v>1</v>
      </c>
      <c r="U521" s="21" t="s">
        <v>141</v>
      </c>
      <c r="V521" s="70">
        <v>-2.9754238336460202E-2</v>
      </c>
      <c r="W521" s="70">
        <v>3.0245761663539796E-2</v>
      </c>
      <c r="X521" s="24">
        <v>1.2341793772569229</v>
      </c>
      <c r="Y521" s="24" t="s">
        <v>1949</v>
      </c>
      <c r="Z521" s="75">
        <v>2641.5070000000001</v>
      </c>
      <c r="AA521" t="s">
        <v>1414</v>
      </c>
      <c r="AB521" s="24">
        <v>8.6655112651646444</v>
      </c>
    </row>
    <row r="522" spans="1:28" x14ac:dyDescent="0.55000000000000004">
      <c r="A522" s="24" t="s">
        <v>779</v>
      </c>
      <c r="B522" s="24" t="s">
        <v>1061</v>
      </c>
      <c r="C522" s="24" t="s">
        <v>113</v>
      </c>
      <c r="D522" s="24" t="s">
        <v>72</v>
      </c>
      <c r="E522" s="24" t="s">
        <v>85</v>
      </c>
      <c r="F522" s="70">
        <v>2.4514728621075223E-4</v>
      </c>
      <c r="G522" s="24">
        <v>6.6173390000000003</v>
      </c>
      <c r="H522" s="24">
        <v>6.762683</v>
      </c>
      <c r="I522" s="24">
        <v>5.4667440000000003</v>
      </c>
      <c r="J522" s="24">
        <v>6.3012290000000002</v>
      </c>
      <c r="K522" s="24">
        <v>2.259814</v>
      </c>
      <c r="L522" s="24">
        <v>9.9342900000000007</v>
      </c>
      <c r="M522" s="24">
        <v>156.7936</v>
      </c>
      <c r="N522" s="24">
        <v>8.6816508026085675</v>
      </c>
      <c r="O522" s="24">
        <v>5.4</v>
      </c>
      <c r="P522" s="24">
        <v>6.4564564564564551</v>
      </c>
      <c r="Q522" s="24">
        <v>7.1477058432934939</v>
      </c>
      <c r="R522" s="24">
        <v>0</v>
      </c>
      <c r="S522" s="24">
        <v>7.3201598862930748</v>
      </c>
      <c r="T522" s="21">
        <v>1</v>
      </c>
      <c r="U522" s="21" t="s">
        <v>141</v>
      </c>
      <c r="V522" s="70">
        <v>-2.9754468224537176E-2</v>
      </c>
      <c r="W522" s="70">
        <v>3.0245531775462822E-2</v>
      </c>
      <c r="X522" s="24">
        <v>1.2553838563096458</v>
      </c>
      <c r="Y522" s="24" t="s">
        <v>1892</v>
      </c>
      <c r="Z522" s="75">
        <v>2580.0590000000002</v>
      </c>
      <c r="AA522" t="s">
        <v>1414</v>
      </c>
      <c r="AB522" s="24">
        <v>9.5847750865051911</v>
      </c>
    </row>
    <row r="523" spans="1:28" x14ac:dyDescent="0.55000000000000004">
      <c r="A523" s="24" t="s">
        <v>723</v>
      </c>
      <c r="B523" s="24" t="s">
        <v>1040</v>
      </c>
      <c r="C523" s="24" t="s">
        <v>110</v>
      </c>
      <c r="D523" s="24" t="s">
        <v>72</v>
      </c>
      <c r="E523" s="24" t="s">
        <v>88</v>
      </c>
      <c r="F523" s="70">
        <v>2.4429318745197443E-4</v>
      </c>
      <c r="G523" s="24">
        <v>5.4411209999999999</v>
      </c>
      <c r="H523" s="24">
        <v>4.6964459999999999</v>
      </c>
      <c r="I523" s="24">
        <v>7.2354260000000004</v>
      </c>
      <c r="J523" s="24">
        <v>5.7560099999999998</v>
      </c>
      <c r="K523" s="24">
        <v>0.57419200000000004</v>
      </c>
      <c r="L523" s="24">
        <v>1.8335079999999999</v>
      </c>
      <c r="M523" s="24">
        <v>31.229099999999999</v>
      </c>
      <c r="N523" s="24">
        <v>7.2917161560055437</v>
      </c>
      <c r="O523" s="24">
        <v>8.4</v>
      </c>
      <c r="P523" s="24">
        <v>5.5890410958904102</v>
      </c>
      <c r="Q523" s="24">
        <v>0</v>
      </c>
      <c r="R523" s="24">
        <v>5.75</v>
      </c>
      <c r="S523" s="24">
        <v>2.6711171026208294</v>
      </c>
      <c r="T523" s="21">
        <v>1</v>
      </c>
      <c r="U523" s="21" t="s">
        <v>141</v>
      </c>
      <c r="V523" s="70">
        <v>-2.9755322323295957E-2</v>
      </c>
      <c r="W523" s="70">
        <v>3.0244677676704041E-2</v>
      </c>
      <c r="X523" s="24">
        <v>1.837659158527494</v>
      </c>
      <c r="Y523" s="24" t="s">
        <v>1568</v>
      </c>
      <c r="Z523" s="75">
        <v>2624.1790000000001</v>
      </c>
      <c r="AA523" t="s">
        <v>1414</v>
      </c>
      <c r="AB523" s="24">
        <v>8.8541666666666661</v>
      </c>
    </row>
    <row r="524" spans="1:28" x14ac:dyDescent="0.55000000000000004">
      <c r="A524" s="24" t="s">
        <v>742</v>
      </c>
      <c r="B524" s="24" t="s">
        <v>1215</v>
      </c>
      <c r="C524" s="24" t="s">
        <v>161</v>
      </c>
      <c r="D524" s="24" t="s">
        <v>72</v>
      </c>
      <c r="E524" s="24" t="s">
        <v>83</v>
      </c>
      <c r="F524" s="70">
        <v>2.4327960977365274E-4</v>
      </c>
      <c r="G524" s="24">
        <v>4.3087910000000003</v>
      </c>
      <c r="H524" s="24">
        <v>4.6892750000000003</v>
      </c>
      <c r="I524" s="24">
        <v>3.726674</v>
      </c>
      <c r="J524" s="24">
        <v>4.2415799999999999</v>
      </c>
      <c r="K524" s="24">
        <v>3.7972540000000001</v>
      </c>
      <c r="L524" s="24">
        <v>11.307650000000001</v>
      </c>
      <c r="M524" s="24">
        <v>1392.864</v>
      </c>
      <c r="N524" s="24">
        <v>9.5870402866443154</v>
      </c>
      <c r="O524" s="24">
        <v>3.4</v>
      </c>
      <c r="P524" s="24">
        <v>4.8955223880597014</v>
      </c>
      <c r="Q524" s="24">
        <v>8.4713672047446344</v>
      </c>
      <c r="R524" s="24">
        <v>7.35</v>
      </c>
      <c r="S524" s="24">
        <v>7.900665200572111</v>
      </c>
      <c r="T524" s="21">
        <v>1</v>
      </c>
      <c r="U524" s="21" t="s">
        <v>117</v>
      </c>
      <c r="V524" s="70">
        <v>-2.9756374183848425E-2</v>
      </c>
      <c r="W524" s="70">
        <v>3.0243625816151573E-2</v>
      </c>
      <c r="X524" s="24">
        <v>1.4031200005059099</v>
      </c>
      <c r="Y524" s="24" t="s">
        <v>1424</v>
      </c>
      <c r="Z524" s="75">
        <v>2573.4670000000001</v>
      </c>
      <c r="AA524" t="s">
        <v>1414</v>
      </c>
      <c r="AB524" s="24">
        <v>8.90625</v>
      </c>
    </row>
    <row r="525" spans="1:28" x14ac:dyDescent="0.55000000000000004">
      <c r="A525" s="24" t="s">
        <v>749</v>
      </c>
      <c r="B525" s="24" t="s">
        <v>1246</v>
      </c>
      <c r="C525" s="24" t="s">
        <v>105</v>
      </c>
      <c r="D525" s="24" t="s">
        <v>72</v>
      </c>
      <c r="E525" s="24" t="s">
        <v>89</v>
      </c>
      <c r="F525" s="70">
        <v>2.4230616181841557E-4</v>
      </c>
      <c r="G525" s="24">
        <v>7.2501110000000004</v>
      </c>
      <c r="H525" s="24">
        <v>3.7067640000000002</v>
      </c>
      <c r="I525" s="24">
        <v>6.5576840000000001</v>
      </c>
      <c r="J525" s="24">
        <v>5.9793789999999998</v>
      </c>
      <c r="K525" s="24">
        <v>0.93022000000000005</v>
      </c>
      <c r="L525" s="24">
        <v>4.6183439999999996</v>
      </c>
      <c r="M525" s="24">
        <v>31.705200000000001</v>
      </c>
      <c r="N525" s="24">
        <v>8.8696775937031518</v>
      </c>
      <c r="O525" s="24">
        <v>8.9</v>
      </c>
      <c r="P525" s="24">
        <v>7.2072072072072055</v>
      </c>
      <c r="Q525" s="24">
        <v>1.7673749446657814</v>
      </c>
      <c r="R525" s="24">
        <v>5.63</v>
      </c>
      <c r="S525" s="24">
        <v>3.9409161424984207</v>
      </c>
      <c r="T525" s="21">
        <v>1</v>
      </c>
      <c r="U525" s="21" t="s">
        <v>141</v>
      </c>
      <c r="V525" s="70">
        <v>-2.9757309348929513E-2</v>
      </c>
      <c r="W525" s="70">
        <v>3.0242690651070485E-2</v>
      </c>
      <c r="X525" s="24">
        <v>1.8708008842613997</v>
      </c>
      <c r="Y525" s="24" t="s">
        <v>1985</v>
      </c>
      <c r="Z525" s="75">
        <v>2673.3670000000002</v>
      </c>
      <c r="AA525" t="s">
        <v>1414</v>
      </c>
      <c r="AB525" s="24">
        <v>9.0657439446366777</v>
      </c>
    </row>
    <row r="526" spans="1:28" x14ac:dyDescent="0.55000000000000004">
      <c r="A526" s="24" t="s">
        <v>739</v>
      </c>
      <c r="B526" s="24" t="s">
        <v>1401</v>
      </c>
      <c r="C526" s="24" t="s">
        <v>107</v>
      </c>
      <c r="D526" s="24" t="s">
        <v>72</v>
      </c>
      <c r="E526" s="24" t="s">
        <v>93</v>
      </c>
      <c r="F526" s="70">
        <v>2.4076269907434713E-4</v>
      </c>
      <c r="G526" s="24">
        <v>7.2046109999999999</v>
      </c>
      <c r="H526" s="24">
        <v>7.491606</v>
      </c>
      <c r="I526" s="24">
        <v>6.4579079999999998</v>
      </c>
      <c r="J526" s="24">
        <v>7.0513750000000002</v>
      </c>
      <c r="K526" s="24" t="e">
        <v>#N/A</v>
      </c>
      <c r="L526" s="24">
        <v>4.9388690000000004</v>
      </c>
      <c r="M526" s="24">
        <v>8.6640999999999995</v>
      </c>
      <c r="N526" s="24">
        <v>10</v>
      </c>
      <c r="O526" s="24">
        <v>2.7</v>
      </c>
      <c r="P526" s="24">
        <v>7.8260869565217392</v>
      </c>
      <c r="Q526" s="24">
        <v>4.1279843550533721</v>
      </c>
      <c r="R526" s="24">
        <v>0</v>
      </c>
      <c r="S526" s="24">
        <v>5.3270484415574222</v>
      </c>
      <c r="T526" s="21">
        <v>1</v>
      </c>
      <c r="U526" s="21" t="s">
        <v>141</v>
      </c>
      <c r="V526" s="70">
        <v>-2.9758852811673581E-2</v>
      </c>
      <c r="W526" s="70">
        <v>3.0241147188326416E-2</v>
      </c>
      <c r="X526" s="24">
        <v>1.659908879303033</v>
      </c>
      <c r="Y526" s="24" t="s">
        <v>1729</v>
      </c>
      <c r="Z526" s="75">
        <v>0</v>
      </c>
      <c r="AA526" t="s">
        <v>1414</v>
      </c>
      <c r="AB526" s="24">
        <v>8.8850771869639793</v>
      </c>
    </row>
    <row r="527" spans="1:28" x14ac:dyDescent="0.55000000000000004">
      <c r="A527" s="24" t="s">
        <v>2026</v>
      </c>
      <c r="B527" s="24" t="s">
        <v>2027</v>
      </c>
      <c r="C527" s="24" t="s">
        <v>106</v>
      </c>
      <c r="D527" s="24" t="s">
        <v>72</v>
      </c>
      <c r="E527" s="24" t="s">
        <v>94</v>
      </c>
      <c r="F527" s="70">
        <v>2.4032063741304886E-4</v>
      </c>
      <c r="G527" s="24">
        <v>8.4339700000000004</v>
      </c>
      <c r="H527" s="24">
        <v>7.9194940000000003</v>
      </c>
      <c r="I527" s="24">
        <v>4.7842209999999996</v>
      </c>
      <c r="J527" s="24">
        <v>6.871175</v>
      </c>
      <c r="K527" s="24">
        <v>2.4143430000000001</v>
      </c>
      <c r="L527" s="24">
        <v>3.0403859999999998</v>
      </c>
      <c r="M527" s="24">
        <v>1.3529</v>
      </c>
      <c r="N527" s="24">
        <v>7.3390562785775026</v>
      </c>
      <c r="O527" s="24">
        <v>6.1</v>
      </c>
      <c r="P527" s="24">
        <v>2.291666666666667</v>
      </c>
      <c r="Q527" s="24">
        <v>2.395065720294427</v>
      </c>
      <c r="R527" s="24">
        <v>6.54</v>
      </c>
      <c r="S527" s="24" t="e">
        <v>#N/A</v>
      </c>
      <c r="T527" s="21">
        <v>1</v>
      </c>
      <c r="U527" s="21" t="s">
        <v>141</v>
      </c>
      <c r="V527" s="70">
        <v>-2.9759294873334882E-2</v>
      </c>
      <c r="W527" s="70">
        <v>3.0240705126665116E-2</v>
      </c>
      <c r="X527" s="24">
        <v>1.4404611455317549</v>
      </c>
      <c r="Y527" s="24" t="s">
        <v>2028</v>
      </c>
      <c r="Z527" s="75">
        <v>2631.451</v>
      </c>
      <c r="AA527" t="s">
        <v>1414</v>
      </c>
      <c r="AB527" s="24">
        <v>0</v>
      </c>
    </row>
    <row r="528" spans="1:28" x14ac:dyDescent="0.55000000000000004">
      <c r="A528" s="24" t="s">
        <v>732</v>
      </c>
      <c r="B528" s="24" t="s">
        <v>1176</v>
      </c>
      <c r="C528" s="24" t="s">
        <v>125</v>
      </c>
      <c r="D528" s="24" t="s">
        <v>72</v>
      </c>
      <c r="E528" s="24" t="s">
        <v>89</v>
      </c>
      <c r="F528" s="70">
        <v>2.3926071965307756E-4</v>
      </c>
      <c r="G528" s="24">
        <v>5.2250209999999999</v>
      </c>
      <c r="H528" s="24">
        <v>3.034897</v>
      </c>
      <c r="I528" s="24">
        <v>4.0194599999999996</v>
      </c>
      <c r="J528" s="24">
        <v>3.8667470000000002</v>
      </c>
      <c r="K528" s="24">
        <v>0</v>
      </c>
      <c r="L528" s="24">
        <v>-13.39329</v>
      </c>
      <c r="M528" s="24">
        <v>2.7987000000000002</v>
      </c>
      <c r="N528" s="24">
        <v>3.2450830669944648</v>
      </c>
      <c r="O528" s="24">
        <v>3</v>
      </c>
      <c r="P528" s="24">
        <v>1.7417417417417413</v>
      </c>
      <c r="Q528" s="24">
        <v>6.6174181053563528</v>
      </c>
      <c r="R528" s="24">
        <v>0</v>
      </c>
      <c r="S528" s="24">
        <v>1.6820075543635093</v>
      </c>
      <c r="T528" s="21">
        <v>1</v>
      </c>
      <c r="U528" s="21" t="s">
        <v>141</v>
      </c>
      <c r="V528" s="70">
        <v>-2.9761123769598989E-2</v>
      </c>
      <c r="W528" s="70">
        <v>3.0238876230401009E-2</v>
      </c>
      <c r="X528" s="24">
        <v>2.2512431070236762</v>
      </c>
      <c r="Y528" s="24" t="s">
        <v>1921</v>
      </c>
      <c r="Z528" s="75">
        <v>2557.4810000000002</v>
      </c>
      <c r="AA528" t="s">
        <v>1414</v>
      </c>
      <c r="AB528" s="24">
        <v>8.7716262975778552</v>
      </c>
    </row>
    <row r="529" spans="1:28" x14ac:dyDescent="0.55000000000000004">
      <c r="A529" s="24" t="s">
        <v>747</v>
      </c>
      <c r="B529" s="24" t="s">
        <v>1164</v>
      </c>
      <c r="C529" s="24" t="s">
        <v>105</v>
      </c>
      <c r="D529" s="24" t="s">
        <v>72</v>
      </c>
      <c r="E529" s="24" t="s">
        <v>89</v>
      </c>
      <c r="F529" s="70">
        <v>2.3711801727232807E-4</v>
      </c>
      <c r="G529" s="24" t="e">
        <v>#N/A</v>
      </c>
      <c r="H529" s="24" t="e">
        <v>#N/A</v>
      </c>
      <c r="I529" s="24" t="e">
        <v>#N/A</v>
      </c>
      <c r="J529" s="24" t="e">
        <v>#N/A</v>
      </c>
      <c r="K529" s="24">
        <v>1.2236290000000001</v>
      </c>
      <c r="L529" s="24">
        <v>5.3265549999999999</v>
      </c>
      <c r="M529" s="24" t="e">
        <v>#N/A</v>
      </c>
      <c r="N529" s="24">
        <v>7.3460122175918645</v>
      </c>
      <c r="O529" s="24">
        <v>8.1999999999999993</v>
      </c>
      <c r="P529" s="24">
        <v>8.9489489489489475</v>
      </c>
      <c r="Q529" s="24">
        <v>1.6362328463922091</v>
      </c>
      <c r="R529" s="24">
        <v>5.08</v>
      </c>
      <c r="S529" s="24">
        <v>5.1955296608155637</v>
      </c>
      <c r="T529" s="21">
        <v>1</v>
      </c>
      <c r="U529" s="21" t="s">
        <v>141</v>
      </c>
      <c r="V529" s="70">
        <v>-2.97624974934756E-2</v>
      </c>
      <c r="W529" s="70">
        <v>3.0237502506524398E-2</v>
      </c>
      <c r="X529" s="24">
        <v>1.3413205703429742</v>
      </c>
      <c r="Y529" s="24" t="s">
        <v>1970</v>
      </c>
      <c r="Z529" s="75">
        <v>2616.8380000000002</v>
      </c>
      <c r="AA529" t="s">
        <v>1414</v>
      </c>
      <c r="AB529" s="24">
        <v>9.0311418685121101</v>
      </c>
    </row>
    <row r="530" spans="1:28" x14ac:dyDescent="0.55000000000000004">
      <c r="A530" s="24" t="s">
        <v>761</v>
      </c>
      <c r="B530" s="24" t="s">
        <v>862</v>
      </c>
      <c r="C530" s="24" t="s">
        <v>105</v>
      </c>
      <c r="D530" s="24" t="s">
        <v>72</v>
      </c>
      <c r="E530" s="24" t="s">
        <v>94</v>
      </c>
      <c r="F530" s="70">
        <v>2.3648590012205383E-4</v>
      </c>
      <c r="G530" s="24">
        <v>7.8511220000000002</v>
      </c>
      <c r="H530" s="24">
        <v>7.5735330000000003</v>
      </c>
      <c r="I530" s="24">
        <v>7.663017</v>
      </c>
      <c r="J530" s="24">
        <v>7.7203619999999997</v>
      </c>
      <c r="K530" s="24">
        <v>2.7303760000000001</v>
      </c>
      <c r="L530" s="24">
        <v>5.6445059999999998</v>
      </c>
      <c r="M530" s="24">
        <v>2.5030999999999999</v>
      </c>
      <c r="N530" s="24">
        <v>2.9415650671221574</v>
      </c>
      <c r="O530" s="24">
        <v>8.1999999999999993</v>
      </c>
      <c r="P530" s="24">
        <v>2.7430555555555558</v>
      </c>
      <c r="Q530" s="24">
        <v>2.3869610935856986</v>
      </c>
      <c r="R530" s="24">
        <v>4.93</v>
      </c>
      <c r="S530" s="24">
        <v>4.3100238871463326</v>
      </c>
      <c r="T530" s="21">
        <v>1</v>
      </c>
      <c r="U530" s="21" t="s">
        <v>141</v>
      </c>
      <c r="V530" s="70">
        <v>-2.9763129610625876E-2</v>
      </c>
      <c r="W530" s="70">
        <v>3.0236870389374122E-2</v>
      </c>
      <c r="X530" s="24">
        <v>1.4006966315925988</v>
      </c>
      <c r="Y530" s="24" t="s">
        <v>2009</v>
      </c>
      <c r="Z530" s="75">
        <v>2744.7919999999999</v>
      </c>
      <c r="AA530" t="s">
        <v>1414</v>
      </c>
      <c r="AB530" s="24">
        <v>9.4335511982570814</v>
      </c>
    </row>
    <row r="531" spans="1:28" x14ac:dyDescent="0.55000000000000004">
      <c r="A531" s="24" t="s">
        <v>743</v>
      </c>
      <c r="B531" s="24" t="s">
        <v>1058</v>
      </c>
      <c r="C531" s="24" t="s">
        <v>105</v>
      </c>
      <c r="D531" s="24" t="s">
        <v>72</v>
      </c>
      <c r="E531" s="24" t="s">
        <v>100</v>
      </c>
      <c r="F531" s="70">
        <v>2.3519634510601653E-4</v>
      </c>
      <c r="G531" s="24">
        <v>0</v>
      </c>
      <c r="H531" s="24">
        <v>6.291766</v>
      </c>
      <c r="I531" s="24">
        <v>5.9293779999999998</v>
      </c>
      <c r="J531" s="24">
        <v>4.073715</v>
      </c>
      <c r="K531" s="24">
        <v>3.0071059999999998</v>
      </c>
      <c r="L531" s="24">
        <v>4.0331710000000003</v>
      </c>
      <c r="M531" s="24">
        <v>1.5166999999999999</v>
      </c>
      <c r="N531" s="24">
        <v>4.4193810223135213</v>
      </c>
      <c r="O531" s="24">
        <v>2.8</v>
      </c>
      <c r="P531" s="24">
        <v>7.3913043478260887</v>
      </c>
      <c r="Q531" s="24">
        <v>1.9527207539995108</v>
      </c>
      <c r="R531" s="24">
        <v>6.28</v>
      </c>
      <c r="S531" s="24">
        <v>3.4096009696930398</v>
      </c>
      <c r="T531" s="21">
        <v>1</v>
      </c>
      <c r="U531" s="21" t="s">
        <v>141</v>
      </c>
      <c r="V531" s="70">
        <v>-2.9764419165641914E-2</v>
      </c>
      <c r="W531" s="70">
        <v>3.0235580834358084E-2</v>
      </c>
      <c r="X531" s="24">
        <v>1.6855965535751403</v>
      </c>
      <c r="Y531" s="24" t="s">
        <v>1980</v>
      </c>
      <c r="Z531" s="75">
        <v>2652.6439999999998</v>
      </c>
      <c r="AA531" t="s">
        <v>1414</v>
      </c>
      <c r="AB531" s="24">
        <v>8.9536878216123501</v>
      </c>
    </row>
    <row r="532" spans="1:28" x14ac:dyDescent="0.55000000000000004">
      <c r="A532" s="24" t="s">
        <v>767</v>
      </c>
      <c r="B532" s="24" t="s">
        <v>1196</v>
      </c>
      <c r="C532" s="24" t="s">
        <v>127</v>
      </c>
      <c r="D532" s="24" t="s">
        <v>72</v>
      </c>
      <c r="E532" s="24" t="s">
        <v>85</v>
      </c>
      <c r="F532" s="70">
        <v>2.3445138502050966E-4</v>
      </c>
      <c r="G532" s="24">
        <v>6.4735779999999998</v>
      </c>
      <c r="H532" s="24">
        <v>7.2493699999999999</v>
      </c>
      <c r="I532" s="24">
        <v>6.2356239999999996</v>
      </c>
      <c r="J532" s="24">
        <v>6.6349299999999998</v>
      </c>
      <c r="K532" s="24">
        <v>1.717624</v>
      </c>
      <c r="L532" s="24">
        <v>6.5125840000000004</v>
      </c>
      <c r="M532" s="24">
        <v>18.346800000000002</v>
      </c>
      <c r="N532" s="24">
        <v>5.2604281279261667</v>
      </c>
      <c r="O532" s="24">
        <v>5.2</v>
      </c>
      <c r="P532" s="24">
        <v>6.1261261261261248</v>
      </c>
      <c r="Q532" s="24">
        <v>3.4611553784860565</v>
      </c>
      <c r="R532" s="24">
        <v>5.62</v>
      </c>
      <c r="S532" s="24">
        <v>5.4347535282104893</v>
      </c>
      <c r="T532" s="21">
        <v>1</v>
      </c>
      <c r="U532" s="21" t="s">
        <v>141</v>
      </c>
      <c r="V532" s="70">
        <v>-2.9765933104231559E-2</v>
      </c>
      <c r="W532" s="70">
        <v>3.0234066895768439E-2</v>
      </c>
      <c r="X532" s="24">
        <v>1.6240121637897802</v>
      </c>
      <c r="Y532" s="24" t="s">
        <v>1642</v>
      </c>
      <c r="Z532" s="75">
        <v>2880.3330000000001</v>
      </c>
      <c r="AA532" t="s">
        <v>1414</v>
      </c>
      <c r="AB532" s="24">
        <v>9.3771626297577857</v>
      </c>
    </row>
    <row r="533" spans="1:28" x14ac:dyDescent="0.55000000000000004">
      <c r="A533" s="24" t="s">
        <v>752</v>
      </c>
      <c r="B533" s="24" t="s">
        <v>901</v>
      </c>
      <c r="C533" s="24" t="s">
        <v>105</v>
      </c>
      <c r="D533" s="24" t="s">
        <v>72</v>
      </c>
      <c r="E533" s="24" t="s">
        <v>86</v>
      </c>
      <c r="F533" s="70">
        <v>2.3241476943192189E-4</v>
      </c>
      <c r="G533" s="24">
        <v>4.3779180000000002</v>
      </c>
      <c r="H533" s="24">
        <v>5.9931910000000004</v>
      </c>
      <c r="I533" s="24">
        <v>4.4711169999999996</v>
      </c>
      <c r="J533" s="24">
        <v>4.9758829999999996</v>
      </c>
      <c r="K533" s="24">
        <v>4.1850509999999996</v>
      </c>
      <c r="L533" s="24">
        <v>5.7500150000000003</v>
      </c>
      <c r="M533" s="24">
        <v>5.2253999999999996</v>
      </c>
      <c r="N533" s="24">
        <v>7.0646208553905065</v>
      </c>
      <c r="O533" s="24">
        <v>7.5</v>
      </c>
      <c r="P533" s="24">
        <v>8.1182804428258528</v>
      </c>
      <c r="Q533" s="24">
        <v>1.9856358259400084</v>
      </c>
      <c r="R533" s="24">
        <v>6.75</v>
      </c>
      <c r="S533" s="24">
        <v>4.0788985673464557</v>
      </c>
      <c r="T533" s="21">
        <v>1</v>
      </c>
      <c r="U533" s="21" t="s">
        <v>141</v>
      </c>
      <c r="V533" s="70">
        <v>-2.9767200741316006E-2</v>
      </c>
      <c r="W533" s="70">
        <v>3.0232799258683992E-2</v>
      </c>
      <c r="X533" s="24">
        <v>1.6715867095191927</v>
      </c>
      <c r="Y533" s="24" t="s">
        <v>1990</v>
      </c>
      <c r="Z533" s="75">
        <v>2788.058</v>
      </c>
      <c r="AA533" t="s">
        <v>1414</v>
      </c>
      <c r="AB533" s="24">
        <v>9.0598290598290596</v>
      </c>
    </row>
    <row r="534" spans="1:28" x14ac:dyDescent="0.55000000000000004">
      <c r="A534" s="24" t="s">
        <v>756</v>
      </c>
      <c r="B534" s="24" t="s">
        <v>958</v>
      </c>
      <c r="C534" s="24" t="s">
        <v>105</v>
      </c>
      <c r="D534" s="24" t="s">
        <v>72</v>
      </c>
      <c r="E534" s="24" t="s">
        <v>95</v>
      </c>
      <c r="F534" s="70">
        <v>2.3169906088131329E-4</v>
      </c>
      <c r="G534" s="24">
        <v>8.8046659999999992</v>
      </c>
      <c r="H534" s="24">
        <v>6.7131769999999999</v>
      </c>
      <c r="I534" s="24">
        <v>6.7851410000000003</v>
      </c>
      <c r="J534" s="24">
        <v>7.1602600000000001</v>
      </c>
      <c r="K534" s="24">
        <v>2.9107370000000001</v>
      </c>
      <c r="L534" s="24">
        <v>4.2246870000000003</v>
      </c>
      <c r="M534" s="24">
        <v>36.010899999999999</v>
      </c>
      <c r="N534" s="24">
        <v>3.5258681269117744</v>
      </c>
      <c r="O534" s="24">
        <v>2.8</v>
      </c>
      <c r="P534" s="24">
        <v>7.5313807531380759</v>
      </c>
      <c r="Q534" s="24">
        <v>4.1483943572673958</v>
      </c>
      <c r="R534" s="24">
        <v>4.72</v>
      </c>
      <c r="S534" s="24">
        <v>3.7609268661717281</v>
      </c>
      <c r="T534" s="21">
        <v>1</v>
      </c>
      <c r="U534" s="21" t="s">
        <v>141</v>
      </c>
      <c r="V534" s="70">
        <v>-2.9768576666993965E-2</v>
      </c>
      <c r="W534" s="70">
        <v>3.0231423333006033E-2</v>
      </c>
      <c r="X534" s="24">
        <v>0.37433897835170121</v>
      </c>
      <c r="Y534" s="24" t="s">
        <v>1981</v>
      </c>
      <c r="Z534" s="75">
        <v>2723.9589999999998</v>
      </c>
      <c r="AA534" t="s">
        <v>1414</v>
      </c>
      <c r="AB534" s="24">
        <v>9.60923623445826</v>
      </c>
    </row>
    <row r="535" spans="1:28" x14ac:dyDescent="0.55000000000000004">
      <c r="A535" s="24" t="s">
        <v>748</v>
      </c>
      <c r="B535" s="24" t="s">
        <v>1074</v>
      </c>
      <c r="C535" s="24" t="s">
        <v>113</v>
      </c>
      <c r="D535" s="24" t="s">
        <v>72</v>
      </c>
      <c r="E535" s="24" t="s">
        <v>88</v>
      </c>
      <c r="F535" s="70">
        <v>2.308675107745984E-4</v>
      </c>
      <c r="G535" s="24">
        <v>4.665438</v>
      </c>
      <c r="H535" s="24">
        <v>6.7357430000000003</v>
      </c>
      <c r="I535" s="24">
        <v>2.9446859999999999</v>
      </c>
      <c r="J535" s="24">
        <v>4.8052590000000004</v>
      </c>
      <c r="K535" s="24">
        <v>0.96336759999999999</v>
      </c>
      <c r="L535" s="24">
        <v>3.9748540000000001</v>
      </c>
      <c r="M535" s="24">
        <v>15.5824</v>
      </c>
      <c r="N535" s="24">
        <v>2.9653433475656059</v>
      </c>
      <c r="O535" s="24">
        <v>8.5</v>
      </c>
      <c r="P535" s="24">
        <v>4.9863013698630141</v>
      </c>
      <c r="Q535" s="24">
        <v>4.0242400957710416</v>
      </c>
      <c r="R535" s="24">
        <v>4.62</v>
      </c>
      <c r="S535" s="24">
        <v>4.2973059784849488</v>
      </c>
      <c r="T535" s="21">
        <v>1</v>
      </c>
      <c r="U535" s="21" t="s">
        <v>141</v>
      </c>
      <c r="V535" s="70">
        <v>-2.9769257524019505E-2</v>
      </c>
      <c r="W535" s="70">
        <v>3.0230742475980493E-2</v>
      </c>
      <c r="X535" s="24">
        <v>0.89100613769015435</v>
      </c>
      <c r="Y535" s="24" t="s">
        <v>1879</v>
      </c>
      <c r="Z535" s="75">
        <v>2229.0540000000001</v>
      </c>
      <c r="AA535" t="s">
        <v>1414</v>
      </c>
      <c r="AB535" s="24">
        <v>9.2881944444444446</v>
      </c>
    </row>
    <row r="536" spans="1:28" x14ac:dyDescent="0.55000000000000004">
      <c r="A536" s="24" t="s">
        <v>750</v>
      </c>
      <c r="B536" s="24" t="s">
        <v>1326</v>
      </c>
      <c r="C536" s="24" t="s">
        <v>111</v>
      </c>
      <c r="D536" s="24" t="s">
        <v>72</v>
      </c>
      <c r="E536" s="24" t="s">
        <v>89</v>
      </c>
      <c r="F536" s="70">
        <v>2.2998998565787883E-4</v>
      </c>
      <c r="G536" s="24">
        <v>5.8885550000000002</v>
      </c>
      <c r="H536" s="24">
        <v>6.7400169999999999</v>
      </c>
      <c r="I536" s="24">
        <v>4.7672730000000003</v>
      </c>
      <c r="J536" s="24">
        <v>5.7986149999999999</v>
      </c>
      <c r="K536" s="24">
        <v>1.6102030000000001</v>
      </c>
      <c r="L536" s="24">
        <v>8.5979299999999999</v>
      </c>
      <c r="M536" s="24">
        <v>946.41380000000004</v>
      </c>
      <c r="N536" s="24">
        <v>7.5448447138601802</v>
      </c>
      <c r="O536" s="24">
        <v>5.5</v>
      </c>
      <c r="P536" s="24">
        <v>7.4174174174174166</v>
      </c>
      <c r="Q536" s="24">
        <v>4.4590161575918552</v>
      </c>
      <c r="R536" s="24">
        <v>5.85</v>
      </c>
      <c r="S536" s="24">
        <v>7.3283012187500072</v>
      </c>
      <c r="T536" s="21">
        <v>1</v>
      </c>
      <c r="U536" s="21" t="s">
        <v>117</v>
      </c>
      <c r="V536" s="70">
        <v>-2.9769625525090049E-2</v>
      </c>
      <c r="W536" s="70">
        <v>3.0230374474909949E-2</v>
      </c>
      <c r="X536" s="24">
        <v>1.2085139766839876</v>
      </c>
      <c r="Y536" s="24" t="s">
        <v>1443</v>
      </c>
      <c r="Z536" s="75">
        <v>2314.8760000000002</v>
      </c>
      <c r="AA536" t="s">
        <v>1414</v>
      </c>
      <c r="AB536" s="24">
        <v>9.0830449826989614</v>
      </c>
    </row>
    <row r="537" spans="1:28" x14ac:dyDescent="0.55000000000000004">
      <c r="A537" s="24" t="s">
        <v>2030</v>
      </c>
      <c r="B537" s="24" t="s">
        <v>2031</v>
      </c>
      <c r="C537" s="24" t="s">
        <v>113</v>
      </c>
      <c r="D537" s="24" t="s">
        <v>72</v>
      </c>
      <c r="E537" s="24" t="s">
        <v>86</v>
      </c>
      <c r="F537" s="70">
        <v>2.2983190571315893E-4</v>
      </c>
      <c r="G537" s="24">
        <v>4.8544960000000001</v>
      </c>
      <c r="H537" s="24">
        <v>7.3712609999999996</v>
      </c>
      <c r="I537" s="24">
        <v>7.418164</v>
      </c>
      <c r="J537" s="24">
        <v>6.6326479999999997</v>
      </c>
      <c r="K537" s="24">
        <v>6.5059319999999996</v>
      </c>
      <c r="L537" s="24">
        <v>14.41339</v>
      </c>
      <c r="M537" s="24">
        <v>3.2275</v>
      </c>
      <c r="N537" s="24">
        <v>6.4665442926922223</v>
      </c>
      <c r="O537" s="24">
        <v>7.2</v>
      </c>
      <c r="P537" s="24">
        <v>9.1935493756504716</v>
      </c>
      <c r="Q537" s="24">
        <v>4.0628080552034929</v>
      </c>
      <c r="R537" s="24">
        <v>5.33</v>
      </c>
      <c r="S537" s="24" t="e">
        <v>#N/A</v>
      </c>
      <c r="T537" s="21">
        <v>1</v>
      </c>
      <c r="U537" s="21" t="s">
        <v>141</v>
      </c>
      <c r="V537" s="70">
        <v>-2.9770528964215372E-2</v>
      </c>
      <c r="W537" s="70">
        <v>3.0229471035784626E-2</v>
      </c>
      <c r="X537" s="24">
        <v>1.08573498991773</v>
      </c>
      <c r="Y537" s="24" t="s">
        <v>2032</v>
      </c>
      <c r="Z537" s="75">
        <v>2446.319</v>
      </c>
      <c r="AA537" t="s">
        <v>1414</v>
      </c>
      <c r="AB537" s="24">
        <v>0</v>
      </c>
    </row>
    <row r="538" spans="1:28" x14ac:dyDescent="0.55000000000000004">
      <c r="A538" s="24" t="s">
        <v>722</v>
      </c>
      <c r="B538" s="24" t="s">
        <v>1269</v>
      </c>
      <c r="C538" s="24" t="s">
        <v>108</v>
      </c>
      <c r="D538" s="24" t="s">
        <v>72</v>
      </c>
      <c r="E538" s="24" t="s">
        <v>92</v>
      </c>
      <c r="F538" s="70">
        <v>2.2968994692176153E-4</v>
      </c>
      <c r="G538" s="24" t="e">
        <v>#N/A</v>
      </c>
      <c r="H538" s="24" t="e">
        <v>#N/A</v>
      </c>
      <c r="I538" s="24" t="e">
        <v>#N/A</v>
      </c>
      <c r="J538" s="24" t="e">
        <v>#N/A</v>
      </c>
      <c r="K538" s="24">
        <v>13.966379999999999</v>
      </c>
      <c r="L538" s="24">
        <v>10.061959999999999</v>
      </c>
      <c r="M538" s="24" t="e">
        <v>#N/A</v>
      </c>
      <c r="N538" s="24">
        <v>5.7632735037005522</v>
      </c>
      <c r="O538" s="24">
        <v>6.9</v>
      </c>
      <c r="P538" s="24">
        <v>8.1951219512195124</v>
      </c>
      <c r="Q538" s="24">
        <v>3.5998734213262225</v>
      </c>
      <c r="R538" s="24">
        <v>7.76</v>
      </c>
      <c r="S538" s="24">
        <v>5.0450779297204775</v>
      </c>
      <c r="T538" s="21">
        <v>1</v>
      </c>
      <c r="U538" s="21" t="s">
        <v>141</v>
      </c>
      <c r="V538" s="70">
        <v>-2.977055258353891E-2</v>
      </c>
      <c r="W538" s="70">
        <v>3.0229447416461087E-2</v>
      </c>
      <c r="X538" s="24">
        <v>0.65148274842574017</v>
      </c>
      <c r="Y538" s="24" t="s">
        <v>1943</v>
      </c>
      <c r="Z538" s="75">
        <v>2473.6129999999998</v>
      </c>
      <c r="AA538" t="s">
        <v>1414</v>
      </c>
      <c r="AB538" s="24">
        <v>9.9407114624505937</v>
      </c>
    </row>
    <row r="539" spans="1:28" x14ac:dyDescent="0.55000000000000004">
      <c r="A539" s="24" t="s">
        <v>751</v>
      </c>
      <c r="B539" s="24" t="s">
        <v>1072</v>
      </c>
      <c r="C539" s="24" t="s">
        <v>113</v>
      </c>
      <c r="D539" s="24" t="s">
        <v>72</v>
      </c>
      <c r="E539" s="24" t="s">
        <v>86</v>
      </c>
      <c r="F539" s="70">
        <v>2.2890434685490286E-4</v>
      </c>
      <c r="G539" s="24">
        <v>3.292049</v>
      </c>
      <c r="H539" s="24">
        <v>5.8466240000000003</v>
      </c>
      <c r="I539" s="24">
        <v>6.348827</v>
      </c>
      <c r="J539" s="24">
        <v>5.2560219999999997</v>
      </c>
      <c r="K539" s="24">
        <v>6.4162489999999996</v>
      </c>
      <c r="L539" s="24">
        <v>12.83352</v>
      </c>
      <c r="M539" s="24">
        <v>1.0163</v>
      </c>
      <c r="N539" s="24">
        <v>6.7713110344322205</v>
      </c>
      <c r="O539" s="24">
        <v>4.9000000000000004</v>
      </c>
      <c r="P539" s="24">
        <v>7.3387104665280081</v>
      </c>
      <c r="Q539" s="24">
        <v>6.8167863681171683</v>
      </c>
      <c r="R539" s="24">
        <v>7.6900009999999996</v>
      </c>
      <c r="S539" s="24">
        <v>6.3273204964002634</v>
      </c>
      <c r="T539" s="21">
        <v>1</v>
      </c>
      <c r="U539" s="21" t="s">
        <v>141</v>
      </c>
      <c r="V539" s="70">
        <v>-2.9771052392444621E-2</v>
      </c>
      <c r="W539" s="70">
        <v>3.0228947607555377E-2</v>
      </c>
      <c r="X539" s="24">
        <v>1.3214739106774949</v>
      </c>
      <c r="Y539" s="24" t="s">
        <v>1878</v>
      </c>
      <c r="Z539" s="75">
        <v>2509.52</v>
      </c>
      <c r="AA539" t="s">
        <v>1414</v>
      </c>
      <c r="AB539" s="24">
        <v>9.0427350427350426</v>
      </c>
    </row>
    <row r="540" spans="1:28" x14ac:dyDescent="0.55000000000000004">
      <c r="A540" s="24" t="s">
        <v>770</v>
      </c>
      <c r="B540" s="24" t="s">
        <v>1021</v>
      </c>
      <c r="C540" s="24" t="s">
        <v>110</v>
      </c>
      <c r="D540" s="24" t="s">
        <v>72</v>
      </c>
      <c r="E540" s="24" t="s">
        <v>89</v>
      </c>
      <c r="F540" s="70">
        <v>2.2880146268288245E-4</v>
      </c>
      <c r="G540" s="24">
        <v>5.9536790000000002</v>
      </c>
      <c r="H540" s="24">
        <v>5.8617169999999996</v>
      </c>
      <c r="I540" s="24">
        <v>5.523682</v>
      </c>
      <c r="J540" s="24">
        <v>5.797091</v>
      </c>
      <c r="K540" s="24">
        <v>3.1942629999999999</v>
      </c>
      <c r="L540" s="24">
        <v>7.1135149999999996</v>
      </c>
      <c r="M540" s="24">
        <v>13.568099999999999</v>
      </c>
      <c r="N540" s="24">
        <v>4.7784739667830571</v>
      </c>
      <c r="O540" s="24">
        <v>3.1</v>
      </c>
      <c r="P540" s="24">
        <v>8.3183183183183171</v>
      </c>
      <c r="Q540" s="24">
        <v>4.9306474103585662</v>
      </c>
      <c r="R540" s="24">
        <v>5.99</v>
      </c>
      <c r="S540" s="24">
        <v>6.7651823028192606</v>
      </c>
      <c r="T540" s="21">
        <v>1</v>
      </c>
      <c r="U540" s="21" t="s">
        <v>141</v>
      </c>
      <c r="V540" s="70">
        <v>-2.9771480142397166E-2</v>
      </c>
      <c r="W540" s="70">
        <v>3.0228519857602831E-2</v>
      </c>
      <c r="X540" s="24">
        <v>1.0642175623920869</v>
      </c>
      <c r="Y540" s="24" t="s">
        <v>1526</v>
      </c>
      <c r="Z540" s="75">
        <v>2634.7860000000001</v>
      </c>
      <c r="AA540" t="s">
        <v>1414</v>
      </c>
      <c r="AB540" s="24">
        <v>9.429065743944637</v>
      </c>
    </row>
    <row r="541" spans="1:28" x14ac:dyDescent="0.55000000000000004">
      <c r="A541" s="24" t="s">
        <v>764</v>
      </c>
      <c r="B541" s="24" t="s">
        <v>990</v>
      </c>
      <c r="C541" s="24" t="s">
        <v>127</v>
      </c>
      <c r="D541" s="24" t="s">
        <v>72</v>
      </c>
      <c r="E541" s="24" t="s">
        <v>91</v>
      </c>
      <c r="F541" s="70">
        <v>2.2865744485842907E-4</v>
      </c>
      <c r="G541" s="24">
        <v>4.6618830000000004</v>
      </c>
      <c r="H541" s="24">
        <v>6.0675140000000001</v>
      </c>
      <c r="I541" s="24">
        <v>6.5483320000000003</v>
      </c>
      <c r="J541" s="24">
        <v>5.6495069999999998</v>
      </c>
      <c r="K541" s="24">
        <v>2.8482069999999999</v>
      </c>
      <c r="L541" s="24">
        <v>11.44157</v>
      </c>
      <c r="M541" s="24">
        <v>8.3191000000000006</v>
      </c>
      <c r="N541" s="24">
        <v>8.3437769631105638</v>
      </c>
      <c r="O541" s="24">
        <v>5.9</v>
      </c>
      <c r="P541" s="24">
        <v>6.7391304347826093</v>
      </c>
      <c r="Q541" s="24">
        <v>6.4738213325366001</v>
      </c>
      <c r="R541" s="24">
        <v>6.79</v>
      </c>
      <c r="S541" s="24">
        <v>7.7741312942836078</v>
      </c>
      <c r="T541" s="21">
        <v>1</v>
      </c>
      <c r="U541" s="21" t="s">
        <v>141</v>
      </c>
      <c r="V541" s="70">
        <v>-2.9771583026569185E-2</v>
      </c>
      <c r="W541" s="70">
        <v>3.0228416973430813E-2</v>
      </c>
      <c r="X541" s="24">
        <v>1.04066089995782</v>
      </c>
      <c r="Y541" s="24" t="s">
        <v>1439</v>
      </c>
      <c r="Z541" s="75">
        <v>2743.3139999999999</v>
      </c>
      <c r="AA541" t="s">
        <v>1414</v>
      </c>
      <c r="AB541" s="24">
        <v>9.3138936535162955</v>
      </c>
    </row>
    <row r="542" spans="1:28" x14ac:dyDescent="0.55000000000000004">
      <c r="A542" s="24" t="s">
        <v>696</v>
      </c>
      <c r="B542" s="24" t="s">
        <v>936</v>
      </c>
      <c r="C542" s="24" t="s">
        <v>105</v>
      </c>
      <c r="D542" s="24" t="s">
        <v>72</v>
      </c>
      <c r="E542" s="24" t="s">
        <v>97</v>
      </c>
      <c r="F542" s="70">
        <v>2.2856311830330903E-4</v>
      </c>
      <c r="G542" s="24">
        <v>5.3228900000000001</v>
      </c>
      <c r="H542" s="24">
        <v>4.5396530000000004</v>
      </c>
      <c r="I542" s="24">
        <v>6.861942</v>
      </c>
      <c r="J542" s="24">
        <v>5.5748280000000001</v>
      </c>
      <c r="K542" s="24">
        <v>0</v>
      </c>
      <c r="L542" s="24">
        <v>14.322290000000001</v>
      </c>
      <c r="M542" s="24">
        <v>44.260599999999997</v>
      </c>
      <c r="N542" s="24">
        <v>6.2537760571736527</v>
      </c>
      <c r="O542" s="24">
        <v>8.5</v>
      </c>
      <c r="P542" s="24">
        <v>5.2631578947368407</v>
      </c>
      <c r="Q542" s="24">
        <v>7.7544851274371567</v>
      </c>
      <c r="R542" s="24">
        <v>1.22</v>
      </c>
      <c r="S542" s="24">
        <v>7.9552373969216763</v>
      </c>
      <c r="T542" s="21">
        <v>1</v>
      </c>
      <c r="U542" s="21" t="s">
        <v>117</v>
      </c>
      <c r="V542" s="70">
        <v>-2.9771727044393639E-2</v>
      </c>
      <c r="W542" s="70">
        <v>3.0228272955606358E-2</v>
      </c>
      <c r="X542" s="24">
        <v>0.55235038994280217</v>
      </c>
      <c r="Y542" s="24" t="s">
        <v>1502</v>
      </c>
      <c r="Z542" s="75">
        <v>0</v>
      </c>
      <c r="AA542" t="s">
        <v>1414</v>
      </c>
      <c r="AB542" s="24">
        <v>8.1436077057793348</v>
      </c>
    </row>
    <row r="543" spans="1:28" x14ac:dyDescent="0.55000000000000004">
      <c r="A543" s="24" t="s">
        <v>759</v>
      </c>
      <c r="B543" s="24" t="s">
        <v>902</v>
      </c>
      <c r="C543" s="24" t="s">
        <v>106</v>
      </c>
      <c r="D543" s="24" t="s">
        <v>72</v>
      </c>
      <c r="E543" s="24" t="s">
        <v>94</v>
      </c>
      <c r="F543" s="70">
        <v>2.2838742394781455E-4</v>
      </c>
      <c r="G543" s="24">
        <v>8.3101050000000001</v>
      </c>
      <c r="H543" s="24">
        <v>7.2842989999999999</v>
      </c>
      <c r="I543" s="24">
        <v>5.7056979999999999</v>
      </c>
      <c r="J543" s="24">
        <v>7.0631810000000002</v>
      </c>
      <c r="K543" s="24">
        <v>3.3653970000000002</v>
      </c>
      <c r="L543" s="24">
        <v>6.6040580000000002</v>
      </c>
      <c r="M543" s="24">
        <v>99.940799999999996</v>
      </c>
      <c r="N543" s="24">
        <v>3.308020687224873</v>
      </c>
      <c r="O543" s="24">
        <v>4.0999999999999996</v>
      </c>
      <c r="P543" s="24">
        <v>4.4097222222222232</v>
      </c>
      <c r="Q543" s="24">
        <v>4.1700617770767607</v>
      </c>
      <c r="R543" s="24">
        <v>6.12</v>
      </c>
      <c r="S543" s="24">
        <v>5.7486527968700738</v>
      </c>
      <c r="T543" s="21">
        <v>1</v>
      </c>
      <c r="U543" s="21" t="s">
        <v>141</v>
      </c>
      <c r="V543" s="70">
        <v>-2.9771822822752224E-2</v>
      </c>
      <c r="W543" s="70">
        <v>3.0228177177247774E-2</v>
      </c>
      <c r="X543" s="24">
        <v>1.1639520385904552</v>
      </c>
      <c r="Y543" s="24" t="s">
        <v>1811</v>
      </c>
      <c r="Z543" s="75">
        <v>2300.7020000000002</v>
      </c>
      <c r="AA543" t="s">
        <v>1414</v>
      </c>
      <c r="AB543" s="24">
        <v>9.3899782135076251</v>
      </c>
    </row>
    <row r="544" spans="1:28" x14ac:dyDescent="0.55000000000000004">
      <c r="A544" s="24" t="s">
        <v>738</v>
      </c>
      <c r="B544" s="24" t="s">
        <v>930</v>
      </c>
      <c r="C544" s="24" t="s">
        <v>106</v>
      </c>
      <c r="D544" s="24" t="s">
        <v>72</v>
      </c>
      <c r="E544" s="24" t="s">
        <v>95</v>
      </c>
      <c r="F544" s="70">
        <v>2.2779268799570722E-4</v>
      </c>
      <c r="G544" s="24">
        <v>5.7071699999999996</v>
      </c>
      <c r="H544" s="24">
        <v>6.0108889999999997</v>
      </c>
      <c r="I544" s="24">
        <v>6.3123670000000001</v>
      </c>
      <c r="J544" s="24">
        <v>5.9798450000000001</v>
      </c>
      <c r="K544" s="24">
        <v>3.6188989999999999</v>
      </c>
      <c r="L544" s="24">
        <v>7.4999599999999997</v>
      </c>
      <c r="M544" s="24">
        <v>3.4605000000000001</v>
      </c>
      <c r="N544" s="24">
        <v>2.5689223988856846</v>
      </c>
      <c r="O544" s="24">
        <v>6.6</v>
      </c>
      <c r="P544" s="24">
        <v>6.1490683229813667</v>
      </c>
      <c r="Q544" s="24">
        <v>5.4179677866203111</v>
      </c>
      <c r="R544" s="24">
        <v>6.91</v>
      </c>
      <c r="S544" s="24">
        <v>5.762613951980704</v>
      </c>
      <c r="T544" s="21">
        <v>1</v>
      </c>
      <c r="U544" s="21" t="s">
        <v>141</v>
      </c>
      <c r="V544" s="70">
        <v>-2.9771997065304253E-2</v>
      </c>
      <c r="W544" s="70">
        <v>3.0228002934695745E-2</v>
      </c>
      <c r="X544" s="24">
        <v>1.4543973021844974</v>
      </c>
      <c r="Y544" s="24" t="s">
        <v>1863</v>
      </c>
      <c r="Z544" s="75">
        <v>2228.6280000000002</v>
      </c>
      <c r="AA544" t="s">
        <v>1414</v>
      </c>
      <c r="AB544" s="24">
        <v>8.8679245283018879</v>
      </c>
    </row>
    <row r="545" spans="1:28" x14ac:dyDescent="0.55000000000000004">
      <c r="A545" s="24" t="s">
        <v>740</v>
      </c>
      <c r="B545" s="24" t="s">
        <v>1092</v>
      </c>
      <c r="C545" s="24" t="s">
        <v>107</v>
      </c>
      <c r="D545" s="24" t="s">
        <v>72</v>
      </c>
      <c r="E545" s="24" t="s">
        <v>89</v>
      </c>
      <c r="F545" s="70">
        <v>2.2765222246176099E-4</v>
      </c>
      <c r="G545" s="24">
        <v>7.2533339999999997</v>
      </c>
      <c r="H545" s="24">
        <v>5.1643340000000002</v>
      </c>
      <c r="I545" s="24">
        <v>5.6205509999999999</v>
      </c>
      <c r="J545" s="24">
        <v>6.1367989999999999</v>
      </c>
      <c r="K545" s="24">
        <v>2.7324320000000002</v>
      </c>
      <c r="L545" s="24">
        <v>3.8561649999999998</v>
      </c>
      <c r="M545" s="24">
        <v>31.520700000000001</v>
      </c>
      <c r="N545" s="24">
        <v>5.4527769417429459</v>
      </c>
      <c r="O545" s="24">
        <v>4.7</v>
      </c>
      <c r="P545" s="24">
        <v>4.8348348348348331</v>
      </c>
      <c r="Q545" s="24">
        <v>5.2111918990703856</v>
      </c>
      <c r="R545" s="24">
        <v>4.9400000000000004</v>
      </c>
      <c r="S545" s="24">
        <v>3.7864248486020355</v>
      </c>
      <c r="T545" s="21">
        <v>1</v>
      </c>
      <c r="U545" s="21" t="s">
        <v>141</v>
      </c>
      <c r="V545" s="70">
        <v>-2.9772209038724816E-2</v>
      </c>
      <c r="W545" s="70">
        <v>3.0227790961275182E-2</v>
      </c>
      <c r="X545" s="24">
        <v>1.3366622885038597</v>
      </c>
      <c r="Y545" s="24" t="s">
        <v>1741</v>
      </c>
      <c r="Z545" s="75">
        <v>3698.0880000000002</v>
      </c>
      <c r="AA545" t="s">
        <v>1414</v>
      </c>
      <c r="AB545" s="24">
        <v>8.9100346020761236</v>
      </c>
    </row>
    <row r="546" spans="1:28" x14ac:dyDescent="0.55000000000000004">
      <c r="A546" s="24" t="s">
        <v>776</v>
      </c>
      <c r="B546" s="24" t="s">
        <v>1328</v>
      </c>
      <c r="C546" s="24" t="s">
        <v>105</v>
      </c>
      <c r="D546" s="24" t="s">
        <v>72</v>
      </c>
      <c r="E546" s="24" t="s">
        <v>94</v>
      </c>
      <c r="F546" s="70">
        <v>2.2740647202311172E-4</v>
      </c>
      <c r="G546" s="24">
        <v>7.5802370000000003</v>
      </c>
      <c r="H546" s="24">
        <v>5.5490490000000001</v>
      </c>
      <c r="I546" s="24">
        <v>7.0131550000000002</v>
      </c>
      <c r="J546" s="24">
        <v>6.9471670000000003</v>
      </c>
      <c r="K546" s="24">
        <v>0.97540289999999996</v>
      </c>
      <c r="L546" s="24">
        <v>2.977846</v>
      </c>
      <c r="M546" s="24">
        <v>0.97036999999999995</v>
      </c>
      <c r="N546" s="24">
        <v>2.2812797808702392</v>
      </c>
      <c r="O546" s="24">
        <v>9</v>
      </c>
      <c r="P546" s="24">
        <v>2.3611111111111116</v>
      </c>
      <c r="Q546" s="24">
        <v>1.878286014721346</v>
      </c>
      <c r="R546" s="24">
        <v>4.22</v>
      </c>
      <c r="S546" s="24">
        <v>2.0421207568853279</v>
      </c>
      <c r="T546" s="21">
        <v>1</v>
      </c>
      <c r="U546" s="21" t="s">
        <v>141</v>
      </c>
      <c r="V546" s="70">
        <v>-2.9772732266790308E-2</v>
      </c>
      <c r="W546" s="70">
        <v>3.022726773320969E-2</v>
      </c>
      <c r="X546" s="24">
        <v>1.5385722148495651</v>
      </c>
      <c r="Y546" s="24" t="s">
        <v>2007</v>
      </c>
      <c r="Z546" s="75">
        <v>1728.0820000000001</v>
      </c>
      <c r="AA546" t="s">
        <v>1416</v>
      </c>
      <c r="AB546" s="24">
        <v>9.7603485838779953</v>
      </c>
    </row>
    <row r="547" spans="1:28" x14ac:dyDescent="0.55000000000000004">
      <c r="A547" s="24" t="s">
        <v>753</v>
      </c>
      <c r="B547" s="24" t="s">
        <v>1206</v>
      </c>
      <c r="C547" s="24" t="s">
        <v>110</v>
      </c>
      <c r="D547" s="24" t="s">
        <v>72</v>
      </c>
      <c r="E547" s="24" t="s">
        <v>89</v>
      </c>
      <c r="F547" s="70">
        <v>2.2617381293930073E-4</v>
      </c>
      <c r="G547" s="24">
        <v>4.6262249999999998</v>
      </c>
      <c r="H547" s="24">
        <v>5.1160410000000001</v>
      </c>
      <c r="I547" s="24">
        <v>7.0563310000000001</v>
      </c>
      <c r="J547" s="24">
        <v>5.5022019999999996</v>
      </c>
      <c r="K547" s="24">
        <v>1.9848479999999999</v>
      </c>
      <c r="L547" s="24">
        <v>6.6721630000000003</v>
      </c>
      <c r="M547" s="24">
        <v>321.06610000000001</v>
      </c>
      <c r="N547" s="24">
        <v>6.6176781232903341</v>
      </c>
      <c r="O547" s="24">
        <v>7.6</v>
      </c>
      <c r="P547" s="24">
        <v>8.048048048048047</v>
      </c>
      <c r="Q547" s="24">
        <v>3.0371104471004875</v>
      </c>
      <c r="R547" s="24">
        <v>5.73</v>
      </c>
      <c r="S547" s="24">
        <v>6.5695726500028826</v>
      </c>
      <c r="T547" s="21">
        <v>1</v>
      </c>
      <c r="U547" s="21" t="s">
        <v>141</v>
      </c>
      <c r="V547" s="70">
        <v>-2.9774210676312769E-2</v>
      </c>
      <c r="W547" s="70">
        <v>3.0225789323687229E-2</v>
      </c>
      <c r="X547" s="24">
        <v>0.97954239697043144</v>
      </c>
      <c r="Y547" s="24" t="s">
        <v>1563</v>
      </c>
      <c r="Z547" s="75">
        <v>2453.5329999999999</v>
      </c>
      <c r="AA547" t="s">
        <v>1414</v>
      </c>
      <c r="AB547" s="24">
        <v>9.1349480968858128</v>
      </c>
    </row>
    <row r="548" spans="1:28" x14ac:dyDescent="0.55000000000000004">
      <c r="A548" s="24" t="s">
        <v>736</v>
      </c>
      <c r="B548" s="24" t="s">
        <v>974</v>
      </c>
      <c r="C548" s="24" t="s">
        <v>110</v>
      </c>
      <c r="D548" s="24" t="s">
        <v>72</v>
      </c>
      <c r="E548" s="24" t="s">
        <v>82</v>
      </c>
      <c r="F548" s="70">
        <v>2.2535058488597887E-4</v>
      </c>
      <c r="G548" s="24">
        <v>6.5437440000000002</v>
      </c>
      <c r="H548" s="24">
        <v>6.3946189999999996</v>
      </c>
      <c r="I548" s="24">
        <v>6.3330989999999998</v>
      </c>
      <c r="J548" s="24">
        <v>6.4178240000000004</v>
      </c>
      <c r="K548" s="24">
        <v>5.0944469999999997</v>
      </c>
      <c r="L548" s="24">
        <v>4.7178170000000001</v>
      </c>
      <c r="M548" s="24">
        <v>10.077500000000001</v>
      </c>
      <c r="N548" s="24">
        <v>3.4647114328465363</v>
      </c>
      <c r="O548" s="24">
        <v>0.9</v>
      </c>
      <c r="P548" s="24">
        <v>6.1469544244037024</v>
      </c>
      <c r="Q548" s="24">
        <v>2.412336290663287</v>
      </c>
      <c r="R548" s="24">
        <v>4.8499999999999996</v>
      </c>
      <c r="S548" s="24">
        <v>3.5478483725187293</v>
      </c>
      <c r="T548" s="21">
        <v>1</v>
      </c>
      <c r="U548" s="21" t="s">
        <v>141</v>
      </c>
      <c r="V548" s="70">
        <v>-2.9774964793274027E-2</v>
      </c>
      <c r="W548" s="70">
        <v>3.022503520672597E-2</v>
      </c>
      <c r="X548" s="24">
        <v>0.45764003705362855</v>
      </c>
      <c r="Y548" s="24" t="s">
        <v>1573</v>
      </c>
      <c r="Z548" s="75">
        <v>2610.645</v>
      </c>
      <c r="AA548" t="s">
        <v>1414</v>
      </c>
      <c r="AB548" s="24">
        <v>8.7863247863247871</v>
      </c>
    </row>
    <row r="549" spans="1:28" x14ac:dyDescent="0.55000000000000004">
      <c r="A549" s="24" t="s">
        <v>676</v>
      </c>
      <c r="B549" s="24" t="s">
        <v>968</v>
      </c>
      <c r="C549" s="24" t="s">
        <v>112</v>
      </c>
      <c r="D549" s="24" t="s">
        <v>72</v>
      </c>
      <c r="E549" s="24" t="s">
        <v>89</v>
      </c>
      <c r="F549" s="70">
        <v>2.24532269953423E-4</v>
      </c>
      <c r="G549" s="24">
        <v>4.8153670000000002</v>
      </c>
      <c r="H549" s="24">
        <v>5.4556990000000001</v>
      </c>
      <c r="I549" s="24">
        <v>7.6382960000000004</v>
      </c>
      <c r="J549" s="24">
        <v>6.200672</v>
      </c>
      <c r="K549" s="24">
        <v>1.6490389999999999</v>
      </c>
      <c r="L549" s="24">
        <v>5.2833069999999998</v>
      </c>
      <c r="M549" s="24">
        <v>368.72789999999998</v>
      </c>
      <c r="N549" s="24">
        <v>6.9980537282016977</v>
      </c>
      <c r="O549" s="24">
        <v>2.6</v>
      </c>
      <c r="P549" s="24">
        <v>5.4054054054054044</v>
      </c>
      <c r="Q549" s="24">
        <v>3.5964475431606906</v>
      </c>
      <c r="R549" s="24">
        <v>5.2</v>
      </c>
      <c r="S549" s="24">
        <v>4.8284868176267635</v>
      </c>
      <c r="T549" s="21">
        <v>1</v>
      </c>
      <c r="U549" s="21" t="s">
        <v>141</v>
      </c>
      <c r="V549" s="70">
        <v>-2.9775852219298647E-2</v>
      </c>
      <c r="W549" s="70">
        <v>3.0224147780701351E-2</v>
      </c>
      <c r="X549" s="24">
        <v>1.4188879443141527</v>
      </c>
      <c r="Y549" s="24" t="s">
        <v>1616</v>
      </c>
      <c r="Z549" s="75">
        <v>2763.2</v>
      </c>
      <c r="AA549" t="s">
        <v>1414</v>
      </c>
      <c r="AB549" s="24">
        <v>7.8027681660899653</v>
      </c>
    </row>
    <row r="550" spans="1:28" x14ac:dyDescent="0.55000000000000004">
      <c r="A550" s="24" t="s">
        <v>733</v>
      </c>
      <c r="B550" s="24" t="s">
        <v>1356</v>
      </c>
      <c r="C550" s="24" t="s">
        <v>127</v>
      </c>
      <c r="D550" s="24" t="s">
        <v>72</v>
      </c>
      <c r="E550" s="24" t="s">
        <v>82</v>
      </c>
      <c r="F550" s="70">
        <v>2.2310955661305928E-4</v>
      </c>
      <c r="G550" s="24">
        <v>5.413551</v>
      </c>
      <c r="H550" s="24">
        <v>4.141845</v>
      </c>
      <c r="I550" s="24">
        <v>6.0431850000000003</v>
      </c>
      <c r="J550" s="24">
        <v>5.1888259999999997</v>
      </c>
      <c r="K550" s="24">
        <v>8.8931819999999995</v>
      </c>
      <c r="L550" s="24">
        <v>19.744910000000001</v>
      </c>
      <c r="M550" s="24">
        <v>9.7594999999999992</v>
      </c>
      <c r="N550" s="24">
        <v>6.1125112792168323</v>
      </c>
      <c r="O550" s="24">
        <v>4.2</v>
      </c>
      <c r="P550" s="24">
        <v>6.666667383512622</v>
      </c>
      <c r="Q550" s="24">
        <v>7.3102379946486433</v>
      </c>
      <c r="R550" s="24">
        <v>7.83</v>
      </c>
      <c r="S550" s="24">
        <v>7.8355414509573293</v>
      </c>
      <c r="T550" s="21">
        <v>1</v>
      </c>
      <c r="U550" s="21" t="s">
        <v>117</v>
      </c>
      <c r="V550" s="70">
        <v>-2.977650595413487E-2</v>
      </c>
      <c r="W550" s="70">
        <v>3.0223494045865128E-2</v>
      </c>
      <c r="X550" s="24">
        <v>0.89459220724788824</v>
      </c>
      <c r="Y550" s="24" t="s">
        <v>1438</v>
      </c>
      <c r="Z550" s="75">
        <v>2353.027</v>
      </c>
      <c r="AA550" t="s">
        <v>1414</v>
      </c>
      <c r="AB550" s="24">
        <v>8.735042735042736</v>
      </c>
    </row>
    <row r="551" spans="1:28" x14ac:dyDescent="0.55000000000000004">
      <c r="A551" s="24" t="s">
        <v>746</v>
      </c>
      <c r="B551" s="24" t="s">
        <v>1199</v>
      </c>
      <c r="C551" s="24" t="s">
        <v>110</v>
      </c>
      <c r="D551" s="24" t="s">
        <v>72</v>
      </c>
      <c r="E551" s="24" t="s">
        <v>94</v>
      </c>
      <c r="F551" s="70">
        <v>2.2287211173797737E-4</v>
      </c>
      <c r="G551" s="24">
        <v>5.2236969999999996</v>
      </c>
      <c r="H551" s="24">
        <v>2.4937279999999999</v>
      </c>
      <c r="I551" s="24">
        <v>6.4307930000000004</v>
      </c>
      <c r="J551" s="24">
        <v>5.1605420000000004</v>
      </c>
      <c r="K551" s="24">
        <v>4.4710330000000003</v>
      </c>
      <c r="L551" s="24">
        <v>4.773199</v>
      </c>
      <c r="M551" s="24">
        <v>21.7563</v>
      </c>
      <c r="N551" s="24">
        <v>2.5453946877117648</v>
      </c>
      <c r="O551" s="24">
        <v>6.7</v>
      </c>
      <c r="P551" s="24">
        <v>2.7430555555555558</v>
      </c>
      <c r="Q551" s="24">
        <v>2.5354889589905358</v>
      </c>
      <c r="R551" s="24">
        <v>7.36</v>
      </c>
      <c r="S551" s="24">
        <v>4.1968164323891521</v>
      </c>
      <c r="T551" s="21">
        <v>1</v>
      </c>
      <c r="U551" s="21" t="s">
        <v>141</v>
      </c>
      <c r="V551" s="70">
        <v>-2.9777512377514092E-2</v>
      </c>
      <c r="W551" s="70">
        <v>3.0222487622485906E-2</v>
      </c>
      <c r="X551" s="24">
        <v>0.38882687477514521</v>
      </c>
      <c r="Y551" s="24" t="s">
        <v>1529</v>
      </c>
      <c r="Z551" s="75">
        <v>2455.8409999999999</v>
      </c>
      <c r="AA551" t="s">
        <v>1414</v>
      </c>
      <c r="AB551" s="24">
        <v>9.1067538126361658</v>
      </c>
    </row>
    <row r="552" spans="1:28" x14ac:dyDescent="0.55000000000000004">
      <c r="A552" s="24" t="s">
        <v>763</v>
      </c>
      <c r="B552" s="24" t="s">
        <v>928</v>
      </c>
      <c r="C552" s="24" t="s">
        <v>106</v>
      </c>
      <c r="D552" s="24" t="s">
        <v>72</v>
      </c>
      <c r="E552" s="24" t="s">
        <v>91</v>
      </c>
      <c r="F552" s="70">
        <v>2.2199294308462139E-4</v>
      </c>
      <c r="G552" s="24">
        <v>5.8800030000000003</v>
      </c>
      <c r="H552" s="24">
        <v>6.3891840000000002</v>
      </c>
      <c r="I552" s="24">
        <v>6.6701430000000004</v>
      </c>
      <c r="J552" s="24">
        <v>6.2697989999999999</v>
      </c>
      <c r="K552" s="24">
        <v>2.3089930000000001</v>
      </c>
      <c r="L552" s="24">
        <v>10.50788</v>
      </c>
      <c r="M552" s="24">
        <v>54.514699999999998</v>
      </c>
      <c r="N552" s="24">
        <v>5.4970764975303688</v>
      </c>
      <c r="O552" s="24">
        <v>7.5</v>
      </c>
      <c r="P552" s="24">
        <v>7.1428571428571441</v>
      </c>
      <c r="Q552" s="24">
        <v>6.706865850014939</v>
      </c>
      <c r="R552" s="24">
        <v>6.26</v>
      </c>
      <c r="S552" s="24">
        <v>7.3031953636016436</v>
      </c>
      <c r="T552" s="21">
        <v>1</v>
      </c>
      <c r="U552" s="21" t="s">
        <v>141</v>
      </c>
      <c r="V552" s="70">
        <v>-2.9777622567663309E-2</v>
      </c>
      <c r="W552" s="70">
        <v>3.0222377432336689E-2</v>
      </c>
      <c r="X552" s="24">
        <v>1.015640396126539</v>
      </c>
      <c r="Y552" s="24" t="s">
        <v>1788</v>
      </c>
      <c r="Z552" s="75">
        <v>2276.462</v>
      </c>
      <c r="AA552" t="s">
        <v>1414</v>
      </c>
      <c r="AB552" s="24">
        <v>9.2967409948542024</v>
      </c>
    </row>
    <row r="553" spans="1:28" x14ac:dyDescent="0.55000000000000004">
      <c r="A553" s="24" t="s">
        <v>745</v>
      </c>
      <c r="B553" s="24" t="s">
        <v>982</v>
      </c>
      <c r="C553" s="24" t="s">
        <v>113</v>
      </c>
      <c r="D553" s="24" t="s">
        <v>72</v>
      </c>
      <c r="E553" s="24" t="s">
        <v>82</v>
      </c>
      <c r="F553" s="70">
        <v>2.1874878896395081E-4</v>
      </c>
      <c r="G553" s="24">
        <v>4.1314089999999997</v>
      </c>
      <c r="H553" s="24">
        <v>6.412795</v>
      </c>
      <c r="I553" s="24">
        <v>5.2202270000000004</v>
      </c>
      <c r="J553" s="24">
        <v>5.3109799999999998</v>
      </c>
      <c r="K553" s="24">
        <v>8.5964980000000004</v>
      </c>
      <c r="L553" s="24">
        <v>18.281780000000001</v>
      </c>
      <c r="M553" s="24">
        <v>11.163399999999999</v>
      </c>
      <c r="N553" s="24">
        <v>7.2376268211561321</v>
      </c>
      <c r="O553" s="24">
        <v>8.1999999999999993</v>
      </c>
      <c r="P553" s="24">
        <v>4.4193553139091737</v>
      </c>
      <c r="Q553" s="24">
        <v>8.0721025207717236</v>
      </c>
      <c r="R553" s="24">
        <v>8.34</v>
      </c>
      <c r="S553" s="24">
        <v>7.0596990738912613</v>
      </c>
      <c r="T553" s="21">
        <v>1</v>
      </c>
      <c r="U553" s="21" t="s">
        <v>141</v>
      </c>
      <c r="V553" s="70">
        <v>-2.9780866721783979E-2</v>
      </c>
      <c r="W553" s="70">
        <v>3.0219133278216018E-2</v>
      </c>
      <c r="X553" s="24">
        <v>1.2673576962797455</v>
      </c>
      <c r="Y553" s="24" t="s">
        <v>1872</v>
      </c>
      <c r="Z553" s="75">
        <v>2482.9180000000001</v>
      </c>
      <c r="AA553" t="s">
        <v>1414</v>
      </c>
      <c r="AB553" s="24">
        <v>8.9401709401709404</v>
      </c>
    </row>
    <row r="554" spans="1:28" x14ac:dyDescent="0.55000000000000004">
      <c r="A554" s="24" t="s">
        <v>2020</v>
      </c>
      <c r="B554" s="24" t="s">
        <v>2021</v>
      </c>
      <c r="C554" s="24" t="s">
        <v>127</v>
      </c>
      <c r="D554" s="24" t="s">
        <v>72</v>
      </c>
      <c r="E554" s="24" t="s">
        <v>88</v>
      </c>
      <c r="F554" s="70">
        <v>2.1852640702792956E-4</v>
      </c>
      <c r="G554" s="24">
        <v>5.8914220000000004</v>
      </c>
      <c r="H554" s="24">
        <v>7.0079330000000004</v>
      </c>
      <c r="I554" s="24">
        <v>6.3945819999999998</v>
      </c>
      <c r="J554" s="24">
        <v>6.5392900000000003</v>
      </c>
      <c r="K554" s="24">
        <v>0</v>
      </c>
      <c r="L554" s="24">
        <v>7.3805969999999999</v>
      </c>
      <c r="M554" s="24">
        <v>17.7986</v>
      </c>
      <c r="N554" s="24">
        <v>2.3754882661207861</v>
      </c>
      <c r="O554" s="24">
        <v>9.6</v>
      </c>
      <c r="P554" s="24">
        <v>6.5479452054794516</v>
      </c>
      <c r="Q554" s="24">
        <v>3.9277262730031466</v>
      </c>
      <c r="R554" s="24">
        <v>0</v>
      </c>
      <c r="S554" s="24" t="e">
        <v>#N/A</v>
      </c>
      <c r="T554" s="21">
        <v>1</v>
      </c>
      <c r="U554" s="21" t="s">
        <v>141</v>
      </c>
      <c r="V554" s="70">
        <v>-2.9781089103719998E-2</v>
      </c>
      <c r="W554" s="70">
        <v>3.021891089628E-2</v>
      </c>
      <c r="X554" s="24">
        <v>1.2533890505252421</v>
      </c>
      <c r="Y554" s="24" t="s">
        <v>2022</v>
      </c>
      <c r="Z554" s="75">
        <v>2178.6170000000002</v>
      </c>
      <c r="AA554" t="s">
        <v>1414</v>
      </c>
      <c r="AB554" s="24">
        <v>0</v>
      </c>
    </row>
    <row r="555" spans="1:28" x14ac:dyDescent="0.55000000000000004">
      <c r="A555" s="24" t="s">
        <v>772</v>
      </c>
      <c r="B555" s="24" t="s">
        <v>1222</v>
      </c>
      <c r="C555" s="24" t="s">
        <v>105</v>
      </c>
      <c r="D555" s="24" t="s">
        <v>72</v>
      </c>
      <c r="E555" s="24" t="s">
        <v>93</v>
      </c>
      <c r="F555" s="70">
        <v>2.1852480571785978E-4</v>
      </c>
      <c r="G555" s="24">
        <v>6.9383509999999999</v>
      </c>
      <c r="H555" s="24">
        <v>5.2332179999999999</v>
      </c>
      <c r="I555" s="24">
        <v>4.9543160000000004</v>
      </c>
      <c r="J555" s="24">
        <v>5.831601</v>
      </c>
      <c r="K555" s="24">
        <v>4.233803</v>
      </c>
      <c r="L555" s="24">
        <v>4.2642239999999996</v>
      </c>
      <c r="M555" s="24">
        <v>19.360399999999998</v>
      </c>
      <c r="N555" s="24">
        <v>0</v>
      </c>
      <c r="O555" s="24">
        <v>0.6</v>
      </c>
      <c r="P555" s="24">
        <v>3.3229813664596275</v>
      </c>
      <c r="Q555" s="24">
        <v>5.3698019936442396</v>
      </c>
      <c r="R555" s="24">
        <v>6.6799989999999996</v>
      </c>
      <c r="S555" s="24">
        <v>2.5136697130964292</v>
      </c>
      <c r="T555" s="21">
        <v>1</v>
      </c>
      <c r="U555" s="21" t="s">
        <v>141</v>
      </c>
      <c r="V555" s="70">
        <v>-2.9781090705030069E-2</v>
      </c>
      <c r="W555" s="70">
        <v>3.0218909294969929E-2</v>
      </c>
      <c r="X555" s="24">
        <v>1.6990244544921183</v>
      </c>
      <c r="Y555" s="24" t="s">
        <v>1977</v>
      </c>
      <c r="Z555" s="75">
        <v>2136.0419999999999</v>
      </c>
      <c r="AA555" t="s">
        <v>1414</v>
      </c>
      <c r="AB555" s="24">
        <v>9.4511149228130371</v>
      </c>
    </row>
    <row r="556" spans="1:28" x14ac:dyDescent="0.55000000000000004">
      <c r="A556" s="24" t="s">
        <v>781</v>
      </c>
      <c r="B556" s="24" t="s">
        <v>1079</v>
      </c>
      <c r="C556" s="24" t="s">
        <v>109</v>
      </c>
      <c r="D556" s="24" t="s">
        <v>72</v>
      </c>
      <c r="E556" s="24" t="s">
        <v>83</v>
      </c>
      <c r="F556" s="70">
        <v>2.1831012141957301E-4</v>
      </c>
      <c r="G556" s="24">
        <v>7.3960340000000002</v>
      </c>
      <c r="H556" s="24">
        <v>7.1331119999999997</v>
      </c>
      <c r="I556" s="24">
        <v>4.6620189999999999</v>
      </c>
      <c r="J556" s="24">
        <v>6.3970549999999999</v>
      </c>
      <c r="K556" s="24">
        <v>6.8451979999999999</v>
      </c>
      <c r="L556" s="24">
        <v>4.4367530000000004</v>
      </c>
      <c r="M556" s="24">
        <v>32.896900000000002</v>
      </c>
      <c r="N556" s="24">
        <v>0.96950217593418642</v>
      </c>
      <c r="O556" s="24">
        <v>0.7</v>
      </c>
      <c r="P556" s="24">
        <v>4.4477611940298507</v>
      </c>
      <c r="Q556" s="24">
        <v>5.7354803478059067</v>
      </c>
      <c r="R556" s="24">
        <v>7.08</v>
      </c>
      <c r="S556" s="24">
        <v>3.2939409910936108</v>
      </c>
      <c r="T556" s="21">
        <v>1</v>
      </c>
      <c r="U556" s="21" t="s">
        <v>141</v>
      </c>
      <c r="V556" s="70">
        <v>-2.9781805189567089E-2</v>
      </c>
      <c r="W556" s="70">
        <v>3.0218194810432909E-2</v>
      </c>
      <c r="X556" s="24">
        <v>1.7052658036994659</v>
      </c>
      <c r="Y556" s="24" t="s">
        <v>1520</v>
      </c>
      <c r="Z556" s="75">
        <v>2382.614</v>
      </c>
      <c r="AA556" t="s">
        <v>1414</v>
      </c>
      <c r="AB556" s="24">
        <v>9.5833333333333339</v>
      </c>
    </row>
    <row r="557" spans="1:28" x14ac:dyDescent="0.55000000000000004">
      <c r="A557" s="24" t="s">
        <v>778</v>
      </c>
      <c r="B557" s="24" t="s">
        <v>952</v>
      </c>
      <c r="C557" s="24" t="s">
        <v>108</v>
      </c>
      <c r="D557" s="24" t="s">
        <v>72</v>
      </c>
      <c r="E557" s="24" t="s">
        <v>87</v>
      </c>
      <c r="F557" s="70">
        <v>2.1781032118084015E-4</v>
      </c>
      <c r="G557" s="24">
        <v>1.988721</v>
      </c>
      <c r="H557" s="24">
        <v>5.6812930000000001</v>
      </c>
      <c r="I557" s="24">
        <v>4.1248969999999998</v>
      </c>
      <c r="J557" s="24">
        <v>3.7373449999999999</v>
      </c>
      <c r="K557" s="24">
        <v>2.4702220000000001</v>
      </c>
      <c r="L557" s="24">
        <v>5.7893160000000004</v>
      </c>
      <c r="M557" s="24">
        <v>10.238799999999999</v>
      </c>
      <c r="N557" s="24">
        <v>5.9900267612704425</v>
      </c>
      <c r="O557" s="24">
        <v>2</v>
      </c>
      <c r="P557" s="24">
        <v>6.2343096234309625</v>
      </c>
      <c r="Q557" s="24">
        <v>2.914178686532467</v>
      </c>
      <c r="R557" s="24">
        <v>6.42</v>
      </c>
      <c r="S557" s="24">
        <v>5.1625684675000549</v>
      </c>
      <c r="T557" s="21">
        <v>1</v>
      </c>
      <c r="U557" s="21" t="s">
        <v>141</v>
      </c>
      <c r="V557" s="70">
        <v>-2.9781902268990103E-2</v>
      </c>
      <c r="W557" s="70">
        <v>3.0218097731009894E-2</v>
      </c>
      <c r="X557" s="24">
        <v>0.68423051576356897</v>
      </c>
      <c r="Y557" s="24" t="s">
        <v>1699</v>
      </c>
      <c r="Z557" s="75">
        <v>2630.518</v>
      </c>
      <c r="AA557" t="s">
        <v>1414</v>
      </c>
      <c r="AB557" s="24">
        <v>10</v>
      </c>
    </row>
    <row r="558" spans="1:28" x14ac:dyDescent="0.55000000000000004">
      <c r="A558" s="24" t="s">
        <v>762</v>
      </c>
      <c r="B558" s="24" t="s">
        <v>2016</v>
      </c>
      <c r="C558" s="24" t="s">
        <v>110</v>
      </c>
      <c r="D558" s="24" t="s">
        <v>72</v>
      </c>
      <c r="E558" s="24" t="s">
        <v>89</v>
      </c>
      <c r="F558" s="70">
        <v>2.1548036437131507E-4</v>
      </c>
      <c r="G558" s="24">
        <v>8.4485340000000004</v>
      </c>
      <c r="H558" s="24">
        <v>5.9122560000000002</v>
      </c>
      <c r="I558" s="24">
        <v>7.2200730000000002</v>
      </c>
      <c r="J558" s="24">
        <v>7.3191119999999996</v>
      </c>
      <c r="K558" s="24">
        <v>3.4319199999999999</v>
      </c>
      <c r="L558" s="24">
        <v>5.8521570000000001</v>
      </c>
      <c r="M558" s="24">
        <v>11.5619</v>
      </c>
      <c r="N558" s="24">
        <v>3.3909659221540558</v>
      </c>
      <c r="O558" s="24">
        <v>6.7</v>
      </c>
      <c r="P558" s="24">
        <v>5.4054054054054044</v>
      </c>
      <c r="Q558" s="24">
        <v>7.261694333776008</v>
      </c>
      <c r="R558" s="24">
        <v>6.68</v>
      </c>
      <c r="S558" s="24">
        <v>5.4303890043167025</v>
      </c>
      <c r="T558" s="21">
        <v>1</v>
      </c>
      <c r="U558" s="21" t="s">
        <v>141</v>
      </c>
      <c r="V558" s="70">
        <v>-2.9784904124880753E-2</v>
      </c>
      <c r="W558" s="70">
        <v>3.0215095875119245E-2</v>
      </c>
      <c r="X558" s="24">
        <v>0.61496219100454796</v>
      </c>
      <c r="Y558" s="24" t="s">
        <v>1557</v>
      </c>
      <c r="Z558" s="75">
        <v>2543.4580000000001</v>
      </c>
      <c r="AA558" t="s">
        <v>1414</v>
      </c>
      <c r="AB558" s="24">
        <v>9.2906574394463668</v>
      </c>
    </row>
    <row r="559" spans="1:28" x14ac:dyDescent="0.55000000000000004">
      <c r="A559" s="24" t="s">
        <v>782</v>
      </c>
      <c r="B559" s="24" t="s">
        <v>1202</v>
      </c>
      <c r="C559" s="24" t="s">
        <v>112</v>
      </c>
      <c r="D559" s="24" t="s">
        <v>72</v>
      </c>
      <c r="E559" s="24" t="s">
        <v>88</v>
      </c>
      <c r="F559" s="70">
        <v>2.1473790245150984E-4</v>
      </c>
      <c r="G559" s="24">
        <v>4.1628740000000004</v>
      </c>
      <c r="H559" s="24">
        <v>6.1499090000000001</v>
      </c>
      <c r="I559" s="24">
        <v>5.3707779999999996</v>
      </c>
      <c r="J559" s="24">
        <v>5.4408500000000002</v>
      </c>
      <c r="K559" s="24">
        <v>1.290532</v>
      </c>
      <c r="L559" s="24">
        <v>2.2701449999999999</v>
      </c>
      <c r="M559" s="24">
        <v>170.05260000000001</v>
      </c>
      <c r="N559" s="24">
        <v>2.2113840283185744</v>
      </c>
      <c r="O559" s="24">
        <v>1</v>
      </c>
      <c r="P559" s="24">
        <v>6.9315068493150687</v>
      </c>
      <c r="Q559" s="24">
        <v>3.603663799103539</v>
      </c>
      <c r="R559" s="24">
        <v>4.42</v>
      </c>
      <c r="S559" s="24">
        <v>2.192476157880801</v>
      </c>
      <c r="T559" s="21">
        <v>1</v>
      </c>
      <c r="U559" s="21" t="s">
        <v>141</v>
      </c>
      <c r="V559" s="70">
        <v>-2.9784955566966764E-2</v>
      </c>
      <c r="W559" s="70">
        <v>3.0215044433033234E-2</v>
      </c>
      <c r="X559" s="24">
        <v>1.2930949757375025</v>
      </c>
      <c r="Y559" s="24" t="s">
        <v>1587</v>
      </c>
      <c r="Z559" s="75">
        <v>2603.3119999999999</v>
      </c>
      <c r="AA559" t="s">
        <v>1414</v>
      </c>
      <c r="AB559" s="24">
        <v>9.8784722222222214</v>
      </c>
    </row>
    <row r="560" spans="1:28" x14ac:dyDescent="0.55000000000000004">
      <c r="A560" s="24" t="s">
        <v>768</v>
      </c>
      <c r="B560" s="24" t="s">
        <v>1240</v>
      </c>
      <c r="C560" s="24" t="s">
        <v>110</v>
      </c>
      <c r="D560" s="24" t="s">
        <v>72</v>
      </c>
      <c r="E560" s="24" t="s">
        <v>82</v>
      </c>
      <c r="F560" s="70">
        <v>2.1460815079236552E-4</v>
      </c>
      <c r="G560" s="24">
        <v>8.0237739999999995</v>
      </c>
      <c r="H560" s="24">
        <v>7.8788640000000001</v>
      </c>
      <c r="I560" s="24">
        <v>6.705756</v>
      </c>
      <c r="J560" s="24">
        <v>7.511749</v>
      </c>
      <c r="K560" s="24">
        <v>5.269158</v>
      </c>
      <c r="L560" s="24">
        <v>8.6520329999999994</v>
      </c>
      <c r="M560" s="24">
        <v>4.7430000000000003</v>
      </c>
      <c r="N560" s="24">
        <v>7.7314389427790529</v>
      </c>
      <c r="O560" s="24">
        <v>6.4</v>
      </c>
      <c r="P560" s="24">
        <v>5.4516134894208061</v>
      </c>
      <c r="Q560" s="24">
        <v>4.7683424869736672</v>
      </c>
      <c r="R560" s="24">
        <v>7.68</v>
      </c>
      <c r="S560" s="24">
        <v>5.2805872068579838</v>
      </c>
      <c r="T560" s="21">
        <v>1</v>
      </c>
      <c r="U560" s="21" t="s">
        <v>141</v>
      </c>
      <c r="V560" s="70">
        <v>-2.9785776338459701E-2</v>
      </c>
      <c r="W560" s="70">
        <v>3.0214223661540297E-2</v>
      </c>
      <c r="X560" s="24">
        <v>0.57749435247877667</v>
      </c>
      <c r="Y560" s="24" t="s">
        <v>1562</v>
      </c>
      <c r="Z560" s="75">
        <v>2457.69</v>
      </c>
      <c r="AA560" t="s">
        <v>1414</v>
      </c>
      <c r="AB560" s="24">
        <v>9.3333333333333339</v>
      </c>
    </row>
    <row r="561" spans="1:28" x14ac:dyDescent="0.55000000000000004">
      <c r="A561" s="24" t="s">
        <v>734</v>
      </c>
      <c r="B561" s="24" t="s">
        <v>869</v>
      </c>
      <c r="C561" s="24" t="s">
        <v>110</v>
      </c>
      <c r="D561" s="24" t="s">
        <v>72</v>
      </c>
      <c r="E561" s="24" t="s">
        <v>88</v>
      </c>
      <c r="F561" s="70">
        <v>2.129538923694098E-4</v>
      </c>
      <c r="G561" s="24">
        <v>3.6220189999999999</v>
      </c>
      <c r="H561" s="24">
        <v>4.7336119999999999</v>
      </c>
      <c r="I561" s="24">
        <v>4.887181</v>
      </c>
      <c r="J561" s="24">
        <v>4.5727209999999996</v>
      </c>
      <c r="K561" s="24">
        <v>1.2166429999999999</v>
      </c>
      <c r="L561" s="24">
        <v>2.3229190000000002</v>
      </c>
      <c r="M561" s="24">
        <v>21.438099999999999</v>
      </c>
      <c r="N561" s="24">
        <v>4.5926106478335207</v>
      </c>
      <c r="O561" s="24">
        <v>8.1</v>
      </c>
      <c r="P561" s="24">
        <v>6.4383561643835616</v>
      </c>
      <c r="Q561" s="24">
        <v>0.85442245051365573</v>
      </c>
      <c r="R561" s="24">
        <v>5.56</v>
      </c>
      <c r="S561" s="24">
        <v>2.6796958145910246</v>
      </c>
      <c r="T561" s="21">
        <v>1</v>
      </c>
      <c r="U561" s="21" t="s">
        <v>141</v>
      </c>
      <c r="V561" s="70">
        <v>-2.9786739326303265E-2</v>
      </c>
      <c r="W561" s="70">
        <v>3.0213260673696733E-2</v>
      </c>
      <c r="X561" s="24">
        <v>1.3073661838845982</v>
      </c>
      <c r="Y561" s="24" t="s">
        <v>1578</v>
      </c>
      <c r="Z561" s="75">
        <v>2358.7800000000002</v>
      </c>
      <c r="AA561" t="s">
        <v>1414</v>
      </c>
      <c r="AB561" s="24">
        <v>9.0451388888888893</v>
      </c>
    </row>
    <row r="562" spans="1:28" x14ac:dyDescent="0.55000000000000004">
      <c r="A562" s="24" t="s">
        <v>765</v>
      </c>
      <c r="B562" s="24" t="s">
        <v>1138</v>
      </c>
      <c r="C562" s="24" t="s">
        <v>107</v>
      </c>
      <c r="D562" s="24" t="s">
        <v>72</v>
      </c>
      <c r="E562" s="24" t="s">
        <v>86</v>
      </c>
      <c r="F562" s="70">
        <v>2.1277829546661886E-4</v>
      </c>
      <c r="G562" s="24">
        <v>6.8950069999999997</v>
      </c>
      <c r="H562" s="24">
        <v>7.0692839999999997</v>
      </c>
      <c r="I562" s="24">
        <v>4.9434630000000004</v>
      </c>
      <c r="J562" s="24">
        <v>6.272964</v>
      </c>
      <c r="K562" s="24">
        <v>4.4063179999999997</v>
      </c>
      <c r="L562" s="24">
        <v>14.339740000000001</v>
      </c>
      <c r="M562" s="24">
        <v>20.7179</v>
      </c>
      <c r="N562" s="24">
        <v>6.6109072690608262</v>
      </c>
      <c r="O562" s="24">
        <v>4.8</v>
      </c>
      <c r="P562" s="24">
        <v>1.2903227193895397</v>
      </c>
      <c r="Q562" s="24">
        <v>7.5440078862132109</v>
      </c>
      <c r="R562" s="24">
        <v>5.09</v>
      </c>
      <c r="S562" s="24">
        <v>5.7108409833289731</v>
      </c>
      <c r="T562" s="21">
        <v>1</v>
      </c>
      <c r="U562" s="21" t="s">
        <v>141</v>
      </c>
      <c r="V562" s="70">
        <v>-2.9786900558210976E-2</v>
      </c>
      <c r="W562" s="70">
        <v>3.0213099441789022E-2</v>
      </c>
      <c r="X562" s="24">
        <v>1.2124453243395565</v>
      </c>
      <c r="Y562" s="24" t="s">
        <v>1717</v>
      </c>
      <c r="Z562" s="75">
        <v>2468.5529999999999</v>
      </c>
      <c r="AA562" t="s">
        <v>1414</v>
      </c>
      <c r="AB562" s="24">
        <v>9.2820512820512828</v>
      </c>
    </row>
    <row r="563" spans="1:28" x14ac:dyDescent="0.55000000000000004">
      <c r="A563" s="24" t="s">
        <v>771</v>
      </c>
      <c r="B563" s="24" t="s">
        <v>1200</v>
      </c>
      <c r="C563" s="24" t="s">
        <v>106</v>
      </c>
      <c r="D563" s="24" t="s">
        <v>72</v>
      </c>
      <c r="E563" s="24" t="s">
        <v>96</v>
      </c>
      <c r="F563" s="70">
        <v>2.1271495253695469E-4</v>
      </c>
      <c r="G563" s="24">
        <v>8.2583369999999992</v>
      </c>
      <c r="H563" s="24">
        <v>6.6801690000000002</v>
      </c>
      <c r="I563" s="24">
        <v>5.9736180000000001</v>
      </c>
      <c r="J563" s="24">
        <v>6.9707080000000001</v>
      </c>
      <c r="K563" s="24">
        <v>2.5758200000000002</v>
      </c>
      <c r="L563" s="24">
        <v>3.9796299999999998</v>
      </c>
      <c r="M563" s="24">
        <v>6.5608E-2</v>
      </c>
      <c r="N563" s="24">
        <v>4.1862253441276218</v>
      </c>
      <c r="O563" s="24">
        <v>5.0999999999999996</v>
      </c>
      <c r="P563" s="24">
        <v>10</v>
      </c>
      <c r="Q563" s="24">
        <v>1.6254177887931645</v>
      </c>
      <c r="R563" s="24">
        <v>6.15</v>
      </c>
      <c r="S563" s="24">
        <v>5.7848197742686205</v>
      </c>
      <c r="T563" s="21">
        <v>1</v>
      </c>
      <c r="U563" s="21" t="s">
        <v>141</v>
      </c>
      <c r="V563" s="70">
        <v>-2.9787046677754895E-2</v>
      </c>
      <c r="W563" s="70">
        <v>3.0212953322245103E-2</v>
      </c>
      <c r="X563" s="24">
        <v>1.3021713708021492</v>
      </c>
      <c r="Y563" s="24" t="s">
        <v>1858</v>
      </c>
      <c r="Z563" s="75">
        <v>2424.0219999999999</v>
      </c>
      <c r="AA563" t="s">
        <v>1414</v>
      </c>
      <c r="AB563" s="24">
        <v>9.6533795493934136</v>
      </c>
    </row>
    <row r="564" spans="1:28" x14ac:dyDescent="0.55000000000000004">
      <c r="A564" s="24" t="s">
        <v>786</v>
      </c>
      <c r="B564" s="24" t="s">
        <v>1108</v>
      </c>
      <c r="C564" s="24" t="s">
        <v>106</v>
      </c>
      <c r="D564" s="24" t="s">
        <v>72</v>
      </c>
      <c r="E564" s="24" t="s">
        <v>98</v>
      </c>
      <c r="F564" s="70">
        <v>2.1256938282715915E-4</v>
      </c>
      <c r="G564" s="24">
        <v>7.5130280000000003</v>
      </c>
      <c r="H564" s="24">
        <v>7.6881899999999996</v>
      </c>
      <c r="I564" s="24">
        <v>7.2254290000000001</v>
      </c>
      <c r="J564" s="24">
        <v>7.4792969999999999</v>
      </c>
      <c r="K564" s="24">
        <v>2.3356490000000001</v>
      </c>
      <c r="L564" s="24">
        <v>15.02941</v>
      </c>
      <c r="M564" s="24">
        <v>1245.6890000000001</v>
      </c>
      <c r="N564" s="24">
        <v>9.7389310809657754</v>
      </c>
      <c r="O564" s="24">
        <v>3.1</v>
      </c>
      <c r="P564" s="24">
        <v>6.925465838509318</v>
      </c>
      <c r="Q564" s="24">
        <v>7.2100746937556028</v>
      </c>
      <c r="R564" s="24">
        <v>5.83</v>
      </c>
      <c r="S564" s="24">
        <v>7.9055432635723788</v>
      </c>
      <c r="T564" s="21">
        <v>1</v>
      </c>
      <c r="U564" s="21" t="s">
        <v>117</v>
      </c>
      <c r="V564" s="70">
        <v>-2.9787815106424909E-2</v>
      </c>
      <c r="W564" s="70">
        <v>3.0212184893575088E-2</v>
      </c>
      <c r="X564" s="24">
        <v>0.99662409778386185</v>
      </c>
      <c r="Y564" s="24" t="s">
        <v>1824</v>
      </c>
      <c r="Z564" s="75">
        <v>2321.308</v>
      </c>
      <c r="AA564" t="s">
        <v>1414</v>
      </c>
      <c r="AB564" s="24">
        <v>9.6912521440823323</v>
      </c>
    </row>
    <row r="565" spans="1:28" x14ac:dyDescent="0.55000000000000004">
      <c r="A565" s="24" t="s">
        <v>777</v>
      </c>
      <c r="B565" s="24" t="s">
        <v>1153</v>
      </c>
      <c r="C565" s="24" t="s">
        <v>111</v>
      </c>
      <c r="D565" s="24" t="s">
        <v>72</v>
      </c>
      <c r="E565" s="24" t="s">
        <v>89</v>
      </c>
      <c r="F565" s="70">
        <v>2.1163822102124498E-4</v>
      </c>
      <c r="G565" s="24">
        <v>5.2771590000000002</v>
      </c>
      <c r="H565" s="24">
        <v>5.4798280000000004</v>
      </c>
      <c r="I565" s="24">
        <v>5.7404390000000003</v>
      </c>
      <c r="J565" s="24">
        <v>5.4769439999999996</v>
      </c>
      <c r="K565" s="24">
        <v>3.7548089999999998</v>
      </c>
      <c r="L565" s="24">
        <v>6.2981319999999998</v>
      </c>
      <c r="M565" s="24">
        <v>565.37360000000001</v>
      </c>
      <c r="N565" s="24">
        <v>5.6235143452122589</v>
      </c>
      <c r="O565" s="24">
        <v>3.9</v>
      </c>
      <c r="P565" s="24">
        <v>7.7777777777777768</v>
      </c>
      <c r="Q565" s="24">
        <v>3.2219267374944667</v>
      </c>
      <c r="R565" s="24">
        <v>6.14</v>
      </c>
      <c r="S565" s="24">
        <v>6.2177392091846517</v>
      </c>
      <c r="T565" s="21">
        <v>1</v>
      </c>
      <c r="U565" s="21" t="s">
        <v>141</v>
      </c>
      <c r="V565" s="70">
        <v>-2.9788555011759296E-2</v>
      </c>
      <c r="W565" s="70">
        <v>3.0211444988240702E-2</v>
      </c>
      <c r="X565" s="24">
        <v>0.72064499464001663</v>
      </c>
      <c r="Y565" s="24" t="s">
        <v>1682</v>
      </c>
      <c r="Z565" s="75">
        <v>2348.3040000000001</v>
      </c>
      <c r="AA565" t="s">
        <v>1414</v>
      </c>
      <c r="AB565" s="24">
        <v>9.5501730103806217</v>
      </c>
    </row>
    <row r="566" spans="1:28" x14ac:dyDescent="0.55000000000000004">
      <c r="A566" s="24" t="s">
        <v>790</v>
      </c>
      <c r="B566" s="24" t="s">
        <v>1185</v>
      </c>
      <c r="C566" s="24" t="s">
        <v>107</v>
      </c>
      <c r="D566" s="24" t="s">
        <v>72</v>
      </c>
      <c r="E566" s="24" t="s">
        <v>100</v>
      </c>
      <c r="F566" s="70">
        <v>2.1106049898863402E-4</v>
      </c>
      <c r="G566" s="24">
        <v>5.4252520000000004</v>
      </c>
      <c r="H566" s="24">
        <v>8.8819230000000005</v>
      </c>
      <c r="I566" s="24">
        <v>5.210324</v>
      </c>
      <c r="J566" s="24">
        <v>6.3977750000000002</v>
      </c>
      <c r="K566" s="24">
        <v>4.5217859999999996</v>
      </c>
      <c r="L566" s="24">
        <v>9.6108119999999992</v>
      </c>
      <c r="M566" s="24">
        <v>66.198099999999997</v>
      </c>
      <c r="N566" s="24">
        <v>6.9277356274719839</v>
      </c>
      <c r="O566" s="24">
        <v>2.2999999999999998</v>
      </c>
      <c r="P566" s="24">
        <v>5.4347826086956532</v>
      </c>
      <c r="Q566" s="24">
        <v>8.4218344786375852</v>
      </c>
      <c r="R566" s="24">
        <v>7.07</v>
      </c>
      <c r="S566" s="24">
        <v>6.4400978108559137</v>
      </c>
      <c r="T566" s="21">
        <v>1</v>
      </c>
      <c r="U566" s="21" t="s">
        <v>141</v>
      </c>
      <c r="V566" s="70">
        <v>-2.9788746268230824E-2</v>
      </c>
      <c r="W566" s="70">
        <v>3.0211253731769173E-2</v>
      </c>
      <c r="X566" s="24">
        <v>2.0617942806991629</v>
      </c>
      <c r="Y566" s="24" t="s">
        <v>1752</v>
      </c>
      <c r="Z566" s="75">
        <v>2404.8629999999998</v>
      </c>
      <c r="AA566" t="s">
        <v>1414</v>
      </c>
      <c r="AB566" s="24">
        <v>9.7598627787307031</v>
      </c>
    </row>
    <row r="567" spans="1:28" x14ac:dyDescent="0.55000000000000004">
      <c r="A567" s="24" t="s">
        <v>774</v>
      </c>
      <c r="B567" s="24" t="s">
        <v>1392</v>
      </c>
      <c r="C567" s="24" t="s">
        <v>112</v>
      </c>
      <c r="D567" s="24" t="s">
        <v>72</v>
      </c>
      <c r="E567" s="24" t="s">
        <v>89</v>
      </c>
      <c r="F567" s="70">
        <v>2.1046641295253081E-4</v>
      </c>
      <c r="G567" s="24">
        <v>6.1027279999999999</v>
      </c>
      <c r="H567" s="24">
        <v>6.8447380000000004</v>
      </c>
      <c r="I567" s="24">
        <v>6.464245</v>
      </c>
      <c r="J567" s="24">
        <v>6.4337859999999996</v>
      </c>
      <c r="K567" s="24">
        <v>2.6747429999999999</v>
      </c>
      <c r="L567" s="24">
        <v>8.7791139999999999</v>
      </c>
      <c r="M567" s="24">
        <v>19.523399999999999</v>
      </c>
      <c r="N567" s="24">
        <v>4.0739142392948242</v>
      </c>
      <c r="O567" s="24">
        <v>1</v>
      </c>
      <c r="P567" s="24">
        <v>2.1321321321321323</v>
      </c>
      <c r="Q567" s="24">
        <v>9.8620340858787081</v>
      </c>
      <c r="R567" s="24">
        <v>5.48</v>
      </c>
      <c r="S567" s="24">
        <v>5.4668940159704515</v>
      </c>
      <c r="T567" s="21">
        <v>1</v>
      </c>
      <c r="U567" s="21" t="s">
        <v>141</v>
      </c>
      <c r="V567" s="70">
        <v>-2.9789149097795398E-2</v>
      </c>
      <c r="W567" s="70">
        <v>3.02108509022046E-2</v>
      </c>
      <c r="X567" s="24">
        <v>2.052293367680369</v>
      </c>
      <c r="Y567" s="24" t="s">
        <v>1632</v>
      </c>
      <c r="Z567" s="75">
        <v>2535.8589999999999</v>
      </c>
      <c r="AA567" t="s">
        <v>1414</v>
      </c>
      <c r="AB567" s="24">
        <v>9.4982698961937722</v>
      </c>
    </row>
    <row r="568" spans="1:28" x14ac:dyDescent="0.55000000000000004">
      <c r="A568" s="24" t="s">
        <v>780</v>
      </c>
      <c r="B568" s="24" t="s">
        <v>864</v>
      </c>
      <c r="C568" s="24" t="s">
        <v>106</v>
      </c>
      <c r="D568" s="24" t="s">
        <v>72</v>
      </c>
      <c r="E568" s="24" t="s">
        <v>95</v>
      </c>
      <c r="F568" s="70">
        <v>2.1019278909425819E-4</v>
      </c>
      <c r="G568" s="24">
        <v>4.687201</v>
      </c>
      <c r="H568" s="24">
        <v>4.1947409999999996</v>
      </c>
      <c r="I568" s="24">
        <v>5.5587619999999998</v>
      </c>
      <c r="J568" s="24">
        <v>4.8009310000000003</v>
      </c>
      <c r="K568" s="24">
        <v>1.5149859999999999</v>
      </c>
      <c r="L568" s="24">
        <v>4.4639550000000003</v>
      </c>
      <c r="M568" s="24">
        <v>14.979900000000001</v>
      </c>
      <c r="N568" s="24">
        <v>1.8734336857965703</v>
      </c>
      <c r="O568" s="24">
        <v>3.6</v>
      </c>
      <c r="P568" s="24">
        <v>4.0683229813664603</v>
      </c>
      <c r="Q568" s="24">
        <v>5.3205497460412312</v>
      </c>
      <c r="R568" s="24">
        <v>4.2</v>
      </c>
      <c r="S568" s="24">
        <v>3.4031392172614874</v>
      </c>
      <c r="T568" s="21">
        <v>1</v>
      </c>
      <c r="U568" s="21" t="s">
        <v>141</v>
      </c>
      <c r="V568" s="70">
        <v>-2.978942272165367E-2</v>
      </c>
      <c r="W568" s="70">
        <v>3.0210577278346328E-2</v>
      </c>
      <c r="X568" s="24">
        <v>1.5459833858546397</v>
      </c>
      <c r="Y568" s="24" t="s">
        <v>1838</v>
      </c>
      <c r="Z568" s="75">
        <v>2342.0439999999999</v>
      </c>
      <c r="AA568" t="s">
        <v>1414</v>
      </c>
      <c r="AB568" s="24">
        <v>9.5883361921097769</v>
      </c>
    </row>
    <row r="569" spans="1:28" x14ac:dyDescent="0.55000000000000004">
      <c r="A569" s="24" t="s">
        <v>716</v>
      </c>
      <c r="B569" s="24" t="s">
        <v>1035</v>
      </c>
      <c r="C569" s="24" t="s">
        <v>107</v>
      </c>
      <c r="D569" s="24" t="s">
        <v>72</v>
      </c>
      <c r="E569" s="24" t="s">
        <v>96</v>
      </c>
      <c r="F569" s="70">
        <v>2.0916745023983019E-4</v>
      </c>
      <c r="G569" s="24">
        <v>6.4643879999999996</v>
      </c>
      <c r="H569" s="24">
        <v>5.2464839999999997</v>
      </c>
      <c r="I569" s="24">
        <v>5.7683479999999996</v>
      </c>
      <c r="J569" s="24">
        <v>5.8902049999999999</v>
      </c>
      <c r="K569" s="24">
        <v>0</v>
      </c>
      <c r="L569" s="24">
        <v>4.4005890000000001</v>
      </c>
      <c r="M569" s="24">
        <v>60.577500000000001</v>
      </c>
      <c r="N569" s="24">
        <v>2.8520408881716102</v>
      </c>
      <c r="O569" s="24">
        <v>5.2</v>
      </c>
      <c r="P569" s="24">
        <v>0.22624434389140274</v>
      </c>
      <c r="Q569" s="24">
        <v>8.8509640744254074</v>
      </c>
      <c r="R569" s="24">
        <v>0</v>
      </c>
      <c r="S569" s="24">
        <v>4.4532194058022645</v>
      </c>
      <c r="T569" s="21">
        <v>1</v>
      </c>
      <c r="U569" s="21" t="s">
        <v>141</v>
      </c>
      <c r="V569" s="70">
        <v>-2.9790448060508099E-2</v>
      </c>
      <c r="W569" s="70">
        <v>3.0209551939491899E-2</v>
      </c>
      <c r="X569" s="24">
        <v>1.7424587891698182</v>
      </c>
      <c r="Y569" s="24" t="s">
        <v>1753</v>
      </c>
      <c r="Z569" s="75">
        <v>2226.8510000000001</v>
      </c>
      <c r="AA569" t="s">
        <v>1414</v>
      </c>
      <c r="AB569" s="24">
        <v>8.7001733102253027</v>
      </c>
    </row>
    <row r="570" spans="1:28" x14ac:dyDescent="0.55000000000000004">
      <c r="A570" s="24" t="s">
        <v>784</v>
      </c>
      <c r="B570" s="24" t="s">
        <v>879</v>
      </c>
      <c r="C570" s="24" t="s">
        <v>112</v>
      </c>
      <c r="D570" s="24" t="s">
        <v>72</v>
      </c>
      <c r="E570" s="24" t="s">
        <v>84</v>
      </c>
      <c r="F570" s="70">
        <v>2.0879299327185313E-4</v>
      </c>
      <c r="G570" s="24">
        <v>3.5308030000000001</v>
      </c>
      <c r="H570" s="24">
        <v>5.7617979999999998</v>
      </c>
      <c r="I570" s="24">
        <v>5.9347529999999997</v>
      </c>
      <c r="J570" s="24">
        <v>5.0757849999999998</v>
      </c>
      <c r="K570" s="24">
        <v>0.98953310000000005</v>
      </c>
      <c r="L570" s="24">
        <v>1.870662</v>
      </c>
      <c r="M570" s="24">
        <v>621.13469999999995</v>
      </c>
      <c r="N570" s="24">
        <v>4.5176212862055829</v>
      </c>
      <c r="O570" s="24">
        <v>0.5</v>
      </c>
      <c r="P570" s="24">
        <v>4.4179104477611943</v>
      </c>
      <c r="Q570" s="24">
        <v>5.2282655388960739</v>
      </c>
      <c r="R570" s="24">
        <v>4.2300000000000004</v>
      </c>
      <c r="S570" s="24">
        <v>3.0903154400867794</v>
      </c>
      <c r="T570" s="21">
        <v>1</v>
      </c>
      <c r="U570" s="21" t="s">
        <v>141</v>
      </c>
      <c r="V570" s="70">
        <v>-2.9791591495980214E-2</v>
      </c>
      <c r="W570" s="70">
        <v>3.0208408504019783E-2</v>
      </c>
      <c r="X570" s="24">
        <v>0.76681819753815894</v>
      </c>
      <c r="Y570" s="24" t="s">
        <v>1633</v>
      </c>
      <c r="Z570" s="75">
        <v>2061.4409999999998</v>
      </c>
      <c r="AA570" t="s">
        <v>1414</v>
      </c>
      <c r="AB570" s="24">
        <v>9.6354166666666661</v>
      </c>
    </row>
    <row r="571" spans="1:28" x14ac:dyDescent="0.55000000000000004">
      <c r="A571" s="24" t="s">
        <v>744</v>
      </c>
      <c r="B571" s="24" t="s">
        <v>1280</v>
      </c>
      <c r="C571" s="24" t="s">
        <v>125</v>
      </c>
      <c r="D571" s="24" t="s">
        <v>72</v>
      </c>
      <c r="E571" s="24" t="s">
        <v>87</v>
      </c>
      <c r="F571" s="70">
        <v>2.0514541829574684E-4</v>
      </c>
      <c r="G571" s="24">
        <v>8.0585649999999998</v>
      </c>
      <c r="H571" s="24">
        <v>5.990526</v>
      </c>
      <c r="I571" s="24">
        <v>5.1965700000000004</v>
      </c>
      <c r="J571" s="24">
        <v>6.579555</v>
      </c>
      <c r="K571" s="24">
        <v>3.7684630000000001</v>
      </c>
      <c r="L571" s="24">
        <v>6.5158490000000002</v>
      </c>
      <c r="M571" s="24">
        <v>78.311099999999996</v>
      </c>
      <c r="N571" s="24">
        <v>2.9731974663121767</v>
      </c>
      <c r="O571" s="24">
        <v>4.5999999999999996</v>
      </c>
      <c r="P571" s="24">
        <v>0.79497907949790814</v>
      </c>
      <c r="Q571" s="24">
        <v>8.1321213081840753</v>
      </c>
      <c r="R571" s="24">
        <v>6.52</v>
      </c>
      <c r="S571" s="24">
        <v>4.3462957531363493</v>
      </c>
      <c r="T571" s="21">
        <v>1</v>
      </c>
      <c r="U571" s="21" t="s">
        <v>141</v>
      </c>
      <c r="V571" s="70">
        <v>-2.9794586646384943E-2</v>
      </c>
      <c r="W571" s="70">
        <v>3.0205413353615054E-2</v>
      </c>
      <c r="X571" s="24">
        <v>0.65580580490513884</v>
      </c>
      <c r="Y571" s="24" t="s">
        <v>1495</v>
      </c>
      <c r="Z571" s="75">
        <v>1862.4860000000001</v>
      </c>
      <c r="AA571" t="s">
        <v>1416</v>
      </c>
      <c r="AB571" s="24">
        <v>9.3960923623445822</v>
      </c>
    </row>
    <row r="572" spans="1:28" x14ac:dyDescent="0.55000000000000004">
      <c r="A572" s="24" t="s">
        <v>788</v>
      </c>
      <c r="B572" s="24" t="s">
        <v>1230</v>
      </c>
      <c r="C572" s="24" t="s">
        <v>112</v>
      </c>
      <c r="D572" s="24" t="s">
        <v>72</v>
      </c>
      <c r="E572" s="24" t="s">
        <v>93</v>
      </c>
      <c r="F572" s="70">
        <v>2.0353113903780093E-4</v>
      </c>
      <c r="G572" s="24">
        <v>6.6380749999999997</v>
      </c>
      <c r="H572" s="24">
        <v>8.3821180000000002</v>
      </c>
      <c r="I572" s="24">
        <v>4.9538149999999996</v>
      </c>
      <c r="J572" s="24">
        <v>6.6580029999999999</v>
      </c>
      <c r="K572" s="24">
        <v>2.9211469999999999</v>
      </c>
      <c r="L572" s="24">
        <v>4.6694170000000002</v>
      </c>
      <c r="M572" s="24">
        <v>16.157299999999999</v>
      </c>
      <c r="N572" s="24">
        <v>6.558061446640834</v>
      </c>
      <c r="O572" s="24">
        <v>0.3</v>
      </c>
      <c r="P572" s="24">
        <v>7.3602484472049703</v>
      </c>
      <c r="Q572" s="24">
        <v>6.1154727435695468</v>
      </c>
      <c r="R572" s="24">
        <v>4.82</v>
      </c>
      <c r="S572" s="24">
        <v>4.4383721922536736</v>
      </c>
      <c r="T572" s="21">
        <v>1</v>
      </c>
      <c r="U572" s="21" t="s">
        <v>141</v>
      </c>
      <c r="V572" s="70">
        <v>-2.9796084371710128E-2</v>
      </c>
      <c r="W572" s="70">
        <v>3.0203915628289869E-2</v>
      </c>
      <c r="X572" s="24">
        <v>1.2801335656138326</v>
      </c>
      <c r="Y572" s="24" t="s">
        <v>1623</v>
      </c>
      <c r="Z572" s="75">
        <v>1949.6590000000001</v>
      </c>
      <c r="AA572" t="s">
        <v>1416</v>
      </c>
      <c r="AB572" s="24">
        <v>9.7255574614065168</v>
      </c>
    </row>
    <row r="573" spans="1:28" x14ac:dyDescent="0.55000000000000004">
      <c r="A573" s="24" t="s">
        <v>754</v>
      </c>
      <c r="B573" s="24" t="s">
        <v>1275</v>
      </c>
      <c r="C573" s="24" t="s">
        <v>105</v>
      </c>
      <c r="D573" s="24" t="s">
        <v>72</v>
      </c>
      <c r="E573" s="24" t="s">
        <v>89</v>
      </c>
      <c r="F573" s="70">
        <v>2.0163603799425791E-4</v>
      </c>
      <c r="G573" s="24">
        <v>6.5738719999999997</v>
      </c>
      <c r="H573" s="24">
        <v>6.2835539999999996</v>
      </c>
      <c r="I573" s="24">
        <v>4.494453</v>
      </c>
      <c r="J573" s="24">
        <v>5.7839600000000004</v>
      </c>
      <c r="K573" s="24">
        <v>3.8</v>
      </c>
      <c r="L573" s="24">
        <v>6.1001729999999998</v>
      </c>
      <c r="M573" s="24">
        <v>15.014200000000001</v>
      </c>
      <c r="N573" s="24">
        <v>4.8281817666660141</v>
      </c>
      <c r="O573" s="24">
        <v>3.5</v>
      </c>
      <c r="P573" s="24">
        <v>8.048048048048047</v>
      </c>
      <c r="Q573" s="24">
        <v>4.3503762726870301</v>
      </c>
      <c r="R573" s="24">
        <v>6.2</v>
      </c>
      <c r="S573" s="24">
        <v>5.73230314487739</v>
      </c>
      <c r="T573" s="21">
        <v>1</v>
      </c>
      <c r="U573" s="21" t="s">
        <v>141</v>
      </c>
      <c r="V573" s="70">
        <v>-2.979825054390781E-2</v>
      </c>
      <c r="W573" s="70">
        <v>3.0201749456092188E-2</v>
      </c>
      <c r="X573" s="24">
        <v>1.4906466052684644</v>
      </c>
      <c r="Y573" s="24" t="s">
        <v>1982</v>
      </c>
      <c r="Z573" s="75">
        <v>2294.857</v>
      </c>
      <c r="AA573" t="s">
        <v>1414</v>
      </c>
      <c r="AB573" s="24">
        <v>9.1522491349480966</v>
      </c>
    </row>
    <row r="574" spans="1:28" x14ac:dyDescent="0.55000000000000004">
      <c r="A574" s="24" t="s">
        <v>785</v>
      </c>
      <c r="B574" s="24" t="s">
        <v>1344</v>
      </c>
      <c r="C574" s="24" t="s">
        <v>105</v>
      </c>
      <c r="D574" s="24" t="s">
        <v>72</v>
      </c>
      <c r="E574" s="24" t="s">
        <v>93</v>
      </c>
      <c r="F574" s="70">
        <v>2.015143095360449E-4</v>
      </c>
      <c r="G574" s="24">
        <v>6.1502169999999996</v>
      </c>
      <c r="H574" s="24">
        <v>5.020562</v>
      </c>
      <c r="I574" s="24">
        <v>5.5246069999999996</v>
      </c>
      <c r="J574" s="24">
        <v>5.5651279999999996</v>
      </c>
      <c r="K574" s="24">
        <v>6.3502569999999994E-2</v>
      </c>
      <c r="L574" s="24">
        <v>0.56669190000000003</v>
      </c>
      <c r="M574" s="24">
        <v>24.5289</v>
      </c>
      <c r="N574" s="24">
        <v>4.1948622281345589</v>
      </c>
      <c r="O574" s="24">
        <v>5.2</v>
      </c>
      <c r="P574" s="24">
        <v>2.7639751552795029</v>
      </c>
      <c r="Q574" s="24">
        <v>4.0679577369150115</v>
      </c>
      <c r="R574" s="24">
        <v>0</v>
      </c>
      <c r="S574" s="24">
        <v>2.2337698736729452</v>
      </c>
      <c r="T574" s="21">
        <v>1</v>
      </c>
      <c r="U574" s="21" t="s">
        <v>141</v>
      </c>
      <c r="V574" s="70">
        <v>-2.9798748451257812E-2</v>
      </c>
      <c r="W574" s="70">
        <v>3.0201251548742186E-2</v>
      </c>
      <c r="X574" s="24">
        <v>1.9831716180061389</v>
      </c>
      <c r="Y574" s="24" t="s">
        <v>2004</v>
      </c>
      <c r="Z574" s="75">
        <v>1802.3869999999999</v>
      </c>
      <c r="AA574" t="s">
        <v>1416</v>
      </c>
      <c r="AB574" s="24">
        <v>9.6740994854202391</v>
      </c>
    </row>
    <row r="575" spans="1:28" x14ac:dyDescent="0.55000000000000004">
      <c r="A575" s="24" t="s">
        <v>758</v>
      </c>
      <c r="B575" s="24" t="s">
        <v>856</v>
      </c>
      <c r="C575" s="24" t="s">
        <v>106</v>
      </c>
      <c r="D575" s="24" t="s">
        <v>72</v>
      </c>
      <c r="E575" s="24" t="s">
        <v>96</v>
      </c>
      <c r="F575" s="70">
        <v>2.0078005725977799E-4</v>
      </c>
      <c r="G575" s="24">
        <v>7.5865689999999999</v>
      </c>
      <c r="H575" s="24">
        <v>6.8665279999999997</v>
      </c>
      <c r="I575" s="24">
        <v>7.814343</v>
      </c>
      <c r="J575" s="24">
        <v>7.4224800000000002</v>
      </c>
      <c r="K575" s="24">
        <v>2.8488950000000002</v>
      </c>
      <c r="L575" s="24">
        <v>6.4534039999999999</v>
      </c>
      <c r="M575" s="24">
        <v>2.1415999999999999</v>
      </c>
      <c r="N575" s="24">
        <v>6.0076542872763845</v>
      </c>
      <c r="O575" s="24">
        <v>4.7</v>
      </c>
      <c r="P575" s="24">
        <v>7.647058823529413</v>
      </c>
      <c r="Q575" s="24">
        <v>5.8392197706504287</v>
      </c>
      <c r="R575" s="24">
        <v>6.11</v>
      </c>
      <c r="S575" s="24">
        <v>7.8990963623754293</v>
      </c>
      <c r="T575" s="21">
        <v>1</v>
      </c>
      <c r="U575" s="21" t="s">
        <v>117</v>
      </c>
      <c r="V575" s="70">
        <v>-2.9798895371456767E-2</v>
      </c>
      <c r="W575" s="70">
        <v>3.0201104628543231E-2</v>
      </c>
      <c r="X575" s="24">
        <v>1.1431499502619684</v>
      </c>
      <c r="Y575" s="24" t="s">
        <v>1477</v>
      </c>
      <c r="Z575" s="75">
        <v>2076.8440000000001</v>
      </c>
      <c r="AA575" t="s">
        <v>1414</v>
      </c>
      <c r="AB575" s="24">
        <v>9.4280762564991338</v>
      </c>
    </row>
    <row r="576" spans="1:28" x14ac:dyDescent="0.55000000000000004">
      <c r="A576" s="24" t="s">
        <v>775</v>
      </c>
      <c r="B576" s="24" t="s">
        <v>1266</v>
      </c>
      <c r="C576" s="24" t="s">
        <v>161</v>
      </c>
      <c r="D576" s="24" t="s">
        <v>72</v>
      </c>
      <c r="E576" s="24" t="s">
        <v>82</v>
      </c>
      <c r="F576" s="70">
        <v>2.0072013929116323E-4</v>
      </c>
      <c r="G576" s="24">
        <v>6.8864369999999999</v>
      </c>
      <c r="H576" s="24">
        <v>6.4798340000000003</v>
      </c>
      <c r="I576" s="24">
        <v>5.9538000000000002</v>
      </c>
      <c r="J576" s="24">
        <v>6.4177030000000004</v>
      </c>
      <c r="K576" s="24">
        <v>6.5152859999999997</v>
      </c>
      <c r="L576" s="24">
        <v>34.33755</v>
      </c>
      <c r="M576" s="24">
        <v>8.6326000000000001</v>
      </c>
      <c r="N576" s="24">
        <v>3.6308429711660386</v>
      </c>
      <c r="O576" s="24">
        <v>7.6</v>
      </c>
      <c r="P576" s="24">
        <v>5.8064522372529295</v>
      </c>
      <c r="Q576" s="24">
        <v>10</v>
      </c>
      <c r="R576" s="24">
        <v>3.72</v>
      </c>
      <c r="S576" s="24">
        <v>7.1968443486456621</v>
      </c>
      <c r="T576" s="21">
        <v>1</v>
      </c>
      <c r="U576" s="21" t="s">
        <v>141</v>
      </c>
      <c r="V576" s="70">
        <v>-2.9798960024350857E-2</v>
      </c>
      <c r="W576" s="70">
        <v>3.020103997564914E-2</v>
      </c>
      <c r="X576" s="24">
        <v>1.1778854914978321</v>
      </c>
      <c r="Y576" s="24" t="s">
        <v>1422</v>
      </c>
      <c r="Z576" s="75">
        <v>2305.25</v>
      </c>
      <c r="AA576" t="s">
        <v>1414</v>
      </c>
      <c r="AB576" s="24">
        <v>9.4529914529914532</v>
      </c>
    </row>
    <row r="577" spans="1:28" x14ac:dyDescent="0.55000000000000004">
      <c r="A577" s="24" t="s">
        <v>787</v>
      </c>
      <c r="B577" s="24" t="s">
        <v>912</v>
      </c>
      <c r="C577" s="24" t="s">
        <v>109</v>
      </c>
      <c r="D577" s="24" t="s">
        <v>72</v>
      </c>
      <c r="E577" s="24" t="s">
        <v>94</v>
      </c>
      <c r="F577" s="70">
        <v>1.9892361889882658E-4</v>
      </c>
      <c r="G577" s="24">
        <v>5.3661969999999997</v>
      </c>
      <c r="H577" s="24">
        <v>5.4016500000000001</v>
      </c>
      <c r="I577" s="24">
        <v>6.8048500000000001</v>
      </c>
      <c r="J577" s="24">
        <v>5.9487490000000003</v>
      </c>
      <c r="K577" s="24">
        <v>9.3430739999999997</v>
      </c>
      <c r="L577" s="24">
        <v>9.0206289999999996</v>
      </c>
      <c r="M577" s="24">
        <v>29.949100000000001</v>
      </c>
      <c r="N577" s="24">
        <v>2.4001308946933571</v>
      </c>
      <c r="O577" s="24">
        <v>2.9</v>
      </c>
      <c r="P577" s="24">
        <v>2.291666666666667</v>
      </c>
      <c r="Q577" s="24">
        <v>5.2736159305993704</v>
      </c>
      <c r="R577" s="24">
        <v>6.95</v>
      </c>
      <c r="S577" s="24">
        <v>6.6322382372311246</v>
      </c>
      <c r="T577" s="21">
        <v>1</v>
      </c>
      <c r="U577" s="21" t="s">
        <v>141</v>
      </c>
      <c r="V577" s="70">
        <v>-2.9801460870353243E-2</v>
      </c>
      <c r="W577" s="70">
        <v>3.0198539129646755E-2</v>
      </c>
      <c r="X577" s="24">
        <v>0.81852224079468539</v>
      </c>
      <c r="Y577" s="24" t="s">
        <v>1509</v>
      </c>
      <c r="Z577" s="75">
        <v>2425.049</v>
      </c>
      <c r="AA577" t="s">
        <v>1414</v>
      </c>
      <c r="AB577" s="24">
        <v>10</v>
      </c>
    </row>
    <row r="578" spans="1:28" x14ac:dyDescent="0.55000000000000004">
      <c r="A578" s="24" t="s">
        <v>783</v>
      </c>
      <c r="B578" s="24" t="s">
        <v>951</v>
      </c>
      <c r="C578" s="24" t="s">
        <v>110</v>
      </c>
      <c r="D578" s="24" t="s">
        <v>72</v>
      </c>
      <c r="E578" s="24" t="s">
        <v>89</v>
      </c>
      <c r="F578" s="70">
        <v>1.9736749641322584E-4</v>
      </c>
      <c r="G578" s="24">
        <v>6.8793540000000002</v>
      </c>
      <c r="H578" s="24">
        <v>7.1577710000000003</v>
      </c>
      <c r="I578" s="24">
        <v>6.6662970000000001</v>
      </c>
      <c r="J578" s="24">
        <v>6.898962</v>
      </c>
      <c r="K578" s="24">
        <v>1.6925349999999999</v>
      </c>
      <c r="L578" s="24">
        <v>3.1665040000000002</v>
      </c>
      <c r="M578" s="24">
        <v>33.104199999999999</v>
      </c>
      <c r="N578" s="24">
        <v>5.3706507296023016</v>
      </c>
      <c r="O578" s="24">
        <v>5.7</v>
      </c>
      <c r="P578" s="24">
        <v>9.5795795795795797</v>
      </c>
      <c r="Q578" s="24">
        <v>1.2269444444444444</v>
      </c>
      <c r="R578" s="24">
        <v>5.380001</v>
      </c>
      <c r="S578" s="24">
        <v>3.6615370221192634</v>
      </c>
      <c r="T578" s="21">
        <v>1</v>
      </c>
      <c r="U578" s="21" t="s">
        <v>141</v>
      </c>
      <c r="V578" s="70">
        <v>-2.9802248014334703E-2</v>
      </c>
      <c r="W578" s="70">
        <v>3.0197751985665294E-2</v>
      </c>
      <c r="X578" s="24">
        <v>1.3311570531986898</v>
      </c>
      <c r="Y578" s="24" t="s">
        <v>1534</v>
      </c>
      <c r="Z578" s="75">
        <v>2500.8939999999998</v>
      </c>
      <c r="AA578" t="s">
        <v>1414</v>
      </c>
      <c r="AB578" s="24">
        <v>9.6539792387543262</v>
      </c>
    </row>
    <row r="579" spans="1:28" x14ac:dyDescent="0.55000000000000004">
      <c r="A579" s="24" t="s">
        <v>735</v>
      </c>
      <c r="B579" s="24" t="s">
        <v>1291</v>
      </c>
      <c r="C579" s="24" t="s">
        <v>107</v>
      </c>
      <c r="D579" s="24" t="s">
        <v>72</v>
      </c>
      <c r="E579" s="24" t="s">
        <v>89</v>
      </c>
      <c r="F579" s="70">
        <v>1.968280550832733E-4</v>
      </c>
      <c r="G579" s="24">
        <v>5.0148770000000003</v>
      </c>
      <c r="H579" s="24">
        <v>4.1129600000000002</v>
      </c>
      <c r="I579" s="24">
        <v>4.602989</v>
      </c>
      <c r="J579" s="24">
        <v>4.752116</v>
      </c>
      <c r="K579" s="24">
        <v>8.5840069999999997</v>
      </c>
      <c r="L579" s="24">
        <v>14.76859</v>
      </c>
      <c r="M579" s="24">
        <v>43.643599999999999</v>
      </c>
      <c r="N579" s="24">
        <v>5.1004964296305841</v>
      </c>
      <c r="O579" s="24">
        <v>5.0999999999999996</v>
      </c>
      <c r="P579" s="24">
        <v>6.426426426426425</v>
      </c>
      <c r="Q579" s="24">
        <v>7.960934041611333</v>
      </c>
      <c r="R579" s="24">
        <v>7.85</v>
      </c>
      <c r="S579" s="24">
        <v>7.4731847936719191</v>
      </c>
      <c r="T579" s="21">
        <v>1</v>
      </c>
      <c r="U579" s="21" t="s">
        <v>117</v>
      </c>
      <c r="V579" s="70">
        <v>-2.9802787455664656E-2</v>
      </c>
      <c r="W579" s="70">
        <v>3.0197212544335342E-2</v>
      </c>
      <c r="X579" s="24">
        <v>1.2405643571493035</v>
      </c>
      <c r="Y579" s="24" t="s">
        <v>1456</v>
      </c>
      <c r="Z579" s="75">
        <v>2309.4290000000001</v>
      </c>
      <c r="AA579" t="s">
        <v>1414</v>
      </c>
      <c r="AB579" s="24">
        <v>8.8235294117647065</v>
      </c>
    </row>
    <row r="580" spans="1:28" x14ac:dyDescent="0.55000000000000004">
      <c r="A580" s="24" t="s">
        <v>773</v>
      </c>
      <c r="B580" s="24" t="s">
        <v>911</v>
      </c>
      <c r="C580" s="24" t="s">
        <v>107</v>
      </c>
      <c r="D580" s="24" t="s">
        <v>72</v>
      </c>
      <c r="E580" s="24" t="s">
        <v>83</v>
      </c>
      <c r="F580" s="70">
        <v>1.9440767491192454E-4</v>
      </c>
      <c r="G580" s="24">
        <v>6.9569390000000002</v>
      </c>
      <c r="H580" s="24">
        <v>3.5397669999999999</v>
      </c>
      <c r="I580" s="24">
        <v>5.5572020000000002</v>
      </c>
      <c r="J580" s="24">
        <v>5.8535830000000004</v>
      </c>
      <c r="K580" s="24">
        <v>2.153721</v>
      </c>
      <c r="L580" s="24">
        <v>11.63686</v>
      </c>
      <c r="M580" s="24">
        <v>917.33979999999997</v>
      </c>
      <c r="N580" s="24">
        <v>5.4218575404973244</v>
      </c>
      <c r="O580" s="24">
        <v>4.2</v>
      </c>
      <c r="P580" s="24">
        <v>8.08955223880597</v>
      </c>
      <c r="Q580" s="24">
        <v>7.3462538534770516</v>
      </c>
      <c r="R580" s="24">
        <v>0</v>
      </c>
      <c r="S580" s="24">
        <v>7.8986598234816334</v>
      </c>
      <c r="T580" s="21">
        <v>1</v>
      </c>
      <c r="U580" s="21" t="s">
        <v>117</v>
      </c>
      <c r="V580" s="70">
        <v>-2.9805207835836005E-2</v>
      </c>
      <c r="W580" s="70">
        <v>3.0194792164163993E-2</v>
      </c>
      <c r="X580" s="24">
        <v>1.0774597692745567</v>
      </c>
      <c r="Y580" s="24" t="s">
        <v>1458</v>
      </c>
      <c r="Z580" s="75">
        <v>2223.6979999999999</v>
      </c>
      <c r="AA580" t="s">
        <v>1414</v>
      </c>
      <c r="AB580" s="24">
        <v>9.4444444444444446</v>
      </c>
    </row>
    <row r="581" spans="1:28" x14ac:dyDescent="0.55000000000000004">
      <c r="A581" s="24" t="s">
        <v>789</v>
      </c>
      <c r="B581" s="24" t="s">
        <v>1279</v>
      </c>
      <c r="C581" s="24" t="s">
        <v>105</v>
      </c>
      <c r="D581" s="24" t="s">
        <v>72</v>
      </c>
      <c r="E581" s="24" t="s">
        <v>88</v>
      </c>
      <c r="F581" s="70">
        <v>1.9416522594287183E-4</v>
      </c>
      <c r="G581" s="24">
        <v>8.6200019999999995</v>
      </c>
      <c r="H581" s="24">
        <v>5.7860849999999999</v>
      </c>
      <c r="I581" s="24">
        <v>5.609108</v>
      </c>
      <c r="J581" s="24">
        <v>6.2820770000000001</v>
      </c>
      <c r="K581" s="24">
        <v>3.4513440000000002</v>
      </c>
      <c r="L581" s="24">
        <v>5.5931509999999998</v>
      </c>
      <c r="M581" s="24">
        <v>2.3944000000000001</v>
      </c>
      <c r="N581" s="24">
        <v>4.4480157098957331</v>
      </c>
      <c r="O581" s="24">
        <v>4.2</v>
      </c>
      <c r="P581" s="24">
        <v>5.9726027397260273</v>
      </c>
      <c r="Q581" s="24">
        <v>3.5106768005790805</v>
      </c>
      <c r="R581" s="24">
        <v>5.49</v>
      </c>
      <c r="S581" s="24">
        <v>5.455334788365648</v>
      </c>
      <c r="T581" s="21">
        <v>1</v>
      </c>
      <c r="U581" s="21" t="s">
        <v>141</v>
      </c>
      <c r="V581" s="70">
        <v>-2.9806219263309196E-2</v>
      </c>
      <c r="W581" s="70">
        <v>3.0193780736690802E-2</v>
      </c>
      <c r="X581" s="24">
        <v>1.224529240788037</v>
      </c>
      <c r="Y581" s="24" t="s">
        <v>1967</v>
      </c>
      <c r="Z581" s="75">
        <v>2200.9169999999999</v>
      </c>
      <c r="AA581" t="s">
        <v>1414</v>
      </c>
      <c r="AB581" s="24">
        <v>10</v>
      </c>
    </row>
    <row r="582" spans="1:28" x14ac:dyDescent="0.55000000000000004">
      <c r="A582" s="24" t="s">
        <v>769</v>
      </c>
      <c r="B582" s="24" t="s">
        <v>1001</v>
      </c>
      <c r="C582" s="24" t="s">
        <v>125</v>
      </c>
      <c r="D582" s="24" t="s">
        <v>72</v>
      </c>
      <c r="E582" s="24" t="s">
        <v>85</v>
      </c>
      <c r="F582" s="70">
        <v>1.9140882147765712E-4</v>
      </c>
      <c r="G582" s="24">
        <v>4.6430819999999997</v>
      </c>
      <c r="H582" s="24">
        <v>3.6112190000000002</v>
      </c>
      <c r="I582" s="24">
        <v>7.352125</v>
      </c>
      <c r="J582" s="24">
        <v>5.146236</v>
      </c>
      <c r="K582" s="24">
        <v>3.32681</v>
      </c>
      <c r="L582" s="24">
        <v>12.275499999999999</v>
      </c>
      <c r="M582" s="24">
        <v>150.41470000000001</v>
      </c>
      <c r="N582" s="24">
        <v>7.9317052979595717</v>
      </c>
      <c r="O582" s="24">
        <v>9.4</v>
      </c>
      <c r="P582" s="24">
        <v>8.078078078078077</v>
      </c>
      <c r="Q582" s="24">
        <v>5.8571270473660917</v>
      </c>
      <c r="R582" s="24">
        <v>7.2</v>
      </c>
      <c r="S582" s="24">
        <v>7.9765551563933066</v>
      </c>
      <c r="T582" s="21">
        <v>1</v>
      </c>
      <c r="U582" s="21" t="s">
        <v>117</v>
      </c>
      <c r="V582" s="70">
        <v>-2.9808206689270273E-2</v>
      </c>
      <c r="W582" s="70">
        <v>3.0191793310729725E-2</v>
      </c>
      <c r="X582" s="24">
        <v>1.0988192033357018</v>
      </c>
      <c r="Y582" s="24" t="s">
        <v>1498</v>
      </c>
      <c r="Z582" s="75">
        <v>2291.3029999999999</v>
      </c>
      <c r="AA582" t="s">
        <v>1414</v>
      </c>
      <c r="AB582" s="24">
        <v>9.4117647058823533</v>
      </c>
    </row>
    <row r="583" spans="1:28" x14ac:dyDescent="0.55000000000000004">
      <c r="A583" s="24" t="s">
        <v>792</v>
      </c>
      <c r="B583" s="24" t="s">
        <v>953</v>
      </c>
      <c r="C583" s="24" t="s">
        <v>107</v>
      </c>
      <c r="D583" s="24" t="s">
        <v>72</v>
      </c>
      <c r="E583" s="24" t="s">
        <v>91</v>
      </c>
      <c r="F583" s="70">
        <v>1.9058714924780396E-4</v>
      </c>
      <c r="G583" s="24">
        <v>5.1630079999999996</v>
      </c>
      <c r="H583" s="24">
        <v>5.8725399999999999</v>
      </c>
      <c r="I583" s="24">
        <v>5.361834</v>
      </c>
      <c r="J583" s="24">
        <v>5.526351</v>
      </c>
      <c r="K583" s="24">
        <v>3.0465010000000001</v>
      </c>
      <c r="L583" s="24">
        <v>9.0581669999999992</v>
      </c>
      <c r="M583" s="24">
        <v>6.6985999999999999</v>
      </c>
      <c r="N583" s="24">
        <v>6.9152042993082166</v>
      </c>
      <c r="O583" s="24">
        <v>4.2</v>
      </c>
      <c r="P583" s="24">
        <v>7.267080745341616</v>
      </c>
      <c r="Q583" s="24">
        <v>6.1746834342830761</v>
      </c>
      <c r="R583" s="24">
        <v>6.6900009999999996</v>
      </c>
      <c r="S583" s="24">
        <v>7.0721574289706179</v>
      </c>
      <c r="T583" s="21">
        <v>1</v>
      </c>
      <c r="U583" s="21" t="s">
        <v>141</v>
      </c>
      <c r="V583" s="70">
        <v>-2.9809028361500126E-2</v>
      </c>
      <c r="W583" s="70">
        <v>3.0190971638499872E-2</v>
      </c>
      <c r="X583" s="24">
        <v>1.0205187230933985</v>
      </c>
      <c r="Y583" s="24" t="s">
        <v>1706</v>
      </c>
      <c r="Z583" s="75">
        <v>2124.1219999999998</v>
      </c>
      <c r="AA583" t="s">
        <v>1414</v>
      </c>
      <c r="AB583" s="24">
        <v>9.7941680960548876</v>
      </c>
    </row>
    <row r="584" spans="1:28" x14ac:dyDescent="0.55000000000000004">
      <c r="A584" s="24" t="s">
        <v>799</v>
      </c>
      <c r="B584" s="24" t="s">
        <v>1225</v>
      </c>
      <c r="C584" s="24" t="s">
        <v>177</v>
      </c>
      <c r="D584" s="24" t="s">
        <v>72</v>
      </c>
      <c r="E584" s="24" t="s">
        <v>89</v>
      </c>
      <c r="F584" s="70">
        <v>1.8451408072408371E-4</v>
      </c>
      <c r="G584" s="24">
        <v>7.558141</v>
      </c>
      <c r="H584" s="24">
        <v>6.1278030000000001</v>
      </c>
      <c r="I584" s="24">
        <v>7.2440829999999998</v>
      </c>
      <c r="J584" s="24">
        <v>7.0348220000000001</v>
      </c>
      <c r="K584" s="24">
        <v>2.4409890000000001</v>
      </c>
      <c r="L584" s="24">
        <v>5.7051360000000004</v>
      </c>
      <c r="M584" s="24">
        <v>13.876300000000001</v>
      </c>
      <c r="N584" s="24">
        <v>3.557380006164685</v>
      </c>
      <c r="O584" s="24">
        <v>6.9</v>
      </c>
      <c r="P584" s="24">
        <v>8.078078078078077</v>
      </c>
      <c r="Q584" s="24">
        <v>4.6604327135900849</v>
      </c>
      <c r="R584" s="24">
        <v>5.37</v>
      </c>
      <c r="S584" s="24">
        <v>4.7516727500810703</v>
      </c>
      <c r="T584" s="21">
        <v>1</v>
      </c>
      <c r="U584" s="21" t="s">
        <v>141</v>
      </c>
      <c r="V584" s="70">
        <v>-2.9815101430023846E-2</v>
      </c>
      <c r="W584" s="70">
        <v>3.0184898569976151E-2</v>
      </c>
      <c r="X584" s="24">
        <v>1.3283458989606474</v>
      </c>
      <c r="Y584" s="24" t="s">
        <v>1698</v>
      </c>
      <c r="Z584" s="75">
        <v>1990.7850000000001</v>
      </c>
      <c r="AA584" t="s">
        <v>1416</v>
      </c>
      <c r="AB584" s="24">
        <v>9.9307958477508649</v>
      </c>
    </row>
    <row r="585" spans="1:28" x14ac:dyDescent="0.55000000000000004">
      <c r="A585" s="24" t="s">
        <v>796</v>
      </c>
      <c r="B585" s="24" t="s">
        <v>1294</v>
      </c>
      <c r="C585" s="24" t="s">
        <v>125</v>
      </c>
      <c r="D585" s="24" t="s">
        <v>72</v>
      </c>
      <c r="E585" s="24" t="s">
        <v>86</v>
      </c>
      <c r="F585" s="70">
        <v>1.8415398612201141E-4</v>
      </c>
      <c r="G585" s="24">
        <v>8.2874130000000008</v>
      </c>
      <c r="H585" s="24">
        <v>7.8907109999999996</v>
      </c>
      <c r="I585" s="24">
        <v>6.864725</v>
      </c>
      <c r="J585" s="24">
        <v>7.6506259999999999</v>
      </c>
      <c r="K585" s="24">
        <v>2.1626479999999999</v>
      </c>
      <c r="L585" s="24">
        <v>6.162973</v>
      </c>
      <c r="M585" s="24">
        <v>0.98914000000000002</v>
      </c>
      <c r="N585" s="24">
        <v>8.7946846377032379</v>
      </c>
      <c r="O585" s="24">
        <v>4.2</v>
      </c>
      <c r="P585" s="24">
        <v>6.1290329171003144</v>
      </c>
      <c r="Q585" s="24">
        <v>5.2585078158005931</v>
      </c>
      <c r="R585" s="24">
        <v>6.6</v>
      </c>
      <c r="S585" s="24">
        <v>4.580427627032849</v>
      </c>
      <c r="T585" s="21">
        <v>1</v>
      </c>
      <c r="U585" s="21" t="s">
        <v>141</v>
      </c>
      <c r="V585" s="70">
        <v>-2.9815461524625917E-2</v>
      </c>
      <c r="W585" s="70">
        <v>3.0184538475374081E-2</v>
      </c>
      <c r="X585" s="24">
        <v>1.6499937050685918</v>
      </c>
      <c r="Y585" s="24" t="s">
        <v>1849</v>
      </c>
      <c r="Z585" s="75">
        <v>1830.2449999999999</v>
      </c>
      <c r="AA585" t="s">
        <v>1416</v>
      </c>
      <c r="AB585" s="24">
        <v>9.8119658119658109</v>
      </c>
    </row>
    <row r="586" spans="1:28" x14ac:dyDescent="0.55000000000000004">
      <c r="A586" s="24" t="s">
        <v>793</v>
      </c>
      <c r="B586" s="24" t="s">
        <v>1049</v>
      </c>
      <c r="C586" s="24" t="s">
        <v>112</v>
      </c>
      <c r="D586" s="24" t="s">
        <v>72</v>
      </c>
      <c r="E586" s="24" t="s">
        <v>85</v>
      </c>
      <c r="F586" s="70">
        <v>1.8335753452576581E-4</v>
      </c>
      <c r="G586" s="24">
        <v>5.7607699999999999</v>
      </c>
      <c r="H586" s="24">
        <v>6.9115989999999998</v>
      </c>
      <c r="I586" s="24">
        <v>4.3581050000000001</v>
      </c>
      <c r="J586" s="24">
        <v>5.685219</v>
      </c>
      <c r="K586" s="24">
        <v>4.4516309999999999</v>
      </c>
      <c r="L586" s="24">
        <v>8.0204319999999996</v>
      </c>
      <c r="M586" s="24">
        <v>30.5776</v>
      </c>
      <c r="N586" s="24">
        <v>8.6297813429962673</v>
      </c>
      <c r="O586" s="24">
        <v>7.2</v>
      </c>
      <c r="P586" s="24">
        <v>6.6966966966966961</v>
      </c>
      <c r="Q586" s="24">
        <v>7.4723328906595841</v>
      </c>
      <c r="R586" s="24">
        <v>7.3</v>
      </c>
      <c r="S586" s="24">
        <v>7.6295020198544492</v>
      </c>
      <c r="T586" s="21">
        <v>1</v>
      </c>
      <c r="U586" s="21" t="s">
        <v>117</v>
      </c>
      <c r="V586" s="70">
        <v>-2.9816257976222164E-2</v>
      </c>
      <c r="W586" s="70">
        <v>3.0183742023777833E-2</v>
      </c>
      <c r="X586" s="24">
        <v>0.90265078296218471</v>
      </c>
      <c r="Y586" s="24" t="s">
        <v>1596</v>
      </c>
      <c r="Z586" s="75">
        <v>2348.1089999999999</v>
      </c>
      <c r="AA586" t="s">
        <v>1414</v>
      </c>
      <c r="AB586" s="24">
        <v>9.8269896193771622</v>
      </c>
    </row>
    <row r="587" spans="1:28" x14ac:dyDescent="0.55000000000000004">
      <c r="A587" s="24" t="s">
        <v>791</v>
      </c>
      <c r="B587" s="24" t="s">
        <v>1020</v>
      </c>
      <c r="C587" s="24" t="s">
        <v>177</v>
      </c>
      <c r="D587" s="24" t="s">
        <v>72</v>
      </c>
      <c r="E587" s="24" t="s">
        <v>96</v>
      </c>
      <c r="F587" s="70">
        <v>1.8303299540295233E-4</v>
      </c>
      <c r="G587" s="24">
        <v>7.4015909999999998</v>
      </c>
      <c r="H587" s="24">
        <v>1.8568880000000001</v>
      </c>
      <c r="I587" s="24">
        <v>5.871931</v>
      </c>
      <c r="J587" s="24">
        <v>5.0434700000000001</v>
      </c>
      <c r="K587" s="24">
        <v>7.867591</v>
      </c>
      <c r="L587" s="24">
        <v>8.8960740000000005</v>
      </c>
      <c r="M587" s="24">
        <v>6.4273999999999996</v>
      </c>
      <c r="N587" s="24">
        <v>4.7704081164098202</v>
      </c>
      <c r="O587" s="24">
        <v>2.2999999999999998</v>
      </c>
      <c r="P587" s="24">
        <v>5.0226244343891411</v>
      </c>
      <c r="Q587" s="24">
        <v>7.0648856217271057</v>
      </c>
      <c r="R587" s="24">
        <v>7.35</v>
      </c>
      <c r="S587" s="24">
        <v>7.6938725303085498</v>
      </c>
      <c r="T587" s="21">
        <v>1</v>
      </c>
      <c r="U587" s="21" t="s">
        <v>117</v>
      </c>
      <c r="V587" s="70">
        <v>-2.9817160814856209E-2</v>
      </c>
      <c r="W587" s="70">
        <v>3.0182839185143789E-2</v>
      </c>
      <c r="X587" s="24">
        <v>1.3575354724317192</v>
      </c>
      <c r="Y587" s="24" t="s">
        <v>1684</v>
      </c>
      <c r="Z587" s="75">
        <v>1956.8340000000001</v>
      </c>
      <c r="AA587" t="s">
        <v>1416</v>
      </c>
      <c r="AB587" s="24">
        <v>10</v>
      </c>
    </row>
    <row r="588" spans="1:28" x14ac:dyDescent="0.55000000000000004">
      <c r="A588" s="24" t="s">
        <v>797</v>
      </c>
      <c r="B588" s="24" t="s">
        <v>1128</v>
      </c>
      <c r="C588" s="24" t="s">
        <v>107</v>
      </c>
      <c r="D588" s="24" t="s">
        <v>72</v>
      </c>
      <c r="E588" s="24" t="s">
        <v>89</v>
      </c>
      <c r="F588" s="70">
        <v>1.7634419674510631E-4</v>
      </c>
      <c r="G588" s="24">
        <v>8.1853259999999999</v>
      </c>
      <c r="H588" s="24">
        <v>5.6453749999999996</v>
      </c>
      <c r="I588" s="24">
        <v>5.9606599999999998</v>
      </c>
      <c r="J588" s="24">
        <v>6.5971200000000003</v>
      </c>
      <c r="K588" s="24">
        <v>6.6404019999999999</v>
      </c>
      <c r="L588" s="24">
        <v>8.0163290000000007</v>
      </c>
      <c r="M588" s="24">
        <v>1038.626</v>
      </c>
      <c r="N588" s="24">
        <v>4.5969308581400101</v>
      </c>
      <c r="O588" s="24">
        <v>0.4</v>
      </c>
      <c r="P588" s="24">
        <v>7.8378378378378368</v>
      </c>
      <c r="Q588" s="24">
        <v>5.3989597166888004</v>
      </c>
      <c r="R588" s="24">
        <v>7.36</v>
      </c>
      <c r="S588" s="24">
        <v>6.2727601716476062</v>
      </c>
      <c r="T588" s="21">
        <v>1</v>
      </c>
      <c r="U588" s="21" t="s">
        <v>141</v>
      </c>
      <c r="V588" s="70">
        <v>-2.9823271314002822E-2</v>
      </c>
      <c r="W588" s="70">
        <v>3.0176728685997176E-2</v>
      </c>
      <c r="X588" s="24">
        <v>1.4235191775254148</v>
      </c>
      <c r="Y588" s="24" t="s">
        <v>1755</v>
      </c>
      <c r="Z588" s="75">
        <v>1797.2760000000001</v>
      </c>
      <c r="AA588" t="s">
        <v>1416</v>
      </c>
      <c r="AB588" s="24">
        <v>9.8961937716262973</v>
      </c>
    </row>
    <row r="589" spans="1:28" x14ac:dyDescent="0.55000000000000004">
      <c r="A589" s="24" t="s">
        <v>795</v>
      </c>
      <c r="B589" s="24" t="s">
        <v>1029</v>
      </c>
      <c r="C589" s="24" t="s">
        <v>112</v>
      </c>
      <c r="D589" s="24" t="s">
        <v>72</v>
      </c>
      <c r="E589" s="24" t="s">
        <v>83</v>
      </c>
      <c r="F589" s="70">
        <v>1.736642041785997E-4</v>
      </c>
      <c r="G589" s="24">
        <v>7.0004210000000002</v>
      </c>
      <c r="H589" s="24">
        <v>7.3758369999999998</v>
      </c>
      <c r="I589" s="24">
        <v>4.2893879999999998</v>
      </c>
      <c r="J589" s="24">
        <v>6.2218819999999999</v>
      </c>
      <c r="K589" s="24">
        <v>2.0818620000000001</v>
      </c>
      <c r="L589" s="24">
        <v>11.204330000000001</v>
      </c>
      <c r="M589" s="24">
        <v>92.0929</v>
      </c>
      <c r="N589" s="24">
        <v>7.6302345845162565</v>
      </c>
      <c r="O589" s="24">
        <v>1.9</v>
      </c>
      <c r="P589" s="24">
        <v>6.5671641791044779</v>
      </c>
      <c r="Q589" s="24">
        <v>8.249898372716796</v>
      </c>
      <c r="R589" s="24">
        <v>5.14</v>
      </c>
      <c r="S589" s="24">
        <v>7.660792437051942</v>
      </c>
      <c r="T589" s="21">
        <v>1</v>
      </c>
      <c r="U589" s="21" t="s">
        <v>141</v>
      </c>
      <c r="V589" s="70">
        <v>-2.9825951306569329E-2</v>
      </c>
      <c r="W589" s="70">
        <v>3.0174048693430669E-2</v>
      </c>
      <c r="X589" s="24">
        <v>1.4210274229731907</v>
      </c>
      <c r="Y589" s="24" t="s">
        <v>1601</v>
      </c>
      <c r="Z589" s="75">
        <v>1987.1089999999999</v>
      </c>
      <c r="AA589" t="s">
        <v>1416</v>
      </c>
      <c r="AB589" s="24">
        <v>9.8263888888888893</v>
      </c>
    </row>
    <row r="590" spans="1:28" x14ac:dyDescent="0.55000000000000004">
      <c r="A590" s="24" t="s">
        <v>794</v>
      </c>
      <c r="B590" s="24" t="s">
        <v>1332</v>
      </c>
      <c r="C590" s="24" t="s">
        <v>112</v>
      </c>
      <c r="D590" s="24" t="s">
        <v>72</v>
      </c>
      <c r="E590" s="24" t="s">
        <v>89</v>
      </c>
      <c r="F590" s="70">
        <v>1.7061473277354849E-4</v>
      </c>
      <c r="G590" s="24">
        <v>4.8245079999999998</v>
      </c>
      <c r="H590" s="24">
        <v>5.1819290000000002</v>
      </c>
      <c r="I590" s="24">
        <v>5.7582449999999996</v>
      </c>
      <c r="J590" s="24">
        <v>5.2118549999999999</v>
      </c>
      <c r="K590" s="24">
        <v>2.4364240000000001</v>
      </c>
      <c r="L590" s="24">
        <v>2.741927</v>
      </c>
      <c r="M590" s="24">
        <v>1.8720000000000001</v>
      </c>
      <c r="N590" s="24">
        <v>4.9881134649615966</v>
      </c>
      <c r="O590" s="24">
        <v>0.3</v>
      </c>
      <c r="P590" s="24">
        <v>8.0180180180180169</v>
      </c>
      <c r="Q590" s="24">
        <v>3.5076361221779551</v>
      </c>
      <c r="R590" s="24">
        <v>5.79</v>
      </c>
      <c r="S590" s="24">
        <v>2.7204728932549926</v>
      </c>
      <c r="T590" s="21">
        <v>1</v>
      </c>
      <c r="U590" s="21" t="s">
        <v>141</v>
      </c>
      <c r="V590" s="70">
        <v>-2.982975031462938E-2</v>
      </c>
      <c r="W590" s="70">
        <v>3.0170249685370618E-2</v>
      </c>
      <c r="X590" s="24">
        <v>1.7015964721532397</v>
      </c>
      <c r="Y590" s="24" t="s">
        <v>1617</v>
      </c>
      <c r="Z590" s="75">
        <v>1697.2829999999999</v>
      </c>
      <c r="AA590" t="s">
        <v>1416</v>
      </c>
      <c r="AB590" s="24">
        <v>9.844290657439446</v>
      </c>
    </row>
    <row r="591" spans="1:28" x14ac:dyDescent="0.55000000000000004">
      <c r="A591" s="24" t="s">
        <v>798</v>
      </c>
      <c r="B591" s="24" t="s">
        <v>925</v>
      </c>
      <c r="C591" s="24" t="s">
        <v>106</v>
      </c>
      <c r="D591" s="24" t="s">
        <v>72</v>
      </c>
      <c r="E591" s="24" t="s">
        <v>99</v>
      </c>
      <c r="F591" s="70">
        <v>1.6792724282143406E-4</v>
      </c>
      <c r="G591" s="24">
        <v>7.3932820000000001</v>
      </c>
      <c r="H591" s="24">
        <v>6.3744230000000002</v>
      </c>
      <c r="I591" s="24">
        <v>5.539936</v>
      </c>
      <c r="J591" s="24">
        <v>6.8188409999999999</v>
      </c>
      <c r="K591" s="24">
        <v>7.9018949999999997</v>
      </c>
      <c r="L591" s="24">
        <v>2.0695260000000002</v>
      </c>
      <c r="M591" s="24">
        <v>13.739699999999999</v>
      </c>
      <c r="N591" s="24">
        <v>8.3458860549378837</v>
      </c>
      <c r="O591" s="24">
        <v>5.7</v>
      </c>
      <c r="P591" s="24">
        <v>2.3052959501557631</v>
      </c>
      <c r="Q591" s="24">
        <v>2.4487184084830682</v>
      </c>
      <c r="R591" s="24">
        <v>6.38</v>
      </c>
      <c r="S591" s="24">
        <v>2.8571185864395128</v>
      </c>
      <c r="T591" s="21">
        <v>1</v>
      </c>
      <c r="U591" s="21" t="s">
        <v>141</v>
      </c>
      <c r="V591" s="70">
        <v>-2.9831862042284666E-2</v>
      </c>
      <c r="W591" s="70">
        <v>3.0168137957715332E-2</v>
      </c>
      <c r="X591" s="24">
        <v>0.85789440443487264</v>
      </c>
      <c r="Y591" s="24" t="s">
        <v>1848</v>
      </c>
      <c r="Z591" s="75">
        <v>1858.1089999999999</v>
      </c>
      <c r="AA591" t="s">
        <v>1416</v>
      </c>
      <c r="AB591" s="24">
        <v>10</v>
      </c>
    </row>
    <row r="592" spans="1:28" x14ac:dyDescent="0.55000000000000004">
      <c r="A592" s="24" t="s">
        <v>800</v>
      </c>
      <c r="B592" s="24" t="s">
        <v>1337</v>
      </c>
      <c r="C592" s="24" t="s">
        <v>113</v>
      </c>
      <c r="D592" s="24" t="s">
        <v>72</v>
      </c>
      <c r="E592" s="24" t="s">
        <v>100</v>
      </c>
      <c r="F592" s="70">
        <v>1.5964313320252621E-4</v>
      </c>
      <c r="G592" s="24">
        <v>8.1</v>
      </c>
      <c r="H592" s="24">
        <v>5.2535790000000002</v>
      </c>
      <c r="I592" s="24">
        <v>5.8</v>
      </c>
      <c r="J592" s="24">
        <v>6.5560739999999997</v>
      </c>
      <c r="K592" s="24">
        <v>3.0969199999999999</v>
      </c>
      <c r="L592" s="24">
        <v>20.096350000000001</v>
      </c>
      <c r="M592" s="24">
        <v>50.427700000000002</v>
      </c>
      <c r="N592" s="24">
        <v>7.1031742217647338</v>
      </c>
      <c r="O592" s="24">
        <v>6.7</v>
      </c>
      <c r="P592" s="24">
        <v>5.9937888198757774</v>
      </c>
      <c r="Q592" s="24">
        <v>8.0173104815710126</v>
      </c>
      <c r="R592" s="24">
        <v>7.26</v>
      </c>
      <c r="S592" s="24">
        <v>7.3433233268588838</v>
      </c>
      <c r="T592" s="21">
        <v>1</v>
      </c>
      <c r="U592" s="21" t="s">
        <v>141</v>
      </c>
      <c r="V592" s="70">
        <v>-2.9839972377545404E-2</v>
      </c>
      <c r="W592" s="70">
        <v>3.0160027622454594E-2</v>
      </c>
      <c r="X592" s="24">
        <v>1.5808971888963772</v>
      </c>
      <c r="Y592" s="24" t="s">
        <v>1928</v>
      </c>
      <c r="Z592" s="75">
        <v>1743.999</v>
      </c>
      <c r="AA592" t="s">
        <v>1416</v>
      </c>
      <c r="AB592" s="24">
        <v>9.9313893653516292</v>
      </c>
    </row>
    <row r="593" spans="1:28" x14ac:dyDescent="0.55000000000000004">
      <c r="A593" s="24" t="s">
        <v>805</v>
      </c>
      <c r="B593" s="24" t="s">
        <v>932</v>
      </c>
      <c r="C593" s="24" t="s">
        <v>112</v>
      </c>
      <c r="D593" s="24" t="s">
        <v>72</v>
      </c>
      <c r="E593" s="24" t="s">
        <v>84</v>
      </c>
      <c r="F593" s="70">
        <v>1.5639747785366529E-4</v>
      </c>
      <c r="G593" s="24">
        <v>6.6693350000000002</v>
      </c>
      <c r="H593" s="24">
        <v>5.3583290000000003</v>
      </c>
      <c r="I593" s="24">
        <v>4.6471590000000003</v>
      </c>
      <c r="J593" s="24">
        <v>5.5582739999999999</v>
      </c>
      <c r="K593" s="24">
        <v>2.6317140000000001</v>
      </c>
      <c r="L593" s="24">
        <v>3.8312949999999999</v>
      </c>
      <c r="M593" s="24">
        <v>433.74369999999999</v>
      </c>
      <c r="N593" s="24">
        <v>2.0897113435797303</v>
      </c>
      <c r="O593" s="24">
        <v>3.7</v>
      </c>
      <c r="P593" s="24">
        <v>3.9104477611940296</v>
      </c>
      <c r="Q593" s="24">
        <v>5.3813816486933872</v>
      </c>
      <c r="R593" s="24">
        <v>4.29</v>
      </c>
      <c r="S593" s="24">
        <v>3.0089756471249318</v>
      </c>
      <c r="T593" s="21">
        <v>1</v>
      </c>
      <c r="U593" s="21" t="s">
        <v>141</v>
      </c>
      <c r="V593" s="70">
        <v>-2.9843218032894265E-2</v>
      </c>
      <c r="W593" s="70">
        <v>3.0156781967105733E-2</v>
      </c>
      <c r="X593" s="24">
        <v>1.6285433006499417</v>
      </c>
      <c r="Y593" s="24" t="s">
        <v>1639</v>
      </c>
      <c r="Z593" s="75">
        <v>1329.2439999999999</v>
      </c>
      <c r="AA593" t="s">
        <v>1416</v>
      </c>
      <c r="AB593" s="24">
        <v>10</v>
      </c>
    </row>
    <row r="594" spans="1:28" x14ac:dyDescent="0.55000000000000004">
      <c r="A594" s="24" t="s">
        <v>803</v>
      </c>
      <c r="B594" s="24" t="s">
        <v>1301</v>
      </c>
      <c r="C594" s="24" t="s">
        <v>106</v>
      </c>
      <c r="D594" s="24" t="s">
        <v>72</v>
      </c>
      <c r="E594" s="24" t="s">
        <v>89</v>
      </c>
      <c r="F594" s="70">
        <v>1.5333917578303613E-4</v>
      </c>
      <c r="G594" s="24">
        <v>7.1405760000000003</v>
      </c>
      <c r="H594" s="24">
        <v>1.176647</v>
      </c>
      <c r="I594" s="24">
        <v>6.3683860000000001</v>
      </c>
      <c r="J594" s="24">
        <v>5.1197400000000002</v>
      </c>
      <c r="K594" s="24">
        <v>3.4116379999999999</v>
      </c>
      <c r="L594" s="24">
        <v>4.1736719999999998</v>
      </c>
      <c r="M594" s="24">
        <v>2.0777000000000001</v>
      </c>
      <c r="N594" s="24">
        <v>3.3693532150701011</v>
      </c>
      <c r="O594" s="24">
        <v>0.7</v>
      </c>
      <c r="P594" s="24">
        <v>5.7357357357357337</v>
      </c>
      <c r="Q594" s="24">
        <v>4.720562195661798</v>
      </c>
      <c r="R594" s="24">
        <v>5.09</v>
      </c>
      <c r="S594" s="24">
        <v>3.9457075979551925</v>
      </c>
      <c r="T594" s="21">
        <v>1</v>
      </c>
      <c r="U594" s="21" t="s">
        <v>141</v>
      </c>
      <c r="V594" s="70">
        <v>-2.9846276334964894E-2</v>
      </c>
      <c r="W594" s="70">
        <v>3.0153723665035104E-2</v>
      </c>
      <c r="X594" s="24">
        <v>1.3835764735140521</v>
      </c>
      <c r="Y594" s="24" t="s">
        <v>1777</v>
      </c>
      <c r="Z594" s="75">
        <v>1767.1479999999999</v>
      </c>
      <c r="AA594" t="s">
        <v>1416</v>
      </c>
      <c r="AB594" s="24">
        <v>10</v>
      </c>
    </row>
    <row r="595" spans="1:28" x14ac:dyDescent="0.55000000000000004">
      <c r="A595" s="24" t="s">
        <v>807</v>
      </c>
      <c r="B595" s="24" t="s">
        <v>1062</v>
      </c>
      <c r="C595" s="24" t="s">
        <v>105</v>
      </c>
      <c r="D595" s="24" t="s">
        <v>72</v>
      </c>
      <c r="E595" s="24" t="s">
        <v>86</v>
      </c>
      <c r="F595" s="70">
        <v>1.4799014899960511E-4</v>
      </c>
      <c r="G595" s="24" t="e">
        <v>#N/A</v>
      </c>
      <c r="H595" s="24" t="e">
        <v>#N/A</v>
      </c>
      <c r="I595" s="24" t="e">
        <v>#N/A</v>
      </c>
      <c r="J595" s="24" t="e">
        <v>#N/A</v>
      </c>
      <c r="K595" s="24">
        <v>5.5703550000000002</v>
      </c>
      <c r="L595" s="24">
        <v>2.0251190000000001</v>
      </c>
      <c r="M595" s="24" t="e">
        <v>#N/A</v>
      </c>
      <c r="N595" s="24">
        <v>4.1349681088436343</v>
      </c>
      <c r="O595" s="24">
        <v>2.8</v>
      </c>
      <c r="P595" s="24">
        <v>0.34050186457009296</v>
      </c>
      <c r="Q595" s="24">
        <v>2.6247007463737502</v>
      </c>
      <c r="R595" s="24">
        <v>0</v>
      </c>
      <c r="S595" s="24">
        <v>1.5889144841283456</v>
      </c>
      <c r="T595" s="21">
        <v>1</v>
      </c>
      <c r="U595" s="21" t="s">
        <v>141</v>
      </c>
      <c r="V595" s="70">
        <v>-2.9852394340252462E-2</v>
      </c>
      <c r="W595" s="70">
        <v>3.0147605659747535E-2</v>
      </c>
      <c r="X595" s="24">
        <v>2.3657524498409916</v>
      </c>
      <c r="Y595" s="24" t="s">
        <v>2014</v>
      </c>
      <c r="Z595" s="75">
        <v>1767.2149999999999</v>
      </c>
      <c r="AA595" t="s">
        <v>1416</v>
      </c>
      <c r="AB595" s="24">
        <v>10</v>
      </c>
    </row>
    <row r="596" spans="1:28" x14ac:dyDescent="0.55000000000000004">
      <c r="A596" s="24" t="s">
        <v>802</v>
      </c>
      <c r="B596" s="24" t="s">
        <v>980</v>
      </c>
      <c r="C596" s="24" t="s">
        <v>107</v>
      </c>
      <c r="D596" s="24" t="s">
        <v>72</v>
      </c>
      <c r="E596" s="24" t="s">
        <v>97</v>
      </c>
      <c r="F596" s="70">
        <v>1.4616435527375657E-4</v>
      </c>
      <c r="G596" s="24">
        <v>5.6675750000000003</v>
      </c>
      <c r="H596" s="24">
        <v>6.5922150000000004</v>
      </c>
      <c r="I596" s="24">
        <v>8.1570339999999995</v>
      </c>
      <c r="J596" s="24">
        <v>7.0332150000000002</v>
      </c>
      <c r="K596" s="24">
        <v>13.021660000000001</v>
      </c>
      <c r="L596" s="24">
        <v>6.5620229999999999</v>
      </c>
      <c r="M596" s="24">
        <v>14.507300000000001</v>
      </c>
      <c r="N596" s="24">
        <v>0.82779511614531009</v>
      </c>
      <c r="O596" s="24">
        <v>1.6</v>
      </c>
      <c r="P596" s="24">
        <v>3.4210526315789469</v>
      </c>
      <c r="Q596" s="24">
        <v>9.3020358508209409</v>
      </c>
      <c r="R596" s="24">
        <v>7.23</v>
      </c>
      <c r="S596" s="24">
        <v>4.402746135481884</v>
      </c>
      <c r="T596" s="21">
        <v>1</v>
      </c>
      <c r="U596" s="21" t="s">
        <v>141</v>
      </c>
      <c r="V596" s="70">
        <v>-2.9854220133978312E-2</v>
      </c>
      <c r="W596" s="70">
        <v>3.0145779866021686E-2</v>
      </c>
      <c r="X596" s="24">
        <v>1.1759305789185199</v>
      </c>
      <c r="Y596" s="24" t="s">
        <v>1896</v>
      </c>
      <c r="Z596" s="75">
        <v>1593.432</v>
      </c>
      <c r="AA596" t="s">
        <v>1416</v>
      </c>
      <c r="AB596" s="24">
        <v>10</v>
      </c>
    </row>
    <row r="597" spans="1:28" x14ac:dyDescent="0.55000000000000004">
      <c r="A597" s="24" t="s">
        <v>804</v>
      </c>
      <c r="B597" s="24" t="s">
        <v>1267</v>
      </c>
      <c r="C597" s="24" t="s">
        <v>105</v>
      </c>
      <c r="D597" s="24" t="s">
        <v>72</v>
      </c>
      <c r="E597" s="24" t="s">
        <v>100</v>
      </c>
      <c r="F597" s="70">
        <v>1.4261785379542628E-4</v>
      </c>
      <c r="G597" s="24" t="e">
        <v>#N/A</v>
      </c>
      <c r="H597" s="24" t="e">
        <v>#N/A</v>
      </c>
      <c r="I597" s="24" t="e">
        <v>#N/A</v>
      </c>
      <c r="J597" s="24" t="e">
        <v>#N/A</v>
      </c>
      <c r="K597" s="24">
        <v>0</v>
      </c>
      <c r="L597" s="24">
        <v>18.005520000000001</v>
      </c>
      <c r="M597" s="24" t="e">
        <v>#N/A</v>
      </c>
      <c r="N597" s="24">
        <v>6.136174233882528</v>
      </c>
      <c r="O597" s="24">
        <v>2.1</v>
      </c>
      <c r="P597" s="24">
        <v>5.6832298136645978</v>
      </c>
      <c r="Q597" s="24">
        <v>9.2611195914930615</v>
      </c>
      <c r="R597" s="24">
        <v>0</v>
      </c>
      <c r="S597" s="24">
        <v>6.9587282014023426</v>
      </c>
      <c r="T597" s="21">
        <v>1</v>
      </c>
      <c r="U597" s="21" t="s">
        <v>141</v>
      </c>
      <c r="V597" s="70">
        <v>-2.9857766635456643E-2</v>
      </c>
      <c r="W597" s="70">
        <v>3.0142233364543355E-2</v>
      </c>
      <c r="X597" s="24">
        <v>1.7826625652365859</v>
      </c>
      <c r="Y597" s="24" t="s">
        <v>2012</v>
      </c>
      <c r="Z597" s="75">
        <v>1566.768</v>
      </c>
      <c r="AA597" t="s">
        <v>1416</v>
      </c>
      <c r="AB597" s="24">
        <v>10</v>
      </c>
    </row>
    <row r="598" spans="1:28" x14ac:dyDescent="0.55000000000000004">
      <c r="A598" s="24" t="s">
        <v>801</v>
      </c>
      <c r="B598" s="24" t="s">
        <v>875</v>
      </c>
      <c r="C598" s="24" t="s">
        <v>107</v>
      </c>
      <c r="D598" s="24" t="s">
        <v>72</v>
      </c>
      <c r="E598" s="24" t="s">
        <v>82</v>
      </c>
      <c r="F598" s="70">
        <v>1.3503665143106531E-4</v>
      </c>
      <c r="G598" s="24">
        <v>7.8961079999999999</v>
      </c>
      <c r="H598" s="24">
        <v>6.6909289999999997</v>
      </c>
      <c r="I598" s="24">
        <v>5.3767990000000001</v>
      </c>
      <c r="J598" s="24">
        <v>6.5925370000000001</v>
      </c>
      <c r="K598" s="24">
        <v>0</v>
      </c>
      <c r="L598" s="24">
        <v>11.52102</v>
      </c>
      <c r="M598" s="24">
        <v>5.3540000000000001</v>
      </c>
      <c r="N598" s="24">
        <v>3.2630611027983996</v>
      </c>
      <c r="O598" s="24">
        <v>0.4</v>
      </c>
      <c r="P598" s="24">
        <v>3.6559143716036955</v>
      </c>
      <c r="Q598" s="24">
        <v>8.8391302633431916</v>
      </c>
      <c r="R598" s="24">
        <v>0</v>
      </c>
      <c r="S598" s="24">
        <v>4.0581613824969214</v>
      </c>
      <c r="T598" s="21">
        <v>1</v>
      </c>
      <c r="U598" s="21" t="s">
        <v>141</v>
      </c>
      <c r="V598" s="70">
        <v>-2.9865347837821004E-2</v>
      </c>
      <c r="W598" s="70">
        <v>3.0134652162178994E-2</v>
      </c>
      <c r="X598" s="24">
        <v>2.234481263514172</v>
      </c>
      <c r="Y598" s="24" t="s">
        <v>1748</v>
      </c>
      <c r="Z598" s="75">
        <v>1606.5889999999999</v>
      </c>
      <c r="AA598" t="s">
        <v>1416</v>
      </c>
      <c r="AB598" s="24">
        <v>9.8974358974358978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B6703-45CA-4FA9-8E5C-EB8507E1330B}">
  <sheetPr codeName="Feuil4"/>
  <dimension ref="A1:X1562"/>
  <sheetViews>
    <sheetView zoomScaleNormal="100" workbookViewId="0">
      <pane xSplit="2" ySplit="1" topLeftCell="C565" activePane="bottomRight" state="frozen"/>
      <selection pane="topRight" activeCell="C1" sqref="C1"/>
      <selection pane="bottomLeft" activeCell="A2" sqref="A2"/>
      <selection pane="bottomRight" activeCell="F2" sqref="F2:F598"/>
    </sheetView>
  </sheetViews>
  <sheetFormatPr baseColWidth="10" defaultColWidth="11.41796875" defaultRowHeight="15.6" x14ac:dyDescent="0.55000000000000004"/>
  <cols>
    <col min="1" max="1" width="15.15625" style="21" bestFit="1" customWidth="1"/>
    <col min="2" max="2" width="52.578125" style="39" customWidth="1"/>
    <col min="3" max="3" width="4.83984375" style="21" customWidth="1"/>
    <col min="4" max="4" width="12.26171875" style="21" bestFit="1" customWidth="1"/>
    <col min="5" max="5" width="23.578125" style="21" bestFit="1" customWidth="1"/>
    <col min="6" max="6" width="8.41796875" style="25" bestFit="1" customWidth="1"/>
    <col min="7" max="8" width="11.41796875" style="21" bestFit="1" customWidth="1"/>
    <col min="9" max="9" width="11.68359375" style="21" bestFit="1" customWidth="1"/>
    <col min="10" max="10" width="13.83984375" style="21" bestFit="1" customWidth="1"/>
    <col min="11" max="11" width="13.15625" style="21" bestFit="1" customWidth="1"/>
    <col min="12" max="12" width="11.578125" style="21" bestFit="1" customWidth="1"/>
    <col min="13" max="13" width="12.83984375" style="50" bestFit="1" customWidth="1"/>
    <col min="14" max="14" width="11.68359375" style="21" bestFit="1" customWidth="1"/>
    <col min="15" max="15" width="11.41796875" style="21" customWidth="1"/>
    <col min="16" max="16" width="11.68359375" style="21" bestFit="1" customWidth="1"/>
    <col min="17" max="17" width="15.41796875" style="21" bestFit="1" customWidth="1"/>
    <col min="18" max="18" width="12.83984375" style="21" bestFit="1" customWidth="1"/>
    <col min="19" max="19" width="15" style="21" bestFit="1" customWidth="1"/>
    <col min="20" max="20" width="12.26171875" style="21" bestFit="1" customWidth="1"/>
    <col min="21" max="21" width="11" style="21" bestFit="1" customWidth="1"/>
    <col min="22" max="22" width="23.41796875" style="23" customWidth="1"/>
    <col min="23" max="23" width="6.83984375" style="23" bestFit="1" customWidth="1"/>
    <col min="24" max="24" width="12.83984375" style="66" bestFit="1" customWidth="1"/>
    <col min="25" max="16384" width="11.41796875" style="21"/>
  </cols>
  <sheetData>
    <row r="1" spans="1:24" ht="32.65" customHeight="1" x14ac:dyDescent="0.55000000000000004">
      <c r="A1" s="22" t="s">
        <v>114</v>
      </c>
      <c r="B1" s="22" t="s">
        <v>115</v>
      </c>
      <c r="C1" s="22" t="s">
        <v>116</v>
      </c>
      <c r="D1" s="22" t="s">
        <v>70</v>
      </c>
      <c r="E1" s="22" t="s">
        <v>117</v>
      </c>
      <c r="F1" s="59" t="s">
        <v>118</v>
      </c>
      <c r="G1" s="22" t="s">
        <v>119</v>
      </c>
      <c r="H1" s="22" t="s">
        <v>120</v>
      </c>
      <c r="I1" s="22" t="s">
        <v>121</v>
      </c>
      <c r="J1" s="22" t="s">
        <v>122</v>
      </c>
      <c r="K1" s="22" t="s">
        <v>123</v>
      </c>
      <c r="L1" s="23" t="s">
        <v>182</v>
      </c>
      <c r="M1" s="49" t="s">
        <v>124</v>
      </c>
      <c r="N1" s="23" t="s">
        <v>162</v>
      </c>
      <c r="O1" s="23" t="s">
        <v>163</v>
      </c>
      <c r="P1" s="23" t="s">
        <v>164</v>
      </c>
      <c r="Q1" s="23" t="s">
        <v>165</v>
      </c>
      <c r="R1" s="23" t="s">
        <v>166</v>
      </c>
      <c r="S1" s="23" t="s">
        <v>167</v>
      </c>
      <c r="T1" s="23" t="s">
        <v>172</v>
      </c>
      <c r="U1" s="23" t="s">
        <v>186</v>
      </c>
      <c r="V1" s="23" t="s">
        <v>1417</v>
      </c>
      <c r="W1" s="23" t="s">
        <v>1410</v>
      </c>
      <c r="X1" s="63" t="s">
        <v>811</v>
      </c>
    </row>
    <row r="2" spans="1:24" ht="14.4" x14ac:dyDescent="0.55000000000000004">
      <c r="A2" s="24" t="s">
        <v>213</v>
      </c>
      <c r="B2" s="24" t="s">
        <v>1147</v>
      </c>
      <c r="C2" s="24" t="s">
        <v>127</v>
      </c>
      <c r="D2" s="24" t="s">
        <v>72</v>
      </c>
      <c r="E2" s="24" t="s">
        <v>88</v>
      </c>
      <c r="F2" s="70">
        <v>3.1337117651174959E-2</v>
      </c>
      <c r="G2" s="24">
        <v>8.0158749999999994</v>
      </c>
      <c r="H2" s="24">
        <v>5.6710459999999996</v>
      </c>
      <c r="I2" s="24">
        <v>5.4531970000000003</v>
      </c>
      <c r="J2" s="24">
        <v>6.0528719999999998</v>
      </c>
      <c r="K2" s="24">
        <v>1.4071229999999999</v>
      </c>
      <c r="L2" s="24">
        <v>3.2833519999999998</v>
      </c>
      <c r="M2" s="24">
        <v>11.078799999999999</v>
      </c>
      <c r="N2" s="24">
        <v>10</v>
      </c>
      <c r="O2" s="24">
        <v>7.8</v>
      </c>
      <c r="P2" s="24">
        <v>10</v>
      </c>
      <c r="Q2" s="24">
        <v>0.6293794370667336</v>
      </c>
      <c r="R2" s="24">
        <v>6.18</v>
      </c>
      <c r="S2" s="24">
        <v>4.7987742594511555</v>
      </c>
      <c r="T2" s="24">
        <v>0.8861827516770806</v>
      </c>
      <c r="U2" s="24" t="s">
        <v>1440</v>
      </c>
      <c r="V2" s="24">
        <v>325934.3</v>
      </c>
      <c r="W2" s="24" t="s">
        <v>1415</v>
      </c>
      <c r="X2" s="64">
        <v>0</v>
      </c>
    </row>
    <row r="3" spans="1:24" ht="14.4" x14ac:dyDescent="0.55000000000000004">
      <c r="A3" s="24" t="s">
        <v>214</v>
      </c>
      <c r="B3" s="24" t="s">
        <v>1046</v>
      </c>
      <c r="C3" s="24" t="s">
        <v>125</v>
      </c>
      <c r="D3" s="24" t="s">
        <v>72</v>
      </c>
      <c r="E3" s="24" t="s">
        <v>96</v>
      </c>
      <c r="F3" s="70">
        <v>2.7559837367142136E-2</v>
      </c>
      <c r="G3" s="24">
        <v>8.6471599999999995</v>
      </c>
      <c r="H3" s="24">
        <v>7.2372120000000004</v>
      </c>
      <c r="I3" s="24">
        <v>9.1862619999999993</v>
      </c>
      <c r="J3" s="24">
        <v>8.3859060000000003</v>
      </c>
      <c r="K3" s="24">
        <v>0.90880139999999998</v>
      </c>
      <c r="L3" s="24">
        <v>2.755547</v>
      </c>
      <c r="M3" s="24">
        <v>9.9080999999999992</v>
      </c>
      <c r="N3" s="24">
        <v>6.8750003826531403</v>
      </c>
      <c r="O3" s="24">
        <v>7.2</v>
      </c>
      <c r="P3" s="24">
        <v>7.3755656108597298</v>
      </c>
      <c r="Q3" s="24">
        <v>1.7854782245635923</v>
      </c>
      <c r="R3" s="24">
        <v>5.26</v>
      </c>
      <c r="S3" s="24">
        <v>3.3599176646378677</v>
      </c>
      <c r="T3" s="24">
        <v>1.9913768480085625</v>
      </c>
      <c r="U3" s="24" t="s">
        <v>1492</v>
      </c>
      <c r="V3" s="24">
        <v>293269.7</v>
      </c>
      <c r="W3" s="24" t="s">
        <v>1415</v>
      </c>
      <c r="X3" s="64">
        <v>0</v>
      </c>
    </row>
    <row r="4" spans="1:24" ht="14.4" x14ac:dyDescent="0.55000000000000004">
      <c r="A4" s="24" t="s">
        <v>215</v>
      </c>
      <c r="B4" s="24" t="s">
        <v>1295</v>
      </c>
      <c r="C4" s="24" t="s">
        <v>110</v>
      </c>
      <c r="D4" s="24" t="s">
        <v>72</v>
      </c>
      <c r="E4" s="24" t="s">
        <v>87</v>
      </c>
      <c r="F4" s="70">
        <v>2.1652664566711242E-2</v>
      </c>
      <c r="G4" s="24">
        <v>5.8251400000000002</v>
      </c>
      <c r="H4" s="24">
        <v>4.7902909999999999</v>
      </c>
      <c r="I4" s="24">
        <v>7.4553839999999996</v>
      </c>
      <c r="J4" s="24">
        <v>6.0037580000000004</v>
      </c>
      <c r="K4" s="24">
        <v>3.6381320000000001</v>
      </c>
      <c r="L4" s="24">
        <v>4.8509440000000001</v>
      </c>
      <c r="M4" s="24">
        <v>70.783600000000007</v>
      </c>
      <c r="N4" s="24">
        <v>1.5271140026131724</v>
      </c>
      <c r="O4" s="24">
        <v>1.8</v>
      </c>
      <c r="P4" s="24">
        <v>6.6527196652719667</v>
      </c>
      <c r="Q4" s="24">
        <v>2.9018513235061025</v>
      </c>
      <c r="R4" s="24">
        <v>6.6900009999999996</v>
      </c>
      <c r="S4" s="24">
        <v>3.4189459298229257</v>
      </c>
      <c r="T4" s="24">
        <v>0.52451595784426219</v>
      </c>
      <c r="U4" s="24" t="s">
        <v>1427</v>
      </c>
      <c r="V4" s="24">
        <v>232045.9</v>
      </c>
      <c r="W4" s="24" t="s">
        <v>1415</v>
      </c>
      <c r="X4" s="64">
        <v>0</v>
      </c>
    </row>
    <row r="5" spans="1:24" ht="14.4" x14ac:dyDescent="0.55000000000000004">
      <c r="A5" s="24" t="s">
        <v>216</v>
      </c>
      <c r="B5" s="24" t="s">
        <v>998</v>
      </c>
      <c r="C5" s="24" t="s">
        <v>106</v>
      </c>
      <c r="D5" s="24" t="s">
        <v>72</v>
      </c>
      <c r="E5" s="24" t="s">
        <v>88</v>
      </c>
      <c r="F5" s="70">
        <v>1.9746344960699262E-2</v>
      </c>
      <c r="G5" s="24">
        <v>7.8589820000000001</v>
      </c>
      <c r="H5" s="24">
        <v>6.6279779999999997</v>
      </c>
      <c r="I5" s="24">
        <v>5.6537499999999996</v>
      </c>
      <c r="J5" s="24">
        <v>6.4844879999999998</v>
      </c>
      <c r="K5" s="24">
        <v>2.0035379999999998</v>
      </c>
      <c r="L5" s="24">
        <v>6.0049789999999996</v>
      </c>
      <c r="M5" s="24">
        <v>13.7652</v>
      </c>
      <c r="N5" s="24">
        <v>7.8723901474386384</v>
      </c>
      <c r="O5" s="24">
        <v>6.7</v>
      </c>
      <c r="P5" s="24">
        <v>5.89041095890411</v>
      </c>
      <c r="Q5" s="24">
        <v>3.6508065369303155</v>
      </c>
      <c r="R5" s="24">
        <v>5.95</v>
      </c>
      <c r="S5" s="24">
        <v>6.9025968412247156</v>
      </c>
      <c r="T5" s="24">
        <v>0.71241825750248</v>
      </c>
      <c r="U5" s="24" t="s">
        <v>1464</v>
      </c>
      <c r="V5" s="24">
        <v>208589.7</v>
      </c>
      <c r="W5" s="24" t="s">
        <v>1415</v>
      </c>
      <c r="X5" s="64">
        <v>5.2083333333333329E-2</v>
      </c>
    </row>
    <row r="6" spans="1:24" ht="14.4" x14ac:dyDescent="0.55000000000000004">
      <c r="A6" s="24" t="s">
        <v>220</v>
      </c>
      <c r="B6" s="24" t="s">
        <v>1209</v>
      </c>
      <c r="C6" s="24" t="s">
        <v>112</v>
      </c>
      <c r="D6" s="24" t="s">
        <v>72</v>
      </c>
      <c r="E6" s="24" t="s">
        <v>96</v>
      </c>
      <c r="F6" s="70">
        <v>1.9266082046034437E-2</v>
      </c>
      <c r="G6" s="24">
        <v>7.8684859999999999</v>
      </c>
      <c r="H6" s="24">
        <v>6.1056569999999999</v>
      </c>
      <c r="I6" s="24">
        <v>4.679589</v>
      </c>
      <c r="J6" s="24">
        <v>6.217911</v>
      </c>
      <c r="K6" s="24">
        <v>1.049836</v>
      </c>
      <c r="L6" s="24">
        <v>3.197012</v>
      </c>
      <c r="M6" s="24">
        <v>7.4637000000000002</v>
      </c>
      <c r="N6" s="24">
        <v>3.4744905049980619</v>
      </c>
      <c r="O6" s="24">
        <v>8.8000000000000007</v>
      </c>
      <c r="P6" s="24">
        <v>0.90497737556561098</v>
      </c>
      <c r="Q6" s="24">
        <v>3.7000066985459834</v>
      </c>
      <c r="R6" s="24">
        <v>5.12</v>
      </c>
      <c r="S6" s="24">
        <v>3.5089364683646229</v>
      </c>
      <c r="T6" s="24">
        <v>1.1054815610153526</v>
      </c>
      <c r="U6" s="24" t="s">
        <v>1606</v>
      </c>
      <c r="V6" s="24">
        <v>224107.5</v>
      </c>
      <c r="W6" s="24" t="s">
        <v>1415</v>
      </c>
      <c r="X6" s="64">
        <v>0.10398613518197575</v>
      </c>
    </row>
    <row r="7" spans="1:24" ht="14.4" x14ac:dyDescent="0.55000000000000004">
      <c r="A7" s="24" t="s">
        <v>217</v>
      </c>
      <c r="B7" s="24" t="s">
        <v>1129</v>
      </c>
      <c r="C7" s="24" t="s">
        <v>110</v>
      </c>
      <c r="D7" s="24" t="s">
        <v>72</v>
      </c>
      <c r="E7" s="24" t="s">
        <v>88</v>
      </c>
      <c r="F7" s="70">
        <v>1.8994920201994829E-2</v>
      </c>
      <c r="G7" s="24">
        <v>6.7750940000000002</v>
      </c>
      <c r="H7" s="24">
        <v>6.2529620000000001</v>
      </c>
      <c r="I7" s="24">
        <v>7.3265269999999996</v>
      </c>
      <c r="J7" s="24">
        <v>6.7868139999999997</v>
      </c>
      <c r="K7" s="24">
        <v>3.2785869999999999</v>
      </c>
      <c r="L7" s="24">
        <v>7.321885</v>
      </c>
      <c r="M7" s="24" t="e">
        <v>#N/A</v>
      </c>
      <c r="N7" s="24">
        <v>6.3254542863103689</v>
      </c>
      <c r="O7" s="24">
        <v>7.5</v>
      </c>
      <c r="P7" s="24">
        <v>7.095890410958904</v>
      </c>
      <c r="Q7" s="24">
        <v>5.8592945237896377</v>
      </c>
      <c r="R7" s="24">
        <v>7.57</v>
      </c>
      <c r="S7" s="24">
        <v>7.7037221144800316</v>
      </c>
      <c r="T7" s="24">
        <v>0.42853949180757156</v>
      </c>
      <c r="U7" s="24" t="s">
        <v>1425</v>
      </c>
      <c r="V7" s="24">
        <v>210472.3</v>
      </c>
      <c r="W7" s="24" t="s">
        <v>1415</v>
      </c>
      <c r="X7" s="64">
        <v>6.9444444444444448E-2</v>
      </c>
    </row>
    <row r="8" spans="1:24" ht="14.4" x14ac:dyDescent="0.55000000000000004">
      <c r="A8" s="24" t="s">
        <v>218</v>
      </c>
      <c r="B8" s="24" t="s">
        <v>1142</v>
      </c>
      <c r="C8" s="24" t="s">
        <v>110</v>
      </c>
      <c r="D8" s="24" t="s">
        <v>72</v>
      </c>
      <c r="E8" s="24" t="s">
        <v>88</v>
      </c>
      <c r="F8" s="70">
        <v>1.8288252059756961E-2</v>
      </c>
      <c r="G8" s="24">
        <v>6.8718859999999999</v>
      </c>
      <c r="H8" s="24">
        <v>7.8329519999999997</v>
      </c>
      <c r="I8" s="24">
        <v>7.0892939999999998</v>
      </c>
      <c r="J8" s="24">
        <v>7.3432760000000004</v>
      </c>
      <c r="K8" s="24">
        <v>3.632558</v>
      </c>
      <c r="L8" s="24">
        <v>7.4947739999999996</v>
      </c>
      <c r="M8" s="24">
        <v>1.5907</v>
      </c>
      <c r="N8" s="24">
        <v>4.184072110184097</v>
      </c>
      <c r="O8" s="24">
        <v>8.3000000000000007</v>
      </c>
      <c r="P8" s="24">
        <v>8.712328767123287</v>
      </c>
      <c r="Q8" s="24">
        <v>6.0573323310782605</v>
      </c>
      <c r="R8" s="24">
        <v>8.0999990000000004</v>
      </c>
      <c r="S8" s="24">
        <v>7.296314390495148</v>
      </c>
      <c r="T8" s="24">
        <v>0.4377912395065201</v>
      </c>
      <c r="U8" s="24" t="s">
        <v>1426</v>
      </c>
      <c r="V8" s="24">
        <v>198605.1</v>
      </c>
      <c r="W8" s="24" t="s">
        <v>1415</v>
      </c>
      <c r="X8" s="64">
        <v>8.6805555555555552E-2</v>
      </c>
    </row>
    <row r="9" spans="1:24" ht="14.4" x14ac:dyDescent="0.55000000000000004">
      <c r="A9" s="24" t="s">
        <v>219</v>
      </c>
      <c r="B9" s="24" t="s">
        <v>1009</v>
      </c>
      <c r="C9" s="24" t="s">
        <v>106</v>
      </c>
      <c r="D9" s="24" t="s">
        <v>72</v>
      </c>
      <c r="E9" s="24" t="s">
        <v>92</v>
      </c>
      <c r="F9" s="70">
        <v>1.6787514270003384E-2</v>
      </c>
      <c r="G9" s="24">
        <v>6.1710779999999996</v>
      </c>
      <c r="H9" s="24">
        <v>4.0047959999999998</v>
      </c>
      <c r="I9" s="24">
        <v>6.6688739999999997</v>
      </c>
      <c r="J9" s="24">
        <v>5.8871599999999997</v>
      </c>
      <c r="K9" s="24">
        <v>4.2632209999999997</v>
      </c>
      <c r="L9" s="24">
        <v>12.365959999999999</v>
      </c>
      <c r="M9" s="24">
        <v>300.07769999999999</v>
      </c>
      <c r="N9" s="24">
        <v>7.2212386678675511</v>
      </c>
      <c r="O9" s="24">
        <v>6.3</v>
      </c>
      <c r="P9" s="24">
        <v>3.4146341463414638</v>
      </c>
      <c r="Q9" s="24">
        <v>5.7904824471836323</v>
      </c>
      <c r="R9" s="24">
        <v>3.04</v>
      </c>
      <c r="S9" s="24">
        <v>6.9066273092645769</v>
      </c>
      <c r="T9" s="24">
        <v>0.63160193957546173</v>
      </c>
      <c r="U9" s="24" t="s">
        <v>1850</v>
      </c>
      <c r="V9" s="24">
        <v>183392.6</v>
      </c>
      <c r="W9" s="24" t="s">
        <v>1415</v>
      </c>
      <c r="X9" s="64">
        <v>0</v>
      </c>
    </row>
    <row r="10" spans="1:24" ht="14.4" x14ac:dyDescent="0.55000000000000004">
      <c r="A10" s="24" t="s">
        <v>221</v>
      </c>
      <c r="B10" s="24" t="s">
        <v>812</v>
      </c>
      <c r="C10" s="24" t="s">
        <v>107</v>
      </c>
      <c r="D10" s="24" t="s">
        <v>72</v>
      </c>
      <c r="E10" s="24" t="s">
        <v>93</v>
      </c>
      <c r="F10" s="70">
        <v>1.587095441029306E-2</v>
      </c>
      <c r="G10" s="24">
        <v>7.2046109999999999</v>
      </c>
      <c r="H10" s="24">
        <v>7.491606</v>
      </c>
      <c r="I10" s="24">
        <v>6.4579079999999998</v>
      </c>
      <c r="J10" s="24">
        <v>7.0513750000000002</v>
      </c>
      <c r="K10" s="24">
        <v>1.939195</v>
      </c>
      <c r="L10" s="24">
        <v>4.0106840000000004</v>
      </c>
      <c r="M10" s="24">
        <v>8.6640999999999995</v>
      </c>
      <c r="N10" s="24">
        <v>6.1173759885040599</v>
      </c>
      <c r="O10" s="24">
        <v>1.9</v>
      </c>
      <c r="P10" s="24">
        <v>6.8944099378881996</v>
      </c>
      <c r="Q10" s="24">
        <v>2.3425776136024119</v>
      </c>
      <c r="R10" s="24">
        <v>4.12</v>
      </c>
      <c r="S10" s="24">
        <v>3.2550955553849534</v>
      </c>
      <c r="T10" s="24">
        <v>1.6968464479270775</v>
      </c>
      <c r="U10" s="24" t="s">
        <v>1715</v>
      </c>
      <c r="V10" s="24">
        <v>169451</v>
      </c>
      <c r="W10" s="24" t="s">
        <v>1415</v>
      </c>
      <c r="X10" s="64">
        <v>0</v>
      </c>
    </row>
    <row r="11" spans="1:24" ht="14.4" x14ac:dyDescent="0.55000000000000004">
      <c r="A11" s="24" t="s">
        <v>222</v>
      </c>
      <c r="B11" s="24" t="s">
        <v>1133</v>
      </c>
      <c r="C11" s="24" t="s">
        <v>106</v>
      </c>
      <c r="D11" s="24" t="s">
        <v>72</v>
      </c>
      <c r="E11" s="24" t="s">
        <v>82</v>
      </c>
      <c r="F11" s="70">
        <v>1.3554259065999536E-2</v>
      </c>
      <c r="G11" s="24">
        <v>6.2225659999999996</v>
      </c>
      <c r="H11" s="24">
        <v>5.880986</v>
      </c>
      <c r="I11" s="24">
        <v>6.0196389999999997</v>
      </c>
      <c r="J11" s="24">
        <v>6.0319880000000001</v>
      </c>
      <c r="K11" s="24">
        <v>9.0972659999999994</v>
      </c>
      <c r="L11" s="24">
        <v>15.228960000000001</v>
      </c>
      <c r="M11" s="24">
        <v>9.1919000000000004</v>
      </c>
      <c r="N11" s="24">
        <v>4.742209658213091</v>
      </c>
      <c r="O11" s="24">
        <v>1.9</v>
      </c>
      <c r="P11" s="24">
        <v>4.4892477945427736</v>
      </c>
      <c r="Q11" s="24">
        <v>7.0398535417546837</v>
      </c>
      <c r="R11" s="24">
        <v>7.61</v>
      </c>
      <c r="S11" s="24">
        <v>6.3063279265833874</v>
      </c>
      <c r="T11" s="24">
        <v>1.1993348903893366</v>
      </c>
      <c r="U11" s="24" t="s">
        <v>1779</v>
      </c>
      <c r="V11" s="24">
        <v>148917</v>
      </c>
      <c r="W11" s="24" t="s">
        <v>1415</v>
      </c>
      <c r="X11" s="64">
        <v>0</v>
      </c>
    </row>
    <row r="12" spans="1:24" ht="14.4" x14ac:dyDescent="0.55000000000000004">
      <c r="A12" s="24" t="s">
        <v>224</v>
      </c>
      <c r="B12" s="24" t="s">
        <v>887</v>
      </c>
      <c r="C12" s="24" t="s">
        <v>106</v>
      </c>
      <c r="D12" s="24" t="s">
        <v>72</v>
      </c>
      <c r="E12" s="24" t="s">
        <v>93</v>
      </c>
      <c r="F12" s="70">
        <v>1.3421190199152611E-2</v>
      </c>
      <c r="G12" s="24">
        <v>7.2249610000000004</v>
      </c>
      <c r="H12" s="24">
        <v>4.8786440000000004</v>
      </c>
      <c r="I12" s="24">
        <v>6.8226560000000003</v>
      </c>
      <c r="J12" s="24">
        <v>6.4003740000000002</v>
      </c>
      <c r="K12" s="24">
        <v>3.0619130000000001</v>
      </c>
      <c r="L12" s="24">
        <v>6.608962</v>
      </c>
      <c r="M12" s="24">
        <v>34.522399999999998</v>
      </c>
      <c r="N12" s="24">
        <v>5.2441306775761189</v>
      </c>
      <c r="O12" s="24">
        <v>8.3000000000000007</v>
      </c>
      <c r="P12" s="24">
        <v>8.0753138075313817</v>
      </c>
      <c r="Q12" s="24">
        <v>2.8814212500660434</v>
      </c>
      <c r="R12" s="24">
        <v>4.97</v>
      </c>
      <c r="S12" s="24">
        <v>6.5610589335763159</v>
      </c>
      <c r="T12" s="24">
        <v>0.26566875867022188</v>
      </c>
      <c r="U12" s="24" t="s">
        <v>1470</v>
      </c>
      <c r="V12" s="24">
        <v>143275.4</v>
      </c>
      <c r="W12" s="24" t="s">
        <v>1415</v>
      </c>
      <c r="X12" s="64">
        <v>0.15985790408525755</v>
      </c>
    </row>
    <row r="13" spans="1:24" ht="14.4" x14ac:dyDescent="0.55000000000000004">
      <c r="A13" s="24" t="s">
        <v>223</v>
      </c>
      <c r="B13" s="24" t="s">
        <v>813</v>
      </c>
      <c r="C13" s="24" t="s">
        <v>107</v>
      </c>
      <c r="D13" s="24" t="s">
        <v>72</v>
      </c>
      <c r="E13" s="24" t="s">
        <v>92</v>
      </c>
      <c r="F13" s="70">
        <v>1.2682545896447239E-2</v>
      </c>
      <c r="G13" s="24">
        <v>6.364859</v>
      </c>
      <c r="H13" s="24">
        <v>6.2390489999999996</v>
      </c>
      <c r="I13" s="24">
        <v>5.3448060000000002</v>
      </c>
      <c r="J13" s="24">
        <v>6.0336809999999996</v>
      </c>
      <c r="K13" s="24">
        <v>5.1855580000000003</v>
      </c>
      <c r="L13" s="24">
        <v>12.197509999999999</v>
      </c>
      <c r="M13" s="24">
        <v>217.88910000000001</v>
      </c>
      <c r="N13" s="24">
        <v>5.4734510014488933</v>
      </c>
      <c r="O13" s="24">
        <v>4.7</v>
      </c>
      <c r="P13" s="24">
        <v>7.7560975609756087</v>
      </c>
      <c r="Q13" s="24">
        <v>5.7645941236246632</v>
      </c>
      <c r="R13" s="24">
        <v>4.3499999999999996</v>
      </c>
      <c r="S13" s="24">
        <v>6.7952570218035406</v>
      </c>
      <c r="T13" s="24">
        <v>0.72217609740990929</v>
      </c>
      <c r="U13" s="24" t="s">
        <v>1708</v>
      </c>
      <c r="V13" s="24">
        <v>117437.3</v>
      </c>
      <c r="W13" s="24" t="s">
        <v>1415</v>
      </c>
      <c r="X13" s="64">
        <v>7.9051383399209474E-2</v>
      </c>
    </row>
    <row r="14" spans="1:24" ht="14.4" x14ac:dyDescent="0.55000000000000004">
      <c r="A14" s="24" t="s">
        <v>226</v>
      </c>
      <c r="B14" s="24" t="s">
        <v>945</v>
      </c>
      <c r="C14" s="24" t="s">
        <v>112</v>
      </c>
      <c r="D14" s="24" t="s">
        <v>72</v>
      </c>
      <c r="E14" s="24" t="s">
        <v>89</v>
      </c>
      <c r="F14" s="70">
        <v>1.2437535447494199E-2</v>
      </c>
      <c r="G14" s="24">
        <v>7.8793150000000001</v>
      </c>
      <c r="H14" s="24">
        <v>5.205203</v>
      </c>
      <c r="I14" s="24">
        <v>8.0613890000000001</v>
      </c>
      <c r="J14" s="24">
        <v>7.1317029999999999</v>
      </c>
      <c r="K14" s="24">
        <v>2.69929</v>
      </c>
      <c r="L14" s="24">
        <v>7.7725010000000001</v>
      </c>
      <c r="M14" s="24">
        <v>18.3249</v>
      </c>
      <c r="N14" s="24">
        <v>5.5186939477547456</v>
      </c>
      <c r="O14" s="24">
        <v>3</v>
      </c>
      <c r="P14" s="24">
        <v>4.1141141141141135</v>
      </c>
      <c r="Q14" s="24">
        <v>5.4199867197875173</v>
      </c>
      <c r="R14" s="24">
        <v>5.68</v>
      </c>
      <c r="S14" s="24">
        <v>5.5599376446211757</v>
      </c>
      <c r="T14" s="24">
        <v>1.4867118030512818</v>
      </c>
      <c r="U14" s="24" t="s">
        <v>1608</v>
      </c>
      <c r="V14" s="24">
        <v>134635.1</v>
      </c>
      <c r="W14" s="24" t="s">
        <v>1415</v>
      </c>
      <c r="X14" s="64">
        <v>1.7301038062283738E-2</v>
      </c>
    </row>
    <row r="15" spans="1:24" ht="14.4" x14ac:dyDescent="0.55000000000000004">
      <c r="A15" s="24" t="s">
        <v>225</v>
      </c>
      <c r="B15" s="24" t="s">
        <v>814</v>
      </c>
      <c r="C15" s="24" t="s">
        <v>107</v>
      </c>
      <c r="D15" s="24" t="s">
        <v>72</v>
      </c>
      <c r="E15" s="24" t="s">
        <v>89</v>
      </c>
      <c r="F15" s="70">
        <v>1.2425185343576547E-2</v>
      </c>
      <c r="G15" s="24">
        <v>8.2668379999999999</v>
      </c>
      <c r="H15" s="24">
        <v>6.7470379999999999</v>
      </c>
      <c r="I15" s="24">
        <v>6.3593919999999997</v>
      </c>
      <c r="J15" s="24">
        <v>7.238664</v>
      </c>
      <c r="K15" s="24">
        <v>1.5880449999999999</v>
      </c>
      <c r="L15" s="24">
        <v>4.5186219999999997</v>
      </c>
      <c r="M15" s="24">
        <v>19.394200000000001</v>
      </c>
      <c r="N15" s="24">
        <v>7.7415168471356441</v>
      </c>
      <c r="O15" s="24">
        <v>5.3</v>
      </c>
      <c r="P15" s="24">
        <v>5.6756756756756745</v>
      </c>
      <c r="Q15" s="24">
        <v>2.4125719344842853</v>
      </c>
      <c r="R15" s="24">
        <v>4.53</v>
      </c>
      <c r="S15" s="24">
        <v>4.0274989967979593</v>
      </c>
      <c r="T15" s="24">
        <v>1.6075267253514911</v>
      </c>
      <c r="U15" s="24" t="s">
        <v>1723</v>
      </c>
      <c r="V15" s="24">
        <v>125768.7</v>
      </c>
      <c r="W15" s="24" t="s">
        <v>1415</v>
      </c>
      <c r="X15" s="64">
        <v>0</v>
      </c>
    </row>
    <row r="16" spans="1:24" ht="14.4" x14ac:dyDescent="0.55000000000000004">
      <c r="A16" s="24" t="s">
        <v>227</v>
      </c>
      <c r="B16" s="24" t="s">
        <v>815</v>
      </c>
      <c r="C16" s="24" t="s">
        <v>107</v>
      </c>
      <c r="D16" s="24" t="s">
        <v>72</v>
      </c>
      <c r="E16" s="24" t="s">
        <v>88</v>
      </c>
      <c r="F16" s="70">
        <v>1.079221937476298E-2</v>
      </c>
      <c r="G16" s="24">
        <v>7.6535589999999996</v>
      </c>
      <c r="H16" s="24">
        <v>5.2358880000000001</v>
      </c>
      <c r="I16" s="24">
        <v>6.3652170000000003</v>
      </c>
      <c r="J16" s="24">
        <v>6.1711539999999996</v>
      </c>
      <c r="K16" s="24">
        <v>3.7522769999999999</v>
      </c>
      <c r="L16" s="24">
        <v>8.6137080000000008</v>
      </c>
      <c r="M16" s="24">
        <v>22.8447</v>
      </c>
      <c r="N16" s="24">
        <v>4.5283457719407325</v>
      </c>
      <c r="O16" s="24">
        <v>4.2</v>
      </c>
      <c r="P16" s="24">
        <v>4.6575342465753424</v>
      </c>
      <c r="Q16" s="24">
        <v>7.6184381525098139</v>
      </c>
      <c r="R16" s="24">
        <v>8.5</v>
      </c>
      <c r="S16" s="24">
        <v>7.5662027313780227</v>
      </c>
      <c r="T16" s="24">
        <v>0.62435236758764412</v>
      </c>
      <c r="U16" s="24" t="s">
        <v>1451</v>
      </c>
      <c r="V16" s="24">
        <v>113112.6</v>
      </c>
      <c r="W16" s="24" t="s">
        <v>1415</v>
      </c>
      <c r="X16" s="64">
        <v>0.24305555555555555</v>
      </c>
    </row>
    <row r="17" spans="1:24" ht="14.4" x14ac:dyDescent="0.55000000000000004">
      <c r="A17" s="24" t="s">
        <v>228</v>
      </c>
      <c r="B17" s="24" t="s">
        <v>985</v>
      </c>
      <c r="C17" s="24" t="s">
        <v>112</v>
      </c>
      <c r="D17" s="24" t="s">
        <v>72</v>
      </c>
      <c r="E17" s="24" t="s">
        <v>90</v>
      </c>
      <c r="F17" s="70">
        <v>1.0549180538834071E-2</v>
      </c>
      <c r="G17" s="24">
        <v>7.2843879999999999</v>
      </c>
      <c r="H17" s="24">
        <v>7.3959979999999996</v>
      </c>
      <c r="I17" s="24">
        <v>7.2265819999999996</v>
      </c>
      <c r="J17" s="24">
        <v>7.3032190000000003</v>
      </c>
      <c r="K17" s="24">
        <v>5.0516389999999998</v>
      </c>
      <c r="L17" s="24">
        <v>10.211449999999999</v>
      </c>
      <c r="M17" s="24">
        <v>4.2564000000000002</v>
      </c>
      <c r="N17" s="24">
        <v>4.6104488822387193</v>
      </c>
      <c r="O17" s="24">
        <v>3.8</v>
      </c>
      <c r="P17" s="24">
        <v>5.1344091542375434</v>
      </c>
      <c r="Q17" s="24">
        <v>3.0967469370511198</v>
      </c>
      <c r="R17" s="24">
        <v>5.4</v>
      </c>
      <c r="S17" s="24">
        <v>4.7241062399000979</v>
      </c>
      <c r="T17" s="24">
        <v>0.82595911731853167</v>
      </c>
      <c r="U17" s="24" t="s">
        <v>1613</v>
      </c>
      <c r="V17" s="24">
        <v>115076.1</v>
      </c>
      <c r="W17" s="24" t="s">
        <v>1415</v>
      </c>
      <c r="X17" s="64">
        <v>0.10256410256410256</v>
      </c>
    </row>
    <row r="18" spans="1:24" ht="14.4" x14ac:dyDescent="0.55000000000000004">
      <c r="A18" s="24" t="s">
        <v>229</v>
      </c>
      <c r="B18" s="24" t="s">
        <v>816</v>
      </c>
      <c r="C18" s="24" t="s">
        <v>107</v>
      </c>
      <c r="D18" s="24" t="s">
        <v>72</v>
      </c>
      <c r="E18" s="24" t="s">
        <v>84</v>
      </c>
      <c r="F18" s="70">
        <v>9.111901666350071E-3</v>
      </c>
      <c r="G18" s="24">
        <v>5.3920409999999999</v>
      </c>
      <c r="H18" s="24">
        <v>6.1697389999999999</v>
      </c>
      <c r="I18" s="24">
        <v>7.2395240000000003</v>
      </c>
      <c r="J18" s="24">
        <v>6.2671010000000003</v>
      </c>
      <c r="K18" s="24">
        <v>1.8783179999999999</v>
      </c>
      <c r="L18" s="24">
        <v>3.9375209999999998</v>
      </c>
      <c r="M18" s="24">
        <v>901.52530000000002</v>
      </c>
      <c r="N18" s="24">
        <v>7.9779269522353937</v>
      </c>
      <c r="O18" s="24">
        <v>8.1</v>
      </c>
      <c r="P18" s="24">
        <v>6.5671641791044779</v>
      </c>
      <c r="Q18" s="24">
        <v>1.3761971134705759</v>
      </c>
      <c r="R18" s="24">
        <v>4.32</v>
      </c>
      <c r="S18" s="24">
        <v>4.8774228160635822</v>
      </c>
      <c r="T18" s="24">
        <v>0.92439047990066558</v>
      </c>
      <c r="U18" s="24" t="s">
        <v>1707</v>
      </c>
      <c r="V18" s="24">
        <v>97905.25</v>
      </c>
      <c r="W18" s="24" t="s">
        <v>1415</v>
      </c>
      <c r="X18" s="64">
        <v>0</v>
      </c>
    </row>
    <row r="19" spans="1:24" ht="14.4" x14ac:dyDescent="0.55000000000000004">
      <c r="A19" s="24" t="s">
        <v>230</v>
      </c>
      <c r="B19" s="24" t="s">
        <v>817</v>
      </c>
      <c r="C19" s="24" t="s">
        <v>107</v>
      </c>
      <c r="D19" s="24" t="s">
        <v>72</v>
      </c>
      <c r="E19" s="24" t="s">
        <v>93</v>
      </c>
      <c r="F19" s="70">
        <v>8.7034374919650204E-3</v>
      </c>
      <c r="G19" s="24">
        <v>7.4309919999999998</v>
      </c>
      <c r="H19" s="24">
        <v>8.2413290000000003</v>
      </c>
      <c r="I19" s="24">
        <v>5.4181609999999996</v>
      </c>
      <c r="J19" s="24">
        <v>7.0702439999999998</v>
      </c>
      <c r="K19" s="24">
        <v>1.727703</v>
      </c>
      <c r="L19" s="24">
        <v>2.837796</v>
      </c>
      <c r="M19" s="24">
        <v>5.8238000000000003</v>
      </c>
      <c r="N19" s="24">
        <v>7.6002506566384636</v>
      </c>
      <c r="O19" s="24">
        <v>3.1</v>
      </c>
      <c r="P19" s="24">
        <v>7.2981366459627335</v>
      </c>
      <c r="Q19" s="24">
        <v>1.0469804709780808</v>
      </c>
      <c r="R19" s="24">
        <v>4.28</v>
      </c>
      <c r="S19" s="24">
        <v>3.7006549699641371</v>
      </c>
      <c r="T19" s="24">
        <v>1.0222731872391322</v>
      </c>
      <c r="U19" s="24" t="s">
        <v>1709</v>
      </c>
      <c r="V19" s="24">
        <v>92727.25</v>
      </c>
      <c r="W19" s="24" t="s">
        <v>1415</v>
      </c>
      <c r="X19" s="64">
        <v>0.15437392795883362</v>
      </c>
    </row>
    <row r="20" spans="1:24" ht="14.4" x14ac:dyDescent="0.55000000000000004">
      <c r="A20" s="24" t="s">
        <v>231</v>
      </c>
      <c r="B20" s="24" t="s">
        <v>927</v>
      </c>
      <c r="C20" s="24" t="s">
        <v>112</v>
      </c>
      <c r="D20" s="24" t="s">
        <v>72</v>
      </c>
      <c r="E20" s="24" t="s">
        <v>97</v>
      </c>
      <c r="F20" s="70">
        <v>8.6393110285598613E-3</v>
      </c>
      <c r="G20" s="24">
        <v>7.7227880000000004</v>
      </c>
      <c r="H20" s="24">
        <v>6.6526620000000003</v>
      </c>
      <c r="I20" s="24">
        <v>6.0290270000000001</v>
      </c>
      <c r="J20" s="24">
        <v>6.8014919999999996</v>
      </c>
      <c r="K20" s="24">
        <v>3.2303630000000001</v>
      </c>
      <c r="L20" s="24">
        <v>8.2729429999999997</v>
      </c>
      <c r="M20" s="24">
        <v>43.461799999999997</v>
      </c>
      <c r="N20" s="24">
        <v>10</v>
      </c>
      <c r="O20" s="24">
        <v>4.5</v>
      </c>
      <c r="P20" s="24">
        <v>5.2631578947368407</v>
      </c>
      <c r="Q20" s="24">
        <v>6.6660793047325821</v>
      </c>
      <c r="R20" s="24">
        <v>3.78</v>
      </c>
      <c r="S20" s="24">
        <v>6.9522539682148885</v>
      </c>
      <c r="T20" s="24">
        <v>0.30766542601646957</v>
      </c>
      <c r="U20" s="24" t="s">
        <v>1430</v>
      </c>
      <c r="V20" s="24">
        <v>88218.93</v>
      </c>
      <c r="W20" s="24" t="s">
        <v>1415</v>
      </c>
      <c r="X20" s="64">
        <v>0</v>
      </c>
    </row>
    <row r="21" spans="1:24" ht="14.4" x14ac:dyDescent="0.55000000000000004">
      <c r="A21" s="24" t="s">
        <v>233</v>
      </c>
      <c r="B21" s="24" t="s">
        <v>935</v>
      </c>
      <c r="C21" s="24" t="s">
        <v>110</v>
      </c>
      <c r="D21" s="24" t="s">
        <v>72</v>
      </c>
      <c r="E21" s="24" t="s">
        <v>86</v>
      </c>
      <c r="F21" s="70">
        <v>8.0746660789186159E-3</v>
      </c>
      <c r="G21" s="24">
        <v>7.4029509999999998</v>
      </c>
      <c r="H21" s="24">
        <v>6.1333089999999997</v>
      </c>
      <c r="I21" s="24">
        <v>6.687665</v>
      </c>
      <c r="J21" s="24">
        <v>6.7082259999999998</v>
      </c>
      <c r="K21" s="24">
        <v>2.6794229999999999</v>
      </c>
      <c r="L21" s="24">
        <v>5.1212780000000002</v>
      </c>
      <c r="M21" s="24">
        <v>4.2816000000000001</v>
      </c>
      <c r="N21" s="24">
        <v>9.4408808176388987</v>
      </c>
      <c r="O21" s="24">
        <v>5.5</v>
      </c>
      <c r="P21" s="24">
        <v>1.4247313359926168</v>
      </c>
      <c r="Q21" s="24">
        <v>3.2234896493451632</v>
      </c>
      <c r="R21" s="24">
        <v>2.2200000000000002</v>
      </c>
      <c r="S21" s="24">
        <v>2.6898033645675481</v>
      </c>
      <c r="T21" s="24">
        <v>1.4016906046404973</v>
      </c>
      <c r="U21" s="24" t="s">
        <v>1564</v>
      </c>
      <c r="V21" s="24">
        <v>88775.96</v>
      </c>
      <c r="W21" s="24" t="s">
        <v>1415</v>
      </c>
      <c r="X21" s="64">
        <v>0.18803418803418803</v>
      </c>
    </row>
    <row r="22" spans="1:24" ht="14.4" x14ac:dyDescent="0.55000000000000004">
      <c r="A22" s="24" t="s">
        <v>235</v>
      </c>
      <c r="B22" s="24" t="s">
        <v>960</v>
      </c>
      <c r="C22" s="24" t="s">
        <v>110</v>
      </c>
      <c r="D22" s="24" t="s">
        <v>72</v>
      </c>
      <c r="E22" s="24" t="s">
        <v>89</v>
      </c>
      <c r="F22" s="70">
        <v>7.7155402694389485E-3</v>
      </c>
      <c r="G22" s="24">
        <v>7.4069050000000001</v>
      </c>
      <c r="H22" s="24">
        <v>8.1198390000000007</v>
      </c>
      <c r="I22" s="24">
        <v>8.0507910000000003</v>
      </c>
      <c r="J22" s="24">
        <v>7.8139510000000003</v>
      </c>
      <c r="K22" s="24">
        <v>1.727641</v>
      </c>
      <c r="L22" s="24">
        <v>5.2040769999999998</v>
      </c>
      <c r="M22" s="24">
        <v>22.0381</v>
      </c>
      <c r="N22" s="24">
        <v>5.6753838048245591</v>
      </c>
      <c r="O22" s="24">
        <v>6.5</v>
      </c>
      <c r="P22" s="24">
        <v>7.6876876876876867</v>
      </c>
      <c r="Q22" s="24">
        <v>2.6955146082337316</v>
      </c>
      <c r="R22" s="24">
        <v>4.4400000000000004</v>
      </c>
      <c r="S22" s="24">
        <v>4.8125947851150528</v>
      </c>
      <c r="T22" s="24">
        <v>1.3358954836641725</v>
      </c>
      <c r="U22" s="24" t="s">
        <v>1540</v>
      </c>
      <c r="V22" s="24">
        <v>82428.58</v>
      </c>
      <c r="W22" s="24" t="s">
        <v>1415</v>
      </c>
      <c r="X22" s="64">
        <v>0.17301038062283738</v>
      </c>
    </row>
    <row r="23" spans="1:24" ht="14.4" x14ac:dyDescent="0.55000000000000004">
      <c r="A23" s="24" t="s">
        <v>237</v>
      </c>
      <c r="B23" s="24" t="s">
        <v>1184</v>
      </c>
      <c r="C23" s="24" t="s">
        <v>106</v>
      </c>
      <c r="D23" s="24" t="s">
        <v>72</v>
      </c>
      <c r="E23" s="24" t="s">
        <v>91</v>
      </c>
      <c r="F23" s="70">
        <v>7.3939401606393767E-3</v>
      </c>
      <c r="G23" s="24">
        <v>8.6428320000000003</v>
      </c>
      <c r="H23" s="24">
        <v>6.9004500000000002</v>
      </c>
      <c r="I23" s="24">
        <v>6.5819380000000001</v>
      </c>
      <c r="J23" s="24">
        <v>7.501849</v>
      </c>
      <c r="K23" s="24">
        <v>1.788192</v>
      </c>
      <c r="L23" s="24">
        <v>4.0876469999999996</v>
      </c>
      <c r="M23" s="24">
        <v>5.6430999999999996</v>
      </c>
      <c r="N23" s="24">
        <v>5.284043918746316</v>
      </c>
      <c r="O23" s="24">
        <v>6.6</v>
      </c>
      <c r="P23" s="24">
        <v>7.0186335403726723</v>
      </c>
      <c r="Q23" s="24">
        <v>0.85123720020642635</v>
      </c>
      <c r="R23" s="24">
        <v>4.37</v>
      </c>
      <c r="S23" s="24">
        <v>4.3305253388884912</v>
      </c>
      <c r="T23" s="24">
        <v>0.5888376315377174</v>
      </c>
      <c r="U23" s="24" t="s">
        <v>1816</v>
      </c>
      <c r="V23" s="24">
        <v>78805.399999999994</v>
      </c>
      <c r="W23" s="24" t="s">
        <v>1415</v>
      </c>
      <c r="X23" s="64">
        <v>0.274442538593482</v>
      </c>
    </row>
    <row r="24" spans="1:24" ht="14.4" x14ac:dyDescent="0.55000000000000004">
      <c r="A24" s="24" t="s">
        <v>241</v>
      </c>
      <c r="B24" s="24" t="s">
        <v>860</v>
      </c>
      <c r="C24" s="24" t="s">
        <v>111</v>
      </c>
      <c r="D24" s="24" t="s">
        <v>72</v>
      </c>
      <c r="E24" s="24" t="s">
        <v>99</v>
      </c>
      <c r="F24" s="70">
        <v>7.3630749090331854E-3</v>
      </c>
      <c r="G24" s="24">
        <v>5.3933270000000002</v>
      </c>
      <c r="H24" s="24">
        <v>7.5209169999999999</v>
      </c>
      <c r="I24" s="24">
        <v>6.7238819999999997</v>
      </c>
      <c r="J24" s="24">
        <v>6.084956</v>
      </c>
      <c r="K24" s="24">
        <v>4.2859959999999999</v>
      </c>
      <c r="L24" s="24">
        <v>6.9558150000000003</v>
      </c>
      <c r="M24" s="24">
        <v>392.21080000000001</v>
      </c>
      <c r="N24" s="24">
        <v>9.2641935962695712</v>
      </c>
      <c r="O24" s="24">
        <v>9.1</v>
      </c>
      <c r="P24" s="24">
        <v>6.1370716510903431</v>
      </c>
      <c r="Q24" s="24">
        <v>4.140560217980461</v>
      </c>
      <c r="R24" s="24">
        <v>5.4</v>
      </c>
      <c r="S24" s="24">
        <v>6.2647950593344461</v>
      </c>
      <c r="T24" s="24">
        <v>0.4551563727144245</v>
      </c>
      <c r="U24" s="24" t="s">
        <v>1675</v>
      </c>
      <c r="V24" s="24">
        <v>83524.160000000003</v>
      </c>
      <c r="W24" s="24" t="s">
        <v>1415</v>
      </c>
      <c r="X24" s="64">
        <v>0</v>
      </c>
    </row>
    <row r="25" spans="1:24" ht="14.4" x14ac:dyDescent="0.55000000000000004">
      <c r="A25" s="24" t="s">
        <v>242</v>
      </c>
      <c r="B25" s="24" t="s">
        <v>820</v>
      </c>
      <c r="C25" s="24" t="s">
        <v>107</v>
      </c>
      <c r="D25" s="24" t="s">
        <v>72</v>
      </c>
      <c r="E25" s="24" t="s">
        <v>89</v>
      </c>
      <c r="F25" s="70">
        <v>7.2762979146827819E-3</v>
      </c>
      <c r="G25" s="24">
        <v>7.0540669999999999</v>
      </c>
      <c r="H25" s="24">
        <v>7.9818720000000001</v>
      </c>
      <c r="I25" s="24">
        <v>4.9638210000000003</v>
      </c>
      <c r="J25" s="24">
        <v>6.7053349999999998</v>
      </c>
      <c r="K25" s="24">
        <v>1.364379</v>
      </c>
      <c r="L25" s="24">
        <v>4.4044030000000003</v>
      </c>
      <c r="M25" s="24">
        <v>27.114899999999999</v>
      </c>
      <c r="N25" s="24">
        <v>6.2048854028577729</v>
      </c>
      <c r="O25" s="24">
        <v>7.8</v>
      </c>
      <c r="P25" s="24">
        <v>5.3153153153153143</v>
      </c>
      <c r="Q25" s="24">
        <v>2.1036221779548474</v>
      </c>
      <c r="R25" s="24">
        <v>3.67</v>
      </c>
      <c r="S25" s="24">
        <v>4.1113741958625951</v>
      </c>
      <c r="T25" s="24">
        <v>1.0605526209098983</v>
      </c>
      <c r="U25" s="24" t="s">
        <v>1705</v>
      </c>
      <c r="V25" s="24">
        <v>71163.34</v>
      </c>
      <c r="W25" s="24" t="s">
        <v>1415</v>
      </c>
      <c r="X25" s="64">
        <v>0.29411764705882354</v>
      </c>
    </row>
    <row r="26" spans="1:24" ht="14.4" x14ac:dyDescent="0.55000000000000004">
      <c r="A26" s="24" t="s">
        <v>232</v>
      </c>
      <c r="B26" s="24" t="s">
        <v>1273</v>
      </c>
      <c r="C26" s="24" t="s">
        <v>106</v>
      </c>
      <c r="D26" s="24" t="s">
        <v>72</v>
      </c>
      <c r="E26" s="24" t="s">
        <v>92</v>
      </c>
      <c r="F26" s="70">
        <v>7.2726299138028624E-3</v>
      </c>
      <c r="G26" s="24">
        <v>6.7327190000000003</v>
      </c>
      <c r="H26" s="24">
        <v>3.2824119999999999</v>
      </c>
      <c r="I26" s="24">
        <v>5.6865199999999998</v>
      </c>
      <c r="J26" s="24">
        <v>5.7287980000000003</v>
      </c>
      <c r="K26" s="24">
        <v>5.8987059999999998</v>
      </c>
      <c r="L26" s="24">
        <v>11.046379999999999</v>
      </c>
      <c r="M26" s="24">
        <v>258.2294</v>
      </c>
      <c r="N26" s="24">
        <v>3.5066368348148598</v>
      </c>
      <c r="O26" s="24">
        <v>1.3</v>
      </c>
      <c r="P26" s="24">
        <v>4.9268292682926838</v>
      </c>
      <c r="Q26" s="24">
        <v>7.186421970232387</v>
      </c>
      <c r="R26" s="24">
        <v>5.01</v>
      </c>
      <c r="S26" s="24">
        <v>5.5691110815296181</v>
      </c>
      <c r="T26" s="24">
        <v>0.61295642335461875</v>
      </c>
      <c r="U26" s="24" t="s">
        <v>1789</v>
      </c>
      <c r="V26" s="24">
        <v>77602.59</v>
      </c>
      <c r="W26" s="24" t="s">
        <v>1415</v>
      </c>
      <c r="X26" s="64">
        <v>0.25691699604743085</v>
      </c>
    </row>
    <row r="27" spans="1:24" ht="14.4" x14ac:dyDescent="0.55000000000000004">
      <c r="A27" s="24" t="s">
        <v>238</v>
      </c>
      <c r="B27" s="24" t="s">
        <v>1050</v>
      </c>
      <c r="C27" s="24" t="s">
        <v>110</v>
      </c>
      <c r="D27" s="24" t="s">
        <v>72</v>
      </c>
      <c r="E27" s="24" t="s">
        <v>90</v>
      </c>
      <c r="F27" s="70">
        <v>7.237079829422074E-3</v>
      </c>
      <c r="G27" s="24">
        <v>5.2592230000000004</v>
      </c>
      <c r="H27" s="24">
        <v>5.8012699999999997</v>
      </c>
      <c r="I27" s="24">
        <v>2.9022559999999999</v>
      </c>
      <c r="J27" s="24">
        <v>4.6240009999999998</v>
      </c>
      <c r="K27" s="24">
        <v>5.1732009999999997</v>
      </c>
      <c r="L27" s="24">
        <v>7.667154</v>
      </c>
      <c r="M27" s="24">
        <v>0.70515000000000005</v>
      </c>
      <c r="N27" s="24">
        <v>6.3714489629444966</v>
      </c>
      <c r="O27" s="24">
        <v>2.9</v>
      </c>
      <c r="P27" s="24">
        <v>6.747312553474468</v>
      </c>
      <c r="Q27" s="24">
        <v>3.1432192648922692</v>
      </c>
      <c r="R27" s="24">
        <v>5.29</v>
      </c>
      <c r="S27" s="24">
        <v>4.8484369779024972</v>
      </c>
      <c r="T27" s="24">
        <v>0.53291413395879339</v>
      </c>
      <c r="U27" s="24" t="s">
        <v>1535</v>
      </c>
      <c r="V27" s="24">
        <v>77964.12</v>
      </c>
      <c r="W27" s="24" t="s">
        <v>1415</v>
      </c>
      <c r="X27" s="64">
        <v>0.27350427350427353</v>
      </c>
    </row>
    <row r="28" spans="1:24" ht="14.4" x14ac:dyDescent="0.55000000000000004">
      <c r="A28" s="24" t="s">
        <v>236</v>
      </c>
      <c r="B28" s="24" t="s">
        <v>818</v>
      </c>
      <c r="C28" s="24" t="s">
        <v>107</v>
      </c>
      <c r="D28" s="24" t="s">
        <v>72</v>
      </c>
      <c r="E28" s="24" t="s">
        <v>89</v>
      </c>
      <c r="F28" s="70">
        <v>7.1069193419904383E-3</v>
      </c>
      <c r="G28" s="24">
        <v>5.5340550000000004</v>
      </c>
      <c r="H28" s="24">
        <v>7.3809709999999997</v>
      </c>
      <c r="I28" s="24">
        <v>6.6698510000000004</v>
      </c>
      <c r="J28" s="24">
        <v>6.4288689999999997</v>
      </c>
      <c r="K28" s="24">
        <v>1.672479</v>
      </c>
      <c r="L28" s="24">
        <v>3.7940269999999998</v>
      </c>
      <c r="M28" s="24">
        <v>17.278400000000001</v>
      </c>
      <c r="N28" s="24">
        <v>7.3546575597727433</v>
      </c>
      <c r="O28" s="24">
        <v>3.5</v>
      </c>
      <c r="P28" s="24">
        <v>5.0150150150150141</v>
      </c>
      <c r="Q28" s="24">
        <v>3.323741699867198</v>
      </c>
      <c r="R28" s="24">
        <v>2.74</v>
      </c>
      <c r="S28" s="24">
        <v>3.5249560711217267</v>
      </c>
      <c r="T28" s="24">
        <v>1.0883322139005045</v>
      </c>
      <c r="U28" s="24" t="s">
        <v>1906</v>
      </c>
      <c r="V28" s="24">
        <v>76969.41</v>
      </c>
      <c r="W28" s="24" t="s">
        <v>1415</v>
      </c>
      <c r="X28" s="64">
        <v>0.19031141868512111</v>
      </c>
    </row>
    <row r="29" spans="1:24" ht="14.4" x14ac:dyDescent="0.55000000000000004">
      <c r="A29" s="24" t="s">
        <v>234</v>
      </c>
      <c r="B29" s="24" t="s">
        <v>1214</v>
      </c>
      <c r="C29" s="24" t="s">
        <v>106</v>
      </c>
      <c r="D29" s="24" t="s">
        <v>72</v>
      </c>
      <c r="E29" s="24" t="s">
        <v>88</v>
      </c>
      <c r="F29" s="70">
        <v>7.0179675684007275E-3</v>
      </c>
      <c r="G29" s="24">
        <v>7.9945680000000001</v>
      </c>
      <c r="H29" s="24">
        <v>6.7633429999999999</v>
      </c>
      <c r="I29" s="24">
        <v>7.1152189999999997</v>
      </c>
      <c r="J29" s="24">
        <v>7.1503379999999996</v>
      </c>
      <c r="K29" s="24">
        <v>3.9797609999999999</v>
      </c>
      <c r="L29" s="24">
        <v>11.366849999999999</v>
      </c>
      <c r="M29" s="24">
        <v>27.1754</v>
      </c>
      <c r="N29" s="24">
        <v>2.8827176687440135</v>
      </c>
      <c r="O29" s="24">
        <v>5.3</v>
      </c>
      <c r="P29" s="24">
        <v>7.3972602739726021</v>
      </c>
      <c r="Q29" s="24">
        <v>8.0308471839416473</v>
      </c>
      <c r="R29" s="24">
        <v>7.06</v>
      </c>
      <c r="S29" s="24">
        <v>8.0522343733912756</v>
      </c>
      <c r="T29" s="24">
        <v>0.30442758538165754</v>
      </c>
      <c r="U29" s="24" t="s">
        <v>1475</v>
      </c>
      <c r="V29" s="24">
        <v>72857.440000000002</v>
      </c>
      <c r="W29" s="24" t="s">
        <v>1415</v>
      </c>
      <c r="X29" s="64">
        <v>0.36458333333333337</v>
      </c>
    </row>
    <row r="30" spans="1:24" ht="14.4" x14ac:dyDescent="0.55000000000000004">
      <c r="A30" s="24" t="s">
        <v>239</v>
      </c>
      <c r="B30" s="24" t="s">
        <v>1068</v>
      </c>
      <c r="C30" s="24" t="s">
        <v>110</v>
      </c>
      <c r="D30" s="24" t="s">
        <v>72</v>
      </c>
      <c r="E30" s="24" t="s">
        <v>93</v>
      </c>
      <c r="F30" s="70">
        <v>6.9494244916577554E-3</v>
      </c>
      <c r="G30" s="24">
        <v>7.1074529999999996</v>
      </c>
      <c r="H30" s="24">
        <v>5.6904579999999996</v>
      </c>
      <c r="I30" s="24">
        <v>4.0620440000000002</v>
      </c>
      <c r="J30" s="24">
        <v>5.6199849999999998</v>
      </c>
      <c r="K30" s="24">
        <v>2.3771520000000002</v>
      </c>
      <c r="L30" s="24">
        <v>4.7066210000000002</v>
      </c>
      <c r="M30" s="24">
        <v>4.2588999999999997</v>
      </c>
      <c r="N30" s="24">
        <v>4.4966579637010282</v>
      </c>
      <c r="O30" s="24">
        <v>3.4</v>
      </c>
      <c r="P30" s="24">
        <v>6.4285714285714288</v>
      </c>
      <c r="Q30" s="24">
        <v>2.6105690306108587</v>
      </c>
      <c r="R30" s="24">
        <v>5.8</v>
      </c>
      <c r="S30" s="24">
        <v>3.6848028557172601</v>
      </c>
      <c r="T30" s="24">
        <v>1.5903637806463535</v>
      </c>
      <c r="U30" s="24" t="s">
        <v>1561</v>
      </c>
      <c r="V30" s="24">
        <v>75408.09</v>
      </c>
      <c r="W30" s="24" t="s">
        <v>1415</v>
      </c>
      <c r="X30" s="64">
        <v>0.30874785591766724</v>
      </c>
    </row>
    <row r="31" spans="1:24" ht="14.4" x14ac:dyDescent="0.55000000000000004">
      <c r="A31" s="24" t="s">
        <v>240</v>
      </c>
      <c r="B31" s="24" t="s">
        <v>821</v>
      </c>
      <c r="C31" s="24" t="s">
        <v>107</v>
      </c>
      <c r="D31" s="24" t="s">
        <v>72</v>
      </c>
      <c r="E31" s="24" t="s">
        <v>93</v>
      </c>
      <c r="F31" s="70">
        <v>6.9471025920557327E-3</v>
      </c>
      <c r="G31" s="24">
        <v>8.2216330000000006</v>
      </c>
      <c r="H31" s="24">
        <v>9.0853319999999993</v>
      </c>
      <c r="I31" s="24">
        <v>5.9882999999999997</v>
      </c>
      <c r="J31" s="24">
        <v>7.7650889999999997</v>
      </c>
      <c r="K31" s="24">
        <v>0.82527470000000003</v>
      </c>
      <c r="L31" s="24">
        <v>2.261755</v>
      </c>
      <c r="M31" s="24">
        <v>6.2603999999999997</v>
      </c>
      <c r="N31" s="24">
        <v>8.3375100458958649</v>
      </c>
      <c r="O31" s="24">
        <v>4.5</v>
      </c>
      <c r="P31" s="24">
        <v>8.6645962732919273</v>
      </c>
      <c r="Q31" s="24">
        <v>0.10031594100551371</v>
      </c>
      <c r="R31" s="24">
        <v>3.08</v>
      </c>
      <c r="S31" s="24">
        <v>3.3125232957440525</v>
      </c>
      <c r="T31" s="24">
        <v>1.3662067245170351</v>
      </c>
      <c r="U31" s="24" t="s">
        <v>1702</v>
      </c>
      <c r="V31" s="24">
        <v>74647.67</v>
      </c>
      <c r="W31" s="24" t="s">
        <v>1415</v>
      </c>
      <c r="X31" s="64">
        <v>0.32590051457975988</v>
      </c>
    </row>
    <row r="32" spans="1:24" ht="14.4" x14ac:dyDescent="0.55000000000000004">
      <c r="A32" s="24" t="s">
        <v>243</v>
      </c>
      <c r="B32" s="24" t="s">
        <v>1161</v>
      </c>
      <c r="C32" s="24" t="s">
        <v>111</v>
      </c>
      <c r="D32" s="24" t="s">
        <v>72</v>
      </c>
      <c r="E32" s="24" t="s">
        <v>82</v>
      </c>
      <c r="F32" s="70">
        <v>6.4327237663418871E-3</v>
      </c>
      <c r="G32" s="24">
        <v>6.8551820000000001</v>
      </c>
      <c r="H32" s="24">
        <v>6.3371919999999999</v>
      </c>
      <c r="I32" s="24">
        <v>6.3678410000000003</v>
      </c>
      <c r="J32" s="24">
        <v>6.5033159999999999</v>
      </c>
      <c r="K32" s="24">
        <v>4.7151649999999998</v>
      </c>
      <c r="L32" s="24">
        <v>19.82893</v>
      </c>
      <c r="M32" s="24">
        <v>7.5701000000000001</v>
      </c>
      <c r="N32" s="24">
        <v>8.3764898431021901</v>
      </c>
      <c r="O32" s="24">
        <v>5</v>
      </c>
      <c r="P32" s="24">
        <v>2.7956992253440029</v>
      </c>
      <c r="Q32" s="24">
        <v>8.645260104210676</v>
      </c>
      <c r="R32" s="24">
        <v>4.12</v>
      </c>
      <c r="S32" s="24">
        <v>6.9352024212976939</v>
      </c>
      <c r="T32" s="24">
        <v>1.4416642508578634</v>
      </c>
      <c r="U32" s="24" t="s">
        <v>1668</v>
      </c>
      <c r="V32" s="24">
        <v>69071.13</v>
      </c>
      <c r="W32" s="24" t="s">
        <v>1415</v>
      </c>
      <c r="X32" s="64">
        <v>0.35897435897435892</v>
      </c>
    </row>
    <row r="33" spans="1:24" ht="14.4" x14ac:dyDescent="0.55000000000000004">
      <c r="A33" s="24" t="s">
        <v>249</v>
      </c>
      <c r="B33" s="24" t="s">
        <v>1287</v>
      </c>
      <c r="C33" s="24" t="s">
        <v>106</v>
      </c>
      <c r="D33" s="24" t="s">
        <v>72</v>
      </c>
      <c r="E33" s="24" t="s">
        <v>87</v>
      </c>
      <c r="F33" s="70">
        <v>6.4069156521016522E-3</v>
      </c>
      <c r="G33" s="24">
        <v>6.0372599999999998</v>
      </c>
      <c r="H33" s="24">
        <v>6.8963789999999996</v>
      </c>
      <c r="I33" s="24">
        <v>7.2030010000000004</v>
      </c>
      <c r="J33" s="24">
        <v>6.6447180000000001</v>
      </c>
      <c r="K33" s="24">
        <v>2.999336</v>
      </c>
      <c r="L33" s="24">
        <v>5.3440770000000004</v>
      </c>
      <c r="M33" s="24">
        <v>39.612699999999997</v>
      </c>
      <c r="N33" s="24">
        <v>2.3976737004914312</v>
      </c>
      <c r="O33" s="24">
        <v>1.1000000000000001</v>
      </c>
      <c r="P33" s="24">
        <v>6.6108786610878667</v>
      </c>
      <c r="Q33" s="24">
        <v>2.1218365298251176</v>
      </c>
      <c r="R33" s="24">
        <v>4.6100000000000003</v>
      </c>
      <c r="S33" s="24">
        <v>3.5563236457143041</v>
      </c>
      <c r="T33" s="24">
        <v>1.0996894955364158</v>
      </c>
      <c r="U33" s="24" t="s">
        <v>1767</v>
      </c>
      <c r="V33" s="24">
        <v>69514.429999999993</v>
      </c>
      <c r="W33" s="24" t="s">
        <v>1415</v>
      </c>
      <c r="X33" s="64">
        <v>0.60390763765541744</v>
      </c>
    </row>
    <row r="34" spans="1:24" ht="14.4" x14ac:dyDescent="0.55000000000000004">
      <c r="A34" s="24" t="s">
        <v>254</v>
      </c>
      <c r="B34" s="24" t="s">
        <v>1257</v>
      </c>
      <c r="C34" s="24" t="s">
        <v>106</v>
      </c>
      <c r="D34" s="24" t="s">
        <v>72</v>
      </c>
      <c r="E34" s="24" t="s">
        <v>83</v>
      </c>
      <c r="F34" s="70">
        <v>6.1923020715592232E-3</v>
      </c>
      <c r="G34" s="24">
        <v>4.7434070000000004</v>
      </c>
      <c r="H34" s="24">
        <v>6.5643739999999999</v>
      </c>
      <c r="I34" s="24">
        <v>4.4808519999999996</v>
      </c>
      <c r="J34" s="24">
        <v>5.2628779999999997</v>
      </c>
      <c r="K34" s="24">
        <v>5.692666</v>
      </c>
      <c r="L34" s="24">
        <v>9.3148689999999998</v>
      </c>
      <c r="M34" s="24">
        <v>2952.614</v>
      </c>
      <c r="N34" s="24">
        <v>4.0263433212754247</v>
      </c>
      <c r="O34" s="24">
        <v>1.2</v>
      </c>
      <c r="P34" s="24">
        <v>8.2089552238805972</v>
      </c>
      <c r="Q34" s="24">
        <v>5.9325796039606047</v>
      </c>
      <c r="R34" s="24">
        <v>6.94</v>
      </c>
      <c r="S34" s="24">
        <v>6.9927015400956307</v>
      </c>
      <c r="T34" s="24">
        <v>1.1001398761506296</v>
      </c>
      <c r="U34" s="24" t="s">
        <v>1463</v>
      </c>
      <c r="V34" s="24">
        <v>68053.77</v>
      </c>
      <c r="W34" s="24" t="s">
        <v>1415</v>
      </c>
      <c r="X34" s="64">
        <v>0.43402777777777779</v>
      </c>
    </row>
    <row r="35" spans="1:24" ht="14.4" x14ac:dyDescent="0.55000000000000004">
      <c r="A35" s="24" t="s">
        <v>248</v>
      </c>
      <c r="B35" s="24" t="s">
        <v>822</v>
      </c>
      <c r="C35" s="24" t="s">
        <v>107</v>
      </c>
      <c r="D35" s="24" t="s">
        <v>72</v>
      </c>
      <c r="E35" s="24" t="s">
        <v>88</v>
      </c>
      <c r="F35" s="70">
        <v>5.9872623235999586E-3</v>
      </c>
      <c r="G35" s="24">
        <v>5.5731020000000004</v>
      </c>
      <c r="H35" s="24">
        <v>6.6835579999999997</v>
      </c>
      <c r="I35" s="24">
        <v>4.7061210000000004</v>
      </c>
      <c r="J35" s="24">
        <v>5.6704920000000003</v>
      </c>
      <c r="K35" s="24">
        <v>1.8447450000000001</v>
      </c>
      <c r="L35" s="24">
        <v>3.8235450000000002</v>
      </c>
      <c r="M35" s="24">
        <v>36.6905</v>
      </c>
      <c r="N35" s="24">
        <v>7.9894431924358953</v>
      </c>
      <c r="O35" s="24">
        <v>5</v>
      </c>
      <c r="P35" s="24">
        <v>3.9999999999999996</v>
      </c>
      <c r="Q35" s="24">
        <v>4.3824527408892235</v>
      </c>
      <c r="R35" s="24">
        <v>6.87</v>
      </c>
      <c r="S35" s="24">
        <v>4.8136725216629133</v>
      </c>
      <c r="T35" s="24">
        <v>0.93939077678449634</v>
      </c>
      <c r="U35" s="24" t="s">
        <v>1721</v>
      </c>
      <c r="V35" s="24">
        <v>64816.24</v>
      </c>
      <c r="W35" s="24" t="s">
        <v>1415</v>
      </c>
      <c r="X35" s="64">
        <v>0.60763888888888884</v>
      </c>
    </row>
    <row r="36" spans="1:24" ht="14.4" x14ac:dyDescent="0.55000000000000004">
      <c r="A36" s="24" t="s">
        <v>245</v>
      </c>
      <c r="B36" s="24" t="s">
        <v>819</v>
      </c>
      <c r="C36" s="24" t="s">
        <v>107</v>
      </c>
      <c r="D36" s="24" t="s">
        <v>72</v>
      </c>
      <c r="E36" s="24" t="s">
        <v>82</v>
      </c>
      <c r="F36" s="70">
        <v>5.9769689023039252E-3</v>
      </c>
      <c r="G36" s="24">
        <v>7.5949540000000004</v>
      </c>
      <c r="H36" s="24">
        <v>6.1831889999999996</v>
      </c>
      <c r="I36" s="24">
        <v>7.940537</v>
      </c>
      <c r="J36" s="24">
        <v>7.2217900000000004</v>
      </c>
      <c r="K36" s="24">
        <v>7.8231900000000003</v>
      </c>
      <c r="L36" s="24">
        <v>15.42062</v>
      </c>
      <c r="M36" s="24">
        <v>10.139699999999999</v>
      </c>
      <c r="N36" s="24">
        <v>9.5543102453854374</v>
      </c>
      <c r="O36" s="24">
        <v>4.5</v>
      </c>
      <c r="P36" s="24">
        <v>1.6397851225575399</v>
      </c>
      <c r="Q36" s="24">
        <v>8.1213902267286304</v>
      </c>
      <c r="R36" s="24">
        <v>6.86</v>
      </c>
      <c r="S36" s="24">
        <v>6.1087927761871459</v>
      </c>
      <c r="T36" s="24">
        <v>1.2479914886886434</v>
      </c>
      <c r="U36" s="24" t="s">
        <v>1732</v>
      </c>
      <c r="V36" s="24">
        <v>61622.47</v>
      </c>
      <c r="W36" s="24" t="s">
        <v>1415</v>
      </c>
      <c r="X36" s="64">
        <v>0.39316239316239315</v>
      </c>
    </row>
    <row r="37" spans="1:24" ht="14.4" x14ac:dyDescent="0.55000000000000004">
      <c r="A37" s="24" t="s">
        <v>246</v>
      </c>
      <c r="B37" s="24" t="s">
        <v>1213</v>
      </c>
      <c r="C37" s="24" t="s">
        <v>112</v>
      </c>
      <c r="D37" s="24" t="s">
        <v>72</v>
      </c>
      <c r="E37" s="24" t="s">
        <v>90</v>
      </c>
      <c r="F37" s="70">
        <v>5.9353188273738589E-3</v>
      </c>
      <c r="G37" s="24">
        <v>8.0972849999999994</v>
      </c>
      <c r="H37" s="24">
        <v>6.145194</v>
      </c>
      <c r="I37" s="24">
        <v>6.1645459999999996</v>
      </c>
      <c r="J37" s="24">
        <v>6.7375949999999998</v>
      </c>
      <c r="K37" s="24">
        <v>3.2779940000000001</v>
      </c>
      <c r="L37" s="24">
        <v>12.562849999999999</v>
      </c>
      <c r="M37" s="24">
        <v>1.496</v>
      </c>
      <c r="N37" s="24">
        <v>6.5857014933868676</v>
      </c>
      <c r="O37" s="24">
        <v>7</v>
      </c>
      <c r="P37" s="24">
        <v>6.6129039368713913</v>
      </c>
      <c r="Q37" s="24">
        <v>5.1499788762146181</v>
      </c>
      <c r="R37" s="24">
        <v>4.0199999999999996</v>
      </c>
      <c r="S37" s="24">
        <v>5.5064722486202342</v>
      </c>
      <c r="T37" s="24">
        <v>0.69261778805167817</v>
      </c>
      <c r="U37" s="24" t="s">
        <v>1614</v>
      </c>
      <c r="V37" s="24">
        <v>65174.78</v>
      </c>
      <c r="W37" s="24" t="s">
        <v>1415</v>
      </c>
      <c r="X37" s="64">
        <v>0.41025641025641024</v>
      </c>
    </row>
    <row r="38" spans="1:24" ht="14.4" x14ac:dyDescent="0.55000000000000004">
      <c r="A38" s="24" t="s">
        <v>244</v>
      </c>
      <c r="B38" s="24" t="s">
        <v>1045</v>
      </c>
      <c r="C38" s="24" t="s">
        <v>106</v>
      </c>
      <c r="D38" s="24" t="s">
        <v>72</v>
      </c>
      <c r="E38" s="24" t="s">
        <v>87</v>
      </c>
      <c r="F38" s="70">
        <v>5.9296932249329245E-3</v>
      </c>
      <c r="G38" s="24">
        <v>7.7184280000000003</v>
      </c>
      <c r="H38" s="24">
        <v>6.0460459999999996</v>
      </c>
      <c r="I38" s="24">
        <v>5.706099</v>
      </c>
      <c r="J38" s="24">
        <v>6.6130149999999999</v>
      </c>
      <c r="K38" s="24">
        <v>8.7035990000000005</v>
      </c>
      <c r="L38" s="24">
        <v>16.454249999999998</v>
      </c>
      <c r="M38" s="24">
        <v>23.473700000000001</v>
      </c>
      <c r="N38" s="24">
        <v>0.28672344538859562</v>
      </c>
      <c r="O38" s="24">
        <v>5.3</v>
      </c>
      <c r="P38" s="24">
        <v>2.4267782426778246</v>
      </c>
      <c r="Q38" s="24">
        <v>7.9083679399799234</v>
      </c>
      <c r="R38" s="24">
        <v>6.31</v>
      </c>
      <c r="S38" s="24">
        <v>6.592505009905671</v>
      </c>
      <c r="T38" s="24">
        <v>0.47357995053357532</v>
      </c>
      <c r="U38" s="24" t="s">
        <v>1771</v>
      </c>
      <c r="V38" s="24">
        <v>65375.9</v>
      </c>
      <c r="W38" s="24" t="s">
        <v>1415</v>
      </c>
      <c r="X38" s="64">
        <v>0.51509769094138536</v>
      </c>
    </row>
    <row r="39" spans="1:24" ht="14.4" x14ac:dyDescent="0.55000000000000004">
      <c r="A39" s="24" t="s">
        <v>250</v>
      </c>
      <c r="B39" s="24" t="s">
        <v>1121</v>
      </c>
      <c r="C39" s="24" t="s">
        <v>113</v>
      </c>
      <c r="D39" s="24" t="s">
        <v>72</v>
      </c>
      <c r="E39" s="24" t="s">
        <v>82</v>
      </c>
      <c r="F39" s="70">
        <v>5.8749694540971608E-3</v>
      </c>
      <c r="G39" s="24">
        <v>5.8570489999999999</v>
      </c>
      <c r="H39" s="24">
        <v>5.9708699999999997</v>
      </c>
      <c r="I39" s="24">
        <v>6.5402509999999996</v>
      </c>
      <c r="J39" s="24">
        <v>6.1360070000000002</v>
      </c>
      <c r="K39" s="24">
        <v>5.9814939999999996</v>
      </c>
      <c r="L39" s="24">
        <v>23.21144</v>
      </c>
      <c r="M39" s="24">
        <v>13.2736</v>
      </c>
      <c r="N39" s="24">
        <v>7.6283239059726817</v>
      </c>
      <c r="O39" s="24">
        <v>9.6</v>
      </c>
      <c r="P39" s="24">
        <v>7.2580652965661603</v>
      </c>
      <c r="Q39" s="24">
        <v>7.2060273200957621</v>
      </c>
      <c r="R39" s="24">
        <v>5.93</v>
      </c>
      <c r="S39" s="24">
        <v>7.5425250403300579</v>
      </c>
      <c r="T39" s="24">
        <v>1.359492031479228</v>
      </c>
      <c r="U39" s="24" t="s">
        <v>1487</v>
      </c>
      <c r="V39" s="24">
        <v>62440.02</v>
      </c>
      <c r="W39" s="24" t="s">
        <v>1415</v>
      </c>
      <c r="X39" s="64">
        <v>0.47863247863247865</v>
      </c>
    </row>
    <row r="40" spans="1:24" ht="14.4" x14ac:dyDescent="0.55000000000000004">
      <c r="A40" s="24" t="s">
        <v>247</v>
      </c>
      <c r="B40" s="24" t="s">
        <v>823</v>
      </c>
      <c r="C40" s="24" t="s">
        <v>107</v>
      </c>
      <c r="D40" s="24" t="s">
        <v>72</v>
      </c>
      <c r="E40" s="24" t="s">
        <v>90</v>
      </c>
      <c r="F40" s="70">
        <v>5.8067346295427331E-3</v>
      </c>
      <c r="G40" s="24">
        <v>6.6529179999999997</v>
      </c>
      <c r="H40" s="24">
        <v>5.8369010000000001</v>
      </c>
      <c r="I40" s="24">
        <v>6.5143550000000001</v>
      </c>
      <c r="J40" s="24">
        <v>6.3188149999999998</v>
      </c>
      <c r="K40" s="24">
        <v>6.2571919999999999</v>
      </c>
      <c r="L40" s="24">
        <v>12.024570000000001</v>
      </c>
      <c r="M40" s="24">
        <v>0.62907000000000002</v>
      </c>
      <c r="N40" s="24">
        <v>4.5119163387679349</v>
      </c>
      <c r="O40" s="24">
        <v>5.0999999999999996</v>
      </c>
      <c r="P40" s="24">
        <v>5.8064522372529295</v>
      </c>
      <c r="Q40" s="24">
        <v>4.8936769469088865</v>
      </c>
      <c r="R40" s="24">
        <v>6.3</v>
      </c>
      <c r="S40" s="24">
        <v>5.3085193961536099</v>
      </c>
      <c r="T40" s="24">
        <v>0.90539646324605383</v>
      </c>
      <c r="U40" s="24" t="s">
        <v>1712</v>
      </c>
      <c r="V40" s="24">
        <v>61926.06</v>
      </c>
      <c r="W40" s="24" t="s">
        <v>1415</v>
      </c>
      <c r="X40" s="64">
        <v>0.42735042735042739</v>
      </c>
    </row>
    <row r="41" spans="1:24" ht="14.4" x14ac:dyDescent="0.55000000000000004">
      <c r="A41" s="24" t="s">
        <v>255</v>
      </c>
      <c r="B41" s="24" t="s">
        <v>1025</v>
      </c>
      <c r="C41" s="24" t="s">
        <v>106</v>
      </c>
      <c r="D41" s="24" t="s">
        <v>72</v>
      </c>
      <c r="E41" s="24" t="s">
        <v>99</v>
      </c>
      <c r="F41" s="70">
        <v>5.7996358218370681E-3</v>
      </c>
      <c r="G41" s="24">
        <v>6.6645479999999999</v>
      </c>
      <c r="H41" s="24">
        <v>4.9034769999999996</v>
      </c>
      <c r="I41" s="24">
        <v>6.9140860000000002</v>
      </c>
      <c r="J41" s="24">
        <v>6.362241</v>
      </c>
      <c r="K41" s="24">
        <v>4.5031059999999998</v>
      </c>
      <c r="L41" s="24">
        <v>7.4723490000000004</v>
      </c>
      <c r="M41" s="24">
        <v>465.4264</v>
      </c>
      <c r="N41" s="24">
        <v>7.4681341288372947</v>
      </c>
      <c r="O41" s="24">
        <v>6.6</v>
      </c>
      <c r="P41" s="24">
        <v>3.4267912772585674</v>
      </c>
      <c r="Q41" s="24">
        <v>4.1003073126355343</v>
      </c>
      <c r="R41" s="24">
        <v>4.9800000000000004</v>
      </c>
      <c r="S41" s="24">
        <v>5.4587228932670175</v>
      </c>
      <c r="T41" s="24">
        <v>0.49173010921373145</v>
      </c>
      <c r="U41" s="24" t="s">
        <v>1828</v>
      </c>
      <c r="V41" s="24">
        <v>60455.98</v>
      </c>
      <c r="W41" s="24" t="s">
        <v>1415</v>
      </c>
      <c r="X41" s="64">
        <v>0.25134649910233392</v>
      </c>
    </row>
    <row r="42" spans="1:24" ht="14.4" x14ac:dyDescent="0.55000000000000004">
      <c r="A42" s="24" t="s">
        <v>252</v>
      </c>
      <c r="B42" s="24" t="s">
        <v>941</v>
      </c>
      <c r="C42" s="24" t="s">
        <v>106</v>
      </c>
      <c r="D42" s="24" t="s">
        <v>72</v>
      </c>
      <c r="E42" s="24" t="s">
        <v>86</v>
      </c>
      <c r="F42" s="70">
        <v>5.7880043058134894E-3</v>
      </c>
      <c r="G42" s="24">
        <v>7.9991250000000003</v>
      </c>
      <c r="H42" s="24">
        <v>2.956013</v>
      </c>
      <c r="I42" s="24">
        <v>7.3372979999999997</v>
      </c>
      <c r="J42" s="24">
        <v>6.0023970000000002</v>
      </c>
      <c r="K42" s="24">
        <v>1.2225200000000001</v>
      </c>
      <c r="L42" s="24">
        <v>3.921408</v>
      </c>
      <c r="M42" s="24">
        <v>13.4041</v>
      </c>
      <c r="N42" s="24">
        <v>6.5719526384946194</v>
      </c>
      <c r="O42" s="24">
        <v>4.2</v>
      </c>
      <c r="P42" s="24">
        <v>2.9569895652676954</v>
      </c>
      <c r="Q42" s="24">
        <v>1.1439707083509367</v>
      </c>
      <c r="R42" s="24">
        <v>3.89</v>
      </c>
      <c r="S42" s="24">
        <v>3.2869816446426841</v>
      </c>
      <c r="T42" s="24">
        <v>0.33876664288941044</v>
      </c>
      <c r="U42" s="24" t="s">
        <v>1807</v>
      </c>
      <c r="V42" s="24">
        <v>61013.64</v>
      </c>
      <c r="W42" s="24" t="s">
        <v>1415</v>
      </c>
      <c r="X42" s="64">
        <v>0.51282051282051277</v>
      </c>
    </row>
    <row r="43" spans="1:24" ht="14.4" x14ac:dyDescent="0.55000000000000004">
      <c r="A43" s="24" t="s">
        <v>253</v>
      </c>
      <c r="B43" s="24" t="s">
        <v>1165</v>
      </c>
      <c r="C43" s="24" t="s">
        <v>113</v>
      </c>
      <c r="D43" s="24" t="s">
        <v>72</v>
      </c>
      <c r="E43" s="24" t="s">
        <v>82</v>
      </c>
      <c r="F43" s="70">
        <v>5.6299850264327636E-3</v>
      </c>
      <c r="G43" s="24">
        <v>7.460477</v>
      </c>
      <c r="H43" s="24">
        <v>6.7647760000000003</v>
      </c>
      <c r="I43" s="24">
        <v>6.7848839999999999</v>
      </c>
      <c r="J43" s="24">
        <v>6.980524</v>
      </c>
      <c r="K43" s="24">
        <v>8.8478359999999991</v>
      </c>
      <c r="L43" s="24">
        <v>18.208410000000001</v>
      </c>
      <c r="M43" s="24">
        <v>10.1189</v>
      </c>
      <c r="N43" s="24">
        <v>6.3290557437697395</v>
      </c>
      <c r="O43" s="24">
        <v>9.1999999999999993</v>
      </c>
      <c r="P43" s="24">
        <v>5.1881726008787741</v>
      </c>
      <c r="Q43" s="24">
        <v>6.0653429094493738</v>
      </c>
      <c r="R43" s="24">
        <v>7.71</v>
      </c>
      <c r="S43" s="24">
        <v>6.7818945025166437</v>
      </c>
      <c r="T43" s="24">
        <v>1.1051229925874302</v>
      </c>
      <c r="U43" s="24" t="s">
        <v>1871</v>
      </c>
      <c r="V43" s="24">
        <v>61098.44</v>
      </c>
      <c r="W43" s="24" t="s">
        <v>1415</v>
      </c>
      <c r="X43" s="64">
        <v>0.52991452991452992</v>
      </c>
    </row>
    <row r="44" spans="1:24" ht="14.4" x14ac:dyDescent="0.55000000000000004">
      <c r="A44" s="24" t="s">
        <v>251</v>
      </c>
      <c r="B44" s="24" t="s">
        <v>824</v>
      </c>
      <c r="C44" s="24" t="s">
        <v>107</v>
      </c>
      <c r="D44" s="24" t="s">
        <v>72</v>
      </c>
      <c r="E44" s="24" t="s">
        <v>85</v>
      </c>
      <c r="F44" s="70">
        <v>5.6286909677321544E-3</v>
      </c>
      <c r="G44" s="24">
        <v>5.4763489999999999</v>
      </c>
      <c r="H44" s="24">
        <v>4.1837419999999996</v>
      </c>
      <c r="I44" s="24">
        <v>6.3611040000000001</v>
      </c>
      <c r="J44" s="24">
        <v>5.353993</v>
      </c>
      <c r="K44" s="24">
        <v>4.5046559999999998</v>
      </c>
      <c r="L44" s="24">
        <v>7.4739230000000001</v>
      </c>
      <c r="M44" s="24">
        <v>45.8033</v>
      </c>
      <c r="N44" s="24">
        <v>6.8964764687064415</v>
      </c>
      <c r="O44" s="24">
        <v>2.2000000000000002</v>
      </c>
      <c r="P44" s="24">
        <v>4.7147147147147139</v>
      </c>
      <c r="Q44" s="24">
        <v>8.6103729526339094</v>
      </c>
      <c r="R44" s="24">
        <v>7.340001</v>
      </c>
      <c r="S44" s="24">
        <v>6.7398417777600699</v>
      </c>
      <c r="T44" s="24">
        <v>1.0250353656659148</v>
      </c>
      <c r="U44" s="24" t="s">
        <v>1727</v>
      </c>
      <c r="V44" s="24">
        <v>51992.04</v>
      </c>
      <c r="W44" s="24" t="s">
        <v>1415</v>
      </c>
      <c r="X44" s="64">
        <v>0.44982698961937717</v>
      </c>
    </row>
    <row r="45" spans="1:24" ht="14.4" x14ac:dyDescent="0.55000000000000004">
      <c r="A45" s="24" t="s">
        <v>258</v>
      </c>
      <c r="B45" s="24" t="s">
        <v>1151</v>
      </c>
      <c r="C45" s="24" t="s">
        <v>111</v>
      </c>
      <c r="D45" s="24" t="s">
        <v>72</v>
      </c>
      <c r="E45" s="24" t="s">
        <v>95</v>
      </c>
      <c r="F45" s="70">
        <v>5.383174104469363E-3</v>
      </c>
      <c r="G45" s="24">
        <v>7.9295030000000004</v>
      </c>
      <c r="H45" s="24">
        <v>5.9642419999999996</v>
      </c>
      <c r="I45" s="24">
        <v>2.3997299999999999</v>
      </c>
      <c r="J45" s="24">
        <v>4.931489</v>
      </c>
      <c r="K45" s="24">
        <v>3.2853029999999999</v>
      </c>
      <c r="L45" s="24">
        <v>4.8466779999999998</v>
      </c>
      <c r="M45" s="24">
        <v>27.255600000000001</v>
      </c>
      <c r="N45" s="24">
        <v>7.829991255263268</v>
      </c>
      <c r="O45" s="24">
        <v>8.5</v>
      </c>
      <c r="P45" s="24">
        <v>8.975156521739132</v>
      </c>
      <c r="Q45" s="24">
        <v>1.8547594861069614</v>
      </c>
      <c r="R45" s="24">
        <v>5.52</v>
      </c>
      <c r="S45" s="24">
        <v>5.1515553038877737</v>
      </c>
      <c r="T45" s="24">
        <v>1.1089200159294306</v>
      </c>
      <c r="U45" s="24" t="s">
        <v>1676</v>
      </c>
      <c r="V45" s="24">
        <v>55770.91</v>
      </c>
      <c r="W45" s="24" t="s">
        <v>1415</v>
      </c>
      <c r="X45" s="64">
        <v>0.63464837049742706</v>
      </c>
    </row>
    <row r="46" spans="1:24" ht="14.4" x14ac:dyDescent="0.55000000000000004">
      <c r="A46" s="24" t="s">
        <v>260</v>
      </c>
      <c r="B46" s="24" t="s">
        <v>1134</v>
      </c>
      <c r="C46" s="24" t="s">
        <v>109</v>
      </c>
      <c r="D46" s="24" t="s">
        <v>72</v>
      </c>
      <c r="E46" s="24" t="s">
        <v>87</v>
      </c>
      <c r="F46" s="70">
        <v>5.3122670937350213E-3</v>
      </c>
      <c r="G46" s="24">
        <v>5.7753839999999999</v>
      </c>
      <c r="H46" s="24">
        <v>4.55898</v>
      </c>
      <c r="I46" s="24">
        <v>5.2925589999999998</v>
      </c>
      <c r="J46" s="24">
        <v>5.2656150000000004</v>
      </c>
      <c r="K46" s="24">
        <v>1.586203</v>
      </c>
      <c r="L46" s="24">
        <v>5.1496430000000002</v>
      </c>
      <c r="M46" s="24">
        <v>128.92679999999999</v>
      </c>
      <c r="N46" s="24">
        <v>2.137959603658441</v>
      </c>
      <c r="O46" s="24">
        <v>4.3</v>
      </c>
      <c r="P46" s="24">
        <v>2.0502092050209209</v>
      </c>
      <c r="Q46" s="24">
        <v>5.8149733185396526</v>
      </c>
      <c r="R46" s="24">
        <v>2.98</v>
      </c>
      <c r="S46" s="24">
        <v>3.1865084921673628</v>
      </c>
      <c r="T46" s="24">
        <v>0.69125417381648369</v>
      </c>
      <c r="U46" s="24" t="s">
        <v>1519</v>
      </c>
      <c r="V46" s="24">
        <v>53891.72</v>
      </c>
      <c r="W46" s="24" t="s">
        <v>1415</v>
      </c>
      <c r="X46" s="64">
        <v>0.79928952042628776</v>
      </c>
    </row>
    <row r="47" spans="1:24" ht="14.4" x14ac:dyDescent="0.55000000000000004">
      <c r="A47" s="24" t="s">
        <v>263</v>
      </c>
      <c r="B47" s="24" t="s">
        <v>943</v>
      </c>
      <c r="C47" s="24" t="s">
        <v>125</v>
      </c>
      <c r="D47" s="24" t="s">
        <v>72</v>
      </c>
      <c r="E47" s="24" t="s">
        <v>96</v>
      </c>
      <c r="F47" s="70">
        <v>5.2471488189050324E-3</v>
      </c>
      <c r="G47" s="24">
        <v>6.6598300000000004</v>
      </c>
      <c r="H47" s="24">
        <v>3.3732350000000002</v>
      </c>
      <c r="I47" s="24">
        <v>4.156034</v>
      </c>
      <c r="J47" s="24">
        <v>4.343674</v>
      </c>
      <c r="K47" s="24">
        <v>0.26330510000000001</v>
      </c>
      <c r="L47" s="24">
        <v>9.0593699999999995</v>
      </c>
      <c r="M47" s="24">
        <v>2.5953E-2</v>
      </c>
      <c r="N47" s="24">
        <v>7.4285724344025379</v>
      </c>
      <c r="O47" s="24">
        <v>7.2</v>
      </c>
      <c r="P47" s="24">
        <v>0.95022624434389225</v>
      </c>
      <c r="Q47" s="24">
        <v>4.1237677616508481</v>
      </c>
      <c r="R47" s="24">
        <v>2.73</v>
      </c>
      <c r="S47" s="24">
        <v>6.628271348116737</v>
      </c>
      <c r="T47" s="24">
        <v>1.3497306184722293</v>
      </c>
      <c r="U47" s="24" t="s">
        <v>1926</v>
      </c>
      <c r="V47" s="24">
        <v>50879.9</v>
      </c>
      <c r="W47" s="24" t="s">
        <v>1415</v>
      </c>
      <c r="X47" s="64">
        <v>0.84922010398613523</v>
      </c>
    </row>
    <row r="48" spans="1:24" ht="14.4" x14ac:dyDescent="0.55000000000000004">
      <c r="A48" s="24" t="s">
        <v>256</v>
      </c>
      <c r="B48" s="24" t="s">
        <v>1271</v>
      </c>
      <c r="C48" s="24" t="s">
        <v>111</v>
      </c>
      <c r="D48" s="24" t="s">
        <v>72</v>
      </c>
      <c r="E48" s="24" t="s">
        <v>82</v>
      </c>
      <c r="F48" s="70">
        <v>5.1068550411843992E-3</v>
      </c>
      <c r="G48" s="24">
        <v>7.4303229999999996</v>
      </c>
      <c r="H48" s="24">
        <v>7.011736</v>
      </c>
      <c r="I48" s="24">
        <v>5.4516650000000002</v>
      </c>
      <c r="J48" s="24">
        <v>6.5912870000000003</v>
      </c>
      <c r="K48" s="24">
        <v>7.640898</v>
      </c>
      <c r="L48" s="24">
        <v>19.154150000000001</v>
      </c>
      <c r="M48" s="24">
        <v>16.8569</v>
      </c>
      <c r="N48" s="24">
        <v>9.2758931840464349</v>
      </c>
      <c r="O48" s="24">
        <v>5.3</v>
      </c>
      <c r="P48" s="24">
        <v>5.6989253439704672</v>
      </c>
      <c r="Q48" s="24">
        <v>7.6820166173778359</v>
      </c>
      <c r="R48" s="24">
        <v>6.87</v>
      </c>
      <c r="S48" s="24">
        <v>7.037650851699226</v>
      </c>
      <c r="T48" s="24">
        <v>1.3388044995655717</v>
      </c>
      <c r="U48" s="24" t="s">
        <v>1665</v>
      </c>
      <c r="V48" s="24">
        <v>55189.32</v>
      </c>
      <c r="W48" s="24" t="s">
        <v>1415</v>
      </c>
      <c r="X48" s="64">
        <v>0.58119658119658124</v>
      </c>
    </row>
    <row r="49" spans="1:24" ht="14.4" x14ac:dyDescent="0.55000000000000004">
      <c r="A49" s="24" t="s">
        <v>259</v>
      </c>
      <c r="B49" s="24" t="s">
        <v>863</v>
      </c>
      <c r="C49" s="24" t="s">
        <v>113</v>
      </c>
      <c r="D49" s="24" t="s">
        <v>72</v>
      </c>
      <c r="E49" s="24" t="s">
        <v>99</v>
      </c>
      <c r="F49" s="70">
        <v>5.0672356275873074E-3</v>
      </c>
      <c r="G49" s="24">
        <v>6.0792830000000002</v>
      </c>
      <c r="H49" s="24">
        <v>7.4054330000000004</v>
      </c>
      <c r="I49" s="24">
        <v>8.8351810000000004</v>
      </c>
      <c r="J49" s="24">
        <v>6.8956920000000004</v>
      </c>
      <c r="K49" s="24">
        <v>6.3567809999999998</v>
      </c>
      <c r="L49" s="24">
        <v>10.005269999999999</v>
      </c>
      <c r="M49" s="24">
        <v>821.21320000000003</v>
      </c>
      <c r="N49" s="24">
        <v>9.5365000537079894</v>
      </c>
      <c r="O49" s="24">
        <v>5.6</v>
      </c>
      <c r="P49" s="24">
        <v>6.4797507788161983</v>
      </c>
      <c r="Q49" s="24">
        <v>6.3438981352658637</v>
      </c>
      <c r="R49" s="24">
        <v>7.7</v>
      </c>
      <c r="S49" s="24">
        <v>7.6609894168432433</v>
      </c>
      <c r="T49" s="24">
        <v>0.74946462961306182</v>
      </c>
      <c r="U49" s="24" t="s">
        <v>1483</v>
      </c>
      <c r="V49" s="24">
        <v>55684.37</v>
      </c>
      <c r="W49" s="24" t="s">
        <v>1415</v>
      </c>
      <c r="X49" s="64">
        <v>0.3231597845601436</v>
      </c>
    </row>
    <row r="50" spans="1:24" ht="14.4" x14ac:dyDescent="0.55000000000000004">
      <c r="A50" s="24" t="s">
        <v>264</v>
      </c>
      <c r="B50" s="24" t="s">
        <v>937</v>
      </c>
      <c r="C50" s="24" t="s">
        <v>106</v>
      </c>
      <c r="D50" s="24" t="s">
        <v>72</v>
      </c>
      <c r="E50" s="24" t="s">
        <v>89</v>
      </c>
      <c r="F50" s="70">
        <v>4.9484264269169373E-3</v>
      </c>
      <c r="G50" s="24">
        <v>4.9702859999999998</v>
      </c>
      <c r="H50" s="24">
        <v>6.18</v>
      </c>
      <c r="I50" s="24">
        <v>5.1481940000000002</v>
      </c>
      <c r="J50" s="24">
        <v>5.3865730000000003</v>
      </c>
      <c r="K50" s="24">
        <v>0.84488949999999996</v>
      </c>
      <c r="L50" s="24">
        <v>6.2575260000000004</v>
      </c>
      <c r="M50" s="24">
        <v>29.448699999999999</v>
      </c>
      <c r="N50" s="24">
        <v>8.2623731029879774</v>
      </c>
      <c r="O50" s="24">
        <v>9.8000000000000007</v>
      </c>
      <c r="P50" s="24">
        <v>5.9459459459459456</v>
      </c>
      <c r="Q50" s="24">
        <v>4.5747565294378045</v>
      </c>
      <c r="R50" s="24">
        <v>0</v>
      </c>
      <c r="S50" s="24">
        <v>5.5552356102721312</v>
      </c>
      <c r="T50" s="24">
        <v>1.4047915889362041</v>
      </c>
      <c r="U50" s="24" t="s">
        <v>1822</v>
      </c>
      <c r="V50" s="24">
        <v>53878.94</v>
      </c>
      <c r="W50" s="24" t="s">
        <v>1415</v>
      </c>
      <c r="X50" s="64">
        <v>0.67474048442906587</v>
      </c>
    </row>
    <row r="51" spans="1:24" ht="14.4" x14ac:dyDescent="0.55000000000000004">
      <c r="A51" s="24" t="s">
        <v>257</v>
      </c>
      <c r="B51" s="24" t="s">
        <v>1118</v>
      </c>
      <c r="C51" s="24" t="s">
        <v>125</v>
      </c>
      <c r="D51" s="24" t="s">
        <v>72</v>
      </c>
      <c r="E51" s="24" t="s">
        <v>82</v>
      </c>
      <c r="F51" s="70">
        <v>4.8975688190823E-3</v>
      </c>
      <c r="G51" s="24">
        <v>8.351718</v>
      </c>
      <c r="H51" s="24">
        <v>4.8727080000000003</v>
      </c>
      <c r="I51" s="24">
        <v>7.1767300000000001</v>
      </c>
      <c r="J51" s="24">
        <v>6.7228190000000003</v>
      </c>
      <c r="K51" s="24">
        <v>6.2859020000000001</v>
      </c>
      <c r="L51" s="24">
        <v>14.67853</v>
      </c>
      <c r="M51" s="24">
        <v>10.139699999999999</v>
      </c>
      <c r="N51" s="24">
        <v>4.5176441117160442</v>
      </c>
      <c r="O51" s="24">
        <v>5.7</v>
      </c>
      <c r="P51" s="24">
        <v>4.7580650277489278</v>
      </c>
      <c r="Q51" s="24">
        <v>6.0766100549218427</v>
      </c>
      <c r="R51" s="24">
        <v>4.92</v>
      </c>
      <c r="S51" s="24">
        <v>5.7397269397125426</v>
      </c>
      <c r="T51" s="24">
        <v>0.96077676777805354</v>
      </c>
      <c r="U51" s="24" t="s">
        <v>1918</v>
      </c>
      <c r="V51" s="24">
        <v>52536.53</v>
      </c>
      <c r="W51" s="24" t="s">
        <v>1415</v>
      </c>
      <c r="X51" s="64">
        <v>0.59829059829059827</v>
      </c>
    </row>
    <row r="52" spans="1:24" ht="14.4" x14ac:dyDescent="0.55000000000000004">
      <c r="A52" s="24" t="s">
        <v>262</v>
      </c>
      <c r="B52" s="24" t="s">
        <v>1098</v>
      </c>
      <c r="C52" s="24" t="s">
        <v>106</v>
      </c>
      <c r="D52" s="24" t="s">
        <v>72</v>
      </c>
      <c r="E52" s="24" t="s">
        <v>98</v>
      </c>
      <c r="F52" s="70">
        <v>4.6865982189499399E-3</v>
      </c>
      <c r="G52" s="24">
        <v>6.6855700000000002</v>
      </c>
      <c r="H52" s="24">
        <v>4.003514</v>
      </c>
      <c r="I52" s="24">
        <v>6.2565419999999996</v>
      </c>
      <c r="J52" s="24">
        <v>5.4411360000000002</v>
      </c>
      <c r="K52" s="24">
        <v>1.8630199999999999</v>
      </c>
      <c r="L52" s="24">
        <v>4.6791650000000002</v>
      </c>
      <c r="M52" s="24">
        <v>6.0837000000000003</v>
      </c>
      <c r="N52" s="24">
        <v>5.1691729928675052</v>
      </c>
      <c r="O52" s="24">
        <v>6.1</v>
      </c>
      <c r="P52" s="24">
        <v>6.3354037267080763</v>
      </c>
      <c r="Q52" s="24">
        <v>2.448506939728929</v>
      </c>
      <c r="R52" s="24">
        <v>3.98</v>
      </c>
      <c r="S52" s="24">
        <v>4.712964630708635</v>
      </c>
      <c r="T52" s="24">
        <v>0.4096963658595853</v>
      </c>
      <c r="U52" s="24" t="s">
        <v>1827</v>
      </c>
      <c r="V52" s="24">
        <v>48972.02</v>
      </c>
      <c r="W52" s="24" t="s">
        <v>1415</v>
      </c>
      <c r="X52" s="64">
        <v>0.70325900514579764</v>
      </c>
    </row>
    <row r="53" spans="1:24" ht="14.4" x14ac:dyDescent="0.55000000000000004">
      <c r="A53" s="24" t="s">
        <v>268</v>
      </c>
      <c r="B53" s="24" t="s">
        <v>976</v>
      </c>
      <c r="C53" s="24" t="s">
        <v>106</v>
      </c>
      <c r="D53" s="24" t="s">
        <v>72</v>
      </c>
      <c r="E53" s="24" t="s">
        <v>83</v>
      </c>
      <c r="F53" s="70">
        <v>4.6652087196851046E-3</v>
      </c>
      <c r="G53" s="24">
        <v>5.9916919999999996</v>
      </c>
      <c r="H53" s="24">
        <v>4.7464139999999997</v>
      </c>
      <c r="I53" s="24">
        <v>4.546322</v>
      </c>
      <c r="J53" s="24">
        <v>5.0948099999999998</v>
      </c>
      <c r="K53" s="24">
        <v>2.5246390000000001</v>
      </c>
      <c r="L53" s="24">
        <v>5.528816</v>
      </c>
      <c r="M53" s="24">
        <v>133.32050000000001</v>
      </c>
      <c r="N53" s="24">
        <v>6.3759335883327042</v>
      </c>
      <c r="O53" s="24">
        <v>0.6</v>
      </c>
      <c r="P53" s="24">
        <v>4.6268656716417915</v>
      </c>
      <c r="Q53" s="24">
        <v>6.4117337480526544</v>
      </c>
      <c r="R53" s="24">
        <v>2.5099999999999998</v>
      </c>
      <c r="S53" s="24">
        <v>4.4913988283127022</v>
      </c>
      <c r="T53" s="24">
        <v>1.4496528243530276</v>
      </c>
      <c r="U53" s="24" t="s">
        <v>1893</v>
      </c>
      <c r="V53" s="24">
        <v>62454.36</v>
      </c>
      <c r="W53" s="24" t="s">
        <v>1415</v>
      </c>
      <c r="X53" s="64">
        <v>0.67708333333333326</v>
      </c>
    </row>
    <row r="54" spans="1:24" ht="14.4" x14ac:dyDescent="0.55000000000000004">
      <c r="A54" s="24" t="s">
        <v>266</v>
      </c>
      <c r="B54" s="24" t="s">
        <v>1110</v>
      </c>
      <c r="C54" s="24" t="s">
        <v>105</v>
      </c>
      <c r="D54" s="24" t="s">
        <v>72</v>
      </c>
      <c r="E54" s="24" t="s">
        <v>86</v>
      </c>
      <c r="F54" s="70">
        <v>4.5923541155776879E-3</v>
      </c>
      <c r="G54" s="24" t="e">
        <v>#N/A</v>
      </c>
      <c r="H54" s="24" t="e">
        <v>#N/A</v>
      </c>
      <c r="I54" s="24" t="e">
        <v>#N/A</v>
      </c>
      <c r="J54" s="24" t="e">
        <v>#N/A</v>
      </c>
      <c r="K54" s="24">
        <v>1.6469370000000001</v>
      </c>
      <c r="L54" s="24">
        <v>5.904293</v>
      </c>
      <c r="M54" s="24" t="e">
        <v>#N/A</v>
      </c>
      <c r="N54" s="24">
        <v>0.16498625870697778</v>
      </c>
      <c r="O54" s="24">
        <v>4.0999999999999996</v>
      </c>
      <c r="P54" s="24">
        <v>9.7311838420627801</v>
      </c>
      <c r="Q54" s="24">
        <v>3.2009576116040002</v>
      </c>
      <c r="R54" s="24">
        <v>2.0099999999999998</v>
      </c>
      <c r="S54" s="24">
        <v>3.5417116136723439</v>
      </c>
      <c r="T54" s="24">
        <v>1.3845761969783488</v>
      </c>
      <c r="U54" s="24" t="s">
        <v>1999</v>
      </c>
      <c r="V54" s="24">
        <v>48476.93</v>
      </c>
      <c r="W54" s="24" t="s">
        <v>1415</v>
      </c>
      <c r="X54" s="64">
        <v>0.75213675213675213</v>
      </c>
    </row>
    <row r="55" spans="1:24" ht="14.4" x14ac:dyDescent="0.55000000000000004">
      <c r="A55" s="24" t="s">
        <v>261</v>
      </c>
      <c r="B55" s="24" t="s">
        <v>1203</v>
      </c>
      <c r="C55" s="24" t="s">
        <v>113</v>
      </c>
      <c r="D55" s="24" t="s">
        <v>72</v>
      </c>
      <c r="E55" s="24" t="s">
        <v>100</v>
      </c>
      <c r="F55" s="70">
        <v>4.4662949835637625E-3</v>
      </c>
      <c r="G55" s="24">
        <v>6.1958929999999999</v>
      </c>
      <c r="H55" s="24">
        <v>7.9488649999999996</v>
      </c>
      <c r="I55" s="24">
        <v>6.1875390000000001</v>
      </c>
      <c r="J55" s="24">
        <v>6.7192790000000002</v>
      </c>
      <c r="K55" s="24">
        <v>0.60287840000000004</v>
      </c>
      <c r="L55" s="24">
        <v>2.629343</v>
      </c>
      <c r="M55" s="24">
        <v>23.985399999999998</v>
      </c>
      <c r="N55" s="24">
        <v>8.3980777143098031</v>
      </c>
      <c r="O55" s="24">
        <v>9.5</v>
      </c>
      <c r="P55" s="24">
        <v>7.8260869565217392</v>
      </c>
      <c r="Q55" s="24">
        <v>0</v>
      </c>
      <c r="R55" s="24">
        <v>3.55</v>
      </c>
      <c r="S55" s="24">
        <v>3.7488763756588037</v>
      </c>
      <c r="T55" s="24">
        <v>0.90473724087579588</v>
      </c>
      <c r="U55" s="24" t="s">
        <v>1917</v>
      </c>
      <c r="V55" s="24">
        <v>49206.59</v>
      </c>
      <c r="W55" s="24" t="s">
        <v>1415</v>
      </c>
      <c r="X55" s="64">
        <v>0.68610634648370494</v>
      </c>
    </row>
    <row r="56" spans="1:24" ht="14.4" x14ac:dyDescent="0.55000000000000004">
      <c r="A56" s="24" t="s">
        <v>269</v>
      </c>
      <c r="B56" s="24" t="s">
        <v>1402</v>
      </c>
      <c r="C56" s="24" t="s">
        <v>110</v>
      </c>
      <c r="D56" s="24" t="s">
        <v>72</v>
      </c>
      <c r="E56" s="24" t="s">
        <v>85</v>
      </c>
      <c r="F56" s="70">
        <v>4.3635979646575972E-3</v>
      </c>
      <c r="G56" s="24">
        <v>5.1189710000000002</v>
      </c>
      <c r="H56" s="24">
        <v>6.0483760000000002</v>
      </c>
      <c r="I56" s="24">
        <v>6.6686439999999996</v>
      </c>
      <c r="J56" s="24">
        <v>5.9453300000000002</v>
      </c>
      <c r="K56" s="24">
        <v>3.6088990000000001</v>
      </c>
      <c r="L56" s="24">
        <v>8.7969089999999994</v>
      </c>
      <c r="M56" s="24">
        <v>4885.2139999999999</v>
      </c>
      <c r="N56" s="24">
        <v>6.174627353592939</v>
      </c>
      <c r="O56" s="24">
        <v>8</v>
      </c>
      <c r="P56" s="24">
        <v>4.5345345345345329</v>
      </c>
      <c r="Q56" s="24">
        <v>7.5243470562195665</v>
      </c>
      <c r="R56" s="24">
        <v>6.93</v>
      </c>
      <c r="S56" s="24">
        <v>7.0783229736400628</v>
      </c>
      <c r="T56" s="24">
        <v>1.1182231379069596</v>
      </c>
      <c r="U56" s="24" t="s">
        <v>1539</v>
      </c>
      <c r="V56" s="24">
        <v>49198.19</v>
      </c>
      <c r="W56" s="24" t="s">
        <v>1415</v>
      </c>
      <c r="X56" s="64">
        <v>0.76124567474048443</v>
      </c>
    </row>
    <row r="57" spans="1:24" ht="14.4" x14ac:dyDescent="0.55000000000000004">
      <c r="A57" s="24" t="s">
        <v>271</v>
      </c>
      <c r="B57" s="24" t="s">
        <v>931</v>
      </c>
      <c r="C57" s="24" t="s">
        <v>110</v>
      </c>
      <c r="D57" s="24" t="s">
        <v>72</v>
      </c>
      <c r="E57" s="24" t="s">
        <v>85</v>
      </c>
      <c r="F57" s="70">
        <v>4.1263818924720348E-3</v>
      </c>
      <c r="G57" s="24">
        <v>7.9595320000000003</v>
      </c>
      <c r="H57" s="24">
        <v>5.5364750000000003</v>
      </c>
      <c r="I57" s="24">
        <v>7.6212669999999996</v>
      </c>
      <c r="J57" s="24">
        <v>7.039091</v>
      </c>
      <c r="K57" s="24">
        <v>1.2968679999999999</v>
      </c>
      <c r="L57" s="24">
        <v>2.9265140000000001</v>
      </c>
      <c r="M57" s="24">
        <v>35.3611</v>
      </c>
      <c r="N57" s="24">
        <v>7.3114334423413236</v>
      </c>
      <c r="O57" s="24">
        <v>5.0999999999999996</v>
      </c>
      <c r="P57" s="24">
        <v>6.306306306306305</v>
      </c>
      <c r="Q57" s="24">
        <v>1.3968204957945995</v>
      </c>
      <c r="R57" s="24">
        <v>4.43</v>
      </c>
      <c r="S57" s="24">
        <v>3.4989665622567268</v>
      </c>
      <c r="T57" s="24">
        <v>1.3487181533193329</v>
      </c>
      <c r="U57" s="24" t="s">
        <v>1569</v>
      </c>
      <c r="V57" s="24">
        <v>45101.75</v>
      </c>
      <c r="W57" s="24" t="s">
        <v>1415</v>
      </c>
      <c r="X57" s="64">
        <v>0.79584775086505188</v>
      </c>
    </row>
    <row r="58" spans="1:24" ht="14.4" x14ac:dyDescent="0.55000000000000004">
      <c r="A58" s="24" t="s">
        <v>272</v>
      </c>
      <c r="B58" s="24" t="s">
        <v>1292</v>
      </c>
      <c r="C58" s="24" t="s">
        <v>110</v>
      </c>
      <c r="D58" s="24" t="s">
        <v>72</v>
      </c>
      <c r="E58" s="24" t="s">
        <v>88</v>
      </c>
      <c r="F58" s="70">
        <v>4.1153358554429312E-3</v>
      </c>
      <c r="G58" s="24">
        <v>3.8823449999999999</v>
      </c>
      <c r="H58" s="24">
        <v>5.3537540000000003</v>
      </c>
      <c r="I58" s="24">
        <v>6.9757800000000003</v>
      </c>
      <c r="J58" s="24">
        <v>5.7082819999999996</v>
      </c>
      <c r="K58" s="24">
        <v>0.30084169999999999</v>
      </c>
      <c r="L58" s="24">
        <v>3.8989760000000002</v>
      </c>
      <c r="M58" s="24">
        <v>39.942799999999998</v>
      </c>
      <c r="N58" s="24">
        <v>6.0959394298690448</v>
      </c>
      <c r="O58" s="24">
        <v>3</v>
      </c>
      <c r="P58" s="24">
        <v>3.4794520547945202</v>
      </c>
      <c r="Q58" s="24">
        <v>3.6808741891478052</v>
      </c>
      <c r="R58" s="24">
        <v>3.9</v>
      </c>
      <c r="S58" s="24">
        <v>4.4500544895582372</v>
      </c>
      <c r="T58" s="24">
        <v>0.904442637219385</v>
      </c>
      <c r="U58" s="24" t="s">
        <v>1570</v>
      </c>
      <c r="V58" s="24">
        <v>44160.07</v>
      </c>
      <c r="W58" s="24" t="s">
        <v>1415</v>
      </c>
      <c r="X58" s="64">
        <v>1.0243055555555556</v>
      </c>
    </row>
    <row r="59" spans="1:24" ht="14.4" x14ac:dyDescent="0.55000000000000004">
      <c r="A59" s="24" t="s">
        <v>267</v>
      </c>
      <c r="B59" s="24" t="s">
        <v>1000</v>
      </c>
      <c r="C59" s="24" t="s">
        <v>106</v>
      </c>
      <c r="D59" s="24" t="s">
        <v>72</v>
      </c>
      <c r="E59" s="24" t="s">
        <v>89</v>
      </c>
      <c r="F59" s="70">
        <v>4.1021160399933154E-3</v>
      </c>
      <c r="G59" s="24">
        <v>5.0977269999999999</v>
      </c>
      <c r="H59" s="24">
        <v>6.2354700000000003</v>
      </c>
      <c r="I59" s="24">
        <v>3.3784079999999999</v>
      </c>
      <c r="J59" s="24">
        <v>4.923254</v>
      </c>
      <c r="K59" s="24">
        <v>2.6580789999999999</v>
      </c>
      <c r="L59" s="24">
        <v>6.3644559999999997</v>
      </c>
      <c r="M59" s="24">
        <v>17.682300000000001</v>
      </c>
      <c r="N59" s="24">
        <v>7.291981098250222</v>
      </c>
      <c r="O59" s="24">
        <v>7.8</v>
      </c>
      <c r="P59" s="24">
        <v>4.3543543543543537</v>
      </c>
      <c r="Q59" s="24">
        <v>5.1933012394864981</v>
      </c>
      <c r="R59" s="24">
        <v>5.9400009999999996</v>
      </c>
      <c r="S59" s="24">
        <v>5.8747444260695163</v>
      </c>
      <c r="T59" s="24">
        <v>0.54031124403964681</v>
      </c>
      <c r="U59" s="24" t="s">
        <v>1768</v>
      </c>
      <c r="V59" s="24">
        <v>45137.64</v>
      </c>
      <c r="W59" s="24" t="s">
        <v>1415</v>
      </c>
      <c r="X59" s="64">
        <v>0.72664359861591699</v>
      </c>
    </row>
    <row r="60" spans="1:24" ht="14.4" x14ac:dyDescent="0.55000000000000004">
      <c r="A60" s="24" t="s">
        <v>275</v>
      </c>
      <c r="B60" s="24" t="s">
        <v>1088</v>
      </c>
      <c r="C60" s="24" t="s">
        <v>105</v>
      </c>
      <c r="D60" s="24" t="s">
        <v>72</v>
      </c>
      <c r="E60" s="24" t="s">
        <v>89</v>
      </c>
      <c r="F60" s="70">
        <v>4.0803172058417438E-3</v>
      </c>
      <c r="G60" s="24">
        <v>7.5987280000000004</v>
      </c>
      <c r="H60" s="24">
        <v>7.2691280000000003</v>
      </c>
      <c r="I60" s="24">
        <v>6.0960460000000003</v>
      </c>
      <c r="J60" s="24">
        <v>7.0490440000000003</v>
      </c>
      <c r="K60" s="24">
        <v>1.5243450000000001</v>
      </c>
      <c r="L60" s="24">
        <v>3.5151599999999998</v>
      </c>
      <c r="M60" s="24">
        <v>30.402000000000001</v>
      </c>
      <c r="N60" s="24">
        <v>5.4160365067630645</v>
      </c>
      <c r="O60" s="24">
        <v>3.6</v>
      </c>
      <c r="P60" s="24">
        <v>9.0690690690690676</v>
      </c>
      <c r="Q60" s="24">
        <v>1.3274679061531653</v>
      </c>
      <c r="R60" s="24">
        <v>3.95</v>
      </c>
      <c r="S60" s="24">
        <v>3.4547739615430131</v>
      </c>
      <c r="T60" s="24">
        <v>1.4716570965972617</v>
      </c>
      <c r="U60" s="24" t="s">
        <v>2006</v>
      </c>
      <c r="V60" s="24">
        <v>43963.19</v>
      </c>
      <c r="W60" s="24" t="s">
        <v>1415</v>
      </c>
      <c r="X60" s="64">
        <v>0.86505190311418678</v>
      </c>
    </row>
    <row r="61" spans="1:24" ht="14.4" x14ac:dyDescent="0.55000000000000004">
      <c r="A61" s="24" t="s">
        <v>270</v>
      </c>
      <c r="B61" s="24" t="s">
        <v>1221</v>
      </c>
      <c r="C61" s="24" t="s">
        <v>106</v>
      </c>
      <c r="D61" s="24" t="s">
        <v>72</v>
      </c>
      <c r="E61" s="24" t="s">
        <v>82</v>
      </c>
      <c r="F61" s="70">
        <v>4.0064858025914071E-3</v>
      </c>
      <c r="G61" s="24">
        <v>6.8792499999999999</v>
      </c>
      <c r="H61" s="24">
        <v>5.9451879999999999</v>
      </c>
      <c r="I61" s="24">
        <v>4.9925449999999998</v>
      </c>
      <c r="J61" s="24">
        <v>5.8919810000000004</v>
      </c>
      <c r="K61" s="24">
        <v>5.2370130000000001</v>
      </c>
      <c r="L61" s="24">
        <v>14.228</v>
      </c>
      <c r="M61" s="24">
        <v>5.3159000000000001</v>
      </c>
      <c r="N61" s="24">
        <v>1.756416212484702</v>
      </c>
      <c r="O61" s="24">
        <v>6.2</v>
      </c>
      <c r="P61" s="24">
        <v>4.1935488380160049</v>
      </c>
      <c r="Q61" s="24">
        <v>5.8090409801436422</v>
      </c>
      <c r="R61" s="24">
        <v>4.63</v>
      </c>
      <c r="S61" s="24">
        <v>5.0061972783075985</v>
      </c>
      <c r="T61" s="24">
        <v>1.2634946534453333</v>
      </c>
      <c r="U61" s="24" t="s">
        <v>1791</v>
      </c>
      <c r="V61" s="24">
        <v>44039.43</v>
      </c>
      <c r="W61" s="24" t="s">
        <v>1415</v>
      </c>
      <c r="X61" s="64">
        <v>0.82051282051282048</v>
      </c>
    </row>
    <row r="62" spans="1:24" ht="14.4" x14ac:dyDescent="0.55000000000000004">
      <c r="A62" s="24" t="s">
        <v>279</v>
      </c>
      <c r="B62" s="24" t="s">
        <v>1268</v>
      </c>
      <c r="C62" s="24" t="s">
        <v>106</v>
      </c>
      <c r="D62" s="24" t="s">
        <v>72</v>
      </c>
      <c r="E62" s="24" t="s">
        <v>89</v>
      </c>
      <c r="F62" s="70">
        <v>3.9791974773548833E-3</v>
      </c>
      <c r="G62" s="24">
        <v>7.0231349999999999</v>
      </c>
      <c r="H62" s="24">
        <v>5.6746129999999999</v>
      </c>
      <c r="I62" s="24">
        <v>6.2105940000000004</v>
      </c>
      <c r="J62" s="24">
        <v>6.374816</v>
      </c>
      <c r="K62" s="24">
        <v>1.2056340000000001</v>
      </c>
      <c r="L62" s="24">
        <v>3.4864799999999998</v>
      </c>
      <c r="M62" s="24">
        <v>5.1576000000000004</v>
      </c>
      <c r="N62" s="24">
        <v>3.0581364573963059</v>
      </c>
      <c r="O62" s="24">
        <v>4.4000000000000004</v>
      </c>
      <c r="P62" s="24">
        <v>7.2372372372372364</v>
      </c>
      <c r="Q62" s="24">
        <v>1.2658621071270473</v>
      </c>
      <c r="R62" s="24">
        <v>2.69</v>
      </c>
      <c r="S62" s="24">
        <v>3.3376014722407703</v>
      </c>
      <c r="T62" s="24">
        <v>1.2246655913196502</v>
      </c>
      <c r="U62" s="24" t="s">
        <v>1808</v>
      </c>
      <c r="V62" s="24">
        <v>43315.97</v>
      </c>
      <c r="W62" s="24" t="s">
        <v>1415</v>
      </c>
      <c r="X62" s="64">
        <v>0.93425605536332179</v>
      </c>
    </row>
    <row r="63" spans="1:24" ht="14.4" x14ac:dyDescent="0.55000000000000004">
      <c r="A63" s="24" t="s">
        <v>278</v>
      </c>
      <c r="B63" s="24" t="s">
        <v>1282</v>
      </c>
      <c r="C63" s="24" t="s">
        <v>112</v>
      </c>
      <c r="D63" s="24" t="s">
        <v>72</v>
      </c>
      <c r="E63" s="24" t="s">
        <v>84</v>
      </c>
      <c r="F63" s="70">
        <v>3.8587609453255099E-3</v>
      </c>
      <c r="G63" s="24">
        <v>5</v>
      </c>
      <c r="H63" s="24">
        <v>5.5</v>
      </c>
      <c r="I63" s="24">
        <v>6</v>
      </c>
      <c r="J63" s="24">
        <v>5.5</v>
      </c>
      <c r="K63" s="24">
        <v>6.1092690000000003</v>
      </c>
      <c r="L63" s="24">
        <v>7.0986469999999997</v>
      </c>
      <c r="M63" s="24">
        <v>284.20569999999998</v>
      </c>
      <c r="N63" s="24">
        <v>4.6434083811451217</v>
      </c>
      <c r="O63" s="24">
        <v>4.4000000000000004</v>
      </c>
      <c r="P63" s="24">
        <v>3.9402985074626864</v>
      </c>
      <c r="Q63" s="24">
        <v>5.5961510610773857</v>
      </c>
      <c r="R63" s="24">
        <v>7.57</v>
      </c>
      <c r="S63" s="24">
        <v>5.6398676701931034</v>
      </c>
      <c r="T63" s="24">
        <v>1.1332937790117386</v>
      </c>
      <c r="U63" s="24" t="s">
        <v>1626</v>
      </c>
      <c r="V63" s="24">
        <v>42263.93</v>
      </c>
      <c r="W63" s="24" t="s">
        <v>1415</v>
      </c>
      <c r="X63" s="64">
        <v>0.85069444444444442</v>
      </c>
    </row>
    <row r="64" spans="1:24" ht="14.4" x14ac:dyDescent="0.55000000000000004">
      <c r="A64" s="24" t="s">
        <v>277</v>
      </c>
      <c r="B64" s="24" t="s">
        <v>825</v>
      </c>
      <c r="C64" s="24" t="s">
        <v>107</v>
      </c>
      <c r="D64" s="24" t="s">
        <v>72</v>
      </c>
      <c r="E64" s="24" t="s">
        <v>87</v>
      </c>
      <c r="F64" s="70">
        <v>3.8317968853782327E-3</v>
      </c>
      <c r="G64" s="24">
        <v>6.2355539999999996</v>
      </c>
      <c r="H64" s="24">
        <v>6.2065659999999996</v>
      </c>
      <c r="I64" s="24">
        <v>7.9319860000000002</v>
      </c>
      <c r="J64" s="24">
        <v>6.7357870000000002</v>
      </c>
      <c r="K64" s="24">
        <v>3.2147960000000002</v>
      </c>
      <c r="L64" s="24">
        <v>6.0218239999999996</v>
      </c>
      <c r="M64" s="24">
        <v>61.596400000000003</v>
      </c>
      <c r="N64" s="24">
        <v>0.18907167300761768</v>
      </c>
      <c r="O64" s="24">
        <v>6.3</v>
      </c>
      <c r="P64" s="24">
        <v>3.1799163179916317</v>
      </c>
      <c r="Q64" s="24">
        <v>4.7089691974428067</v>
      </c>
      <c r="R64" s="24">
        <v>5.63</v>
      </c>
      <c r="S64" s="24">
        <v>4.6298166970038785</v>
      </c>
      <c r="T64" s="24">
        <v>0.12545536248229211</v>
      </c>
      <c r="U64" s="24" t="s">
        <v>1713</v>
      </c>
      <c r="V64" s="24">
        <v>40869.79</v>
      </c>
      <c r="W64" s="24" t="s">
        <v>1415</v>
      </c>
      <c r="X64" s="64">
        <v>1.1012433392539964</v>
      </c>
    </row>
    <row r="65" spans="1:24" ht="14.4" x14ac:dyDescent="0.55000000000000004">
      <c r="A65" s="24" t="s">
        <v>280</v>
      </c>
      <c r="B65" s="24" t="s">
        <v>826</v>
      </c>
      <c r="C65" s="24" t="s">
        <v>107</v>
      </c>
      <c r="D65" s="24" t="s">
        <v>72</v>
      </c>
      <c r="E65" s="24" t="s">
        <v>85</v>
      </c>
      <c r="F65" s="70">
        <v>3.8076741499870515E-3</v>
      </c>
      <c r="G65" s="24">
        <v>6.5703430000000003</v>
      </c>
      <c r="H65" s="24">
        <v>6.5264689999999996</v>
      </c>
      <c r="I65" s="24">
        <v>6.6223479999999997</v>
      </c>
      <c r="J65" s="24">
        <v>6.5727830000000003</v>
      </c>
      <c r="K65" s="24">
        <v>2.7382789999999999</v>
      </c>
      <c r="L65" s="24">
        <v>9.4432720000000003</v>
      </c>
      <c r="M65" s="24">
        <v>233.92689999999999</v>
      </c>
      <c r="N65" s="24">
        <v>4.43916081957377</v>
      </c>
      <c r="O65" s="24">
        <v>7.1</v>
      </c>
      <c r="P65" s="24">
        <v>5.1351351351351333</v>
      </c>
      <c r="Q65" s="24">
        <v>8.6000442673749458</v>
      </c>
      <c r="R65" s="24">
        <v>5.73</v>
      </c>
      <c r="S65" s="24">
        <v>6.8479549557814092</v>
      </c>
      <c r="T65" s="24">
        <v>1.6115628516898182</v>
      </c>
      <c r="U65" s="24" t="s">
        <v>1725</v>
      </c>
      <c r="V65" s="24">
        <v>37429</v>
      </c>
      <c r="W65" s="24" t="s">
        <v>1415</v>
      </c>
      <c r="X65" s="64">
        <v>0.95155709342560557</v>
      </c>
    </row>
    <row r="66" spans="1:24" ht="14.4" x14ac:dyDescent="0.55000000000000004">
      <c r="A66" s="24" t="s">
        <v>273</v>
      </c>
      <c r="B66" s="24" t="s">
        <v>898</v>
      </c>
      <c r="C66" s="24" t="s">
        <v>110</v>
      </c>
      <c r="D66" s="24" t="s">
        <v>72</v>
      </c>
      <c r="E66" s="24" t="s">
        <v>88</v>
      </c>
      <c r="F66" s="70">
        <v>3.7965700654678976E-3</v>
      </c>
      <c r="G66" s="24">
        <v>3.3283149999999999</v>
      </c>
      <c r="H66" s="24">
        <v>5.6086470000000004</v>
      </c>
      <c r="I66" s="24">
        <v>6.7849700000000004</v>
      </c>
      <c r="J66" s="24">
        <v>5.6231099999999996</v>
      </c>
      <c r="K66" s="24">
        <v>0.85566880000000001</v>
      </c>
      <c r="L66" s="24">
        <v>3.8108610000000001</v>
      </c>
      <c r="M66" s="24">
        <v>100.2436</v>
      </c>
      <c r="N66" s="24">
        <v>5.2605015516413935</v>
      </c>
      <c r="O66" s="24">
        <v>9.3000000000000007</v>
      </c>
      <c r="P66" s="24">
        <v>5.2328767123287676</v>
      </c>
      <c r="Q66" s="24">
        <v>1.7628553133439131</v>
      </c>
      <c r="R66" s="24">
        <v>5.29</v>
      </c>
      <c r="S66" s="24">
        <v>3.4099008186370119</v>
      </c>
      <c r="T66" s="24">
        <v>1.1587296501901632</v>
      </c>
      <c r="U66" s="24" t="s">
        <v>1545</v>
      </c>
      <c r="V66" s="24">
        <v>39721.29</v>
      </c>
      <c r="W66" s="24" t="s">
        <v>1415</v>
      </c>
      <c r="X66" s="64">
        <v>1.0416666666666667</v>
      </c>
    </row>
    <row r="67" spans="1:24" ht="14.4" x14ac:dyDescent="0.55000000000000004">
      <c r="A67" s="24" t="s">
        <v>274</v>
      </c>
      <c r="B67" s="24" t="s">
        <v>1174</v>
      </c>
      <c r="C67" s="24" t="s">
        <v>112</v>
      </c>
      <c r="D67" s="24" t="s">
        <v>72</v>
      </c>
      <c r="E67" s="24" t="s">
        <v>96</v>
      </c>
      <c r="F67" s="70">
        <v>3.7363668117351206E-3</v>
      </c>
      <c r="G67" s="24">
        <v>7.0958129999999997</v>
      </c>
      <c r="H67" s="24">
        <v>6.533855</v>
      </c>
      <c r="I67" s="24">
        <v>6.522062</v>
      </c>
      <c r="J67" s="24">
        <v>6.7551009999999998</v>
      </c>
      <c r="K67" s="24">
        <v>1.109316</v>
      </c>
      <c r="L67" s="24">
        <v>5.8387149999999997</v>
      </c>
      <c r="M67" s="24">
        <v>110.5257</v>
      </c>
      <c r="N67" s="24">
        <v>3.6135206354123754</v>
      </c>
      <c r="O67" s="24">
        <v>1.1000000000000001</v>
      </c>
      <c r="P67" s="24">
        <v>0.67873303167420818</v>
      </c>
      <c r="Q67" s="24">
        <v>8.1452950637478292</v>
      </c>
      <c r="R67" s="24">
        <v>3.89</v>
      </c>
      <c r="S67" s="24">
        <v>5.4163619014761002</v>
      </c>
      <c r="T67" s="24">
        <v>1.8911123869251496</v>
      </c>
      <c r="U67" s="24" t="s">
        <v>1597</v>
      </c>
      <c r="V67" s="24">
        <v>40813.550000000003</v>
      </c>
      <c r="W67" s="24" t="s">
        <v>1415</v>
      </c>
      <c r="X67" s="64">
        <v>1.0398613518197573</v>
      </c>
    </row>
    <row r="68" spans="1:24" ht="14.4" x14ac:dyDescent="0.55000000000000004">
      <c r="A68" s="24" t="s">
        <v>265</v>
      </c>
      <c r="B68" s="24" t="s">
        <v>934</v>
      </c>
      <c r="C68" s="24" t="s">
        <v>112</v>
      </c>
      <c r="D68" s="24" t="s">
        <v>72</v>
      </c>
      <c r="E68" s="24" t="s">
        <v>100</v>
      </c>
      <c r="F68" s="70">
        <v>3.7007046356494063E-3</v>
      </c>
      <c r="G68" s="24">
        <v>4.6746699999999999</v>
      </c>
      <c r="H68" s="24">
        <v>5.1984389999999996</v>
      </c>
      <c r="I68" s="24">
        <v>6.0451699999999997</v>
      </c>
      <c r="J68" s="24">
        <v>5.2429500000000004</v>
      </c>
      <c r="K68" s="24">
        <v>7.9381539999999999</v>
      </c>
      <c r="L68" s="24">
        <v>15.13034</v>
      </c>
      <c r="M68" s="24">
        <v>13.4734</v>
      </c>
      <c r="N68" s="24">
        <v>2.7067670086871303</v>
      </c>
      <c r="O68" s="24">
        <v>1.6</v>
      </c>
      <c r="P68" s="24">
        <v>3.1366459627329202</v>
      </c>
      <c r="Q68" s="24">
        <v>8.8151310535893739</v>
      </c>
      <c r="R68" s="24">
        <v>6.69</v>
      </c>
      <c r="S68" s="24">
        <v>6.7294626836593983</v>
      </c>
      <c r="T68" s="24">
        <v>1.3449079645207727</v>
      </c>
      <c r="U68" s="24" t="s">
        <v>1433</v>
      </c>
      <c r="V68" s="24">
        <v>48536.25</v>
      </c>
      <c r="W68" s="24" t="s">
        <v>1415</v>
      </c>
      <c r="X68" s="64">
        <v>0.75471698113207542</v>
      </c>
    </row>
    <row r="69" spans="1:24" ht="14.4" x14ac:dyDescent="0.55000000000000004">
      <c r="A69" s="24" t="s">
        <v>288</v>
      </c>
      <c r="B69" s="24" t="s">
        <v>858</v>
      </c>
      <c r="C69" s="24" t="s">
        <v>125</v>
      </c>
      <c r="D69" s="24" t="s">
        <v>72</v>
      </c>
      <c r="E69" s="24" t="s">
        <v>89</v>
      </c>
      <c r="F69" s="70">
        <v>3.6928101770025311E-3</v>
      </c>
      <c r="G69" s="24">
        <v>5.0316450000000001</v>
      </c>
      <c r="H69" s="24">
        <v>6.7865890000000002</v>
      </c>
      <c r="I69" s="24">
        <v>5.6041840000000001</v>
      </c>
      <c r="J69" s="24">
        <v>5.8462639999999997</v>
      </c>
      <c r="K69" s="24">
        <v>0</v>
      </c>
      <c r="L69" s="24">
        <v>2.4599440000000001</v>
      </c>
      <c r="M69" s="24">
        <v>2.0621999999999998</v>
      </c>
      <c r="N69" s="24">
        <v>8.0354442171841693</v>
      </c>
      <c r="O69" s="24">
        <v>9</v>
      </c>
      <c r="P69" s="24">
        <v>8.0180180180180169</v>
      </c>
      <c r="Q69" s="24">
        <v>0.28109783089862772</v>
      </c>
      <c r="R69" s="24">
        <v>0</v>
      </c>
      <c r="S69" s="24">
        <v>2.5656255212478887</v>
      </c>
      <c r="T69" s="24">
        <v>2.3486816556712187</v>
      </c>
      <c r="U69" s="24" t="s">
        <v>1924</v>
      </c>
      <c r="V69" s="24">
        <v>41330.120000000003</v>
      </c>
      <c r="W69" s="24" t="s">
        <v>1415</v>
      </c>
      <c r="X69" s="64">
        <v>1.0899653979238755</v>
      </c>
    </row>
    <row r="70" spans="1:24" ht="14.4" x14ac:dyDescent="0.55000000000000004">
      <c r="A70" s="24" t="s">
        <v>281</v>
      </c>
      <c r="B70" s="24" t="s">
        <v>1262</v>
      </c>
      <c r="C70" s="24" t="s">
        <v>112</v>
      </c>
      <c r="D70" s="24" t="s">
        <v>72</v>
      </c>
      <c r="E70" s="24" t="s">
        <v>86</v>
      </c>
      <c r="F70" s="70">
        <v>3.6656549606656052E-3</v>
      </c>
      <c r="G70" s="24">
        <v>7.9805739999999998</v>
      </c>
      <c r="H70" s="24">
        <v>5.0413839999999999</v>
      </c>
      <c r="I70" s="24">
        <v>7.291156</v>
      </c>
      <c r="J70" s="24">
        <v>6.7105610000000002</v>
      </c>
      <c r="K70" s="24">
        <v>1.927603</v>
      </c>
      <c r="L70" s="24">
        <v>5.6428510000000003</v>
      </c>
      <c r="M70" s="24">
        <v>6.2900999999999998</v>
      </c>
      <c r="N70" s="24">
        <v>8.4509632653970339</v>
      </c>
      <c r="O70" s="24">
        <v>6.9</v>
      </c>
      <c r="P70" s="24">
        <v>8.4946245693144711</v>
      </c>
      <c r="Q70" s="24">
        <v>1.9269590198563584</v>
      </c>
      <c r="R70" s="24">
        <v>2.95</v>
      </c>
      <c r="S70" s="24">
        <v>4.5729350655498662</v>
      </c>
      <c r="T70" s="24">
        <v>0.4974560008334647</v>
      </c>
      <c r="U70" s="24" t="s">
        <v>1594</v>
      </c>
      <c r="V70" s="24">
        <v>39003.19</v>
      </c>
      <c r="W70" s="24" t="s">
        <v>1415</v>
      </c>
      <c r="X70" s="64">
        <v>1.0085470085470085</v>
      </c>
    </row>
    <row r="71" spans="1:24" ht="14.4" x14ac:dyDescent="0.55000000000000004">
      <c r="A71" s="24" t="s">
        <v>287</v>
      </c>
      <c r="B71" s="24" t="s">
        <v>1323</v>
      </c>
      <c r="C71" s="24" t="s">
        <v>112</v>
      </c>
      <c r="D71" s="24" t="s">
        <v>72</v>
      </c>
      <c r="E71" s="24" t="s">
        <v>89</v>
      </c>
      <c r="F71" s="70">
        <v>3.6394445172701914E-3</v>
      </c>
      <c r="G71" s="24">
        <v>6.8353190000000001</v>
      </c>
      <c r="H71" s="24">
        <v>6.7132949999999996</v>
      </c>
      <c r="I71" s="24">
        <v>6.3850249999999997</v>
      </c>
      <c r="J71" s="24">
        <v>6.6636230000000003</v>
      </c>
      <c r="K71" s="24">
        <v>4.6432479999999998</v>
      </c>
      <c r="L71" s="24">
        <v>6.5632590000000004</v>
      </c>
      <c r="M71" s="24">
        <v>134.94499999999999</v>
      </c>
      <c r="N71" s="24">
        <v>2.4573156491326706</v>
      </c>
      <c r="O71" s="24">
        <v>1.9</v>
      </c>
      <c r="P71" s="24">
        <v>5.2552552552552543</v>
      </c>
      <c r="Q71" s="24">
        <v>8.6990925188136341</v>
      </c>
      <c r="R71" s="24">
        <v>7.05</v>
      </c>
      <c r="S71" s="24">
        <v>5.5796508194990881</v>
      </c>
      <c r="T71" s="24">
        <v>1.1799419854504447</v>
      </c>
      <c r="U71" s="24" t="s">
        <v>1591</v>
      </c>
      <c r="V71" s="24">
        <v>38916.17</v>
      </c>
      <c r="W71" s="24" t="s">
        <v>1415</v>
      </c>
      <c r="X71" s="64">
        <v>1.0726643598615917</v>
      </c>
    </row>
    <row r="72" spans="1:24" ht="14.4" x14ac:dyDescent="0.55000000000000004">
      <c r="A72" s="24" t="s">
        <v>284</v>
      </c>
      <c r="B72" s="24" t="s">
        <v>1220</v>
      </c>
      <c r="C72" s="24" t="s">
        <v>112</v>
      </c>
      <c r="D72" s="24" t="s">
        <v>72</v>
      </c>
      <c r="E72" s="24" t="s">
        <v>93</v>
      </c>
      <c r="F72" s="70">
        <v>3.6257122825980592E-3</v>
      </c>
      <c r="G72" s="24">
        <v>5.6379330000000003</v>
      </c>
      <c r="H72" s="24">
        <v>6.8559340000000004</v>
      </c>
      <c r="I72" s="24">
        <v>5.0689659999999996</v>
      </c>
      <c r="J72" s="24">
        <v>5.8542779999999999</v>
      </c>
      <c r="K72" s="24">
        <v>0.57891269999999995</v>
      </c>
      <c r="L72" s="24">
        <v>1.917556</v>
      </c>
      <c r="M72" s="24">
        <v>12.930999999999999</v>
      </c>
      <c r="N72" s="24">
        <v>5.1294912891041191</v>
      </c>
      <c r="O72" s="24">
        <v>9.6999999999999993</v>
      </c>
      <c r="P72" s="24">
        <v>2.5776397515527956</v>
      </c>
      <c r="Q72" s="24">
        <v>1.3209473884346903</v>
      </c>
      <c r="R72" s="24">
        <v>2.5499999999999998</v>
      </c>
      <c r="S72" s="24">
        <v>2.0302292749056621</v>
      </c>
      <c r="T72" s="24">
        <v>1.2633311813083894</v>
      </c>
      <c r="U72" s="24" t="s">
        <v>1621</v>
      </c>
      <c r="V72" s="24">
        <v>39246.769999999997</v>
      </c>
      <c r="W72" s="24" t="s">
        <v>1415</v>
      </c>
      <c r="X72" s="64">
        <v>1.0806174957118353</v>
      </c>
    </row>
    <row r="73" spans="1:24" ht="14.4" x14ac:dyDescent="0.55000000000000004">
      <c r="A73" s="24" t="s">
        <v>276</v>
      </c>
      <c r="B73" s="24" t="s">
        <v>1205</v>
      </c>
      <c r="C73" s="24" t="s">
        <v>106</v>
      </c>
      <c r="D73" s="24" t="s">
        <v>72</v>
      </c>
      <c r="E73" s="24" t="s">
        <v>82</v>
      </c>
      <c r="F73" s="70">
        <v>3.620371913513408E-3</v>
      </c>
      <c r="G73" s="24">
        <v>7.1055820000000001</v>
      </c>
      <c r="H73" s="24">
        <v>6.6397009999999996</v>
      </c>
      <c r="I73" s="24">
        <v>7.5660949999999998</v>
      </c>
      <c r="J73" s="24">
        <v>7.1037030000000003</v>
      </c>
      <c r="K73" s="24">
        <v>3.8031139999999999</v>
      </c>
      <c r="L73" s="24">
        <v>22.141490000000001</v>
      </c>
      <c r="M73" s="24">
        <v>5.4353999999999996</v>
      </c>
      <c r="N73" s="24">
        <v>6.5937212004455166</v>
      </c>
      <c r="O73" s="24">
        <v>8.6999999999999993</v>
      </c>
      <c r="P73" s="24">
        <v>3.4408605850387728</v>
      </c>
      <c r="Q73" s="24">
        <v>9.0818194620475996</v>
      </c>
      <c r="R73" s="24">
        <v>2.84</v>
      </c>
      <c r="S73" s="24">
        <v>6.9108354976264375</v>
      </c>
      <c r="T73" s="24">
        <v>1.5571087927716412</v>
      </c>
      <c r="U73" s="24" t="s">
        <v>1796</v>
      </c>
      <c r="V73" s="24">
        <v>39705.339999999997</v>
      </c>
      <c r="W73" s="24" t="s">
        <v>1415</v>
      </c>
      <c r="X73" s="64">
        <v>0.92307692307692313</v>
      </c>
    </row>
    <row r="74" spans="1:24" ht="14.4" x14ac:dyDescent="0.55000000000000004">
      <c r="A74" s="24" t="s">
        <v>290</v>
      </c>
      <c r="B74" s="24" t="s">
        <v>1365</v>
      </c>
      <c r="C74" s="24" t="s">
        <v>110</v>
      </c>
      <c r="D74" s="24" t="s">
        <v>72</v>
      </c>
      <c r="E74" s="24" t="s">
        <v>84</v>
      </c>
      <c r="F74" s="70">
        <v>3.5590887763019318E-3</v>
      </c>
      <c r="G74" s="24">
        <v>6.9143530000000002</v>
      </c>
      <c r="H74" s="24">
        <v>5.2628050000000002</v>
      </c>
      <c r="I74" s="24">
        <v>7.1813960000000003</v>
      </c>
      <c r="J74" s="24">
        <v>6.4528509999999999</v>
      </c>
      <c r="K74" s="24">
        <v>1.58586</v>
      </c>
      <c r="L74" s="24">
        <v>3.514348</v>
      </c>
      <c r="M74" s="24">
        <v>41.120699999999999</v>
      </c>
      <c r="N74" s="24">
        <v>10</v>
      </c>
      <c r="O74" s="24">
        <v>9.8000000000000007</v>
      </c>
      <c r="P74" s="24">
        <v>6.8059701492537314</v>
      </c>
      <c r="Q74" s="24">
        <v>0</v>
      </c>
      <c r="R74" s="24">
        <v>4.24</v>
      </c>
      <c r="S74" s="24">
        <v>4.7132032146957519</v>
      </c>
      <c r="T74" s="24">
        <v>0.33307320884655173</v>
      </c>
      <c r="U74" s="24" t="s">
        <v>1532</v>
      </c>
      <c r="V74" s="24">
        <v>39127.1</v>
      </c>
      <c r="W74" s="24" t="s">
        <v>1415</v>
      </c>
      <c r="X74" s="64">
        <v>1.0590277777777777</v>
      </c>
    </row>
    <row r="75" spans="1:24" ht="14.4" x14ac:dyDescent="0.55000000000000004">
      <c r="A75" s="24" t="s">
        <v>289</v>
      </c>
      <c r="B75" s="24" t="s">
        <v>995</v>
      </c>
      <c r="C75" s="24" t="s">
        <v>106</v>
      </c>
      <c r="D75" s="24" t="s">
        <v>72</v>
      </c>
      <c r="E75" s="24" t="s">
        <v>86</v>
      </c>
      <c r="F75" s="70">
        <v>3.4797638786914667E-3</v>
      </c>
      <c r="G75" s="24">
        <v>7.4963470000000001</v>
      </c>
      <c r="H75" s="24">
        <v>8.993938</v>
      </c>
      <c r="I75" s="24">
        <v>6.0755460000000001</v>
      </c>
      <c r="J75" s="24">
        <v>7.5232239999999999</v>
      </c>
      <c r="K75" s="24">
        <v>1.9846820000000001</v>
      </c>
      <c r="L75" s="24">
        <v>17.75132</v>
      </c>
      <c r="M75" s="24">
        <v>0.20957999999999999</v>
      </c>
      <c r="N75" s="24">
        <v>9.3011003346058807</v>
      </c>
      <c r="O75" s="24">
        <v>5.2</v>
      </c>
      <c r="P75" s="24">
        <v>9.7311827667938449</v>
      </c>
      <c r="Q75" s="24">
        <v>4.5162653147444027</v>
      </c>
      <c r="R75" s="24">
        <v>2.6</v>
      </c>
      <c r="S75" s="24">
        <v>7.6452922606920639</v>
      </c>
      <c r="T75" s="24">
        <v>1.1882343077536646</v>
      </c>
      <c r="U75" s="24" t="s">
        <v>1473</v>
      </c>
      <c r="V75" s="24">
        <v>36872.93</v>
      </c>
      <c r="W75" s="24" t="s">
        <v>1415</v>
      </c>
      <c r="X75" s="64">
        <v>1.1452991452991452</v>
      </c>
    </row>
    <row r="76" spans="1:24" ht="14.4" x14ac:dyDescent="0.55000000000000004">
      <c r="A76" s="24" t="s">
        <v>285</v>
      </c>
      <c r="B76" s="24" t="s">
        <v>1274</v>
      </c>
      <c r="C76" s="24" t="s">
        <v>106</v>
      </c>
      <c r="D76" s="24" t="s">
        <v>72</v>
      </c>
      <c r="E76" s="24" t="s">
        <v>93</v>
      </c>
      <c r="F76" s="70">
        <v>3.473976143605909E-3</v>
      </c>
      <c r="G76" s="24">
        <v>4.6812579999999997</v>
      </c>
      <c r="H76" s="24">
        <v>7.117597</v>
      </c>
      <c r="I76" s="24">
        <v>7.3734719999999996</v>
      </c>
      <c r="J76" s="24">
        <v>6.219824</v>
      </c>
      <c r="K76" s="24">
        <v>4.3997809999999999</v>
      </c>
      <c r="L76" s="24">
        <v>6.065461</v>
      </c>
      <c r="M76" s="24">
        <v>23.808700000000002</v>
      </c>
      <c r="N76" s="24">
        <v>2.4226061740034828</v>
      </c>
      <c r="O76" s="24">
        <v>2.2999999999999998</v>
      </c>
      <c r="P76" s="24">
        <v>6.0669456066945617</v>
      </c>
      <c r="Q76" s="24">
        <v>4.9122069001954891</v>
      </c>
      <c r="R76" s="24">
        <v>7.48</v>
      </c>
      <c r="S76" s="24">
        <v>4.7914391866204298</v>
      </c>
      <c r="T76" s="24">
        <v>0.57123590933414758</v>
      </c>
      <c r="U76" s="24" t="s">
        <v>1815</v>
      </c>
      <c r="V76" s="24">
        <v>38380.629999999997</v>
      </c>
      <c r="W76" s="24" t="s">
        <v>1415</v>
      </c>
      <c r="X76" s="64">
        <v>1.2433392539964476</v>
      </c>
    </row>
    <row r="77" spans="1:24" ht="14.4" x14ac:dyDescent="0.55000000000000004">
      <c r="A77" s="24" t="s">
        <v>283</v>
      </c>
      <c r="B77" s="24" t="s">
        <v>1169</v>
      </c>
      <c r="C77" s="24" t="s">
        <v>105</v>
      </c>
      <c r="D77" s="24" t="s">
        <v>72</v>
      </c>
      <c r="E77" s="24" t="s">
        <v>89</v>
      </c>
      <c r="F77" s="70">
        <v>3.4603580022762905E-3</v>
      </c>
      <c r="G77" s="24">
        <v>5.9929680000000003</v>
      </c>
      <c r="H77" s="24">
        <v>7.088133</v>
      </c>
      <c r="I77" s="24">
        <v>7.4159189999999997</v>
      </c>
      <c r="J77" s="24">
        <v>6.7484029999999997</v>
      </c>
      <c r="K77" s="24">
        <v>6.7741369999999996</v>
      </c>
      <c r="L77" s="24">
        <v>9.5183820000000008</v>
      </c>
      <c r="M77" s="24">
        <v>32.866</v>
      </c>
      <c r="N77" s="24">
        <v>4.5688344686045186</v>
      </c>
      <c r="O77" s="24">
        <v>5.7</v>
      </c>
      <c r="P77" s="24">
        <v>7.0870870870870846</v>
      </c>
      <c r="Q77" s="24">
        <v>7.8043393094289515</v>
      </c>
      <c r="R77" s="24">
        <v>6.33</v>
      </c>
      <c r="S77" s="24">
        <v>7.5347105040121667</v>
      </c>
      <c r="T77" s="24">
        <v>1.3415846077155029</v>
      </c>
      <c r="U77" s="24" t="s">
        <v>1500</v>
      </c>
      <c r="V77" s="24">
        <v>37139.74</v>
      </c>
      <c r="W77" s="24" t="s">
        <v>1415</v>
      </c>
      <c r="X77" s="64">
        <v>1.0034602076124568</v>
      </c>
    </row>
    <row r="78" spans="1:24" ht="14.4" x14ac:dyDescent="0.55000000000000004">
      <c r="A78" s="24" t="s">
        <v>282</v>
      </c>
      <c r="B78" s="24" t="s">
        <v>1315</v>
      </c>
      <c r="C78" s="24" t="s">
        <v>125</v>
      </c>
      <c r="D78" s="24" t="s">
        <v>72</v>
      </c>
      <c r="E78" s="24" t="s">
        <v>91</v>
      </c>
      <c r="F78" s="70">
        <v>3.4316915495604615E-3</v>
      </c>
      <c r="G78" s="24">
        <v>6.8593590000000004</v>
      </c>
      <c r="H78" s="24">
        <v>5.0726550000000001</v>
      </c>
      <c r="I78" s="24">
        <v>5.8794890000000004</v>
      </c>
      <c r="J78" s="24">
        <v>6.0293869999999998</v>
      </c>
      <c r="K78" s="24">
        <v>1.488092</v>
      </c>
      <c r="L78" s="24">
        <v>3.8055110000000001</v>
      </c>
      <c r="M78" s="24">
        <v>3.8424</v>
      </c>
      <c r="N78" s="24">
        <v>5.9085213545298068</v>
      </c>
      <c r="O78" s="24">
        <v>7.8</v>
      </c>
      <c r="P78" s="24">
        <v>6.925465838509318</v>
      </c>
      <c r="Q78" s="24">
        <v>0.78097943884618526</v>
      </c>
      <c r="R78" s="24">
        <v>4.08</v>
      </c>
      <c r="S78" s="24">
        <v>4.1013401741410282</v>
      </c>
      <c r="T78" s="24">
        <v>0.49122776187701783</v>
      </c>
      <c r="U78" s="24" t="s">
        <v>1909</v>
      </c>
      <c r="V78" s="24">
        <v>36389.339999999997</v>
      </c>
      <c r="W78" s="24" t="s">
        <v>1415</v>
      </c>
      <c r="X78" s="64">
        <v>1.0463121783876501</v>
      </c>
    </row>
    <row r="79" spans="1:24" ht="14.4" x14ac:dyDescent="0.55000000000000004">
      <c r="A79" s="24" t="s">
        <v>286</v>
      </c>
      <c r="B79" s="24" t="s">
        <v>987</v>
      </c>
      <c r="C79" s="24" t="s">
        <v>177</v>
      </c>
      <c r="D79" s="24" t="s">
        <v>72</v>
      </c>
      <c r="E79" s="24" t="s">
        <v>82</v>
      </c>
      <c r="F79" s="70">
        <v>3.3515890157470776E-3</v>
      </c>
      <c r="G79" s="24">
        <v>7.3249950000000004</v>
      </c>
      <c r="H79" s="24">
        <v>5.9005669999999997</v>
      </c>
      <c r="I79" s="24">
        <v>7.0716299999999999</v>
      </c>
      <c r="J79" s="24">
        <v>6.7377669999999998</v>
      </c>
      <c r="K79" s="24">
        <v>9.0763149999999992</v>
      </c>
      <c r="L79" s="24">
        <v>12.780989999999999</v>
      </c>
      <c r="M79" s="24">
        <v>1.2385999999999999</v>
      </c>
      <c r="N79" s="24">
        <v>6.0861602239303494</v>
      </c>
      <c r="O79" s="24">
        <v>0.7</v>
      </c>
      <c r="P79" s="24">
        <v>6.9354846167187763</v>
      </c>
      <c r="Q79" s="24">
        <v>5.0232361639205756</v>
      </c>
      <c r="R79" s="24">
        <v>6.82</v>
      </c>
      <c r="S79" s="24">
        <v>6.2514600213000753</v>
      </c>
      <c r="T79" s="24">
        <v>1.0718289779429435</v>
      </c>
      <c r="U79" s="24" t="s">
        <v>1696</v>
      </c>
      <c r="V79" s="24">
        <v>35198.6</v>
      </c>
      <c r="W79" s="24" t="s">
        <v>1415</v>
      </c>
      <c r="X79" s="64">
        <v>1.0940170940170941</v>
      </c>
    </row>
    <row r="80" spans="1:24" ht="14.4" x14ac:dyDescent="0.55000000000000004">
      <c r="A80" s="24" t="s">
        <v>291</v>
      </c>
      <c r="B80" s="24" t="s">
        <v>1304</v>
      </c>
      <c r="C80" s="24" t="s">
        <v>110</v>
      </c>
      <c r="D80" s="24" t="s">
        <v>72</v>
      </c>
      <c r="E80" s="24" t="s">
        <v>90</v>
      </c>
      <c r="F80" s="70">
        <v>3.2859343020435186E-3</v>
      </c>
      <c r="G80" s="24">
        <v>6.8928380000000002</v>
      </c>
      <c r="H80" s="24">
        <v>6.9316899999999997</v>
      </c>
      <c r="I80" s="24">
        <v>7.4173840000000002</v>
      </c>
      <c r="J80" s="24">
        <v>7.0900270000000001</v>
      </c>
      <c r="K80" s="24">
        <v>5.3738080000000004</v>
      </c>
      <c r="L80" s="24">
        <v>11.835979999999999</v>
      </c>
      <c r="M80" s="24">
        <v>0.24657000000000001</v>
      </c>
      <c r="N80" s="24">
        <v>7.6638413228158244</v>
      </c>
      <c r="O80" s="24">
        <v>3.8</v>
      </c>
      <c r="P80" s="24">
        <v>6.8548394467569294</v>
      </c>
      <c r="Q80" s="24">
        <v>4.9950711167441222</v>
      </c>
      <c r="R80" s="24">
        <v>4.8600009999999996</v>
      </c>
      <c r="S80" s="24">
        <v>5.5186662543939597</v>
      </c>
      <c r="T80" s="24">
        <v>0.5922757903607706</v>
      </c>
      <c r="U80" s="24" t="s">
        <v>1558</v>
      </c>
      <c r="V80" s="24">
        <v>35938.519999999997</v>
      </c>
      <c r="W80" s="24" t="s">
        <v>1415</v>
      </c>
      <c r="X80" s="64">
        <v>1.1794871794871795</v>
      </c>
    </row>
    <row r="81" spans="1:24" ht="14.4" x14ac:dyDescent="0.55000000000000004">
      <c r="A81" s="24" t="s">
        <v>296</v>
      </c>
      <c r="B81" s="24" t="s">
        <v>1105</v>
      </c>
      <c r="C81" s="24" t="s">
        <v>106</v>
      </c>
      <c r="D81" s="24" t="s">
        <v>72</v>
      </c>
      <c r="E81" s="24" t="s">
        <v>83</v>
      </c>
      <c r="F81" s="70">
        <v>3.2644457217180793E-3</v>
      </c>
      <c r="G81" s="24">
        <v>5.249117</v>
      </c>
      <c r="H81" s="24">
        <v>4.8630050000000002</v>
      </c>
      <c r="I81" s="24">
        <v>6.8472309999999998</v>
      </c>
      <c r="J81" s="24">
        <v>5.6531180000000001</v>
      </c>
      <c r="K81" s="24">
        <v>2.3889779999999998</v>
      </c>
      <c r="L81" s="24">
        <v>7.7102599999999999</v>
      </c>
      <c r="M81" s="24">
        <v>404.1277</v>
      </c>
      <c r="N81" s="24">
        <v>3.4709856217891604</v>
      </c>
      <c r="O81" s="24">
        <v>2.9</v>
      </c>
      <c r="P81" s="24">
        <v>4.1492537313432827</v>
      </c>
      <c r="Q81" s="24">
        <v>5.051944969685418</v>
      </c>
      <c r="R81" s="24">
        <v>3.95</v>
      </c>
      <c r="S81" s="24">
        <v>4.5328457845537926</v>
      </c>
      <c r="T81" s="24">
        <v>1.5782468855196696</v>
      </c>
      <c r="U81" s="24" t="s">
        <v>1814</v>
      </c>
      <c r="V81" s="24">
        <v>36305.99</v>
      </c>
      <c r="W81" s="24" t="s">
        <v>1415</v>
      </c>
      <c r="X81" s="64">
        <v>1.1631944444444444</v>
      </c>
    </row>
    <row r="82" spans="1:24" ht="14.4" x14ac:dyDescent="0.55000000000000004">
      <c r="A82" s="24" t="s">
        <v>294</v>
      </c>
      <c r="B82" s="24" t="s">
        <v>1141</v>
      </c>
      <c r="C82" s="24" t="s">
        <v>106</v>
      </c>
      <c r="D82" s="24" t="s">
        <v>72</v>
      </c>
      <c r="E82" s="24" t="s">
        <v>88</v>
      </c>
      <c r="F82" s="70">
        <v>3.2096418853787977E-3</v>
      </c>
      <c r="G82" s="24">
        <v>0</v>
      </c>
      <c r="H82" s="24">
        <v>5.1014039999999996</v>
      </c>
      <c r="I82" s="24">
        <v>0</v>
      </c>
      <c r="J82" s="24">
        <v>1.530421</v>
      </c>
      <c r="K82" s="24">
        <v>1.609923</v>
      </c>
      <c r="L82" s="24">
        <v>5.8562240000000001</v>
      </c>
      <c r="M82" s="24">
        <v>25.479600000000001</v>
      </c>
      <c r="N82" s="24">
        <v>4.4365390031074146</v>
      </c>
      <c r="O82" s="24">
        <v>4.4000000000000004</v>
      </c>
      <c r="P82" s="24">
        <v>3.6986301369863011</v>
      </c>
      <c r="Q82" s="24">
        <v>5.7692764275174717</v>
      </c>
      <c r="R82" s="24">
        <v>6.17</v>
      </c>
      <c r="S82" s="24">
        <v>6.4472030137658045</v>
      </c>
      <c r="T82" s="24">
        <v>0.17712984356235775</v>
      </c>
      <c r="U82" s="24" t="s">
        <v>1846</v>
      </c>
      <c r="V82" s="24">
        <v>32583.9</v>
      </c>
      <c r="W82" s="24" t="s">
        <v>1415</v>
      </c>
      <c r="X82" s="64">
        <v>1.40625</v>
      </c>
    </row>
    <row r="83" spans="1:24" ht="14.4" x14ac:dyDescent="0.55000000000000004">
      <c r="A83" s="24" t="s">
        <v>297</v>
      </c>
      <c r="B83" s="24" t="s">
        <v>828</v>
      </c>
      <c r="C83" s="24" t="s">
        <v>107</v>
      </c>
      <c r="D83" s="24" t="s">
        <v>72</v>
      </c>
      <c r="E83" s="24" t="s">
        <v>96</v>
      </c>
      <c r="F83" s="70">
        <v>3.0306554522642939E-3</v>
      </c>
      <c r="G83" s="24">
        <v>8.0769339999999996</v>
      </c>
      <c r="H83" s="24">
        <v>6.7147379999999997</v>
      </c>
      <c r="I83" s="24">
        <v>7.3348709999999997</v>
      </c>
      <c r="J83" s="24">
        <v>7.3755139999999999</v>
      </c>
      <c r="K83" s="24">
        <v>1.8310010000000001</v>
      </c>
      <c r="L83" s="24">
        <v>6.2039999999999997</v>
      </c>
      <c r="M83" s="24">
        <v>5.5373000000000001</v>
      </c>
      <c r="N83" s="24">
        <v>6.2346946397336005</v>
      </c>
      <c r="O83" s="24">
        <v>2.5</v>
      </c>
      <c r="P83" s="24">
        <v>2.0361990950226247</v>
      </c>
      <c r="Q83" s="24">
        <v>10</v>
      </c>
      <c r="R83" s="24">
        <v>6.78</v>
      </c>
      <c r="S83" s="24">
        <v>7.0372787166622768</v>
      </c>
      <c r="T83" s="24">
        <v>0.94916516832639808</v>
      </c>
      <c r="U83" s="24" t="s">
        <v>1726</v>
      </c>
      <c r="V83" s="24">
        <v>31041.64</v>
      </c>
      <c r="W83" s="24" t="s">
        <v>1415</v>
      </c>
      <c r="X83" s="64">
        <v>1.4384748700173311</v>
      </c>
    </row>
    <row r="84" spans="1:24" ht="14.4" x14ac:dyDescent="0.55000000000000004">
      <c r="A84" s="24" t="s">
        <v>306</v>
      </c>
      <c r="B84" s="24" t="s">
        <v>1239</v>
      </c>
      <c r="C84" s="24" t="s">
        <v>127</v>
      </c>
      <c r="D84" s="24" t="s">
        <v>72</v>
      </c>
      <c r="E84" s="24" t="s">
        <v>89</v>
      </c>
      <c r="F84" s="70">
        <v>2.9541288440017833E-3</v>
      </c>
      <c r="G84" s="24">
        <v>7.7381279999999997</v>
      </c>
      <c r="H84" s="24">
        <v>4.1577190000000002</v>
      </c>
      <c r="I84" s="24">
        <v>7.1232189999999997</v>
      </c>
      <c r="J84" s="24">
        <v>6.479533</v>
      </c>
      <c r="K84" s="24">
        <v>0.51020069999999995</v>
      </c>
      <c r="L84" s="24">
        <v>4.5285739999999999</v>
      </c>
      <c r="M84" s="24">
        <v>39.328600000000002</v>
      </c>
      <c r="N84" s="24">
        <v>4.1690078163385422</v>
      </c>
      <c r="O84" s="24">
        <v>2.9</v>
      </c>
      <c r="P84" s="24">
        <v>5.8558558558558547</v>
      </c>
      <c r="Q84" s="24">
        <v>4.3389397963700755</v>
      </c>
      <c r="R84" s="24">
        <v>1.48</v>
      </c>
      <c r="S84" s="24">
        <v>3.4180376955683505</v>
      </c>
      <c r="T84" s="24">
        <v>1.1451252222574695</v>
      </c>
      <c r="U84" s="24" t="s">
        <v>1649</v>
      </c>
      <c r="V84" s="24">
        <v>31668.84</v>
      </c>
      <c r="W84" s="24" t="s">
        <v>1415</v>
      </c>
      <c r="X84" s="64">
        <v>1.4013840830449829</v>
      </c>
    </row>
    <row r="85" spans="1:24" ht="14.4" x14ac:dyDescent="0.55000000000000004">
      <c r="A85" s="24" t="s">
        <v>292</v>
      </c>
      <c r="B85" s="24" t="s">
        <v>1241</v>
      </c>
      <c r="C85" s="24" t="s">
        <v>113</v>
      </c>
      <c r="D85" s="24" t="s">
        <v>72</v>
      </c>
      <c r="E85" s="24" t="s">
        <v>92</v>
      </c>
      <c r="F85" s="70">
        <v>2.85110755980637E-3</v>
      </c>
      <c r="G85" s="24">
        <v>5.7721419999999997</v>
      </c>
      <c r="H85" s="24">
        <v>7.5307170000000001</v>
      </c>
      <c r="I85" s="24">
        <v>6.9270680000000002</v>
      </c>
      <c r="J85" s="24">
        <v>6.4703350000000004</v>
      </c>
      <c r="K85" s="24">
        <v>7.267862</v>
      </c>
      <c r="L85" s="24">
        <v>12.295769999999999</v>
      </c>
      <c r="M85" s="24">
        <v>526.4896</v>
      </c>
      <c r="N85" s="24">
        <v>5.5553098328960537</v>
      </c>
      <c r="O85" s="24">
        <v>4.0999999999999996</v>
      </c>
      <c r="P85" s="24">
        <v>1.9999999999999998</v>
      </c>
      <c r="Q85" s="24">
        <v>7.7125640755043623</v>
      </c>
      <c r="R85" s="24">
        <v>5.87</v>
      </c>
      <c r="S85" s="24">
        <v>6.6036239846520273</v>
      </c>
      <c r="T85" s="24">
        <v>0.71549034979486803</v>
      </c>
      <c r="U85" s="24" t="s">
        <v>1484</v>
      </c>
      <c r="V85" s="24">
        <v>30818.09</v>
      </c>
      <c r="W85" s="24" t="s">
        <v>1415</v>
      </c>
      <c r="X85" s="64">
        <v>1.4426877470355732</v>
      </c>
    </row>
    <row r="86" spans="1:24" ht="14.4" x14ac:dyDescent="0.55000000000000004">
      <c r="A86" s="24" t="s">
        <v>305</v>
      </c>
      <c r="B86" s="24" t="s">
        <v>1130</v>
      </c>
      <c r="C86" s="24" t="s">
        <v>106</v>
      </c>
      <c r="D86" s="24" t="s">
        <v>72</v>
      </c>
      <c r="E86" s="24" t="s">
        <v>89</v>
      </c>
      <c r="F86" s="70">
        <v>2.8491489574265605E-3</v>
      </c>
      <c r="G86" s="24">
        <v>5.0813889999999997</v>
      </c>
      <c r="H86" s="24">
        <v>4.923832</v>
      </c>
      <c r="I86" s="24">
        <v>4.4691380000000001</v>
      </c>
      <c r="J86" s="24">
        <v>4.850447</v>
      </c>
      <c r="K86" s="24">
        <v>1.3980079999999999</v>
      </c>
      <c r="L86" s="24">
        <v>5.120025</v>
      </c>
      <c r="M86" s="24">
        <v>60.085500000000003</v>
      </c>
      <c r="N86" s="24">
        <v>3.8988548131033145</v>
      </c>
      <c r="O86" s="24">
        <v>2.6</v>
      </c>
      <c r="P86" s="24">
        <v>6.2462462462462458</v>
      </c>
      <c r="Q86" s="24">
        <v>4.1849269588313422</v>
      </c>
      <c r="R86" s="24">
        <v>2.4</v>
      </c>
      <c r="S86" s="24">
        <v>4.3016469840789782</v>
      </c>
      <c r="T86" s="24">
        <v>1.656088967826143</v>
      </c>
      <c r="U86" s="24" t="s">
        <v>1761</v>
      </c>
      <c r="V86" s="24">
        <v>30353.42</v>
      </c>
      <c r="W86" s="24" t="s">
        <v>1415</v>
      </c>
      <c r="X86" s="64">
        <v>1.3840830449826991</v>
      </c>
    </row>
    <row r="87" spans="1:24" ht="14.4" x14ac:dyDescent="0.55000000000000004">
      <c r="A87" s="24" t="s">
        <v>301</v>
      </c>
      <c r="B87" s="24" t="s">
        <v>1272</v>
      </c>
      <c r="C87" s="24" t="s">
        <v>112</v>
      </c>
      <c r="D87" s="24" t="s">
        <v>72</v>
      </c>
      <c r="E87" s="24" t="s">
        <v>82</v>
      </c>
      <c r="F87" s="70">
        <v>2.8254305528281451E-3</v>
      </c>
      <c r="G87" s="24">
        <v>6.1524580000000002</v>
      </c>
      <c r="H87" s="24">
        <v>5.9995139999999996</v>
      </c>
      <c r="I87" s="24">
        <v>6.3787349999999998</v>
      </c>
      <c r="J87" s="24">
        <v>6.1781240000000004</v>
      </c>
      <c r="K87" s="24">
        <v>4.2801220000000004</v>
      </c>
      <c r="L87" s="24">
        <v>19.18683</v>
      </c>
      <c r="M87" s="24">
        <v>11.999499999999999</v>
      </c>
      <c r="N87" s="24">
        <v>7.6008248213026954</v>
      </c>
      <c r="O87" s="24">
        <v>8.1999999999999993</v>
      </c>
      <c r="P87" s="24">
        <v>1.2365592727483088</v>
      </c>
      <c r="Q87" s="24">
        <v>9.1832136318828343</v>
      </c>
      <c r="R87" s="24">
        <v>4.3</v>
      </c>
      <c r="S87" s="24">
        <v>6.417070936570644</v>
      </c>
      <c r="T87" s="24">
        <v>1.3664822400177263</v>
      </c>
      <c r="U87" s="24" t="s">
        <v>1584</v>
      </c>
      <c r="V87" s="24">
        <v>30285.17</v>
      </c>
      <c r="W87" s="24" t="s">
        <v>1415</v>
      </c>
      <c r="X87" s="64">
        <v>1.3504273504273503</v>
      </c>
    </row>
    <row r="88" spans="1:24" ht="14.4" x14ac:dyDescent="0.55000000000000004">
      <c r="A88" s="24" t="s">
        <v>303</v>
      </c>
      <c r="B88" s="24" t="s">
        <v>1087</v>
      </c>
      <c r="C88" s="24" t="s">
        <v>110</v>
      </c>
      <c r="D88" s="24" t="s">
        <v>72</v>
      </c>
      <c r="E88" s="24" t="s">
        <v>86</v>
      </c>
      <c r="F88" s="70">
        <v>2.8082394884040352E-3</v>
      </c>
      <c r="G88" s="24">
        <v>7.2912179999999998</v>
      </c>
      <c r="H88" s="24">
        <v>5.5927790000000002</v>
      </c>
      <c r="I88" s="24">
        <v>5.5509269999999997</v>
      </c>
      <c r="J88" s="24">
        <v>6.087663</v>
      </c>
      <c r="K88" s="24">
        <v>3.2360530000000001</v>
      </c>
      <c r="L88" s="24">
        <v>3.4274680000000002</v>
      </c>
      <c r="M88" s="24">
        <v>0.49591000000000002</v>
      </c>
      <c r="N88" s="24">
        <v>6.07470192826315</v>
      </c>
      <c r="O88" s="24">
        <v>2.1</v>
      </c>
      <c r="P88" s="24">
        <v>10</v>
      </c>
      <c r="Q88" s="24">
        <v>7.886213209407128E-2</v>
      </c>
      <c r="R88" s="24">
        <v>4.47</v>
      </c>
      <c r="S88" s="24">
        <v>2.8000037274365672</v>
      </c>
      <c r="T88" s="24">
        <v>1.4612074077538217</v>
      </c>
      <c r="U88" s="24" t="s">
        <v>1551</v>
      </c>
      <c r="V88" s="24">
        <v>29779.59</v>
      </c>
      <c r="W88" s="24" t="s">
        <v>1415</v>
      </c>
      <c r="X88" s="64">
        <v>1.3846153846153846</v>
      </c>
    </row>
    <row r="89" spans="1:24" ht="14.4" x14ac:dyDescent="0.55000000000000004">
      <c r="A89" s="24" t="s">
        <v>310</v>
      </c>
      <c r="B89" s="24" t="s">
        <v>965</v>
      </c>
      <c r="C89" s="24" t="s">
        <v>112</v>
      </c>
      <c r="D89" s="24" t="s">
        <v>72</v>
      </c>
      <c r="E89" s="24" t="s">
        <v>88</v>
      </c>
      <c r="F89" s="70">
        <v>2.7775954177513117E-3</v>
      </c>
      <c r="G89" s="24">
        <v>5.5168059999999999</v>
      </c>
      <c r="H89" s="24">
        <v>5.3044659999999997</v>
      </c>
      <c r="I89" s="24">
        <v>7.0594739999999998</v>
      </c>
      <c r="J89" s="24">
        <v>6.0489369999999996</v>
      </c>
      <c r="K89" s="24">
        <v>0.36377340000000002</v>
      </c>
      <c r="L89" s="24">
        <v>15.07095</v>
      </c>
      <c r="M89" s="24">
        <v>79.172399999999996</v>
      </c>
      <c r="N89" s="24">
        <v>3.5529041893284798</v>
      </c>
      <c r="O89" s="24">
        <v>1.6</v>
      </c>
      <c r="P89" s="24">
        <v>2.493150684931507</v>
      </c>
      <c r="Q89" s="24">
        <v>10</v>
      </c>
      <c r="R89" s="24">
        <v>2.14</v>
      </c>
      <c r="S89" s="24">
        <v>6.6951645182237636</v>
      </c>
      <c r="T89" s="24">
        <v>1.1347237073841423</v>
      </c>
      <c r="U89" s="24" t="s">
        <v>1627</v>
      </c>
      <c r="V89" s="24">
        <v>29792.01</v>
      </c>
      <c r="W89" s="24" t="s">
        <v>1415</v>
      </c>
      <c r="X89" s="64">
        <v>1.6840277777777779</v>
      </c>
    </row>
    <row r="90" spans="1:24" ht="14.4" x14ac:dyDescent="0.55000000000000004">
      <c r="A90" s="24" t="s">
        <v>304</v>
      </c>
      <c r="B90" s="24" t="s">
        <v>1143</v>
      </c>
      <c r="C90" s="24" t="s">
        <v>105</v>
      </c>
      <c r="D90" s="24" t="s">
        <v>72</v>
      </c>
      <c r="E90" s="24" t="s">
        <v>85</v>
      </c>
      <c r="F90" s="70">
        <v>2.7542863480396322E-3</v>
      </c>
      <c r="G90" s="24">
        <v>7.9266550000000002</v>
      </c>
      <c r="H90" s="24">
        <v>3.5833300000000001</v>
      </c>
      <c r="I90" s="24">
        <v>4.1214120000000003</v>
      </c>
      <c r="J90" s="24">
        <v>5.4820849999999997</v>
      </c>
      <c r="K90" s="24">
        <v>1.690912</v>
      </c>
      <c r="L90" s="24">
        <v>4.7919119999999999</v>
      </c>
      <c r="M90" s="24">
        <v>26.972999999999999</v>
      </c>
      <c r="N90" s="24">
        <v>6.077370820083388</v>
      </c>
      <c r="O90" s="24">
        <v>4.8</v>
      </c>
      <c r="P90" s="24">
        <v>5.4954954954954953</v>
      </c>
      <c r="Q90" s="24">
        <v>4.3317474546259414</v>
      </c>
      <c r="R90" s="24">
        <v>3.89</v>
      </c>
      <c r="S90" s="24">
        <v>4.8042718566419085</v>
      </c>
      <c r="T90" s="24">
        <v>1.3930613148640538</v>
      </c>
      <c r="U90" s="24" t="s">
        <v>1983</v>
      </c>
      <c r="V90" s="24">
        <v>29326.73</v>
      </c>
      <c r="W90" s="24" t="s">
        <v>1415</v>
      </c>
      <c r="X90" s="64">
        <v>1.3667820069204153</v>
      </c>
    </row>
    <row r="91" spans="1:24" ht="14.4" x14ac:dyDescent="0.55000000000000004">
      <c r="A91" s="24" t="s">
        <v>300</v>
      </c>
      <c r="B91" s="24" t="s">
        <v>1131</v>
      </c>
      <c r="C91" s="24" t="s">
        <v>106</v>
      </c>
      <c r="D91" s="24" t="s">
        <v>72</v>
      </c>
      <c r="E91" s="24" t="s">
        <v>95</v>
      </c>
      <c r="F91" s="70">
        <v>2.7445133525164653E-3</v>
      </c>
      <c r="G91" s="24">
        <v>7.55335</v>
      </c>
      <c r="H91" s="24">
        <v>4.345631</v>
      </c>
      <c r="I91" s="24">
        <v>7.8842160000000003</v>
      </c>
      <c r="J91" s="24">
        <v>6.4026079999999999</v>
      </c>
      <c r="K91" s="24">
        <v>3.6414439999999999</v>
      </c>
      <c r="L91" s="24">
        <v>9.5336689999999997</v>
      </c>
      <c r="M91" s="24">
        <v>26.302900000000001</v>
      </c>
      <c r="N91" s="24">
        <v>4.5356333041498722</v>
      </c>
      <c r="O91" s="24">
        <v>8.8000000000000007</v>
      </c>
      <c r="P91" s="24">
        <v>4.8535564853556492</v>
      </c>
      <c r="Q91" s="24">
        <v>7.9066941406456381</v>
      </c>
      <c r="R91" s="24">
        <v>7.2</v>
      </c>
      <c r="S91" s="24">
        <v>7.5561907396332497</v>
      </c>
      <c r="T91" s="24">
        <v>0.41641217851346957</v>
      </c>
      <c r="U91" s="24" t="s">
        <v>1474</v>
      </c>
      <c r="V91" s="24">
        <v>29823</v>
      </c>
      <c r="W91" s="24" t="s">
        <v>1415</v>
      </c>
      <c r="X91" s="64">
        <v>1.5097690941385435</v>
      </c>
    </row>
    <row r="92" spans="1:24" ht="14.4" x14ac:dyDescent="0.55000000000000004">
      <c r="A92" s="24" t="s">
        <v>309</v>
      </c>
      <c r="B92" s="24" t="s">
        <v>1010</v>
      </c>
      <c r="C92" s="24" t="s">
        <v>111</v>
      </c>
      <c r="D92" s="24" t="s">
        <v>72</v>
      </c>
      <c r="E92" s="24" t="s">
        <v>96</v>
      </c>
      <c r="F92" s="70">
        <v>2.6948527239594221E-3</v>
      </c>
      <c r="G92" s="24">
        <v>9.8570770000000003</v>
      </c>
      <c r="H92" s="24">
        <v>7.4232360000000002</v>
      </c>
      <c r="I92" s="24">
        <v>4.7498259999999997</v>
      </c>
      <c r="J92" s="24">
        <v>6.8406399999999996</v>
      </c>
      <c r="K92" s="24">
        <v>2.0889899999999999</v>
      </c>
      <c r="L92" s="24">
        <v>4.3862160000000001</v>
      </c>
      <c r="M92" s="24">
        <v>19.1328</v>
      </c>
      <c r="N92" s="24">
        <v>10</v>
      </c>
      <c r="O92" s="24">
        <v>4.3</v>
      </c>
      <c r="P92" s="24">
        <v>4.02714932126697</v>
      </c>
      <c r="Q92" s="24">
        <v>6.9958581857792499</v>
      </c>
      <c r="R92" s="24">
        <v>7.83</v>
      </c>
      <c r="S92" s="24">
        <v>6.939715668077568</v>
      </c>
      <c r="T92" s="24">
        <v>1.034468329766101</v>
      </c>
      <c r="U92" s="24" t="s">
        <v>1664</v>
      </c>
      <c r="V92" s="24">
        <v>28256.959999999999</v>
      </c>
      <c r="W92" s="24" t="s">
        <v>1415</v>
      </c>
      <c r="X92" s="64">
        <v>1.6464471403812824</v>
      </c>
    </row>
    <row r="93" spans="1:24" ht="14.4" x14ac:dyDescent="0.55000000000000004">
      <c r="A93" s="24" t="s">
        <v>312</v>
      </c>
      <c r="B93" s="24" t="s">
        <v>1064</v>
      </c>
      <c r="C93" s="24" t="s">
        <v>106</v>
      </c>
      <c r="D93" s="24" t="s">
        <v>72</v>
      </c>
      <c r="E93" s="24" t="s">
        <v>82</v>
      </c>
      <c r="F93" s="70">
        <v>2.6605046229501968E-3</v>
      </c>
      <c r="G93" s="24">
        <v>8.5583670000000005</v>
      </c>
      <c r="H93" s="24">
        <v>5.6977989999999998</v>
      </c>
      <c r="I93" s="24">
        <v>5.4992570000000001</v>
      </c>
      <c r="J93" s="24">
        <v>6.4864800000000002</v>
      </c>
      <c r="K93" s="24">
        <v>5.2820609999999997</v>
      </c>
      <c r="L93" s="24">
        <v>21.80255</v>
      </c>
      <c r="M93" s="24">
        <v>7.4158999999999997</v>
      </c>
      <c r="N93" s="24">
        <v>3.822181660044988</v>
      </c>
      <c r="O93" s="24">
        <v>9.6999999999999993</v>
      </c>
      <c r="P93" s="24">
        <v>3.9784950514510813</v>
      </c>
      <c r="Q93" s="24">
        <v>7.9411350514012122</v>
      </c>
      <c r="R93" s="24">
        <v>4.05</v>
      </c>
      <c r="S93" s="24">
        <v>6.2961407458084411</v>
      </c>
      <c r="T93" s="24">
        <v>1.723075125366623</v>
      </c>
      <c r="U93" s="24" t="s">
        <v>1842</v>
      </c>
      <c r="V93" s="24">
        <v>27451.06</v>
      </c>
      <c r="W93" s="24" t="s">
        <v>1415</v>
      </c>
      <c r="X93" s="64">
        <v>1.5384615384615385</v>
      </c>
    </row>
    <row r="94" spans="1:24" ht="14.4" x14ac:dyDescent="0.55000000000000004">
      <c r="A94" s="24" t="s">
        <v>302</v>
      </c>
      <c r="B94" s="24" t="s">
        <v>1340</v>
      </c>
      <c r="C94" s="24" t="s">
        <v>125</v>
      </c>
      <c r="D94" s="24" t="s">
        <v>72</v>
      </c>
      <c r="E94" s="24" t="s">
        <v>95</v>
      </c>
      <c r="F94" s="70">
        <v>2.6495366497870237E-3</v>
      </c>
      <c r="G94" s="24">
        <v>4.7880880000000001</v>
      </c>
      <c r="H94" s="24">
        <v>5.6864189999999999</v>
      </c>
      <c r="I94" s="24">
        <v>7.9802330000000001</v>
      </c>
      <c r="J94" s="24">
        <v>6.4242780000000002</v>
      </c>
      <c r="K94" s="24">
        <v>3.626261</v>
      </c>
      <c r="L94" s="24">
        <v>9.7423319999999993</v>
      </c>
      <c r="M94" s="24">
        <v>45.978200000000001</v>
      </c>
      <c r="N94" s="24">
        <v>3.8063584539223578</v>
      </c>
      <c r="O94" s="24">
        <v>5.6</v>
      </c>
      <c r="P94" s="24">
        <v>4.5188284518828459</v>
      </c>
      <c r="Q94" s="24">
        <v>9.0762751624663185</v>
      </c>
      <c r="R94" s="24">
        <v>5.75</v>
      </c>
      <c r="S94" s="24">
        <v>7.7278341235459838</v>
      </c>
      <c r="T94" s="24">
        <v>0.33050572952413343</v>
      </c>
      <c r="U94" s="24" t="s">
        <v>1494</v>
      </c>
      <c r="V94" s="24">
        <v>29098.42</v>
      </c>
      <c r="W94" s="24" t="s">
        <v>1415</v>
      </c>
      <c r="X94" s="64">
        <v>1.5452930728241563</v>
      </c>
    </row>
    <row r="95" spans="1:24" ht="14.4" x14ac:dyDescent="0.55000000000000004">
      <c r="A95" s="24" t="s">
        <v>299</v>
      </c>
      <c r="B95" s="24" t="s">
        <v>829</v>
      </c>
      <c r="C95" s="24" t="s">
        <v>107</v>
      </c>
      <c r="D95" s="24" t="s">
        <v>72</v>
      </c>
      <c r="E95" s="24" t="s">
        <v>99</v>
      </c>
      <c r="F95" s="70">
        <v>2.6216598430996419E-3</v>
      </c>
      <c r="G95" s="24">
        <v>5.4433959999999999</v>
      </c>
      <c r="H95" s="24">
        <v>5.7404349999999997</v>
      </c>
      <c r="I95" s="24">
        <v>6.3258669999999997</v>
      </c>
      <c r="J95" s="24">
        <v>5.6792980000000002</v>
      </c>
      <c r="K95" s="24">
        <v>8.8555299999999999</v>
      </c>
      <c r="L95" s="24">
        <v>13.098850000000001</v>
      </c>
      <c r="M95" s="24">
        <v>681.77120000000002</v>
      </c>
      <c r="N95" s="24">
        <v>4.9999999999999991</v>
      </c>
      <c r="O95" s="24">
        <v>8.1999999999999993</v>
      </c>
      <c r="P95" s="24">
        <v>5.3894080996884721</v>
      </c>
      <c r="Q95" s="24">
        <v>9.2443444058097892</v>
      </c>
      <c r="R95" s="24">
        <v>7.98</v>
      </c>
      <c r="S95" s="24">
        <v>7.3816336624528471</v>
      </c>
      <c r="T95" s="24">
        <v>0.15596729004243451</v>
      </c>
      <c r="U95" s="24" t="s">
        <v>1738</v>
      </c>
      <c r="V95" s="24">
        <v>27167.45</v>
      </c>
      <c r="W95" s="24" t="s">
        <v>1415</v>
      </c>
      <c r="X95" s="64">
        <v>1.0412926391382407</v>
      </c>
    </row>
    <row r="96" spans="1:24" ht="14.4" x14ac:dyDescent="0.55000000000000004">
      <c r="A96" s="24" t="s">
        <v>307</v>
      </c>
      <c r="B96" s="24" t="s">
        <v>921</v>
      </c>
      <c r="C96" s="24" t="s">
        <v>109</v>
      </c>
      <c r="D96" s="24" t="s">
        <v>72</v>
      </c>
      <c r="E96" s="24" t="s">
        <v>88</v>
      </c>
      <c r="F96" s="70">
        <v>2.6117817616031079E-3</v>
      </c>
      <c r="G96" s="24">
        <v>4.4962179999999998</v>
      </c>
      <c r="H96" s="24">
        <v>5.5119749999999996</v>
      </c>
      <c r="I96" s="24">
        <v>4.5893280000000001</v>
      </c>
      <c r="J96" s="24">
        <v>4.9397640000000003</v>
      </c>
      <c r="K96" s="24">
        <v>0</v>
      </c>
      <c r="L96" s="24">
        <v>-0.22153249999999999</v>
      </c>
      <c r="M96" s="24">
        <v>5.0831999999999997</v>
      </c>
      <c r="N96" s="24">
        <v>7.4064735842262053</v>
      </c>
      <c r="O96" s="24">
        <v>3.4</v>
      </c>
      <c r="P96" s="24">
        <v>0.43835616438356162</v>
      </c>
      <c r="Q96" s="24">
        <v>3.568398897519419</v>
      </c>
      <c r="R96" s="24">
        <v>0</v>
      </c>
      <c r="S96" s="24">
        <v>2.1253437257785426</v>
      </c>
      <c r="T96" s="24">
        <v>0.60643161992040162</v>
      </c>
      <c r="U96" s="24" t="s">
        <v>1915</v>
      </c>
      <c r="V96" s="24">
        <v>28859.73</v>
      </c>
      <c r="W96" s="24" t="s">
        <v>1415</v>
      </c>
      <c r="X96" s="64">
        <v>1.6319444444444444</v>
      </c>
    </row>
    <row r="97" spans="1:24" ht="14.4" x14ac:dyDescent="0.55000000000000004">
      <c r="A97" s="24" t="s">
        <v>308</v>
      </c>
      <c r="B97" s="24" t="s">
        <v>1362</v>
      </c>
      <c r="C97" s="24" t="s">
        <v>113</v>
      </c>
      <c r="D97" s="24" t="s">
        <v>72</v>
      </c>
      <c r="E97" s="24" t="s">
        <v>90</v>
      </c>
      <c r="F97" s="70">
        <v>2.6008378080909903E-3</v>
      </c>
      <c r="G97" s="24">
        <v>7.4733510000000001</v>
      </c>
      <c r="H97" s="24">
        <v>7.8364839999999996</v>
      </c>
      <c r="I97" s="24">
        <v>7.2592990000000004</v>
      </c>
      <c r="J97" s="24">
        <v>7.5255289999999997</v>
      </c>
      <c r="K97" s="24">
        <v>5.304303</v>
      </c>
      <c r="L97" s="24">
        <v>13.06165</v>
      </c>
      <c r="M97" s="24">
        <v>0.76890000000000003</v>
      </c>
      <c r="N97" s="24">
        <v>4.8487632836280143</v>
      </c>
      <c r="O97" s="24">
        <v>3.9</v>
      </c>
      <c r="P97" s="24">
        <v>3.8709681581686195</v>
      </c>
      <c r="Q97" s="24">
        <v>5.0612589776087891</v>
      </c>
      <c r="R97" s="24">
        <v>5.2</v>
      </c>
      <c r="S97" s="24">
        <v>5.5076386168823532</v>
      </c>
      <c r="T97" s="24">
        <v>0.78308517045467174</v>
      </c>
      <c r="U97" s="24" t="s">
        <v>1868</v>
      </c>
      <c r="V97" s="24">
        <v>32454.33</v>
      </c>
      <c r="W97" s="24" t="s">
        <v>1415</v>
      </c>
      <c r="X97" s="64">
        <v>1.4700854700854702</v>
      </c>
    </row>
    <row r="98" spans="1:24" ht="14.4" x14ac:dyDescent="0.55000000000000004">
      <c r="A98" s="24" t="s">
        <v>314</v>
      </c>
      <c r="B98" s="24" t="s">
        <v>942</v>
      </c>
      <c r="C98" s="24" t="s">
        <v>112</v>
      </c>
      <c r="D98" s="24" t="s">
        <v>72</v>
      </c>
      <c r="E98" s="24" t="s">
        <v>99</v>
      </c>
      <c r="F98" s="70">
        <v>2.5418765704815359E-3</v>
      </c>
      <c r="G98" s="24">
        <v>7.275315</v>
      </c>
      <c r="H98" s="24">
        <v>7.7541399999999996</v>
      </c>
      <c r="I98" s="24">
        <v>7.5080710000000002</v>
      </c>
      <c r="J98" s="24">
        <v>7.4176310000000001</v>
      </c>
      <c r="K98" s="24">
        <v>4.1162919999999996</v>
      </c>
      <c r="L98" s="24">
        <v>9.1696629999999999</v>
      </c>
      <c r="M98" s="24">
        <v>97.466300000000004</v>
      </c>
      <c r="N98" s="24">
        <v>3.8731160054326756</v>
      </c>
      <c r="O98" s="24">
        <v>2.7</v>
      </c>
      <c r="P98" s="24">
        <v>4.1433021806853576</v>
      </c>
      <c r="Q98" s="24">
        <v>5.9565151522913791</v>
      </c>
      <c r="R98" s="24">
        <v>5.34</v>
      </c>
      <c r="S98" s="24">
        <v>6.2199813367676251</v>
      </c>
      <c r="T98" s="24">
        <v>0.39410320423331241</v>
      </c>
      <c r="U98" s="24" t="s">
        <v>1629</v>
      </c>
      <c r="V98" s="24">
        <v>29578.77</v>
      </c>
      <c r="W98" s="24" t="s">
        <v>1415</v>
      </c>
      <c r="X98" s="64">
        <v>1.3105924596050269</v>
      </c>
    </row>
    <row r="99" spans="1:24" ht="14.4" x14ac:dyDescent="0.55000000000000004">
      <c r="A99" s="24" t="s">
        <v>311</v>
      </c>
      <c r="B99" s="24" t="s">
        <v>983</v>
      </c>
      <c r="C99" s="24" t="s">
        <v>125</v>
      </c>
      <c r="D99" s="24" t="s">
        <v>72</v>
      </c>
      <c r="E99" s="24" t="s">
        <v>96</v>
      </c>
      <c r="F99" s="70">
        <v>2.5246664905003405E-3</v>
      </c>
      <c r="G99" s="24">
        <v>6.0703319999999996</v>
      </c>
      <c r="H99" s="24">
        <v>5.9357769999999999</v>
      </c>
      <c r="I99" s="24">
        <v>7.3705790000000002</v>
      </c>
      <c r="J99" s="24">
        <v>6.4200400000000002</v>
      </c>
      <c r="K99" s="24">
        <v>0.58880690000000002</v>
      </c>
      <c r="L99" s="24">
        <v>2.9652989999999999</v>
      </c>
      <c r="M99" s="24">
        <v>14.8032</v>
      </c>
      <c r="N99" s="24">
        <v>9.0153079623077499</v>
      </c>
      <c r="O99" s="24">
        <v>8.4</v>
      </c>
      <c r="P99" s="24">
        <v>5.1583710407239831</v>
      </c>
      <c r="Q99" s="24">
        <v>2.5923853138100728</v>
      </c>
      <c r="R99" s="24">
        <v>4.13</v>
      </c>
      <c r="S99" s="24">
        <v>3.6490804658645901</v>
      </c>
      <c r="T99" s="24">
        <v>1.7318290915334376</v>
      </c>
      <c r="U99" s="24" t="s">
        <v>1907</v>
      </c>
      <c r="V99" s="24">
        <v>27392.73</v>
      </c>
      <c r="W99" s="24" t="s">
        <v>1415</v>
      </c>
      <c r="X99" s="64">
        <v>1.6811091854419411</v>
      </c>
    </row>
    <row r="100" spans="1:24" ht="14.4" x14ac:dyDescent="0.55000000000000004">
      <c r="A100" s="24" t="s">
        <v>313</v>
      </c>
      <c r="B100" s="24" t="s">
        <v>830</v>
      </c>
      <c r="C100" s="24" t="s">
        <v>107</v>
      </c>
      <c r="D100" s="24" t="s">
        <v>72</v>
      </c>
      <c r="E100" s="24" t="s">
        <v>89</v>
      </c>
      <c r="F100" s="70">
        <v>2.4979055967682411E-3</v>
      </c>
      <c r="G100" s="24">
        <v>7.7899050000000001</v>
      </c>
      <c r="H100" s="24">
        <v>7.6486140000000002</v>
      </c>
      <c r="I100" s="24">
        <v>7.4014329999999999</v>
      </c>
      <c r="J100" s="24">
        <v>7.6309760000000004</v>
      </c>
      <c r="K100" s="24">
        <v>2.091313</v>
      </c>
      <c r="L100" s="24">
        <v>4.9962330000000001</v>
      </c>
      <c r="M100" s="24">
        <v>20.492899999999999</v>
      </c>
      <c r="N100" s="24">
        <v>4.9665007578776414</v>
      </c>
      <c r="O100" s="24">
        <v>5</v>
      </c>
      <c r="P100" s="24">
        <v>5.9159159159159147</v>
      </c>
      <c r="Q100" s="24">
        <v>4.2620252324037189</v>
      </c>
      <c r="R100" s="24">
        <v>4.88</v>
      </c>
      <c r="S100" s="24">
        <v>4.8135894413318718</v>
      </c>
      <c r="T100" s="24">
        <v>1.2852944121524204</v>
      </c>
      <c r="U100" s="24" t="s">
        <v>1740</v>
      </c>
      <c r="V100" s="24">
        <v>26082.63</v>
      </c>
      <c r="W100" s="24" t="s">
        <v>1415</v>
      </c>
      <c r="X100" s="64">
        <v>1.5224913494809689</v>
      </c>
    </row>
    <row r="101" spans="1:24" ht="14.4" x14ac:dyDescent="0.55000000000000004">
      <c r="A101" s="24" t="s">
        <v>315</v>
      </c>
      <c r="B101" s="24" t="s">
        <v>831</v>
      </c>
      <c r="C101" s="24" t="s">
        <v>107</v>
      </c>
      <c r="D101" s="24" t="s">
        <v>72</v>
      </c>
      <c r="E101" s="24" t="s">
        <v>87</v>
      </c>
      <c r="F101" s="70">
        <v>2.454949453312036E-3</v>
      </c>
      <c r="G101" s="24">
        <v>6.7700120000000004</v>
      </c>
      <c r="H101" s="24">
        <v>7.4014930000000003</v>
      </c>
      <c r="I101" s="24">
        <v>5.7089999999999996</v>
      </c>
      <c r="J101" s="24">
        <v>6.6411530000000001</v>
      </c>
      <c r="K101" s="24">
        <v>3.273828</v>
      </c>
      <c r="L101" s="24">
        <v>6.065671</v>
      </c>
      <c r="M101" s="24">
        <v>37.377499999999998</v>
      </c>
      <c r="N101" s="24">
        <v>2.7654276847941954</v>
      </c>
      <c r="O101" s="24">
        <v>0.3</v>
      </c>
      <c r="P101" s="24">
        <v>3.1799163179916317</v>
      </c>
      <c r="Q101" s="24">
        <v>3.8069075923284199</v>
      </c>
      <c r="R101" s="24">
        <v>4.25</v>
      </c>
      <c r="S101" s="24">
        <v>4.0528494785729068</v>
      </c>
      <c r="T101" s="24">
        <v>1.0772351656230119</v>
      </c>
      <c r="U101" s="24" t="s">
        <v>1714</v>
      </c>
      <c r="V101" s="24">
        <v>27363.97</v>
      </c>
      <c r="W101" s="24" t="s">
        <v>1415</v>
      </c>
      <c r="X101" s="64">
        <v>1.7761989342806395</v>
      </c>
    </row>
    <row r="102" spans="1:24" ht="14.4" x14ac:dyDescent="0.55000000000000004">
      <c r="A102" s="24" t="s">
        <v>298</v>
      </c>
      <c r="B102" s="24" t="s">
        <v>827</v>
      </c>
      <c r="C102" s="24" t="s">
        <v>113</v>
      </c>
      <c r="D102" s="24" t="s">
        <v>72</v>
      </c>
      <c r="E102" s="24" t="s">
        <v>100</v>
      </c>
      <c r="F102" s="70">
        <v>2.4481148617679807E-3</v>
      </c>
      <c r="G102" s="24">
        <v>5.7005480000000004</v>
      </c>
      <c r="H102" s="24">
        <v>6.5237949999999998</v>
      </c>
      <c r="I102" s="24">
        <v>6.2196610000000003</v>
      </c>
      <c r="J102" s="24">
        <v>6.103256</v>
      </c>
      <c r="K102" s="24">
        <v>9.3763710000000007</v>
      </c>
      <c r="L102" s="24">
        <v>17.652470000000001</v>
      </c>
      <c r="M102" s="24">
        <v>27.273299999999999</v>
      </c>
      <c r="N102" s="24">
        <v>4.3128647329214953</v>
      </c>
      <c r="O102" s="24">
        <v>0.7</v>
      </c>
      <c r="P102" s="24">
        <v>6.6149068322981375</v>
      </c>
      <c r="Q102" s="24">
        <v>9.6265312219898416</v>
      </c>
      <c r="R102" s="24">
        <v>5.37</v>
      </c>
      <c r="S102" s="24">
        <v>7.138038929551211</v>
      </c>
      <c r="T102" s="24">
        <v>1.5604568461140129</v>
      </c>
      <c r="U102" s="24" t="s">
        <v>1497</v>
      </c>
      <c r="V102" s="24">
        <v>25270.12</v>
      </c>
      <c r="W102" s="24" t="s">
        <v>1415</v>
      </c>
      <c r="X102" s="64">
        <v>1.320754716981132</v>
      </c>
    </row>
    <row r="103" spans="1:24" ht="14.4" x14ac:dyDescent="0.55000000000000004">
      <c r="A103" s="24" t="s">
        <v>317</v>
      </c>
      <c r="B103" s="24" t="s">
        <v>833</v>
      </c>
      <c r="C103" s="24" t="s">
        <v>107</v>
      </c>
      <c r="D103" s="24" t="s">
        <v>72</v>
      </c>
      <c r="E103" s="24" t="s">
        <v>96</v>
      </c>
      <c r="F103" s="70">
        <v>2.3727281861118071E-3</v>
      </c>
      <c r="G103" s="24">
        <v>7.956906</v>
      </c>
      <c r="H103" s="24">
        <v>7.3915319999999998</v>
      </c>
      <c r="I103" s="24">
        <v>4.5400510000000001</v>
      </c>
      <c r="J103" s="24">
        <v>6.6294959999999996</v>
      </c>
      <c r="K103" s="24">
        <v>0.71133389999999996</v>
      </c>
      <c r="L103" s="24">
        <v>2.9126069999999999</v>
      </c>
      <c r="M103" s="24">
        <v>22.519400000000001</v>
      </c>
      <c r="N103" s="24">
        <v>6.4158166154727798</v>
      </c>
      <c r="O103" s="24">
        <v>1.5</v>
      </c>
      <c r="P103" s="24">
        <v>1.8552036199095032</v>
      </c>
      <c r="Q103" s="24">
        <v>4.6955846978319524</v>
      </c>
      <c r="R103" s="24">
        <v>3.34</v>
      </c>
      <c r="S103" s="24">
        <v>3.8381982989598433</v>
      </c>
      <c r="T103" s="24">
        <v>0.97836601100055676</v>
      </c>
      <c r="U103" s="24" t="s">
        <v>1758</v>
      </c>
      <c r="V103" s="24">
        <v>23844.46</v>
      </c>
      <c r="W103" s="24" t="s">
        <v>1415</v>
      </c>
      <c r="X103" s="64">
        <v>1.7850953206239168</v>
      </c>
    </row>
    <row r="104" spans="1:24" ht="14.4" x14ac:dyDescent="0.55000000000000004">
      <c r="A104" s="24" t="s">
        <v>316</v>
      </c>
      <c r="B104" s="24" t="s">
        <v>832</v>
      </c>
      <c r="C104" s="24" t="s">
        <v>107</v>
      </c>
      <c r="D104" s="24" t="s">
        <v>72</v>
      </c>
      <c r="E104" s="24" t="s">
        <v>100</v>
      </c>
      <c r="F104" s="70">
        <v>2.3509863986314926E-3</v>
      </c>
      <c r="G104" s="24">
        <v>6.9636779999999998</v>
      </c>
      <c r="H104" s="24">
        <v>6.5974000000000004</v>
      </c>
      <c r="I104" s="24">
        <v>6.894444</v>
      </c>
      <c r="J104" s="24">
        <v>6.8330250000000001</v>
      </c>
      <c r="K104" s="24">
        <v>4.3550630000000004</v>
      </c>
      <c r="L104" s="24">
        <v>10.581239999999999</v>
      </c>
      <c r="M104" s="24">
        <v>97.852099999999993</v>
      </c>
      <c r="N104" s="24">
        <v>4.7117795148899813</v>
      </c>
      <c r="O104" s="24">
        <v>6.8</v>
      </c>
      <c r="P104" s="24">
        <v>5.3105590062111823</v>
      </c>
      <c r="Q104" s="24">
        <v>7.5340196105060162</v>
      </c>
      <c r="R104" s="24">
        <v>7.34</v>
      </c>
      <c r="S104" s="24">
        <v>7.2747774879606659</v>
      </c>
      <c r="T104" s="24">
        <v>0.61437267210177859</v>
      </c>
      <c r="U104" s="24" t="s">
        <v>1459</v>
      </c>
      <c r="V104" s="24">
        <v>25546.02</v>
      </c>
      <c r="W104" s="24" t="s">
        <v>1415</v>
      </c>
      <c r="X104" s="64">
        <v>1.6295025728987995</v>
      </c>
    </row>
    <row r="105" spans="1:24" ht="14.4" x14ac:dyDescent="0.55000000000000004">
      <c r="A105" s="24" t="s">
        <v>321</v>
      </c>
      <c r="B105" s="24" t="s">
        <v>1385</v>
      </c>
      <c r="C105" s="24" t="s">
        <v>105</v>
      </c>
      <c r="D105" s="24" t="s">
        <v>72</v>
      </c>
      <c r="E105" s="24" t="s">
        <v>86</v>
      </c>
      <c r="F105" s="70">
        <v>2.2841697343081281E-3</v>
      </c>
      <c r="G105" s="24">
        <v>6.2473419999999997</v>
      </c>
      <c r="H105" s="24">
        <v>6.1283839999999996</v>
      </c>
      <c r="I105" s="24">
        <v>5.4150450000000001</v>
      </c>
      <c r="J105" s="24">
        <v>5.9144019999999999</v>
      </c>
      <c r="K105" s="24">
        <v>1.1261099999999999</v>
      </c>
      <c r="L105" s="24">
        <v>3.8752439999999999</v>
      </c>
      <c r="M105" s="24">
        <v>6.4115000000000002</v>
      </c>
      <c r="N105" s="24">
        <v>5.8432633292054685</v>
      </c>
      <c r="O105" s="24">
        <v>6.3</v>
      </c>
      <c r="P105" s="24">
        <v>4.9462370909932352</v>
      </c>
      <c r="Q105" s="24">
        <v>0</v>
      </c>
      <c r="R105" s="24">
        <v>4.01</v>
      </c>
      <c r="S105" s="24">
        <v>1.873211097655251</v>
      </c>
      <c r="T105" s="24">
        <v>2.1791534406211195</v>
      </c>
      <c r="U105" s="24" t="s">
        <v>1992</v>
      </c>
      <c r="V105" s="24">
        <v>19329.73</v>
      </c>
      <c r="W105" s="24" t="s">
        <v>1415</v>
      </c>
      <c r="X105" s="64">
        <v>1.6923076923076925</v>
      </c>
    </row>
    <row r="106" spans="1:24" ht="14.4" x14ac:dyDescent="0.55000000000000004">
      <c r="A106" s="24" t="s">
        <v>319</v>
      </c>
      <c r="B106" s="24" t="s">
        <v>1327</v>
      </c>
      <c r="C106" s="24" t="s">
        <v>106</v>
      </c>
      <c r="D106" s="24" t="s">
        <v>72</v>
      </c>
      <c r="E106" s="24" t="s">
        <v>99</v>
      </c>
      <c r="F106" s="70">
        <v>2.2812803704499217E-3</v>
      </c>
      <c r="G106" s="24">
        <v>5.3625569999999998</v>
      </c>
      <c r="H106" s="24">
        <v>6.4610810000000001</v>
      </c>
      <c r="I106" s="24">
        <v>5.5470870000000003</v>
      </c>
      <c r="J106" s="24">
        <v>5.6191680000000002</v>
      </c>
      <c r="K106" s="24">
        <v>3.4216679999999999</v>
      </c>
      <c r="L106" s="24">
        <v>10.15794</v>
      </c>
      <c r="M106" s="24">
        <v>778.54740000000004</v>
      </c>
      <c r="N106" s="24">
        <v>5.515643625070263</v>
      </c>
      <c r="O106" s="24">
        <v>6.9</v>
      </c>
      <c r="P106" s="24">
        <v>6.6978193146417446</v>
      </c>
      <c r="Q106" s="24">
        <v>4.6284742221613957</v>
      </c>
      <c r="R106" s="24">
        <v>3.36</v>
      </c>
      <c r="S106" s="24">
        <v>6.9010427598631479</v>
      </c>
      <c r="T106" s="24">
        <v>0.57002162777994725</v>
      </c>
      <c r="U106" s="24" t="s">
        <v>1787</v>
      </c>
      <c r="V106" s="24">
        <v>24727.73</v>
      </c>
      <c r="W106" s="24" t="s">
        <v>1415</v>
      </c>
      <c r="X106" s="64">
        <v>1.4003590664272891</v>
      </c>
    </row>
    <row r="107" spans="1:24" ht="14.4" x14ac:dyDescent="0.55000000000000004">
      <c r="A107" s="24" t="s">
        <v>322</v>
      </c>
      <c r="B107" s="24" t="s">
        <v>834</v>
      </c>
      <c r="C107" s="24" t="s">
        <v>107</v>
      </c>
      <c r="D107" s="24" t="s">
        <v>72</v>
      </c>
      <c r="E107" s="24" t="s">
        <v>91</v>
      </c>
      <c r="F107" s="70">
        <v>2.1343761845950835E-3</v>
      </c>
      <c r="G107" s="24">
        <v>8.7902070000000005</v>
      </c>
      <c r="H107" s="24">
        <v>6.6672159999999998</v>
      </c>
      <c r="I107" s="24">
        <v>4.7035830000000001</v>
      </c>
      <c r="J107" s="24">
        <v>6.3063609999999999</v>
      </c>
      <c r="K107" s="24">
        <v>3.604838</v>
      </c>
      <c r="L107" s="24">
        <v>8.6681209999999993</v>
      </c>
      <c r="M107" s="24">
        <v>3.8748999999999998</v>
      </c>
      <c r="N107" s="24">
        <v>5.8354223579521003</v>
      </c>
      <c r="O107" s="24">
        <v>7.6</v>
      </c>
      <c r="P107" s="24">
        <v>4.8136645962732931</v>
      </c>
      <c r="Q107" s="24">
        <v>5.3585756579840833</v>
      </c>
      <c r="R107" s="24">
        <v>6.5</v>
      </c>
      <c r="S107" s="24">
        <v>6.3838391739708324</v>
      </c>
      <c r="T107" s="24">
        <v>1.0651149886342206</v>
      </c>
      <c r="U107" s="24" t="s">
        <v>1730</v>
      </c>
      <c r="V107" s="24">
        <v>22320.48</v>
      </c>
      <c r="W107" s="24" t="s">
        <v>1415</v>
      </c>
      <c r="X107" s="64">
        <v>1.7324185248713551</v>
      </c>
    </row>
    <row r="108" spans="1:24" ht="14.4" x14ac:dyDescent="0.55000000000000004">
      <c r="A108" s="24" t="s">
        <v>328</v>
      </c>
      <c r="B108" s="24" t="s">
        <v>1408</v>
      </c>
      <c r="C108" s="24" t="s">
        <v>112</v>
      </c>
      <c r="D108" s="24" t="s">
        <v>72</v>
      </c>
      <c r="E108" s="24" t="s">
        <v>94</v>
      </c>
      <c r="F108" s="70">
        <v>2.1300546490426986E-3</v>
      </c>
      <c r="G108" s="24">
        <v>4.7866660000000003</v>
      </c>
      <c r="H108" s="24">
        <v>4.6049889999999998</v>
      </c>
      <c r="I108" s="24">
        <v>7.9886650000000001</v>
      </c>
      <c r="J108" s="24">
        <v>6.0311300000000001</v>
      </c>
      <c r="K108" s="24">
        <v>3.644701</v>
      </c>
      <c r="L108" s="24">
        <v>6.713279</v>
      </c>
      <c r="M108" s="24">
        <v>166.24420000000001</v>
      </c>
      <c r="N108" s="24">
        <v>0.61076200797372071</v>
      </c>
      <c r="O108" s="24">
        <v>6.4</v>
      </c>
      <c r="P108" s="24">
        <v>0</v>
      </c>
      <c r="Q108" s="24">
        <v>7.1614313880126179</v>
      </c>
      <c r="R108" s="24">
        <v>5.0599999999999996</v>
      </c>
      <c r="S108" s="24">
        <v>4.2405988187162915</v>
      </c>
      <c r="T108" s="24">
        <v>1.250718098749519</v>
      </c>
      <c r="U108" s="24" t="s">
        <v>1622</v>
      </c>
      <c r="V108" s="24">
        <v>22999.91</v>
      </c>
      <c r="W108" s="24" t="s">
        <v>1415</v>
      </c>
      <c r="X108" s="64">
        <v>0</v>
      </c>
    </row>
    <row r="109" spans="1:24" ht="14.4" x14ac:dyDescent="0.55000000000000004">
      <c r="A109" s="24" t="s">
        <v>318</v>
      </c>
      <c r="B109" s="24" t="s">
        <v>1261</v>
      </c>
      <c r="C109" s="24" t="s">
        <v>112</v>
      </c>
      <c r="D109" s="24" t="s">
        <v>72</v>
      </c>
      <c r="E109" s="24" t="s">
        <v>100</v>
      </c>
      <c r="F109" s="70">
        <v>2.1215727097637599E-3</v>
      </c>
      <c r="G109" s="24">
        <v>6.3361999999999998</v>
      </c>
      <c r="H109" s="24">
        <v>7.0277659999999997</v>
      </c>
      <c r="I109" s="24">
        <v>4.8913570000000002</v>
      </c>
      <c r="J109" s="24">
        <v>6.1102169999999996</v>
      </c>
      <c r="K109" s="24">
        <v>6.3156780000000001</v>
      </c>
      <c r="L109" s="24">
        <v>13.76031</v>
      </c>
      <c r="M109" s="24">
        <v>18.9148</v>
      </c>
      <c r="N109" s="24">
        <v>4.3838760102271186</v>
      </c>
      <c r="O109" s="24">
        <v>1.7</v>
      </c>
      <c r="P109" s="24">
        <v>3.60248447204969</v>
      </c>
      <c r="Q109" s="24">
        <v>9.0520683379960349</v>
      </c>
      <c r="R109" s="24">
        <v>6.03</v>
      </c>
      <c r="S109" s="24">
        <v>6.6857120786649764</v>
      </c>
      <c r="T109" s="24">
        <v>1.3318651722874875</v>
      </c>
      <c r="U109" s="24" t="s">
        <v>1429</v>
      </c>
      <c r="V109" s="24">
        <v>23316.34</v>
      </c>
      <c r="W109" s="24" t="s">
        <v>1415</v>
      </c>
      <c r="X109" s="64">
        <v>1.6638078902229847</v>
      </c>
    </row>
    <row r="110" spans="1:24" ht="14.4" x14ac:dyDescent="0.55000000000000004">
      <c r="A110" s="24" t="s">
        <v>332</v>
      </c>
      <c r="B110" s="24" t="s">
        <v>1369</v>
      </c>
      <c r="C110" s="24" t="s">
        <v>125</v>
      </c>
      <c r="D110" s="24" t="s">
        <v>72</v>
      </c>
      <c r="E110" s="24" t="s">
        <v>88</v>
      </c>
      <c r="F110" s="70">
        <v>2.1092586353226904E-3</v>
      </c>
      <c r="G110" s="24">
        <v>7.3478199999999996</v>
      </c>
      <c r="H110" s="24">
        <v>5.6816430000000002</v>
      </c>
      <c r="I110" s="24">
        <v>6.1175369999999996</v>
      </c>
      <c r="J110" s="24">
        <v>6.1892370000000003</v>
      </c>
      <c r="K110" s="24">
        <v>2.7594820000000002</v>
      </c>
      <c r="L110" s="24">
        <v>7.3080829999999999</v>
      </c>
      <c r="M110" s="24">
        <v>11.8988</v>
      </c>
      <c r="N110" s="24">
        <v>3.0273126066818006</v>
      </c>
      <c r="O110" s="24">
        <v>8.9</v>
      </c>
      <c r="P110" s="24">
        <v>2.657534246575342</v>
      </c>
      <c r="Q110" s="24">
        <v>6.8795534396837335</v>
      </c>
      <c r="R110" s="24">
        <v>4.96</v>
      </c>
      <c r="S110" s="24">
        <v>5.4502909196640417</v>
      </c>
      <c r="T110" s="24">
        <v>0.74009928751761833</v>
      </c>
      <c r="U110" s="24" t="s">
        <v>1904</v>
      </c>
      <c r="V110" s="24">
        <v>23392.34</v>
      </c>
      <c r="W110" s="24" t="s">
        <v>1415</v>
      </c>
      <c r="X110" s="64">
        <v>2.0659722222222223</v>
      </c>
    </row>
    <row r="111" spans="1:24" ht="14.4" x14ac:dyDescent="0.55000000000000004">
      <c r="A111" s="24" t="s">
        <v>326</v>
      </c>
      <c r="B111" s="24" t="s">
        <v>1014</v>
      </c>
      <c r="C111" s="24" t="s">
        <v>127</v>
      </c>
      <c r="D111" s="24" t="s">
        <v>72</v>
      </c>
      <c r="E111" s="24" t="s">
        <v>88</v>
      </c>
      <c r="F111" s="70">
        <v>2.0983967489516791E-3</v>
      </c>
      <c r="G111" s="24">
        <v>8.0848460000000006</v>
      </c>
      <c r="H111" s="24">
        <v>6.411276</v>
      </c>
      <c r="I111" s="24">
        <v>3.8389530000000001</v>
      </c>
      <c r="J111" s="24">
        <v>6.1116910000000004</v>
      </c>
      <c r="K111" s="24">
        <v>1.0017050000000001</v>
      </c>
      <c r="L111" s="24">
        <v>3.1518679999999999</v>
      </c>
      <c r="M111" s="24">
        <v>195.9391</v>
      </c>
      <c r="N111" s="24">
        <v>7.1792529674668266</v>
      </c>
      <c r="O111" s="24">
        <v>9.1</v>
      </c>
      <c r="P111" s="24">
        <v>8.0821917808219172</v>
      </c>
      <c r="Q111" s="24">
        <v>2.1756362927698434</v>
      </c>
      <c r="R111" s="24">
        <v>3.85</v>
      </c>
      <c r="S111" s="24">
        <v>4.6704102184595442</v>
      </c>
      <c r="T111" s="24">
        <v>0.5704520766168959</v>
      </c>
      <c r="U111" s="24" t="s">
        <v>1653</v>
      </c>
      <c r="V111" s="24">
        <v>22300.49</v>
      </c>
      <c r="W111" s="24" t="s">
        <v>1415</v>
      </c>
      <c r="X111" s="64">
        <v>1.9618055555555556</v>
      </c>
    </row>
    <row r="112" spans="1:24" ht="14.4" x14ac:dyDescent="0.55000000000000004">
      <c r="A112" s="24" t="s">
        <v>323</v>
      </c>
      <c r="B112" s="24" t="s">
        <v>1007</v>
      </c>
      <c r="C112" s="24" t="s">
        <v>125</v>
      </c>
      <c r="D112" s="24" t="s">
        <v>72</v>
      </c>
      <c r="E112" s="24" t="s">
        <v>87</v>
      </c>
      <c r="F112" s="70">
        <v>2.0873947479495107E-3</v>
      </c>
      <c r="G112" s="24">
        <v>6.1665020000000004</v>
      </c>
      <c r="H112" s="24">
        <v>5.0787810000000002</v>
      </c>
      <c r="I112" s="24">
        <v>6.4452100000000003</v>
      </c>
      <c r="J112" s="24">
        <v>5.9237989999999998</v>
      </c>
      <c r="K112" s="24">
        <v>2.1791580000000002</v>
      </c>
      <c r="L112" s="24">
        <v>5.1533749999999996</v>
      </c>
      <c r="M112" s="24">
        <v>78.885099999999994</v>
      </c>
      <c r="N112" s="24">
        <v>3.6900060797836649</v>
      </c>
      <c r="O112" s="24">
        <v>3.3</v>
      </c>
      <c r="P112" s="24">
        <v>1.3807531380753142</v>
      </c>
      <c r="Q112" s="24">
        <v>4.7133724309187937</v>
      </c>
      <c r="R112" s="24">
        <v>4.08</v>
      </c>
      <c r="S112" s="24">
        <v>3.3587368623842493</v>
      </c>
      <c r="T112" s="24">
        <v>0.54969267464473959</v>
      </c>
      <c r="U112" s="24" t="s">
        <v>1903</v>
      </c>
      <c r="V112" s="24">
        <v>21900.41</v>
      </c>
      <c r="W112" s="24" t="s">
        <v>1415</v>
      </c>
      <c r="X112" s="64">
        <v>1.9182948490230904</v>
      </c>
    </row>
    <row r="113" spans="1:24" ht="14.4" x14ac:dyDescent="0.55000000000000004">
      <c r="A113" s="24" t="s">
        <v>335</v>
      </c>
      <c r="B113" s="24" t="s">
        <v>1324</v>
      </c>
      <c r="C113" s="24" t="s">
        <v>106</v>
      </c>
      <c r="D113" s="24" t="s">
        <v>72</v>
      </c>
      <c r="E113" s="24" t="s">
        <v>90</v>
      </c>
      <c r="F113" s="70">
        <v>2.0841060573925088E-3</v>
      </c>
      <c r="G113" s="24">
        <v>5.7330379999999996</v>
      </c>
      <c r="H113" s="24">
        <v>5.3489420000000001</v>
      </c>
      <c r="I113" s="24">
        <v>3.9626350000000001</v>
      </c>
      <c r="J113" s="24">
        <v>4.9789630000000002</v>
      </c>
      <c r="K113" s="24">
        <v>2.4085190000000001</v>
      </c>
      <c r="L113" s="24">
        <v>7.9353579999999999</v>
      </c>
      <c r="M113" s="24">
        <v>0.98941999999999997</v>
      </c>
      <c r="N113" s="24">
        <v>1.2809354390896166</v>
      </c>
      <c r="O113" s="24">
        <v>0.3</v>
      </c>
      <c r="P113" s="24">
        <v>6.1111114097969264</v>
      </c>
      <c r="Q113" s="24">
        <v>4.1120968877622879</v>
      </c>
      <c r="R113" s="24">
        <v>2.78</v>
      </c>
      <c r="S113" s="24">
        <v>2.9653995584104926</v>
      </c>
      <c r="T113" s="24">
        <v>1.8789795457143847</v>
      </c>
      <c r="U113" s="24" t="s">
        <v>1785</v>
      </c>
      <c r="V113" s="24">
        <v>22959.55</v>
      </c>
      <c r="W113" s="24" t="s">
        <v>1415</v>
      </c>
      <c r="X113" s="64">
        <v>1.9316239316239316</v>
      </c>
    </row>
    <row r="114" spans="1:24" ht="14.4" x14ac:dyDescent="0.55000000000000004">
      <c r="A114" s="24" t="s">
        <v>295</v>
      </c>
      <c r="B114" s="24" t="s">
        <v>1289</v>
      </c>
      <c r="C114" s="24" t="s">
        <v>125</v>
      </c>
      <c r="D114" s="24" t="s">
        <v>72</v>
      </c>
      <c r="E114" s="24" t="s">
        <v>87</v>
      </c>
      <c r="F114" s="70">
        <v>2.0613574462054547E-3</v>
      </c>
      <c r="G114" s="24">
        <v>0</v>
      </c>
      <c r="H114" s="24">
        <v>7.3284130000000003</v>
      </c>
      <c r="I114" s="24">
        <v>0</v>
      </c>
      <c r="J114" s="24">
        <v>2.4428049999999999</v>
      </c>
      <c r="K114" s="24">
        <v>2.0353150000000002</v>
      </c>
      <c r="L114" s="24">
        <v>3.1685289999999999</v>
      </c>
      <c r="M114" s="24">
        <v>762.8057</v>
      </c>
      <c r="N114" s="24">
        <v>6.6278829574949949</v>
      </c>
      <c r="O114" s="24">
        <v>9.8000000000000007</v>
      </c>
      <c r="P114" s="24">
        <v>0</v>
      </c>
      <c r="Q114" s="24">
        <v>3.0251323506102397</v>
      </c>
      <c r="R114" s="24">
        <v>3.05</v>
      </c>
      <c r="S114" s="24">
        <v>2.0199099618166505</v>
      </c>
      <c r="T114" s="24">
        <v>0.73173765766845167</v>
      </c>
      <c r="U114" s="24" t="s">
        <v>1579</v>
      </c>
      <c r="V114" s="24">
        <v>21363.27</v>
      </c>
      <c r="W114" s="24" t="s">
        <v>1415</v>
      </c>
      <c r="X114" s="64">
        <v>1.4209591474245116</v>
      </c>
    </row>
    <row r="115" spans="1:24" ht="14.4" x14ac:dyDescent="0.55000000000000004">
      <c r="A115" s="24" t="s">
        <v>325</v>
      </c>
      <c r="B115" s="24" t="s">
        <v>1166</v>
      </c>
      <c r="C115" s="24" t="s">
        <v>105</v>
      </c>
      <c r="D115" s="24" t="s">
        <v>72</v>
      </c>
      <c r="E115" s="24" t="s">
        <v>82</v>
      </c>
      <c r="F115" s="70">
        <v>2.0134542554506316E-3</v>
      </c>
      <c r="G115" s="24">
        <v>7.2647000000000004</v>
      </c>
      <c r="H115" s="24">
        <v>6.1181960000000002</v>
      </c>
      <c r="I115" s="24">
        <v>6.6697480000000002</v>
      </c>
      <c r="J115" s="24">
        <v>6.6551900000000002</v>
      </c>
      <c r="K115" s="24">
        <v>7.4828999999999999</v>
      </c>
      <c r="L115" s="24">
        <v>12.334899999999999</v>
      </c>
      <c r="M115" s="24">
        <v>0.96677999999999997</v>
      </c>
      <c r="N115" s="24">
        <v>4.1830891009665025</v>
      </c>
      <c r="O115" s="24">
        <v>4.5999999999999996</v>
      </c>
      <c r="P115" s="24">
        <v>6.8817211700775456</v>
      </c>
      <c r="Q115" s="24">
        <v>4.5275313336149852</v>
      </c>
      <c r="R115" s="24">
        <v>5.58</v>
      </c>
      <c r="S115" s="24">
        <v>5.6044511554150391</v>
      </c>
      <c r="T115" s="24">
        <v>1.2740749939151352</v>
      </c>
      <c r="U115" s="24" t="s">
        <v>1966</v>
      </c>
      <c r="V115" s="24">
        <v>20885.04</v>
      </c>
      <c r="W115" s="24" t="s">
        <v>1415</v>
      </c>
      <c r="X115" s="64">
        <v>1.7606837606837609</v>
      </c>
    </row>
    <row r="116" spans="1:24" ht="14.4" x14ac:dyDescent="0.55000000000000004">
      <c r="A116" s="24" t="s">
        <v>329</v>
      </c>
      <c r="B116" s="24" t="s">
        <v>1018</v>
      </c>
      <c r="C116" s="24" t="s">
        <v>112</v>
      </c>
      <c r="D116" s="24" t="s">
        <v>72</v>
      </c>
      <c r="E116" s="24" t="s">
        <v>99</v>
      </c>
      <c r="F116" s="70">
        <v>1.9914502534462953E-3</v>
      </c>
      <c r="G116" s="24">
        <v>4.3707729999999998</v>
      </c>
      <c r="H116" s="24">
        <v>3.596975</v>
      </c>
      <c r="I116" s="24">
        <v>4.4140100000000002</v>
      </c>
      <c r="J116" s="24">
        <v>4.2246610000000002</v>
      </c>
      <c r="K116" s="24">
        <v>3.3414929999999998</v>
      </c>
      <c r="L116" s="24">
        <v>6.7535949999999998</v>
      </c>
      <c r="M116" s="24">
        <v>3643.3130000000001</v>
      </c>
      <c r="N116" s="24">
        <v>4.4669751486703184</v>
      </c>
      <c r="O116" s="24">
        <v>0.8</v>
      </c>
      <c r="P116" s="24">
        <v>4.1121495327102799</v>
      </c>
      <c r="Q116" s="24">
        <v>8.5543522783022468</v>
      </c>
      <c r="R116" s="24">
        <v>3.96</v>
      </c>
      <c r="S116" s="24">
        <v>4.2459012113688299</v>
      </c>
      <c r="T116" s="24">
        <v>0.81580290858797777</v>
      </c>
      <c r="U116" s="24" t="s">
        <v>1605</v>
      </c>
      <c r="V116" s="24">
        <v>23249.41</v>
      </c>
      <c r="W116" s="24" t="s">
        <v>1415</v>
      </c>
      <c r="X116" s="64">
        <v>1.5798922800718131</v>
      </c>
    </row>
    <row r="117" spans="1:24" ht="14.4" x14ac:dyDescent="0.55000000000000004">
      <c r="A117" s="24" t="s">
        <v>360</v>
      </c>
      <c r="B117" s="24" t="s">
        <v>996</v>
      </c>
      <c r="C117" s="24" t="s">
        <v>112</v>
      </c>
      <c r="D117" s="24" t="s">
        <v>72</v>
      </c>
      <c r="E117" s="24" t="s">
        <v>92</v>
      </c>
      <c r="F117" s="70">
        <v>1.981269924673981E-3</v>
      </c>
      <c r="G117" s="24">
        <v>7.3193729999999997</v>
      </c>
      <c r="H117" s="24">
        <v>6.5880520000000002</v>
      </c>
      <c r="I117" s="24">
        <v>6.4955679999999996</v>
      </c>
      <c r="J117" s="24">
        <v>6.8528349999999998</v>
      </c>
      <c r="K117" s="24">
        <v>0.19007370000000001</v>
      </c>
      <c r="L117" s="24">
        <v>2.870368</v>
      </c>
      <c r="M117" s="24">
        <v>21.000399999999999</v>
      </c>
      <c r="N117" s="24">
        <v>5.7721235017425885</v>
      </c>
      <c r="O117" s="24">
        <v>9.6999999999999993</v>
      </c>
      <c r="P117" s="24">
        <v>2.5853658536585367</v>
      </c>
      <c r="Q117" s="24">
        <v>0.90190350751758841</v>
      </c>
      <c r="R117" s="24">
        <v>2.1</v>
      </c>
      <c r="S117" s="24">
        <v>1.8732255187678097</v>
      </c>
      <c r="T117" s="24">
        <v>2.5217589283741795</v>
      </c>
      <c r="U117" s="24" t="s">
        <v>1630</v>
      </c>
      <c r="V117" s="24">
        <v>20903.59</v>
      </c>
      <c r="W117" s="24" t="s">
        <v>1415</v>
      </c>
      <c r="X117" s="64">
        <v>2.7865612648221343</v>
      </c>
    </row>
    <row r="118" spans="1:24" ht="14.4" x14ac:dyDescent="0.55000000000000004">
      <c r="A118" s="24" t="s">
        <v>352</v>
      </c>
      <c r="B118" s="24" t="s">
        <v>1333</v>
      </c>
      <c r="C118" s="24" t="s">
        <v>177</v>
      </c>
      <c r="D118" s="24" t="s">
        <v>72</v>
      </c>
      <c r="E118" s="24" t="s">
        <v>90</v>
      </c>
      <c r="F118" s="70">
        <v>1.9757133787298314E-3</v>
      </c>
      <c r="G118" s="24">
        <v>3.5780280000000002</v>
      </c>
      <c r="H118" s="24">
        <v>7.9558020000000003</v>
      </c>
      <c r="I118" s="24">
        <v>6.0667730000000004</v>
      </c>
      <c r="J118" s="24">
        <v>5.9813090000000004</v>
      </c>
      <c r="K118" s="24">
        <v>4.3834520000000001</v>
      </c>
      <c r="L118" s="24">
        <v>6.0612209999999997</v>
      </c>
      <c r="M118" s="24">
        <v>0.41732999999999998</v>
      </c>
      <c r="N118" s="24">
        <v>1.1331352489979492</v>
      </c>
      <c r="O118" s="24">
        <v>1.6</v>
      </c>
      <c r="P118" s="24">
        <v>6.1827963637415451</v>
      </c>
      <c r="Q118" s="24">
        <v>2.2813688212927756</v>
      </c>
      <c r="R118" s="24">
        <v>3.24</v>
      </c>
      <c r="S118" s="24">
        <v>3.5031730687221918</v>
      </c>
      <c r="T118" s="24">
        <v>0.57044032967754721</v>
      </c>
      <c r="U118" s="24" t="s">
        <v>1697</v>
      </c>
      <c r="V118" s="24">
        <v>20922.849999999999</v>
      </c>
      <c r="W118" s="24" t="s">
        <v>1415</v>
      </c>
      <c r="X118" s="64">
        <v>2.2222222222222223</v>
      </c>
    </row>
    <row r="119" spans="1:24" ht="14.4" x14ac:dyDescent="0.55000000000000004">
      <c r="A119" s="24" t="s">
        <v>330</v>
      </c>
      <c r="B119" s="24" t="s">
        <v>1006</v>
      </c>
      <c r="C119" s="24" t="s">
        <v>110</v>
      </c>
      <c r="D119" s="24" t="s">
        <v>72</v>
      </c>
      <c r="E119" s="24" t="s">
        <v>90</v>
      </c>
      <c r="F119" s="70">
        <v>1.9629439317375031E-3</v>
      </c>
      <c r="G119" s="24">
        <v>0</v>
      </c>
      <c r="H119" s="24">
        <v>7.9919440000000002</v>
      </c>
      <c r="I119" s="24">
        <v>0</v>
      </c>
      <c r="J119" s="24">
        <v>2.79718</v>
      </c>
      <c r="K119" s="24">
        <v>5.0396599999999996</v>
      </c>
      <c r="L119" s="24">
        <v>7.1568690000000004</v>
      </c>
      <c r="M119" s="24">
        <v>2.2755000000000001</v>
      </c>
      <c r="N119" s="24">
        <v>4.8327224946252283</v>
      </c>
      <c r="O119" s="24">
        <v>4.8</v>
      </c>
      <c r="P119" s="24">
        <v>3.9784950514510813</v>
      </c>
      <c r="Q119" s="24">
        <v>1.9983100971694132</v>
      </c>
      <c r="R119" s="24">
        <v>5.65</v>
      </c>
      <c r="S119" s="24">
        <v>4.0547344129133487</v>
      </c>
      <c r="T119" s="24">
        <v>0.73520227186635789</v>
      </c>
      <c r="U119" s="24" t="s">
        <v>1547</v>
      </c>
      <c r="V119" s="24">
        <v>21508.639999999999</v>
      </c>
      <c r="W119" s="24" t="s">
        <v>1415</v>
      </c>
      <c r="X119" s="64">
        <v>1.8461538461538463</v>
      </c>
    </row>
    <row r="120" spans="1:24" ht="14.4" x14ac:dyDescent="0.55000000000000004">
      <c r="A120" s="24" t="s">
        <v>341</v>
      </c>
      <c r="B120" s="24" t="s">
        <v>1119</v>
      </c>
      <c r="C120" s="24" t="s">
        <v>105</v>
      </c>
      <c r="D120" s="24" t="s">
        <v>72</v>
      </c>
      <c r="E120" s="24" t="s">
        <v>89</v>
      </c>
      <c r="F120" s="70">
        <v>1.9445999240627339E-3</v>
      </c>
      <c r="G120" s="24">
        <v>6.8747749999999996</v>
      </c>
      <c r="H120" s="24">
        <v>5.846984</v>
      </c>
      <c r="I120" s="24">
        <v>6.6009799999999998</v>
      </c>
      <c r="J120" s="24">
        <v>6.484299</v>
      </c>
      <c r="K120" s="24">
        <v>2.516111</v>
      </c>
      <c r="L120" s="24">
        <v>4.9856290000000003</v>
      </c>
      <c r="M120" s="24">
        <v>44.200800000000001</v>
      </c>
      <c r="N120" s="24">
        <v>2.8593039611279898</v>
      </c>
      <c r="O120" s="24">
        <v>2.4</v>
      </c>
      <c r="P120" s="24">
        <v>5.5255255255255245</v>
      </c>
      <c r="Q120" s="24">
        <v>5.1298517042939364</v>
      </c>
      <c r="R120" s="24">
        <v>4.58</v>
      </c>
      <c r="S120" s="24">
        <v>4.0129328959515069</v>
      </c>
      <c r="T120" s="24">
        <v>1.5435988309261914</v>
      </c>
      <c r="U120" s="24" t="s">
        <v>1972</v>
      </c>
      <c r="V120" s="24">
        <v>21575.22</v>
      </c>
      <c r="W120" s="24" t="s">
        <v>1415</v>
      </c>
      <c r="X120" s="64">
        <v>2.0069204152249136</v>
      </c>
    </row>
    <row r="121" spans="1:24" ht="14.4" x14ac:dyDescent="0.55000000000000004">
      <c r="A121" s="24" t="s">
        <v>324</v>
      </c>
      <c r="B121" s="24" t="s">
        <v>964</v>
      </c>
      <c r="C121" s="24" t="s">
        <v>112</v>
      </c>
      <c r="D121" s="24" t="s">
        <v>72</v>
      </c>
      <c r="E121" s="24" t="s">
        <v>89</v>
      </c>
      <c r="F121" s="70">
        <v>1.9423861128904608E-3</v>
      </c>
      <c r="G121" s="24">
        <v>5.5294150000000002</v>
      </c>
      <c r="H121" s="24">
        <v>6.1707929999999998</v>
      </c>
      <c r="I121" s="24">
        <v>6.2253449999999999</v>
      </c>
      <c r="J121" s="24">
        <v>5.9306070000000002</v>
      </c>
      <c r="K121" s="24">
        <v>1.581469</v>
      </c>
      <c r="L121" s="24">
        <v>7.6254520000000001</v>
      </c>
      <c r="M121" s="24">
        <v>79.689099999999996</v>
      </c>
      <c r="N121" s="24">
        <v>9.4056628741879038</v>
      </c>
      <c r="O121" s="24">
        <v>9.5</v>
      </c>
      <c r="P121" s="24">
        <v>6.2762762762762749</v>
      </c>
      <c r="Q121" s="24">
        <v>3.0640405046480748</v>
      </c>
      <c r="R121" s="24">
        <v>5.14</v>
      </c>
      <c r="S121" s="24">
        <v>5.921412793375767</v>
      </c>
      <c r="T121" s="24">
        <v>0.85876411321066004</v>
      </c>
      <c r="U121" s="24" t="s">
        <v>1604</v>
      </c>
      <c r="V121" s="24">
        <v>21118.27</v>
      </c>
      <c r="W121" s="24" t="s">
        <v>1415</v>
      </c>
      <c r="X121" s="64">
        <v>1.7128027681660898</v>
      </c>
    </row>
    <row r="122" spans="1:24" ht="14.4" x14ac:dyDescent="0.55000000000000004">
      <c r="A122" s="24" t="s">
        <v>331</v>
      </c>
      <c r="B122" s="24" t="s">
        <v>835</v>
      </c>
      <c r="C122" s="24" t="s">
        <v>107</v>
      </c>
      <c r="D122" s="24" t="s">
        <v>72</v>
      </c>
      <c r="E122" s="24" t="s">
        <v>99</v>
      </c>
      <c r="F122" s="70">
        <v>1.9352602830773585E-3</v>
      </c>
      <c r="G122" s="24">
        <v>6.1002970000000003</v>
      </c>
      <c r="H122" s="24">
        <v>5.9061690000000002</v>
      </c>
      <c r="I122" s="24">
        <v>6.7963060000000004</v>
      </c>
      <c r="J122" s="24">
        <v>6.2006740000000002</v>
      </c>
      <c r="K122" s="24">
        <v>4.7312640000000004</v>
      </c>
      <c r="L122" s="24">
        <v>7.171449</v>
      </c>
      <c r="M122" s="24">
        <v>1074.3489999999999</v>
      </c>
      <c r="N122" s="24">
        <v>8.7630354851639058</v>
      </c>
      <c r="O122" s="24">
        <v>2.4</v>
      </c>
      <c r="P122" s="24">
        <v>4.7352024922118376</v>
      </c>
      <c r="Q122" s="24">
        <v>5.632153581666925</v>
      </c>
      <c r="R122" s="24">
        <v>7.03</v>
      </c>
      <c r="S122" s="24">
        <v>6.123278523815304</v>
      </c>
      <c r="T122" s="24">
        <v>0.97529836446915652</v>
      </c>
      <c r="U122" s="24" t="s">
        <v>1724</v>
      </c>
      <c r="V122" s="24">
        <v>18429.59</v>
      </c>
      <c r="W122" s="24" t="s">
        <v>1415</v>
      </c>
      <c r="X122" s="64">
        <v>1.6157989228007179</v>
      </c>
    </row>
    <row r="123" spans="1:24" ht="14.4" x14ac:dyDescent="0.55000000000000004">
      <c r="A123" s="24" t="s">
        <v>348</v>
      </c>
      <c r="B123" s="24" t="s">
        <v>1351</v>
      </c>
      <c r="C123" s="24" t="s">
        <v>177</v>
      </c>
      <c r="D123" s="24" t="s">
        <v>72</v>
      </c>
      <c r="E123" s="24" t="s">
        <v>89</v>
      </c>
      <c r="F123" s="70">
        <v>1.9172155202219876E-3</v>
      </c>
      <c r="G123" s="24">
        <v>7.2014440000000004</v>
      </c>
      <c r="H123" s="24">
        <v>5.1681179999999998</v>
      </c>
      <c r="I123" s="24">
        <v>4.8883869999999998</v>
      </c>
      <c r="J123" s="24">
        <v>5.8975289999999996</v>
      </c>
      <c r="K123" s="24">
        <v>3.4257770000000001</v>
      </c>
      <c r="L123" s="24">
        <v>4.4079119999999996</v>
      </c>
      <c r="M123" s="24">
        <v>14.5709</v>
      </c>
      <c r="N123" s="24">
        <v>2.3125142722059966</v>
      </c>
      <c r="O123" s="24">
        <v>2.5</v>
      </c>
      <c r="P123" s="24">
        <v>8.7687687687687674</v>
      </c>
      <c r="Q123" s="24">
        <v>2.9834362549800804</v>
      </c>
      <c r="R123" s="24">
        <v>6.76</v>
      </c>
      <c r="S123" s="24">
        <v>3.9470308041580462</v>
      </c>
      <c r="T123" s="24">
        <v>0.81922212300672015</v>
      </c>
      <c r="U123" s="24" t="s">
        <v>1692</v>
      </c>
      <c r="V123" s="24">
        <v>17512.759999999998</v>
      </c>
      <c r="W123" s="24" t="s">
        <v>1415</v>
      </c>
      <c r="X123" s="64">
        <v>2.1280276816608996</v>
      </c>
    </row>
    <row r="124" spans="1:24" ht="14.4" x14ac:dyDescent="0.55000000000000004">
      <c r="A124" s="24" t="s">
        <v>333</v>
      </c>
      <c r="B124" s="24" t="s">
        <v>836</v>
      </c>
      <c r="C124" s="24" t="s">
        <v>107</v>
      </c>
      <c r="D124" s="24" t="s">
        <v>72</v>
      </c>
      <c r="E124" s="24" t="s">
        <v>97</v>
      </c>
      <c r="F124" s="70">
        <v>1.909128904366669E-3</v>
      </c>
      <c r="G124" s="24">
        <v>6.3069249999999997</v>
      </c>
      <c r="H124" s="24">
        <v>5.2426050000000002</v>
      </c>
      <c r="I124" s="24">
        <v>5.8224070000000001</v>
      </c>
      <c r="J124" s="24">
        <v>5.7906459999999997</v>
      </c>
      <c r="K124" s="24">
        <v>7.2662300000000002</v>
      </c>
      <c r="L124" s="24">
        <v>10.34357</v>
      </c>
      <c r="M124" s="24">
        <v>34.255099999999999</v>
      </c>
      <c r="N124" s="24">
        <v>3.0362535929756134</v>
      </c>
      <c r="O124" s="24">
        <v>0.2</v>
      </c>
      <c r="P124" s="24">
        <v>4.5488721804511272</v>
      </c>
      <c r="Q124" s="24">
        <v>10</v>
      </c>
      <c r="R124" s="24">
        <v>7.82</v>
      </c>
      <c r="S124" s="24">
        <v>6.4813095620522896</v>
      </c>
      <c r="T124" s="24">
        <v>2.0480366281757333E-2</v>
      </c>
      <c r="U124" s="24" t="s">
        <v>1734</v>
      </c>
      <c r="V124" s="24">
        <v>19693.849999999999</v>
      </c>
      <c r="W124" s="24" t="s">
        <v>1415</v>
      </c>
      <c r="X124" s="64">
        <v>1.786339754816112</v>
      </c>
    </row>
    <row r="125" spans="1:24" ht="14.4" x14ac:dyDescent="0.55000000000000004">
      <c r="A125" s="24" t="s">
        <v>337</v>
      </c>
      <c r="B125" s="24" t="s">
        <v>1126</v>
      </c>
      <c r="C125" s="24" t="s">
        <v>177</v>
      </c>
      <c r="D125" s="24" t="s">
        <v>72</v>
      </c>
      <c r="E125" s="24" t="s">
        <v>97</v>
      </c>
      <c r="F125" s="70">
        <v>1.901650786338087E-3</v>
      </c>
      <c r="G125" s="24">
        <v>6.271852</v>
      </c>
      <c r="H125" s="24">
        <v>6.3773229999999996</v>
      </c>
      <c r="I125" s="24">
        <v>7.4698390000000003</v>
      </c>
      <c r="J125" s="24">
        <v>6.6628889999999998</v>
      </c>
      <c r="K125" s="24">
        <v>3.5685229999999999</v>
      </c>
      <c r="L125" s="24">
        <v>10.99301</v>
      </c>
      <c r="M125" s="24">
        <v>22.5916</v>
      </c>
      <c r="N125" s="24">
        <v>3.1842886293481194</v>
      </c>
      <c r="O125" s="24">
        <v>2.2000000000000002</v>
      </c>
      <c r="P125" s="24">
        <v>7.1428571428571432</v>
      </c>
      <c r="Q125" s="24">
        <v>8.1739944220245349</v>
      </c>
      <c r="R125" s="24">
        <v>5.01</v>
      </c>
      <c r="S125" s="24">
        <v>6.5564235167796561</v>
      </c>
      <c r="T125" s="24">
        <v>1.0071214685786001</v>
      </c>
      <c r="U125" s="24" t="s">
        <v>1444</v>
      </c>
      <c r="V125" s="24">
        <v>20437.57</v>
      </c>
      <c r="W125" s="24" t="s">
        <v>1415</v>
      </c>
      <c r="X125" s="64">
        <v>1.8563922942206654</v>
      </c>
    </row>
    <row r="126" spans="1:24" ht="14.4" x14ac:dyDescent="0.55000000000000004">
      <c r="A126" s="24" t="s">
        <v>340</v>
      </c>
      <c r="B126" s="24" t="s">
        <v>1027</v>
      </c>
      <c r="C126" s="24" t="s">
        <v>106</v>
      </c>
      <c r="D126" s="24" t="s">
        <v>72</v>
      </c>
      <c r="E126" s="24" t="s">
        <v>97</v>
      </c>
      <c r="F126" s="70">
        <v>1.9011613859478333E-3</v>
      </c>
      <c r="G126" s="24">
        <v>5.8250099999999998</v>
      </c>
      <c r="H126" s="24">
        <v>5.2753519999999998</v>
      </c>
      <c r="I126" s="24">
        <v>5.703195</v>
      </c>
      <c r="J126" s="24">
        <v>5.6011850000000001</v>
      </c>
      <c r="K126" s="24">
        <v>5.7903390000000003</v>
      </c>
      <c r="L126" s="24">
        <v>9.9842610000000001</v>
      </c>
      <c r="M126" s="24">
        <v>67.831500000000005</v>
      </c>
      <c r="N126" s="24">
        <v>3.3383671698871802</v>
      </c>
      <c r="O126" s="24">
        <v>4.5</v>
      </c>
      <c r="P126" s="24">
        <v>2.5563909774436082</v>
      </c>
      <c r="Q126" s="24">
        <v>9.3821888608696611</v>
      </c>
      <c r="R126" s="24">
        <v>5.85</v>
      </c>
      <c r="S126" s="24">
        <v>5.7927676116889799</v>
      </c>
      <c r="T126" s="24">
        <v>0.59601522264891693</v>
      </c>
      <c r="U126" s="24" t="s">
        <v>1835</v>
      </c>
      <c r="V126" s="24">
        <v>19372.8</v>
      </c>
      <c r="W126" s="24" t="s">
        <v>1415</v>
      </c>
      <c r="X126" s="64">
        <v>1.9089316987740808</v>
      </c>
    </row>
    <row r="127" spans="1:24" ht="14.4" x14ac:dyDescent="0.55000000000000004">
      <c r="A127" s="24" t="s">
        <v>320</v>
      </c>
      <c r="B127" s="24" t="s">
        <v>1265</v>
      </c>
      <c r="C127" s="24" t="s">
        <v>108</v>
      </c>
      <c r="D127" s="24" t="s">
        <v>72</v>
      </c>
      <c r="E127" s="24" t="s">
        <v>92</v>
      </c>
      <c r="F127" s="70">
        <v>1.8957579652791618E-3</v>
      </c>
      <c r="G127" s="24">
        <v>8.1683439999999994</v>
      </c>
      <c r="H127" s="24">
        <v>5.2275109999999998</v>
      </c>
      <c r="I127" s="24">
        <v>7.2653780000000001</v>
      </c>
      <c r="J127" s="24">
        <v>7.3092879999999996</v>
      </c>
      <c r="K127" s="24">
        <v>10.4155</v>
      </c>
      <c r="L127" s="24">
        <v>10.34938</v>
      </c>
      <c r="M127" s="24">
        <v>155.14869999999999</v>
      </c>
      <c r="N127" s="24">
        <v>6.5221233358134212</v>
      </c>
      <c r="O127" s="24">
        <v>2.5</v>
      </c>
      <c r="P127" s="24">
        <v>10</v>
      </c>
      <c r="Q127" s="24">
        <v>7.1460666423316432</v>
      </c>
      <c r="R127" s="24">
        <v>6</v>
      </c>
      <c r="S127" s="24">
        <v>6.3436992110448056</v>
      </c>
      <c r="T127" s="24">
        <v>0.61411778520535409</v>
      </c>
      <c r="U127" s="24" t="s">
        <v>1937</v>
      </c>
      <c r="V127" s="24">
        <v>18552.62</v>
      </c>
      <c r="W127" s="24" t="s">
        <v>1415</v>
      </c>
      <c r="X127" s="64">
        <v>1.9960474308300395</v>
      </c>
    </row>
    <row r="128" spans="1:24" ht="14.4" x14ac:dyDescent="0.55000000000000004">
      <c r="A128" s="24" t="s">
        <v>354</v>
      </c>
      <c r="B128" s="24" t="s">
        <v>1112</v>
      </c>
      <c r="C128" s="24" t="s">
        <v>105</v>
      </c>
      <c r="D128" s="24" t="s">
        <v>72</v>
      </c>
      <c r="E128" s="24" t="s">
        <v>96</v>
      </c>
      <c r="F128" s="70">
        <v>1.8816123924451178E-3</v>
      </c>
      <c r="G128" s="24">
        <v>4.2998529999999997</v>
      </c>
      <c r="H128" s="24">
        <v>3.7473830000000001</v>
      </c>
      <c r="I128" s="24">
        <v>5.2774960000000002</v>
      </c>
      <c r="J128" s="24">
        <v>4.4274050000000003</v>
      </c>
      <c r="K128" s="24">
        <v>1.4057550000000001</v>
      </c>
      <c r="L128" s="24">
        <v>3.9508899999999998</v>
      </c>
      <c r="M128" s="24">
        <v>6.5380000000000003</v>
      </c>
      <c r="N128" s="24">
        <v>4.9897954060806962</v>
      </c>
      <c r="O128" s="24">
        <v>2</v>
      </c>
      <c r="P128" s="24">
        <v>0</v>
      </c>
      <c r="Q128" s="24">
        <v>7.1617216271560489</v>
      </c>
      <c r="R128" s="24">
        <v>6.25</v>
      </c>
      <c r="S128" s="24">
        <v>4.6327908537647424</v>
      </c>
      <c r="T128" s="24">
        <v>1.6873494989121773</v>
      </c>
      <c r="U128" s="24" t="s">
        <v>2002</v>
      </c>
      <c r="V128" s="24">
        <v>20337.72</v>
      </c>
      <c r="W128" s="24" t="s">
        <v>1415</v>
      </c>
      <c r="X128" s="64">
        <v>2.4263431542461005</v>
      </c>
    </row>
    <row r="129" spans="1:24" ht="14.4" x14ac:dyDescent="0.55000000000000004">
      <c r="A129" s="24" t="s">
        <v>334</v>
      </c>
      <c r="B129" s="24" t="s">
        <v>1378</v>
      </c>
      <c r="C129" s="24" t="s">
        <v>106</v>
      </c>
      <c r="D129" s="24" t="s">
        <v>72</v>
      </c>
      <c r="E129" s="24" t="s">
        <v>87</v>
      </c>
      <c r="F129" s="70">
        <v>1.8694734612929942E-3</v>
      </c>
      <c r="G129" s="24">
        <v>8.3460280000000004</v>
      </c>
      <c r="H129" s="24">
        <v>7.336373</v>
      </c>
      <c r="I129" s="24">
        <v>7.6246590000000003</v>
      </c>
      <c r="J129" s="24">
        <v>7.826721</v>
      </c>
      <c r="K129" s="24">
        <v>7.0493410000000001</v>
      </c>
      <c r="L129" s="24">
        <v>18.34234</v>
      </c>
      <c r="M129" s="24">
        <v>14.6953</v>
      </c>
      <c r="N129" s="24">
        <v>4.3527947495202675</v>
      </c>
      <c r="O129" s="24">
        <v>5.8</v>
      </c>
      <c r="P129" s="24">
        <v>6.98744769874477</v>
      </c>
      <c r="Q129" s="24">
        <v>7.4787340835842988</v>
      </c>
      <c r="R129" s="24">
        <v>7.1900009999999996</v>
      </c>
      <c r="S129" s="24">
        <v>8.4167670756109576</v>
      </c>
      <c r="T129" s="24">
        <v>0.4894747225996432</v>
      </c>
      <c r="U129" s="24" t="s">
        <v>1778</v>
      </c>
      <c r="V129" s="24">
        <v>22291.69</v>
      </c>
      <c r="W129" s="24" t="s">
        <v>1415</v>
      </c>
      <c r="X129" s="64">
        <v>2.1136767317939609</v>
      </c>
    </row>
    <row r="130" spans="1:24" ht="14.4" x14ac:dyDescent="0.55000000000000004">
      <c r="A130" s="24" t="s">
        <v>339</v>
      </c>
      <c r="B130" s="24" t="s">
        <v>1177</v>
      </c>
      <c r="C130" s="24" t="s">
        <v>105</v>
      </c>
      <c r="D130" s="24" t="s">
        <v>72</v>
      </c>
      <c r="E130" s="24" t="s">
        <v>97</v>
      </c>
      <c r="F130" s="70">
        <v>1.8691902295742992E-3</v>
      </c>
      <c r="G130" s="24">
        <v>6.1827249999999996</v>
      </c>
      <c r="H130" s="24">
        <v>4.8479950000000001</v>
      </c>
      <c r="I130" s="24">
        <v>4.0405889999999998</v>
      </c>
      <c r="J130" s="24">
        <v>5.1396649999999999</v>
      </c>
      <c r="K130" s="24">
        <v>3.5741010000000002</v>
      </c>
      <c r="L130" s="24">
        <v>0.64449160000000005</v>
      </c>
      <c r="M130" s="24">
        <v>7.8349000000000002</v>
      </c>
      <c r="N130" s="24">
        <v>0.3353474117614858</v>
      </c>
      <c r="O130" s="24">
        <v>6.7</v>
      </c>
      <c r="P130" s="24">
        <v>5.3759398496240598</v>
      </c>
      <c r="Q130" s="24">
        <v>6.1053932659935706</v>
      </c>
      <c r="R130" s="24">
        <v>3.45</v>
      </c>
      <c r="S130" s="24">
        <v>2.4045530030607778</v>
      </c>
      <c r="T130" s="24">
        <v>1.0513829212167196</v>
      </c>
      <c r="U130" s="24" t="s">
        <v>1960</v>
      </c>
      <c r="V130" s="24">
        <v>18782.48</v>
      </c>
      <c r="W130" s="24" t="s">
        <v>1415</v>
      </c>
      <c r="X130" s="64">
        <v>1.8914185639229422</v>
      </c>
    </row>
    <row r="131" spans="1:24" ht="14.4" x14ac:dyDescent="0.55000000000000004">
      <c r="A131" s="24" t="s">
        <v>342</v>
      </c>
      <c r="B131" s="24" t="s">
        <v>1069</v>
      </c>
      <c r="C131" s="24" t="s">
        <v>109</v>
      </c>
      <c r="D131" s="24" t="s">
        <v>72</v>
      </c>
      <c r="E131" s="24" t="s">
        <v>88</v>
      </c>
      <c r="F131" s="70">
        <v>1.8681063428204244E-3</v>
      </c>
      <c r="G131" s="24">
        <v>6.8916389999999996</v>
      </c>
      <c r="H131" s="24">
        <v>6.52949</v>
      </c>
      <c r="I131" s="24">
        <v>6.5500660000000002</v>
      </c>
      <c r="J131" s="24">
        <v>6.61015</v>
      </c>
      <c r="K131" s="24">
        <v>0.8801329</v>
      </c>
      <c r="L131" s="24">
        <v>5.6390630000000002</v>
      </c>
      <c r="M131" s="24">
        <v>7.9893000000000001</v>
      </c>
      <c r="N131" s="24">
        <v>3.1237092319736588</v>
      </c>
      <c r="O131" s="24">
        <v>9.6999999999999993</v>
      </c>
      <c r="P131" s="24">
        <v>2.1643835616438354</v>
      </c>
      <c r="Q131" s="24">
        <v>1.7116289428993012</v>
      </c>
      <c r="R131" s="24">
        <v>4.57</v>
      </c>
      <c r="S131" s="24">
        <v>4.974554781133115</v>
      </c>
      <c r="T131" s="24">
        <v>0.54158016979994095</v>
      </c>
      <c r="U131" s="24" t="s">
        <v>1512</v>
      </c>
      <c r="V131" s="24">
        <v>19618.009999999998</v>
      </c>
      <c r="W131" s="24" t="s">
        <v>1415</v>
      </c>
      <c r="X131" s="64">
        <v>2.2395833333333335</v>
      </c>
    </row>
    <row r="132" spans="1:24" ht="14.4" x14ac:dyDescent="0.55000000000000004">
      <c r="A132" s="24" t="s">
        <v>327</v>
      </c>
      <c r="B132" s="24" t="s">
        <v>1060</v>
      </c>
      <c r="C132" s="24" t="s">
        <v>112</v>
      </c>
      <c r="D132" s="24" t="s">
        <v>72</v>
      </c>
      <c r="E132" s="24" t="s">
        <v>88</v>
      </c>
      <c r="F132" s="70">
        <v>1.8604540823216908E-3</v>
      </c>
      <c r="G132" s="24">
        <v>5.6361739999999996</v>
      </c>
      <c r="H132" s="24">
        <v>6.9658239999999996</v>
      </c>
      <c r="I132" s="24">
        <v>6.8707440000000002</v>
      </c>
      <c r="J132" s="24">
        <v>6.6618620000000002</v>
      </c>
      <c r="K132" s="24">
        <v>1.4615629999999999</v>
      </c>
      <c r="L132" s="24">
        <v>6.1739069999999998</v>
      </c>
      <c r="M132" s="24">
        <v>96.891099999999994</v>
      </c>
      <c r="N132" s="24">
        <v>4.9736072925424128</v>
      </c>
      <c r="O132" s="24">
        <v>6.5</v>
      </c>
      <c r="P132" s="24">
        <v>5.6164383561643838</v>
      </c>
      <c r="Q132" s="24">
        <v>6.0534346724574739</v>
      </c>
      <c r="R132" s="24">
        <v>5.47</v>
      </c>
      <c r="S132" s="24">
        <v>6.1217151013009223</v>
      </c>
      <c r="T132" s="24">
        <v>0.92849041015070355</v>
      </c>
      <c r="U132" s="24" t="s">
        <v>1599</v>
      </c>
      <c r="V132" s="24">
        <v>20412.11</v>
      </c>
      <c r="W132" s="24" t="s">
        <v>1415</v>
      </c>
      <c r="X132" s="64">
        <v>1.9791666666666665</v>
      </c>
    </row>
    <row r="133" spans="1:24" ht="14.4" x14ac:dyDescent="0.55000000000000004">
      <c r="A133" s="24" t="s">
        <v>345</v>
      </c>
      <c r="B133" s="24" t="s">
        <v>1259</v>
      </c>
      <c r="C133" s="24" t="s">
        <v>106</v>
      </c>
      <c r="D133" s="24" t="s">
        <v>72</v>
      </c>
      <c r="E133" s="24" t="s">
        <v>82</v>
      </c>
      <c r="F133" s="70">
        <v>1.8381338215784583E-3</v>
      </c>
      <c r="G133" s="24">
        <v>6.9912089999999996</v>
      </c>
      <c r="H133" s="24">
        <v>6.1833879999999999</v>
      </c>
      <c r="I133" s="24">
        <v>6.080101</v>
      </c>
      <c r="J133" s="24">
        <v>6.3895840000000002</v>
      </c>
      <c r="K133" s="24">
        <v>2.9805250000000001</v>
      </c>
      <c r="L133" s="24">
        <v>18.12322</v>
      </c>
      <c r="M133" s="24">
        <v>6.8907999999999996</v>
      </c>
      <c r="N133" s="24">
        <v>6.359990667277299</v>
      </c>
      <c r="O133" s="24">
        <v>1.8</v>
      </c>
      <c r="P133" s="24">
        <v>2.3655916522141567</v>
      </c>
      <c r="Q133" s="24">
        <v>8.326996197718632</v>
      </c>
      <c r="R133" s="24">
        <v>3.45</v>
      </c>
      <c r="S133" s="24">
        <v>6.1268973562677491</v>
      </c>
      <c r="T133" s="24">
        <v>1.5553005995479778</v>
      </c>
      <c r="U133" s="24" t="s">
        <v>1776</v>
      </c>
      <c r="V133" s="24">
        <v>20012.18</v>
      </c>
      <c r="W133" s="24" t="s">
        <v>1415</v>
      </c>
      <c r="X133" s="64">
        <v>2.1025641025641026</v>
      </c>
    </row>
    <row r="134" spans="1:24" ht="14.4" x14ac:dyDescent="0.55000000000000004">
      <c r="A134" s="24" t="s">
        <v>347</v>
      </c>
      <c r="B134" s="24" t="s">
        <v>1217</v>
      </c>
      <c r="C134" s="24" t="s">
        <v>112</v>
      </c>
      <c r="D134" s="24" t="s">
        <v>72</v>
      </c>
      <c r="E134" s="24" t="s">
        <v>100</v>
      </c>
      <c r="F134" s="70">
        <v>1.7911053464495694E-3</v>
      </c>
      <c r="G134" s="24">
        <v>6.4254689999999997</v>
      </c>
      <c r="H134" s="24">
        <v>6.1523500000000002</v>
      </c>
      <c r="I134" s="24">
        <v>2.9539599999999999</v>
      </c>
      <c r="J134" s="24">
        <v>5.3020810000000003</v>
      </c>
      <c r="K134" s="24">
        <v>8.1040860000000006</v>
      </c>
      <c r="L134" s="24">
        <v>22.227319999999999</v>
      </c>
      <c r="M134" s="24">
        <v>39.715600000000002</v>
      </c>
      <c r="N134" s="24">
        <v>5.1733496845444904</v>
      </c>
      <c r="O134" s="24">
        <v>1.1000000000000001</v>
      </c>
      <c r="P134" s="24">
        <v>2.2670807453416151</v>
      </c>
      <c r="Q134" s="24">
        <v>10</v>
      </c>
      <c r="R134" s="24">
        <v>6.44</v>
      </c>
      <c r="S134" s="24">
        <v>7.3688162395169883</v>
      </c>
      <c r="T134" s="24">
        <v>1.1955946062227287</v>
      </c>
      <c r="U134" s="24" t="s">
        <v>1609</v>
      </c>
      <c r="V134" s="24">
        <v>17420.87</v>
      </c>
      <c r="W134" s="24" t="s">
        <v>1415</v>
      </c>
      <c r="X134" s="64">
        <v>2.1612349914236706</v>
      </c>
    </row>
    <row r="135" spans="1:24" ht="14.4" x14ac:dyDescent="0.55000000000000004">
      <c r="A135" s="24" t="s">
        <v>336</v>
      </c>
      <c r="B135" s="24" t="s">
        <v>973</v>
      </c>
      <c r="C135" s="24" t="s">
        <v>127</v>
      </c>
      <c r="D135" s="24" t="s">
        <v>72</v>
      </c>
      <c r="E135" s="24" t="s">
        <v>92</v>
      </c>
      <c r="F135" s="70">
        <v>1.7900154547829303E-3</v>
      </c>
      <c r="G135" s="24">
        <v>6.5195449999999999</v>
      </c>
      <c r="H135" s="24">
        <v>6.6442959999999998</v>
      </c>
      <c r="I135" s="24">
        <v>7.5748620000000004</v>
      </c>
      <c r="J135" s="24">
        <v>6.8735650000000001</v>
      </c>
      <c r="K135" s="24">
        <v>0.47816160000000002</v>
      </c>
      <c r="L135" s="24">
        <v>1.651824</v>
      </c>
      <c r="M135" s="24">
        <v>11.4153</v>
      </c>
      <c r="N135" s="24">
        <v>4.9004418361854345</v>
      </c>
      <c r="O135" s="24">
        <v>8</v>
      </c>
      <c r="P135" s="24">
        <v>1.3170731707317072</v>
      </c>
      <c r="Q135" s="24">
        <v>0</v>
      </c>
      <c r="R135" s="24">
        <v>2.46</v>
      </c>
      <c r="S135" s="24">
        <v>1.169469356300729</v>
      </c>
      <c r="T135" s="24">
        <v>1.4548178407981347</v>
      </c>
      <c r="U135" s="24" t="s">
        <v>1660</v>
      </c>
      <c r="V135" s="24">
        <v>19947.66</v>
      </c>
      <c r="W135" s="24" t="s">
        <v>1415</v>
      </c>
      <c r="X135" s="64">
        <v>2.3122529644268774</v>
      </c>
    </row>
    <row r="136" spans="1:24" ht="14.4" x14ac:dyDescent="0.55000000000000004">
      <c r="A136" s="24" t="s">
        <v>351</v>
      </c>
      <c r="B136" s="24" t="s">
        <v>1231</v>
      </c>
      <c r="C136" s="24" t="s">
        <v>110</v>
      </c>
      <c r="D136" s="24" t="s">
        <v>72</v>
      </c>
      <c r="E136" s="24" t="s">
        <v>85</v>
      </c>
      <c r="F136" s="70">
        <v>1.7891307309690564E-3</v>
      </c>
      <c r="G136" s="24">
        <v>6.38422</v>
      </c>
      <c r="H136" s="24">
        <v>6.980823</v>
      </c>
      <c r="I136" s="24">
        <v>7.8143960000000003</v>
      </c>
      <c r="J136" s="24">
        <v>6.992254</v>
      </c>
      <c r="K136" s="24">
        <v>2.3205619999999998</v>
      </c>
      <c r="L136" s="24">
        <v>3.2457639999999999</v>
      </c>
      <c r="M136" s="24">
        <v>65.014600000000002</v>
      </c>
      <c r="N136" s="24">
        <v>1.7657219898110224</v>
      </c>
      <c r="O136" s="24">
        <v>6.3</v>
      </c>
      <c r="P136" s="24">
        <v>8.8288288288288275</v>
      </c>
      <c r="Q136" s="24">
        <v>1.4254094732182381</v>
      </c>
      <c r="R136" s="24">
        <v>5.6500009999999996</v>
      </c>
      <c r="S136" s="24">
        <v>3.3596837527788312</v>
      </c>
      <c r="T136" s="24">
        <v>1.3333028246568197</v>
      </c>
      <c r="U136" s="24" t="s">
        <v>1555</v>
      </c>
      <c r="V136" s="24">
        <v>19428.689999999999</v>
      </c>
      <c r="W136" s="24" t="s">
        <v>1415</v>
      </c>
      <c r="X136" s="64">
        <v>2.179930795847751</v>
      </c>
    </row>
    <row r="137" spans="1:24" ht="14.4" x14ac:dyDescent="0.55000000000000004">
      <c r="A137" s="24" t="s">
        <v>363</v>
      </c>
      <c r="B137" s="24" t="s">
        <v>1139</v>
      </c>
      <c r="C137" s="24" t="s">
        <v>113</v>
      </c>
      <c r="D137" s="24" t="s">
        <v>72</v>
      </c>
      <c r="E137" s="24" t="s">
        <v>89</v>
      </c>
      <c r="F137" s="70">
        <v>1.7657135728276273E-3</v>
      </c>
      <c r="G137" s="24">
        <v>5.6247020000000001</v>
      </c>
      <c r="H137" s="24">
        <v>6.3901260000000004</v>
      </c>
      <c r="I137" s="24">
        <v>7.1893859999999998</v>
      </c>
      <c r="J137" s="24">
        <v>6.323734</v>
      </c>
      <c r="K137" s="24">
        <v>1.2079029999999999</v>
      </c>
      <c r="L137" s="24">
        <v>7.9314869999999997</v>
      </c>
      <c r="M137" s="24">
        <v>66.471800000000002</v>
      </c>
      <c r="N137" s="24">
        <v>8.7335202622208659</v>
      </c>
      <c r="O137" s="24">
        <v>9.6</v>
      </c>
      <c r="P137" s="24">
        <v>5.4354354354354335</v>
      </c>
      <c r="Q137" s="24">
        <v>5.2017850818946441</v>
      </c>
      <c r="R137" s="24">
        <v>3.66</v>
      </c>
      <c r="S137" s="24">
        <v>6.4701204484579993</v>
      </c>
      <c r="T137" s="24">
        <v>1.4081868575316476</v>
      </c>
      <c r="U137" s="24" t="s">
        <v>1885</v>
      </c>
      <c r="V137" s="24">
        <v>18225.740000000002</v>
      </c>
      <c r="W137" s="24" t="s">
        <v>1415</v>
      </c>
      <c r="X137" s="64">
        <v>2.3875432525951554</v>
      </c>
    </row>
    <row r="138" spans="1:24" ht="14.4" x14ac:dyDescent="0.55000000000000004">
      <c r="A138" s="24" t="s">
        <v>346</v>
      </c>
      <c r="B138" s="24" t="s">
        <v>1374</v>
      </c>
      <c r="C138" s="24" t="s">
        <v>112</v>
      </c>
      <c r="D138" s="24" t="s">
        <v>72</v>
      </c>
      <c r="E138" s="24" t="s">
        <v>89</v>
      </c>
      <c r="F138" s="70">
        <v>1.7589710566126172E-3</v>
      </c>
      <c r="G138" s="24">
        <v>6</v>
      </c>
      <c r="H138" s="24">
        <v>7.5315300000000001</v>
      </c>
      <c r="I138" s="24">
        <v>6</v>
      </c>
      <c r="J138" s="24">
        <v>6.4594589999999998</v>
      </c>
      <c r="K138" s="24">
        <v>5.3145309999999997</v>
      </c>
      <c r="L138" s="24">
        <v>12.234109999999999</v>
      </c>
      <c r="M138" s="24">
        <v>24.695699999999999</v>
      </c>
      <c r="N138" s="24">
        <v>3.7670195043432235</v>
      </c>
      <c r="O138" s="24">
        <v>0.8</v>
      </c>
      <c r="P138" s="24">
        <v>4.5045045045045038</v>
      </c>
      <c r="Q138" s="24">
        <v>9.2670064187693661</v>
      </c>
      <c r="R138" s="24">
        <v>6.9</v>
      </c>
      <c r="S138" s="24">
        <v>6.8682023470536118</v>
      </c>
      <c r="T138" s="24">
        <v>1.4121476537782323</v>
      </c>
      <c r="U138" s="24" t="s">
        <v>1434</v>
      </c>
      <c r="V138" s="24">
        <v>17577.080000000002</v>
      </c>
      <c r="W138" s="24" t="s">
        <v>1415</v>
      </c>
      <c r="X138" s="64">
        <v>2.0934256055363321</v>
      </c>
    </row>
    <row r="139" spans="1:24" ht="14.4" x14ac:dyDescent="0.55000000000000004">
      <c r="A139" s="24" t="s">
        <v>343</v>
      </c>
      <c r="B139" s="24" t="s">
        <v>1167</v>
      </c>
      <c r="C139" s="24" t="s">
        <v>111</v>
      </c>
      <c r="D139" s="24" t="s">
        <v>72</v>
      </c>
      <c r="E139" s="24" t="s">
        <v>82</v>
      </c>
      <c r="F139" s="70">
        <v>1.7502419150915666E-3</v>
      </c>
      <c r="G139" s="24">
        <v>6.5749320000000004</v>
      </c>
      <c r="H139" s="24">
        <v>7.3368869999999999</v>
      </c>
      <c r="I139" s="24">
        <v>5.7489220000000003</v>
      </c>
      <c r="J139" s="24">
        <v>6.5525130000000003</v>
      </c>
      <c r="K139" s="24">
        <v>8.6840109999999999</v>
      </c>
      <c r="L139" s="24">
        <v>20.227630000000001</v>
      </c>
      <c r="M139" s="24">
        <v>4.1170999999999998</v>
      </c>
      <c r="N139" s="24">
        <v>7.0966996836250997</v>
      </c>
      <c r="O139" s="24">
        <v>9.3000000000000007</v>
      </c>
      <c r="P139" s="24">
        <v>5.1881726008787741</v>
      </c>
      <c r="Q139" s="24">
        <v>6.921560343613578</v>
      </c>
      <c r="R139" s="24">
        <v>7.36</v>
      </c>
      <c r="S139" s="24">
        <v>7.042066011006364</v>
      </c>
      <c r="T139" s="24">
        <v>0.86134184835451655</v>
      </c>
      <c r="U139" s="24" t="s">
        <v>1674</v>
      </c>
      <c r="V139" s="24">
        <v>21186.21</v>
      </c>
      <c r="W139" s="24" t="s">
        <v>1415</v>
      </c>
      <c r="X139" s="64">
        <v>2.0683760683760681</v>
      </c>
    </row>
    <row r="140" spans="1:24" ht="14.4" x14ac:dyDescent="0.55000000000000004">
      <c r="A140" s="24" t="s">
        <v>344</v>
      </c>
      <c r="B140" s="24" t="s">
        <v>1298</v>
      </c>
      <c r="C140" s="24" t="s">
        <v>111</v>
      </c>
      <c r="D140" s="24" t="s">
        <v>72</v>
      </c>
      <c r="E140" s="24" t="s">
        <v>85</v>
      </c>
      <c r="F140" s="70">
        <v>1.7177113010122004E-3</v>
      </c>
      <c r="G140" s="24">
        <v>4.5470540000000002</v>
      </c>
      <c r="H140" s="24">
        <v>4.3676300000000001</v>
      </c>
      <c r="I140" s="24">
        <v>6.6970580000000002</v>
      </c>
      <c r="J140" s="24">
        <v>5.1382279999999998</v>
      </c>
      <c r="K140" s="24">
        <v>1.97028</v>
      </c>
      <c r="L140" s="24">
        <v>2.2489409999999999</v>
      </c>
      <c r="M140" s="24">
        <v>128.44200000000001</v>
      </c>
      <c r="N140" s="24">
        <v>7.382752652571746</v>
      </c>
      <c r="O140" s="24">
        <v>6.8</v>
      </c>
      <c r="P140" s="24">
        <v>3.0030030030030024</v>
      </c>
      <c r="Q140" s="24">
        <v>1.0035779105799028</v>
      </c>
      <c r="R140" s="24">
        <v>4.76</v>
      </c>
      <c r="S140" s="24">
        <v>3.2126386045823407</v>
      </c>
      <c r="T140" s="24">
        <v>0.77028833267037555</v>
      </c>
      <c r="U140" s="24" t="s">
        <v>1929</v>
      </c>
      <c r="V140" s="24">
        <v>19977.580000000002</v>
      </c>
      <c r="W140" s="24" t="s">
        <v>1415</v>
      </c>
      <c r="X140" s="64">
        <v>2.0588235294117645</v>
      </c>
    </row>
    <row r="141" spans="1:24" ht="14.4" x14ac:dyDescent="0.55000000000000004">
      <c r="A141" s="24" t="s">
        <v>359</v>
      </c>
      <c r="B141" s="24" t="s">
        <v>839</v>
      </c>
      <c r="C141" s="24" t="s">
        <v>107</v>
      </c>
      <c r="D141" s="24" t="s">
        <v>72</v>
      </c>
      <c r="E141" s="24" t="s">
        <v>82</v>
      </c>
      <c r="F141" s="70">
        <v>1.6565722817070564E-3</v>
      </c>
      <c r="G141" s="24">
        <v>5.8760060000000003</v>
      </c>
      <c r="H141" s="24">
        <v>5.3690619999999996</v>
      </c>
      <c r="I141" s="24">
        <v>5.472353</v>
      </c>
      <c r="J141" s="24">
        <v>5.5572970000000002</v>
      </c>
      <c r="K141" s="24">
        <v>4.3825839999999996</v>
      </c>
      <c r="L141" s="24">
        <v>17.074770000000001</v>
      </c>
      <c r="M141" s="24">
        <v>5.2637999999999998</v>
      </c>
      <c r="N141" s="24">
        <v>7.9617322622242082</v>
      </c>
      <c r="O141" s="24">
        <v>0.6</v>
      </c>
      <c r="P141" s="24">
        <v>0.75268825297723152</v>
      </c>
      <c r="Q141" s="24">
        <v>9.0480214054358559</v>
      </c>
      <c r="R141" s="24">
        <v>3.04</v>
      </c>
      <c r="S141" s="24">
        <v>5.6207489950971681</v>
      </c>
      <c r="T141" s="24">
        <v>1.4134285939862743</v>
      </c>
      <c r="U141" s="24" t="s">
        <v>1731</v>
      </c>
      <c r="V141" s="24">
        <v>16318.15</v>
      </c>
      <c r="W141" s="24" t="s">
        <v>1415</v>
      </c>
      <c r="X141" s="64">
        <v>2.341880341880342</v>
      </c>
    </row>
    <row r="142" spans="1:24" ht="14.4" x14ac:dyDescent="0.55000000000000004">
      <c r="A142" s="24" t="s">
        <v>355</v>
      </c>
      <c r="B142" s="24" t="s">
        <v>1154</v>
      </c>
      <c r="C142" s="24" t="s">
        <v>125</v>
      </c>
      <c r="D142" s="24" t="s">
        <v>72</v>
      </c>
      <c r="E142" s="24" t="s">
        <v>91</v>
      </c>
      <c r="F142" s="70">
        <v>1.6436447053452801E-3</v>
      </c>
      <c r="G142" s="24">
        <v>7</v>
      </c>
      <c r="H142" s="24">
        <v>4.4550190000000001</v>
      </c>
      <c r="I142" s="24">
        <v>6</v>
      </c>
      <c r="J142" s="24">
        <v>5.5820069999999999</v>
      </c>
      <c r="K142" s="24">
        <v>2.2558720000000001</v>
      </c>
      <c r="L142" s="24">
        <v>3.5268809999999999</v>
      </c>
      <c r="M142" s="24">
        <v>6.2565</v>
      </c>
      <c r="N142" s="24">
        <v>4.5405176122742157</v>
      </c>
      <c r="O142" s="24">
        <v>2.6</v>
      </c>
      <c r="P142" s="24">
        <v>7.3291925465838528</v>
      </c>
      <c r="Q142" s="24">
        <v>1.1467528587337372</v>
      </c>
      <c r="R142" s="24">
        <v>4.57</v>
      </c>
      <c r="S142" s="24">
        <v>2.785212909656654</v>
      </c>
      <c r="T142" s="24">
        <v>0.86601651222861942</v>
      </c>
      <c r="U142" s="24" t="s">
        <v>1927</v>
      </c>
      <c r="V142" s="24">
        <v>17676.32</v>
      </c>
      <c r="W142" s="24" t="s">
        <v>1415</v>
      </c>
      <c r="X142" s="64">
        <v>2.2984562607204118</v>
      </c>
    </row>
    <row r="143" spans="1:24" ht="14.4" x14ac:dyDescent="0.55000000000000004">
      <c r="A143" s="24" t="s">
        <v>349</v>
      </c>
      <c r="B143" s="24" t="s">
        <v>886</v>
      </c>
      <c r="C143" s="24" t="s">
        <v>127</v>
      </c>
      <c r="D143" s="24" t="s">
        <v>72</v>
      </c>
      <c r="E143" s="24" t="s">
        <v>88</v>
      </c>
      <c r="F143" s="70">
        <v>1.6308102051313439E-3</v>
      </c>
      <c r="G143" s="24">
        <v>6.737419</v>
      </c>
      <c r="H143" s="24">
        <v>7.0195509999999999</v>
      </c>
      <c r="I143" s="24">
        <v>7.9341949999999999</v>
      </c>
      <c r="J143" s="24">
        <v>7.3289819999999999</v>
      </c>
      <c r="K143" s="24">
        <v>2.2652610000000002</v>
      </c>
      <c r="L143" s="24">
        <v>3.0835340000000002</v>
      </c>
      <c r="M143" s="24">
        <v>20.026199999999999</v>
      </c>
      <c r="N143" s="24">
        <v>6.6834988945372711</v>
      </c>
      <c r="O143" s="24">
        <v>3.2</v>
      </c>
      <c r="P143" s="24">
        <v>7.7534246575342465</v>
      </c>
      <c r="Q143" s="24">
        <v>0.82853086110415108</v>
      </c>
      <c r="R143" s="24">
        <v>6.67</v>
      </c>
      <c r="S143" s="24">
        <v>4.4501353798790833</v>
      </c>
      <c r="T143" s="24">
        <v>0.33680864699384949</v>
      </c>
      <c r="U143" s="24" t="s">
        <v>1654</v>
      </c>
      <c r="V143" s="24">
        <v>14590.74</v>
      </c>
      <c r="W143" s="24" t="s">
        <v>1415</v>
      </c>
      <c r="X143" s="64">
        <v>2.3611111111111112</v>
      </c>
    </row>
    <row r="144" spans="1:24" ht="14.4" x14ac:dyDescent="0.55000000000000004">
      <c r="A144" s="24" t="s">
        <v>350</v>
      </c>
      <c r="B144" s="24" t="s">
        <v>1318</v>
      </c>
      <c r="C144" s="24" t="s">
        <v>127</v>
      </c>
      <c r="D144" s="24" t="s">
        <v>72</v>
      </c>
      <c r="E144" s="24" t="s">
        <v>82</v>
      </c>
      <c r="F144" s="70">
        <v>1.6281720467904255E-3</v>
      </c>
      <c r="G144" s="24">
        <v>7.1122730000000001</v>
      </c>
      <c r="H144" s="24">
        <v>5.2432290000000004</v>
      </c>
      <c r="I144" s="24">
        <v>5.8723150000000004</v>
      </c>
      <c r="J144" s="24">
        <v>6.0241230000000003</v>
      </c>
      <c r="K144" s="24">
        <v>11.426489999999999</v>
      </c>
      <c r="L144" s="24">
        <v>14.66151</v>
      </c>
      <c r="M144" s="24">
        <v>1.3833</v>
      </c>
      <c r="N144" s="24">
        <v>4.5256651936601822</v>
      </c>
      <c r="O144" s="24">
        <v>5.9</v>
      </c>
      <c r="P144" s="24">
        <v>4.6774198577870809</v>
      </c>
      <c r="Q144" s="24">
        <v>6.2878467821433617</v>
      </c>
      <c r="R144" s="24">
        <v>8.6199999999999992</v>
      </c>
      <c r="S144" s="24">
        <v>5.995874760829083</v>
      </c>
      <c r="T144" s="24">
        <v>0.73669236079409284</v>
      </c>
      <c r="U144" s="24" t="s">
        <v>1646</v>
      </c>
      <c r="V144" s="24">
        <v>17858.71</v>
      </c>
      <c r="W144" s="24" t="s">
        <v>1415</v>
      </c>
      <c r="X144" s="64">
        <v>2.1880341880341883</v>
      </c>
    </row>
    <row r="145" spans="1:24" ht="14.4" x14ac:dyDescent="0.55000000000000004">
      <c r="A145" s="24" t="s">
        <v>356</v>
      </c>
      <c r="B145" s="24" t="s">
        <v>837</v>
      </c>
      <c r="C145" s="24" t="s">
        <v>107</v>
      </c>
      <c r="D145" s="24" t="s">
        <v>72</v>
      </c>
      <c r="E145" s="24" t="s">
        <v>93</v>
      </c>
      <c r="F145" s="70">
        <v>1.6199393113911864E-3</v>
      </c>
      <c r="G145" s="24">
        <v>6.6827430000000003</v>
      </c>
      <c r="H145" s="24">
        <v>7.0701970000000003</v>
      </c>
      <c r="I145" s="24">
        <v>5.0856779999999997</v>
      </c>
      <c r="J145" s="24">
        <v>6.2795389999999998</v>
      </c>
      <c r="K145" s="24">
        <v>3.1710729999999998</v>
      </c>
      <c r="L145" s="24">
        <v>3.3966270000000001</v>
      </c>
      <c r="M145" s="24">
        <v>6.1502999999999997</v>
      </c>
      <c r="N145" s="24">
        <v>3.0931492093590327</v>
      </c>
      <c r="O145" s="24">
        <v>0.2</v>
      </c>
      <c r="P145" s="24">
        <v>4.3478260869565224</v>
      </c>
      <c r="Q145" s="24">
        <v>4.3123198522421706</v>
      </c>
      <c r="R145" s="24">
        <v>5.16</v>
      </c>
      <c r="S145" s="24">
        <v>2.2481035309266613</v>
      </c>
      <c r="T145" s="24">
        <v>1.664314901888053</v>
      </c>
      <c r="U145" s="24" t="s">
        <v>1720</v>
      </c>
      <c r="V145" s="24">
        <v>18475.23</v>
      </c>
      <c r="W145" s="24" t="s">
        <v>1415</v>
      </c>
      <c r="X145" s="64">
        <v>2.3156089193825045</v>
      </c>
    </row>
    <row r="146" spans="1:24" ht="14.4" x14ac:dyDescent="0.55000000000000004">
      <c r="A146" s="24" t="s">
        <v>353</v>
      </c>
      <c r="B146" s="24" t="s">
        <v>838</v>
      </c>
      <c r="C146" s="24" t="s">
        <v>107</v>
      </c>
      <c r="D146" s="24" t="s">
        <v>72</v>
      </c>
      <c r="E146" s="24" t="s">
        <v>96</v>
      </c>
      <c r="F146" s="70">
        <v>1.5944264386951736E-3</v>
      </c>
      <c r="G146" s="24">
        <v>5.9083730000000001</v>
      </c>
      <c r="H146" s="24">
        <v>6.2189120000000004</v>
      </c>
      <c r="I146" s="24">
        <v>6.8761409999999996</v>
      </c>
      <c r="J146" s="24">
        <v>6.2918649999999996</v>
      </c>
      <c r="K146" s="24">
        <v>0.90446800000000005</v>
      </c>
      <c r="L146" s="24">
        <v>3.3031579999999998</v>
      </c>
      <c r="M146" s="24">
        <v>112.413</v>
      </c>
      <c r="N146" s="24">
        <v>3.9540819294044764</v>
      </c>
      <c r="O146" s="24">
        <v>0.2</v>
      </c>
      <c r="P146" s="24">
        <v>4.8416289592760178</v>
      </c>
      <c r="Q146" s="24">
        <v>9.482203595942746</v>
      </c>
      <c r="R146" s="24">
        <v>3.2</v>
      </c>
      <c r="S146" s="24">
        <v>4.3503807971432895</v>
      </c>
      <c r="T146" s="24">
        <v>1.8113663623404983</v>
      </c>
      <c r="U146" s="24" t="s">
        <v>1905</v>
      </c>
      <c r="V146" s="24">
        <v>17316.259999999998</v>
      </c>
      <c r="W146" s="24" t="s">
        <v>1415</v>
      </c>
      <c r="X146" s="64">
        <v>2.4090121317157713</v>
      </c>
    </row>
    <row r="147" spans="1:24" ht="14.4" x14ac:dyDescent="0.55000000000000004">
      <c r="A147" s="24" t="s">
        <v>365</v>
      </c>
      <c r="B147" s="24" t="s">
        <v>1125</v>
      </c>
      <c r="C147" s="24" t="s">
        <v>111</v>
      </c>
      <c r="D147" s="24" t="s">
        <v>72</v>
      </c>
      <c r="E147" s="24" t="s">
        <v>97</v>
      </c>
      <c r="F147" s="70">
        <v>1.5911747784335486E-3</v>
      </c>
      <c r="G147" s="24">
        <v>7.7836410000000003</v>
      </c>
      <c r="H147" s="24">
        <v>6.4056649999999999</v>
      </c>
      <c r="I147" s="24">
        <v>6.1442389999999998</v>
      </c>
      <c r="J147" s="24">
        <v>6.7778489999999998</v>
      </c>
      <c r="K147" s="24">
        <v>0.1446336</v>
      </c>
      <c r="L147" s="24">
        <v>-0.73035309999999998</v>
      </c>
      <c r="M147" s="24">
        <v>139.0179</v>
      </c>
      <c r="N147" s="24">
        <v>2.5558910842361886</v>
      </c>
      <c r="O147" s="24">
        <v>3.2</v>
      </c>
      <c r="P147" s="24">
        <v>0</v>
      </c>
      <c r="Q147" s="24">
        <v>1.573092662913288</v>
      </c>
      <c r="R147" s="24">
        <v>1.45</v>
      </c>
      <c r="S147" s="24">
        <v>0.96844407273536748</v>
      </c>
      <c r="T147" s="24">
        <v>0.97306513277892126</v>
      </c>
      <c r="U147" s="24" t="s">
        <v>1663</v>
      </c>
      <c r="V147" s="24">
        <v>20387.509999999998</v>
      </c>
      <c r="W147" s="24" t="s">
        <v>1415</v>
      </c>
      <c r="X147" s="64">
        <v>2.3467600700525395</v>
      </c>
    </row>
    <row r="148" spans="1:24" ht="14.4" x14ac:dyDescent="0.55000000000000004">
      <c r="A148" s="24" t="s">
        <v>338</v>
      </c>
      <c r="B148" s="24" t="s">
        <v>896</v>
      </c>
      <c r="C148" s="24" t="s">
        <v>111</v>
      </c>
      <c r="D148" s="24" t="s">
        <v>72</v>
      </c>
      <c r="E148" s="24" t="s">
        <v>97</v>
      </c>
      <c r="F148" s="70">
        <v>1.584771539789696E-3</v>
      </c>
      <c r="G148" s="24">
        <v>7.0399859999999999</v>
      </c>
      <c r="H148" s="24">
        <v>5.6458680000000001</v>
      </c>
      <c r="I148" s="24">
        <v>3.7133910000000001</v>
      </c>
      <c r="J148" s="24">
        <v>5.4664149999999996</v>
      </c>
      <c r="K148" s="24">
        <v>6.8418850000000004</v>
      </c>
      <c r="L148" s="24">
        <v>10.59224</v>
      </c>
      <c r="M148" s="24">
        <v>34.843299999999999</v>
      </c>
      <c r="N148" s="24">
        <v>4.5725072765856627</v>
      </c>
      <c r="O148" s="24">
        <v>0.7</v>
      </c>
      <c r="P148" s="24">
        <v>1.1278195488721803</v>
      </c>
      <c r="Q148" s="24">
        <v>8.3797220917392892</v>
      </c>
      <c r="R148" s="24">
        <v>5.31</v>
      </c>
      <c r="S148" s="24">
        <v>6.3824950022940445</v>
      </c>
      <c r="T148" s="24">
        <v>0.42080130747718592</v>
      </c>
      <c r="U148" s="24" t="s">
        <v>1681</v>
      </c>
      <c r="V148" s="24">
        <v>18364.150000000001</v>
      </c>
      <c r="W148" s="24" t="s">
        <v>1415</v>
      </c>
      <c r="X148" s="64">
        <v>1.8739054290718038</v>
      </c>
    </row>
    <row r="149" spans="1:24" ht="14.4" x14ac:dyDescent="0.55000000000000004">
      <c r="A149" s="24" t="s">
        <v>358</v>
      </c>
      <c r="B149" s="24" t="s">
        <v>993</v>
      </c>
      <c r="C149" s="24" t="s">
        <v>105</v>
      </c>
      <c r="D149" s="24" t="s">
        <v>72</v>
      </c>
      <c r="E149" s="24" t="s">
        <v>82</v>
      </c>
      <c r="F149" s="70">
        <v>1.577625693600714E-3</v>
      </c>
      <c r="G149" s="24">
        <v>7.6432289999999998</v>
      </c>
      <c r="H149" s="24">
        <v>6.5901040000000002</v>
      </c>
      <c r="I149" s="24">
        <v>6.5970519999999997</v>
      </c>
      <c r="J149" s="24">
        <v>6.9084729999999999</v>
      </c>
      <c r="K149" s="24">
        <v>7.2782119999999999</v>
      </c>
      <c r="L149" s="24">
        <v>13.66628</v>
      </c>
      <c r="M149" s="24">
        <v>3.3612000000000002</v>
      </c>
      <c r="N149" s="24">
        <v>3.7522907310857341</v>
      </c>
      <c r="O149" s="24">
        <v>1.3</v>
      </c>
      <c r="P149" s="24">
        <v>7.7150545930166228</v>
      </c>
      <c r="Q149" s="24">
        <v>5.2964371215321808</v>
      </c>
      <c r="R149" s="24">
        <v>5.0999999999999996</v>
      </c>
      <c r="S149" s="24">
        <v>6.15867014207811</v>
      </c>
      <c r="T149" s="24">
        <v>1.3004089489484492</v>
      </c>
      <c r="U149" s="24" t="s">
        <v>1969</v>
      </c>
      <c r="V149" s="24">
        <v>16396.669999999998</v>
      </c>
      <c r="W149" s="24" t="s">
        <v>1415</v>
      </c>
      <c r="X149" s="64">
        <v>2.324786324786325</v>
      </c>
    </row>
    <row r="150" spans="1:24" ht="14.4" x14ac:dyDescent="0.55000000000000004">
      <c r="A150" s="24" t="s">
        <v>377</v>
      </c>
      <c r="B150" s="24" t="s">
        <v>916</v>
      </c>
      <c r="C150" s="24" t="s">
        <v>110</v>
      </c>
      <c r="D150" s="24" t="s">
        <v>72</v>
      </c>
      <c r="E150" s="24" t="s">
        <v>88</v>
      </c>
      <c r="F150" s="70">
        <v>1.5689926306838848E-3</v>
      </c>
      <c r="G150" s="24">
        <v>7.6397870000000001</v>
      </c>
      <c r="H150" s="24">
        <v>5.5880450000000002</v>
      </c>
      <c r="I150" s="24">
        <v>7.2448969999999999</v>
      </c>
      <c r="J150" s="24">
        <v>6.6611339999999997</v>
      </c>
      <c r="K150" s="24">
        <v>0.69671510000000003</v>
      </c>
      <c r="L150" s="24">
        <v>2.305647</v>
      </c>
      <c r="M150" s="24">
        <v>35.529400000000003</v>
      </c>
      <c r="N150" s="24">
        <v>5.6690387121961692</v>
      </c>
      <c r="O150" s="24">
        <v>6.3</v>
      </c>
      <c r="P150" s="24">
        <v>7.6712328767123283</v>
      </c>
      <c r="Q150" s="24">
        <v>0.38382660987221251</v>
      </c>
      <c r="R150" s="24">
        <v>5.0599999999999996</v>
      </c>
      <c r="S150" s="24">
        <v>2.7715942733942422</v>
      </c>
      <c r="T150" s="24">
        <v>1.4015610456310623</v>
      </c>
      <c r="U150" s="24" t="s">
        <v>1577</v>
      </c>
      <c r="V150" s="24">
        <v>15664.03</v>
      </c>
      <c r="W150" s="24" t="s">
        <v>1415</v>
      </c>
      <c r="X150" s="64">
        <v>2.8472222222222223</v>
      </c>
    </row>
    <row r="151" spans="1:24" ht="14.4" x14ac:dyDescent="0.55000000000000004">
      <c r="A151" s="24" t="s">
        <v>357</v>
      </c>
      <c r="B151" s="24" t="s">
        <v>1080</v>
      </c>
      <c r="C151" s="24" t="s">
        <v>105</v>
      </c>
      <c r="D151" s="24" t="s">
        <v>72</v>
      </c>
      <c r="E151" s="24" t="s">
        <v>98</v>
      </c>
      <c r="F151" s="70">
        <v>1.5430984460273675E-3</v>
      </c>
      <c r="G151" s="24">
        <v>5.3612719999999996</v>
      </c>
      <c r="H151" s="24">
        <v>4.2858169999999998</v>
      </c>
      <c r="I151" s="24">
        <v>6.1200669999999997</v>
      </c>
      <c r="J151" s="24">
        <v>5.2346079999999997</v>
      </c>
      <c r="K151" s="24">
        <v>3.0451100000000002</v>
      </c>
      <c r="L151" s="24">
        <v>4.8486789999999997</v>
      </c>
      <c r="M151" s="24">
        <v>26.6981</v>
      </c>
      <c r="N151" s="24">
        <v>8.0033421302839329</v>
      </c>
      <c r="O151" s="24">
        <v>3.3</v>
      </c>
      <c r="P151" s="24">
        <v>7.0807453416149082</v>
      </c>
      <c r="Q151" s="24">
        <v>3.0464187739359532</v>
      </c>
      <c r="R151" s="24">
        <v>5.55</v>
      </c>
      <c r="S151" s="24">
        <v>4.9203479769551119</v>
      </c>
      <c r="T151" s="24">
        <v>1.2806422586184807</v>
      </c>
      <c r="U151" s="24" t="s">
        <v>1991</v>
      </c>
      <c r="V151" s="24">
        <v>15986.13</v>
      </c>
      <c r="W151" s="24" t="s">
        <v>1415</v>
      </c>
      <c r="X151" s="64">
        <v>2.3327615780445972</v>
      </c>
    </row>
    <row r="152" spans="1:24" ht="14.4" x14ac:dyDescent="0.55000000000000004">
      <c r="A152" s="24" t="s">
        <v>378</v>
      </c>
      <c r="B152" s="24" t="s">
        <v>1022</v>
      </c>
      <c r="C152" s="24" t="s">
        <v>105</v>
      </c>
      <c r="D152" s="24" t="s">
        <v>72</v>
      </c>
      <c r="E152" s="24" t="s">
        <v>93</v>
      </c>
      <c r="F152" s="70">
        <v>1.5328940976039975E-3</v>
      </c>
      <c r="G152" s="24">
        <v>3.6741410000000001</v>
      </c>
      <c r="H152" s="24">
        <v>5.2713409999999996</v>
      </c>
      <c r="I152" s="24">
        <v>5.0875089999999998</v>
      </c>
      <c r="J152" s="24">
        <v>4.577312</v>
      </c>
      <c r="K152" s="24">
        <v>2.6060569999999998</v>
      </c>
      <c r="L152" s="24">
        <v>7.529757</v>
      </c>
      <c r="M152" s="24">
        <v>227.63659999999999</v>
      </c>
      <c r="N152" s="24">
        <v>1.5520464761252242</v>
      </c>
      <c r="O152" s="24">
        <v>9.3000000000000007</v>
      </c>
      <c r="P152" s="24">
        <v>5.1046025104602508</v>
      </c>
      <c r="Q152" s="24">
        <v>6.2957679505468374</v>
      </c>
      <c r="R152" s="24">
        <v>5.03</v>
      </c>
      <c r="S152" s="24">
        <v>5.7155741390820456</v>
      </c>
      <c r="T152" s="24">
        <v>0.23568845677197583</v>
      </c>
      <c r="U152" s="24" t="s">
        <v>1986</v>
      </c>
      <c r="V152" s="24">
        <v>16879.349999999999</v>
      </c>
      <c r="W152" s="24" t="s">
        <v>1415</v>
      </c>
      <c r="X152" s="64">
        <v>2.8952042628774421</v>
      </c>
    </row>
    <row r="153" spans="1:24" ht="14.4" x14ac:dyDescent="0.55000000000000004">
      <c r="A153" s="24" t="s">
        <v>379</v>
      </c>
      <c r="B153" s="24" t="s">
        <v>1116</v>
      </c>
      <c r="C153" s="24" t="s">
        <v>106</v>
      </c>
      <c r="D153" s="24" t="s">
        <v>72</v>
      </c>
      <c r="E153" s="24" t="s">
        <v>98</v>
      </c>
      <c r="F153" s="70">
        <v>1.4983068009030128E-3</v>
      </c>
      <c r="G153" s="24">
        <v>5.8687290000000001</v>
      </c>
      <c r="H153" s="24">
        <v>6.4944240000000004</v>
      </c>
      <c r="I153" s="24">
        <v>7.1921249999999999</v>
      </c>
      <c r="J153" s="24">
        <v>6.6483650000000001</v>
      </c>
      <c r="K153" s="24">
        <v>1.5783990000000001</v>
      </c>
      <c r="L153" s="24">
        <v>4.6954580000000004</v>
      </c>
      <c r="M153" s="24">
        <v>1094.453</v>
      </c>
      <c r="N153" s="24">
        <v>3.6487043402418005</v>
      </c>
      <c r="O153" s="24">
        <v>6.4</v>
      </c>
      <c r="P153" s="24">
        <v>6.5424434782608714</v>
      </c>
      <c r="Q153" s="24">
        <v>1.7388706304152972</v>
      </c>
      <c r="R153" s="24">
        <v>3.71</v>
      </c>
      <c r="S153" s="24">
        <v>4.2606222871629011</v>
      </c>
      <c r="T153" s="24">
        <v>0.85880801699284737</v>
      </c>
      <c r="U153" s="24" t="s">
        <v>1836</v>
      </c>
      <c r="V153" s="24">
        <v>15699.18</v>
      </c>
      <c r="W153" s="24" t="s">
        <v>1415</v>
      </c>
      <c r="X153" s="64">
        <v>2.7101200686106348</v>
      </c>
    </row>
    <row r="154" spans="1:24" ht="14.4" x14ac:dyDescent="0.55000000000000004">
      <c r="A154" s="24" t="s">
        <v>361</v>
      </c>
      <c r="B154" s="24" t="s">
        <v>1038</v>
      </c>
      <c r="C154" s="24" t="s">
        <v>110</v>
      </c>
      <c r="D154" s="24" t="s">
        <v>72</v>
      </c>
      <c r="E154" s="24" t="s">
        <v>88</v>
      </c>
      <c r="F154" s="70">
        <v>1.4874529210823528E-3</v>
      </c>
      <c r="G154" s="24">
        <v>6.6003040000000004</v>
      </c>
      <c r="H154" s="24">
        <v>6.9581840000000001</v>
      </c>
      <c r="I154" s="24">
        <v>5.8326640000000003</v>
      </c>
      <c r="J154" s="24">
        <v>6.4363999999999999</v>
      </c>
      <c r="K154" s="24">
        <v>1.617594</v>
      </c>
      <c r="L154" s="24">
        <v>8.5026840000000004</v>
      </c>
      <c r="M154" s="24">
        <v>27.976700000000001</v>
      </c>
      <c r="N154" s="24">
        <v>5.072298157516216</v>
      </c>
      <c r="O154" s="24">
        <v>5.0999999999999996</v>
      </c>
      <c r="P154" s="24">
        <v>3.5616438356164384</v>
      </c>
      <c r="Q154" s="24">
        <v>7.3159052312146775</v>
      </c>
      <c r="R154" s="24">
        <v>0</v>
      </c>
      <c r="S154" s="24">
        <v>6.9414505872602499</v>
      </c>
      <c r="T154" s="24">
        <v>0.61227351180557699</v>
      </c>
      <c r="U154" s="24" t="s">
        <v>1428</v>
      </c>
      <c r="V154" s="24">
        <v>16106.34</v>
      </c>
      <c r="W154" s="24" t="s">
        <v>1415</v>
      </c>
      <c r="X154" s="64">
        <v>2.5694444444444442</v>
      </c>
    </row>
    <row r="155" spans="1:24" ht="14.4" x14ac:dyDescent="0.55000000000000004">
      <c r="A155" s="24" t="s">
        <v>395</v>
      </c>
      <c r="B155" s="24" t="s">
        <v>906</v>
      </c>
      <c r="C155" s="24" t="s">
        <v>112</v>
      </c>
      <c r="D155" s="24" t="s">
        <v>72</v>
      </c>
      <c r="E155" s="24" t="s">
        <v>82</v>
      </c>
      <c r="F155" s="70">
        <v>1.4731221967714237E-3</v>
      </c>
      <c r="G155" s="24">
        <v>6.4711879999999997</v>
      </c>
      <c r="H155" s="24">
        <v>5.9307499999999997</v>
      </c>
      <c r="I155" s="24">
        <v>6.1883509999999999</v>
      </c>
      <c r="J155" s="24">
        <v>6.1830420000000004</v>
      </c>
      <c r="K155" s="24">
        <v>3.0954760000000001</v>
      </c>
      <c r="L155" s="24">
        <v>18.6874</v>
      </c>
      <c r="M155" s="24">
        <v>11.460599999999999</v>
      </c>
      <c r="N155" s="24">
        <v>7.5744737660162116</v>
      </c>
      <c r="O155" s="24">
        <v>2.2000000000000002</v>
      </c>
      <c r="P155" s="24">
        <v>2.553763715458464</v>
      </c>
      <c r="Q155" s="24">
        <v>8.6931418110125342</v>
      </c>
      <c r="R155" s="24">
        <v>3.34</v>
      </c>
      <c r="S155" s="24">
        <v>6.0829473210164178</v>
      </c>
      <c r="T155" s="24">
        <v>1.0462324375149097</v>
      </c>
      <c r="U155" s="24" t="s">
        <v>1628</v>
      </c>
      <c r="V155" s="24">
        <v>17010.59</v>
      </c>
      <c r="W155" s="24" t="s">
        <v>1415</v>
      </c>
      <c r="X155" s="64">
        <v>2.9572649572649574</v>
      </c>
    </row>
    <row r="156" spans="1:24" ht="14.4" x14ac:dyDescent="0.55000000000000004">
      <c r="A156" s="24" t="s">
        <v>371</v>
      </c>
      <c r="B156" s="24" t="s">
        <v>1235</v>
      </c>
      <c r="C156" s="24" t="s">
        <v>106</v>
      </c>
      <c r="D156" s="24" t="s">
        <v>72</v>
      </c>
      <c r="E156" s="24" t="s">
        <v>90</v>
      </c>
      <c r="F156" s="70">
        <v>1.4638025721619276E-3</v>
      </c>
      <c r="G156" s="24">
        <v>5.5269510000000004</v>
      </c>
      <c r="H156" s="24">
        <v>6.4430019999999999</v>
      </c>
      <c r="I156" s="24">
        <v>6.413888</v>
      </c>
      <c r="J156" s="24">
        <v>6.1579969999999999</v>
      </c>
      <c r="K156" s="24">
        <v>9.4119849999999996</v>
      </c>
      <c r="L156" s="24">
        <v>8.6729310000000002</v>
      </c>
      <c r="M156" s="24">
        <v>2.673</v>
      </c>
      <c r="N156" s="24">
        <v>3.3444089525393652</v>
      </c>
      <c r="O156" s="24">
        <v>0.5</v>
      </c>
      <c r="P156" s="24">
        <v>1.0752689328246166</v>
      </c>
      <c r="Q156" s="24">
        <v>2.7277848190395728</v>
      </c>
      <c r="R156" s="24">
        <v>7.51</v>
      </c>
      <c r="S156" s="24">
        <v>3.4275657712359817</v>
      </c>
      <c r="T156" s="24">
        <v>1.1548820375025557</v>
      </c>
      <c r="U156" s="24" t="s">
        <v>1781</v>
      </c>
      <c r="V156" s="24">
        <v>16248.53</v>
      </c>
      <c r="W156" s="24" t="s">
        <v>1415</v>
      </c>
      <c r="X156" s="64">
        <v>2.5470085470085468</v>
      </c>
    </row>
    <row r="157" spans="1:24" ht="14.4" x14ac:dyDescent="0.55000000000000004">
      <c r="A157" s="24" t="s">
        <v>362</v>
      </c>
      <c r="B157" s="24" t="s">
        <v>1201</v>
      </c>
      <c r="C157" s="24" t="s">
        <v>109</v>
      </c>
      <c r="D157" s="24" t="s">
        <v>72</v>
      </c>
      <c r="E157" s="24" t="s">
        <v>82</v>
      </c>
      <c r="F157" s="70">
        <v>1.4447159569420287E-3</v>
      </c>
      <c r="G157" s="24">
        <v>6.7804900000000004</v>
      </c>
      <c r="H157" s="24">
        <v>5.9405020000000004</v>
      </c>
      <c r="I157" s="24">
        <v>4.8737959999999996</v>
      </c>
      <c r="J157" s="24">
        <v>5.8191509999999997</v>
      </c>
      <c r="K157" s="24">
        <v>6.8507400000000001</v>
      </c>
      <c r="L157" s="24">
        <v>13.436730000000001</v>
      </c>
      <c r="M157" s="24">
        <v>6.8493000000000004</v>
      </c>
      <c r="N157" s="24">
        <v>5.5522454423577186</v>
      </c>
      <c r="O157" s="24">
        <v>3.3</v>
      </c>
      <c r="P157" s="24">
        <v>4.3548391779396969</v>
      </c>
      <c r="Q157" s="24">
        <v>4.9528235459794407</v>
      </c>
      <c r="R157" s="24">
        <v>6.54</v>
      </c>
      <c r="S157" s="24">
        <v>5.3913958237414157</v>
      </c>
      <c r="T157" s="24">
        <v>1.1135599908781548</v>
      </c>
      <c r="U157" s="24" t="s">
        <v>1508</v>
      </c>
      <c r="V157" s="24">
        <v>17017.18</v>
      </c>
      <c r="W157" s="24" t="s">
        <v>1415</v>
      </c>
      <c r="X157" s="64">
        <v>2.3931623931623931</v>
      </c>
    </row>
    <row r="158" spans="1:24" ht="14.4" x14ac:dyDescent="0.55000000000000004">
      <c r="A158" s="24" t="s">
        <v>376</v>
      </c>
      <c r="B158" s="24" t="s">
        <v>1223</v>
      </c>
      <c r="C158" s="24" t="s">
        <v>110</v>
      </c>
      <c r="D158" s="24" t="s">
        <v>72</v>
      </c>
      <c r="E158" s="24" t="s">
        <v>88</v>
      </c>
      <c r="F158" s="70">
        <v>1.4362049939180646E-3</v>
      </c>
      <c r="G158" s="24">
        <v>8.0463129999999996</v>
      </c>
      <c r="H158" s="24">
        <v>7.2408570000000001</v>
      </c>
      <c r="I158" s="24">
        <v>8.2123609999999996</v>
      </c>
      <c r="J158" s="24">
        <v>7.7905499999999996</v>
      </c>
      <c r="K158" s="24">
        <v>1.4593130000000001</v>
      </c>
      <c r="L158" s="24">
        <v>4.0560580000000002</v>
      </c>
      <c r="M158" s="24">
        <v>12.0037</v>
      </c>
      <c r="N158" s="24">
        <v>6.1556130722086468</v>
      </c>
      <c r="O158" s="24">
        <v>4.8</v>
      </c>
      <c r="P158" s="24">
        <v>7.5068493150684921</v>
      </c>
      <c r="Q158" s="24">
        <v>2.9924741780116375</v>
      </c>
      <c r="R158" s="24">
        <v>5.43</v>
      </c>
      <c r="S158" s="24">
        <v>5.0606808596746031</v>
      </c>
      <c r="T158" s="24">
        <v>0.87823241581318179</v>
      </c>
      <c r="U158" s="24" t="s">
        <v>1544</v>
      </c>
      <c r="V158" s="24">
        <v>15745.98</v>
      </c>
      <c r="W158" s="24" t="s">
        <v>1415</v>
      </c>
      <c r="X158" s="64">
        <v>2.8298611111111112</v>
      </c>
    </row>
    <row r="159" spans="1:24" ht="14.4" x14ac:dyDescent="0.55000000000000004">
      <c r="A159" s="24" t="s">
        <v>368</v>
      </c>
      <c r="B159" s="24" t="s">
        <v>1348</v>
      </c>
      <c r="C159" s="24" t="s">
        <v>177</v>
      </c>
      <c r="D159" s="24" t="s">
        <v>72</v>
      </c>
      <c r="E159" s="24" t="s">
        <v>83</v>
      </c>
      <c r="F159" s="70">
        <v>1.4339761704638822E-3</v>
      </c>
      <c r="G159" s="24">
        <v>8.2018500000000003</v>
      </c>
      <c r="H159" s="24">
        <v>7.3036240000000001</v>
      </c>
      <c r="I159" s="24">
        <v>7.8891530000000003</v>
      </c>
      <c r="J159" s="24">
        <v>7.7982089999999999</v>
      </c>
      <c r="K159" s="24">
        <v>5.1252959999999996</v>
      </c>
      <c r="L159" s="24">
        <v>5.6159739999999996</v>
      </c>
      <c r="M159" s="24">
        <v>525.77949999999998</v>
      </c>
      <c r="N159" s="24">
        <v>6.6536124380758359</v>
      </c>
      <c r="O159" s="24">
        <v>3.1</v>
      </c>
      <c r="P159" s="24">
        <v>4.5074626865671634</v>
      </c>
      <c r="Q159" s="24">
        <v>3.6926420448819175</v>
      </c>
      <c r="R159" s="24">
        <v>7.0300010000000004</v>
      </c>
      <c r="S159" s="24">
        <v>5.3945779332985087</v>
      </c>
      <c r="T159" s="24">
        <v>0.95163033120536478</v>
      </c>
      <c r="U159" s="24" t="s">
        <v>1688</v>
      </c>
      <c r="V159" s="24">
        <v>16014.6</v>
      </c>
      <c r="W159" s="24" t="s">
        <v>1415</v>
      </c>
      <c r="X159" s="64">
        <v>2.4131944444444446</v>
      </c>
    </row>
    <row r="160" spans="1:24" ht="14.4" x14ac:dyDescent="0.55000000000000004">
      <c r="A160" s="24" t="s">
        <v>381</v>
      </c>
      <c r="B160" s="24" t="s">
        <v>1026</v>
      </c>
      <c r="C160" s="24" t="s">
        <v>112</v>
      </c>
      <c r="D160" s="24" t="s">
        <v>72</v>
      </c>
      <c r="E160" s="24" t="s">
        <v>84</v>
      </c>
      <c r="F160" s="70">
        <v>1.4304773079601453E-3</v>
      </c>
      <c r="G160" s="24">
        <v>7.5294939999999997</v>
      </c>
      <c r="H160" s="24">
        <v>6.8718450000000004</v>
      </c>
      <c r="I160" s="24">
        <v>6.3093370000000002</v>
      </c>
      <c r="J160" s="24">
        <v>6.9035589999999996</v>
      </c>
      <c r="K160" s="24">
        <v>0.98690060000000002</v>
      </c>
      <c r="L160" s="24">
        <v>3.3135629999999998</v>
      </c>
      <c r="M160" s="24">
        <v>75.245000000000005</v>
      </c>
      <c r="N160" s="24">
        <v>8.2033936342622091</v>
      </c>
      <c r="O160" s="24">
        <v>9</v>
      </c>
      <c r="P160" s="24">
        <v>5.1641791044776122</v>
      </c>
      <c r="Q160" s="24">
        <v>0.48643612196578917</v>
      </c>
      <c r="R160" s="24">
        <v>3.05</v>
      </c>
      <c r="S160" s="24">
        <v>4.0061538102161798</v>
      </c>
      <c r="T160" s="24">
        <v>0.4958848607758517</v>
      </c>
      <c r="U160" s="24" t="s">
        <v>1637</v>
      </c>
      <c r="V160" s="24">
        <v>16150.59</v>
      </c>
      <c r="W160" s="24" t="s">
        <v>1415</v>
      </c>
      <c r="X160" s="64">
        <v>2.6388888888888888</v>
      </c>
    </row>
    <row r="161" spans="1:24" ht="14.4" x14ac:dyDescent="0.55000000000000004">
      <c r="A161" s="24" t="s">
        <v>367</v>
      </c>
      <c r="B161" s="24" t="s">
        <v>1081</v>
      </c>
      <c r="C161" s="24" t="s">
        <v>108</v>
      </c>
      <c r="D161" s="24" t="s">
        <v>72</v>
      </c>
      <c r="E161" s="24" t="s">
        <v>82</v>
      </c>
      <c r="F161" s="70">
        <v>1.4302531245502948E-3</v>
      </c>
      <c r="G161" s="24">
        <v>7.7756319999999999</v>
      </c>
      <c r="H161" s="24">
        <v>5.0469160000000004</v>
      </c>
      <c r="I161" s="24">
        <v>5.7541070000000003</v>
      </c>
      <c r="J161" s="24">
        <v>6.113048</v>
      </c>
      <c r="K161" s="24">
        <v>7.7176340000000003</v>
      </c>
      <c r="L161" s="24">
        <v>11.516080000000001</v>
      </c>
      <c r="M161" s="24">
        <v>0.38084000000000001</v>
      </c>
      <c r="N161" s="24">
        <v>5.3437220597489477</v>
      </c>
      <c r="O161" s="24">
        <v>2.8</v>
      </c>
      <c r="P161" s="24">
        <v>6.8817211700775456</v>
      </c>
      <c r="Q161" s="24">
        <v>4.9302915082382777</v>
      </c>
      <c r="R161" s="24">
        <v>6.97</v>
      </c>
      <c r="S161" s="24">
        <v>5.7195821149483503</v>
      </c>
      <c r="T161" s="24">
        <v>0.980160737385394</v>
      </c>
      <c r="U161" s="24" t="s">
        <v>1938</v>
      </c>
      <c r="V161" s="24">
        <v>18125.73</v>
      </c>
      <c r="W161" s="24" t="s">
        <v>1415</v>
      </c>
      <c r="X161" s="64">
        <v>2.4786324786324787</v>
      </c>
    </row>
    <row r="162" spans="1:24" ht="14.4" x14ac:dyDescent="0.55000000000000004">
      <c r="A162" s="24" t="s">
        <v>374</v>
      </c>
      <c r="B162" s="24" t="s">
        <v>1041</v>
      </c>
      <c r="C162" s="24" t="s">
        <v>110</v>
      </c>
      <c r="D162" s="24" t="s">
        <v>72</v>
      </c>
      <c r="E162" s="24" t="s">
        <v>89</v>
      </c>
      <c r="F162" s="70">
        <v>1.4227179598504563E-3</v>
      </c>
      <c r="G162" s="24">
        <v>5.3711700000000002</v>
      </c>
      <c r="H162" s="24">
        <v>7.272583</v>
      </c>
      <c r="I162" s="24">
        <v>4.6423699999999997</v>
      </c>
      <c r="J162" s="24">
        <v>5.7229539999999997</v>
      </c>
      <c r="K162" s="24">
        <v>3.3946489999999998</v>
      </c>
      <c r="L162" s="24">
        <v>4.9081130000000002</v>
      </c>
      <c r="M162" s="24">
        <v>53.053699999999999</v>
      </c>
      <c r="N162" s="24">
        <v>2.7382756542781213</v>
      </c>
      <c r="O162" s="24">
        <v>8.5</v>
      </c>
      <c r="P162" s="24">
        <v>7.4774774774774766</v>
      </c>
      <c r="Q162" s="24">
        <v>3.0269665781319173</v>
      </c>
      <c r="R162" s="24">
        <v>6.42</v>
      </c>
      <c r="S162" s="24">
        <v>3.9481321603570798</v>
      </c>
      <c r="T162" s="24">
        <v>0.48734415828717603</v>
      </c>
      <c r="U162" s="24" t="s">
        <v>1580</v>
      </c>
      <c r="V162" s="24">
        <v>14897.03</v>
      </c>
      <c r="W162" s="24" t="s">
        <v>1415</v>
      </c>
      <c r="X162" s="64">
        <v>2.577854671280277</v>
      </c>
    </row>
    <row r="163" spans="1:24" ht="14.4" x14ac:dyDescent="0.55000000000000004">
      <c r="A163" s="24" t="s">
        <v>364</v>
      </c>
      <c r="B163" s="24" t="s">
        <v>841</v>
      </c>
      <c r="C163" s="24" t="s">
        <v>107</v>
      </c>
      <c r="D163" s="24" t="s">
        <v>72</v>
      </c>
      <c r="E163" s="24" t="s">
        <v>82</v>
      </c>
      <c r="F163" s="70">
        <v>1.4161726049378594E-3</v>
      </c>
      <c r="G163" s="24">
        <v>5.9924780000000002</v>
      </c>
      <c r="H163" s="24">
        <v>5.9013600000000004</v>
      </c>
      <c r="I163" s="24">
        <v>4.5169670000000002</v>
      </c>
      <c r="J163" s="24">
        <v>5.4441579999999998</v>
      </c>
      <c r="K163" s="24">
        <v>7.6459380000000001</v>
      </c>
      <c r="L163" s="24">
        <v>15.684850000000001</v>
      </c>
      <c r="M163" s="24">
        <v>3.3029999999999999</v>
      </c>
      <c r="N163" s="24">
        <v>7.1688825466948911</v>
      </c>
      <c r="O163" s="24">
        <v>6.6</v>
      </c>
      <c r="P163" s="24">
        <v>2.0698926956873862</v>
      </c>
      <c r="Q163" s="24">
        <v>7.8256583579777503</v>
      </c>
      <c r="R163" s="24">
        <v>6.01</v>
      </c>
      <c r="S163" s="24">
        <v>6.0961693870191089</v>
      </c>
      <c r="T163" s="24">
        <v>0.93068893629472116</v>
      </c>
      <c r="U163" s="24" t="s">
        <v>1701</v>
      </c>
      <c r="V163" s="24">
        <v>13791.84</v>
      </c>
      <c r="W163" s="24" t="s">
        <v>1415</v>
      </c>
      <c r="X163" s="64">
        <v>2.4273504273504272</v>
      </c>
    </row>
    <row r="164" spans="1:24" ht="14.4" x14ac:dyDescent="0.55000000000000004">
      <c r="A164" s="24" t="s">
        <v>369</v>
      </c>
      <c r="B164" s="24" t="s">
        <v>891</v>
      </c>
      <c r="C164" s="24" t="s">
        <v>106</v>
      </c>
      <c r="D164" s="24" t="s">
        <v>72</v>
      </c>
      <c r="E164" s="24" t="s">
        <v>90</v>
      </c>
      <c r="F164" s="70">
        <v>1.4150717042644867E-3</v>
      </c>
      <c r="G164" s="24">
        <v>7.9849629999999996</v>
      </c>
      <c r="H164" s="24">
        <v>5.7460339999999999</v>
      </c>
      <c r="I164" s="24">
        <v>7.0666349999999998</v>
      </c>
      <c r="J164" s="24">
        <v>6.8799229999999998</v>
      </c>
      <c r="K164" s="24">
        <v>7.3506270000000002</v>
      </c>
      <c r="L164" s="24">
        <v>11.462569999999999</v>
      </c>
      <c r="M164" s="24">
        <v>2.3593000000000002</v>
      </c>
      <c r="N164" s="24">
        <v>5.6851514979446138</v>
      </c>
      <c r="O164" s="24">
        <v>8.4</v>
      </c>
      <c r="P164" s="24">
        <v>3.1362014124947759</v>
      </c>
      <c r="Q164" s="24">
        <v>5.8132657372201102</v>
      </c>
      <c r="R164" s="24">
        <v>6.1</v>
      </c>
      <c r="S164" s="24">
        <v>5.2515171677681565</v>
      </c>
      <c r="T164" s="24">
        <v>1.0655755940536273</v>
      </c>
      <c r="U164" s="24" t="s">
        <v>1852</v>
      </c>
      <c r="V164" s="24">
        <v>15698.93</v>
      </c>
      <c r="W164" s="24" t="s">
        <v>1415</v>
      </c>
      <c r="X164" s="64">
        <v>2.5128205128205128</v>
      </c>
    </row>
    <row r="165" spans="1:24" ht="14.4" x14ac:dyDescent="0.55000000000000004">
      <c r="A165" s="24" t="s">
        <v>385</v>
      </c>
      <c r="B165" s="24" t="s">
        <v>1104</v>
      </c>
      <c r="C165" s="24" t="s">
        <v>112</v>
      </c>
      <c r="D165" s="24" t="s">
        <v>72</v>
      </c>
      <c r="E165" s="24" t="s">
        <v>89</v>
      </c>
      <c r="F165" s="70">
        <v>1.4011813402229067E-3</v>
      </c>
      <c r="G165" s="24">
        <v>6.0072150000000004</v>
      </c>
      <c r="H165" s="24">
        <v>7.4912939999999999</v>
      </c>
      <c r="I165" s="24">
        <v>6.1542450000000004</v>
      </c>
      <c r="J165" s="24">
        <v>6.4965479999999998</v>
      </c>
      <c r="K165" s="24">
        <v>0.89262609999999998</v>
      </c>
      <c r="L165" s="24">
        <v>6.5297070000000001</v>
      </c>
      <c r="M165" s="24">
        <v>22.110800000000001</v>
      </c>
      <c r="N165" s="24">
        <v>4.9967588071424753</v>
      </c>
      <c r="O165" s="24">
        <v>9.4</v>
      </c>
      <c r="P165" s="24">
        <v>0.48048048048048042</v>
      </c>
      <c r="Q165" s="24">
        <v>2.8731374501992035</v>
      </c>
      <c r="R165" s="24">
        <v>2.87</v>
      </c>
      <c r="S165" s="24">
        <v>5.0614201486703747</v>
      </c>
      <c r="T165" s="24">
        <v>0.61798415976535059</v>
      </c>
      <c r="U165" s="24" t="s">
        <v>1615</v>
      </c>
      <c r="V165" s="24">
        <v>15055.86</v>
      </c>
      <c r="W165" s="24" t="s">
        <v>1415</v>
      </c>
      <c r="X165" s="64">
        <v>2.7681660899653981</v>
      </c>
    </row>
    <row r="166" spans="1:24" ht="14.4" x14ac:dyDescent="0.55000000000000004">
      <c r="A166" s="24" t="s">
        <v>372</v>
      </c>
      <c r="B166" s="24" t="s">
        <v>1085</v>
      </c>
      <c r="C166" s="24" t="s">
        <v>112</v>
      </c>
      <c r="D166" s="24" t="s">
        <v>72</v>
      </c>
      <c r="E166" s="24" t="s">
        <v>90</v>
      </c>
      <c r="F166" s="70">
        <v>1.397264135463288E-3</v>
      </c>
      <c r="G166" s="24">
        <v>5.9027589999999996</v>
      </c>
      <c r="H166" s="24">
        <v>8.5040099999999992</v>
      </c>
      <c r="I166" s="24">
        <v>5.4855450000000001</v>
      </c>
      <c r="J166" s="24">
        <v>6.6671719999999999</v>
      </c>
      <c r="K166" s="24">
        <v>3.3450470000000001</v>
      </c>
      <c r="L166" s="24">
        <v>8.8378409999999992</v>
      </c>
      <c r="M166" s="24">
        <v>9.5777000000000001E-2</v>
      </c>
      <c r="N166" s="24">
        <v>8.6560494342827408</v>
      </c>
      <c r="O166" s="24">
        <v>5.6</v>
      </c>
      <c r="P166" s="24">
        <v>5.3584242320886277</v>
      </c>
      <c r="Q166" s="24">
        <v>4.1233629066328685</v>
      </c>
      <c r="R166" s="24">
        <v>4.22</v>
      </c>
      <c r="S166" s="24">
        <v>4.395841877715176</v>
      </c>
      <c r="T166" s="24">
        <v>0.59258448864346502</v>
      </c>
      <c r="U166" s="24" t="s">
        <v>1612</v>
      </c>
      <c r="V166" s="24">
        <v>15359.07</v>
      </c>
      <c r="W166" s="24" t="s">
        <v>1415</v>
      </c>
      <c r="X166" s="64">
        <v>2.5641025641025639</v>
      </c>
    </row>
    <row r="167" spans="1:24" ht="14.4" x14ac:dyDescent="0.55000000000000004">
      <c r="A167" s="24" t="s">
        <v>373</v>
      </c>
      <c r="B167" s="24" t="s">
        <v>1198</v>
      </c>
      <c r="C167" s="24" t="s">
        <v>161</v>
      </c>
      <c r="D167" s="24" t="s">
        <v>72</v>
      </c>
      <c r="E167" s="24" t="s">
        <v>82</v>
      </c>
      <c r="F167" s="70">
        <v>1.392888555696029E-3</v>
      </c>
      <c r="G167" s="24">
        <v>7.121245</v>
      </c>
      <c r="H167" s="24">
        <v>6.8722560000000001</v>
      </c>
      <c r="I167" s="24">
        <v>6.182423</v>
      </c>
      <c r="J167" s="24">
        <v>6.7055110000000004</v>
      </c>
      <c r="K167" s="24">
        <v>5.9915399999999996</v>
      </c>
      <c r="L167" s="24">
        <v>18.950489999999999</v>
      </c>
      <c r="M167" s="24">
        <v>9.5446000000000009</v>
      </c>
      <c r="N167" s="24">
        <v>6.0953252106015201</v>
      </c>
      <c r="O167" s="24">
        <v>9.5</v>
      </c>
      <c r="P167" s="24">
        <v>5.6720436206498528</v>
      </c>
      <c r="Q167" s="24">
        <v>7.3299535276721608</v>
      </c>
      <c r="R167" s="24">
        <v>5.41</v>
      </c>
      <c r="S167" s="24">
        <v>7.1861638051881291</v>
      </c>
      <c r="T167" s="24">
        <v>0.94692157859958692</v>
      </c>
      <c r="U167" s="24" t="s">
        <v>1503</v>
      </c>
      <c r="V167" s="24">
        <v>15426.2</v>
      </c>
      <c r="W167" s="24" t="s">
        <v>1415</v>
      </c>
      <c r="X167" s="64">
        <v>2.5811965811965814</v>
      </c>
    </row>
    <row r="168" spans="1:24" ht="14.4" x14ac:dyDescent="0.55000000000000004">
      <c r="A168" s="24" t="s">
        <v>386</v>
      </c>
      <c r="B168" s="24" t="s">
        <v>855</v>
      </c>
      <c r="C168" s="24" t="s">
        <v>112</v>
      </c>
      <c r="D168" s="24" t="s">
        <v>72</v>
      </c>
      <c r="E168" s="24" t="s">
        <v>88</v>
      </c>
      <c r="F168" s="70">
        <v>1.3583743187670042E-3</v>
      </c>
      <c r="G168" s="24">
        <v>7.8793150000000001</v>
      </c>
      <c r="H168" s="24">
        <v>5.205203</v>
      </c>
      <c r="I168" s="24">
        <v>8.0613890000000001</v>
      </c>
      <c r="J168" s="24">
        <v>7.1317029999999999</v>
      </c>
      <c r="K168" s="24">
        <v>1.889362</v>
      </c>
      <c r="L168" s="24">
        <v>4.5918299999999999</v>
      </c>
      <c r="M168" s="24">
        <v>18.3249</v>
      </c>
      <c r="N168" s="24">
        <v>6.1923346780662545</v>
      </c>
      <c r="O168" s="24">
        <v>3.6</v>
      </c>
      <c r="P168" s="24">
        <v>4.0273972602739718</v>
      </c>
      <c r="Q168" s="24">
        <v>4.3225034104512936</v>
      </c>
      <c r="R168" s="24">
        <v>6.77</v>
      </c>
      <c r="S168" s="24">
        <v>5.1524698856746589</v>
      </c>
      <c r="T168" s="24">
        <v>0.65837927185756195</v>
      </c>
      <c r="U168" s="24" t="s">
        <v>1636</v>
      </c>
      <c r="V168" s="24">
        <v>14975.88</v>
      </c>
      <c r="W168" s="24" t="s">
        <v>1415</v>
      </c>
      <c r="X168" s="64">
        <v>3.0034722222222223</v>
      </c>
    </row>
    <row r="169" spans="1:24" ht="14.4" x14ac:dyDescent="0.55000000000000004">
      <c r="A169" s="24" t="s">
        <v>384</v>
      </c>
      <c r="B169" s="24" t="s">
        <v>1290</v>
      </c>
      <c r="C169" s="24" t="s">
        <v>110</v>
      </c>
      <c r="D169" s="24" t="s">
        <v>72</v>
      </c>
      <c r="E169" s="24" t="s">
        <v>97</v>
      </c>
      <c r="F169" s="70">
        <v>1.3563926975549336E-3</v>
      </c>
      <c r="G169" s="24">
        <v>9.2414679999999993</v>
      </c>
      <c r="H169" s="24">
        <v>8.082611</v>
      </c>
      <c r="I169" s="24">
        <v>7.0111470000000002</v>
      </c>
      <c r="J169" s="24">
        <v>8.1117419999999996</v>
      </c>
      <c r="K169" s="24">
        <v>3.9819</v>
      </c>
      <c r="L169" s="24">
        <v>6.2984200000000001</v>
      </c>
      <c r="M169" s="24">
        <v>23.138300000000001</v>
      </c>
      <c r="N169" s="24">
        <v>4.6042293290495877</v>
      </c>
      <c r="O169" s="24">
        <v>1.7</v>
      </c>
      <c r="P169" s="24">
        <v>8.4210526315789469</v>
      </c>
      <c r="Q169" s="24">
        <v>3.7171902115001236</v>
      </c>
      <c r="R169" s="24">
        <v>4.3600000000000003</v>
      </c>
      <c r="S169" s="24">
        <v>5.4834060520863979</v>
      </c>
      <c r="T169" s="24">
        <v>5.0733919628913699E-3</v>
      </c>
      <c r="U169" s="24" t="s">
        <v>1528</v>
      </c>
      <c r="V169" s="24">
        <v>14911.55</v>
      </c>
      <c r="W169" s="24" t="s">
        <v>1415</v>
      </c>
      <c r="X169" s="64">
        <v>2.679509632224168</v>
      </c>
    </row>
    <row r="170" spans="1:24" ht="14.4" x14ac:dyDescent="0.55000000000000004">
      <c r="A170" s="24" t="s">
        <v>391</v>
      </c>
      <c r="B170" s="24" t="s">
        <v>1194</v>
      </c>
      <c r="C170" s="24" t="s">
        <v>111</v>
      </c>
      <c r="D170" s="24" t="s">
        <v>72</v>
      </c>
      <c r="E170" s="24" t="s">
        <v>89</v>
      </c>
      <c r="F170" s="70">
        <v>1.353368223159541E-3</v>
      </c>
      <c r="G170" s="24">
        <v>8.3466590000000007</v>
      </c>
      <c r="H170" s="24">
        <v>8.2443340000000003</v>
      </c>
      <c r="I170" s="24">
        <v>7.7839929999999997</v>
      </c>
      <c r="J170" s="24">
        <v>8.1471610000000005</v>
      </c>
      <c r="K170" s="24">
        <v>4.8325870000000002</v>
      </c>
      <c r="L170" s="24">
        <v>7.6220249999999998</v>
      </c>
      <c r="M170" s="24">
        <v>60.317599999999999</v>
      </c>
      <c r="N170" s="24">
        <v>9.1527979618414523</v>
      </c>
      <c r="O170" s="24">
        <v>7.1</v>
      </c>
      <c r="P170" s="24">
        <v>6.4564564564564551</v>
      </c>
      <c r="Q170" s="24">
        <v>5.4836210712704734</v>
      </c>
      <c r="R170" s="24">
        <v>7.7000010000000003</v>
      </c>
      <c r="S170" s="24">
        <v>7.2090619373926099</v>
      </c>
      <c r="T170" s="24">
        <v>0.67563533304437207</v>
      </c>
      <c r="U170" s="24" t="s">
        <v>1441</v>
      </c>
      <c r="V170" s="24">
        <v>13892.27</v>
      </c>
      <c r="W170" s="24" t="s">
        <v>1415</v>
      </c>
      <c r="X170" s="64">
        <v>2.8719723183391004</v>
      </c>
    </row>
    <row r="171" spans="1:24" ht="14.4" x14ac:dyDescent="0.55000000000000004">
      <c r="A171" s="24" t="s">
        <v>383</v>
      </c>
      <c r="B171" s="24" t="s">
        <v>997</v>
      </c>
      <c r="C171" s="24" t="s">
        <v>125</v>
      </c>
      <c r="D171" s="24" t="s">
        <v>72</v>
      </c>
      <c r="E171" s="24" t="s">
        <v>97</v>
      </c>
      <c r="F171" s="70">
        <v>1.3327643666479758E-3</v>
      </c>
      <c r="G171" s="24">
        <v>6.814991</v>
      </c>
      <c r="H171" s="24">
        <v>4.9945510000000004</v>
      </c>
      <c r="I171" s="24">
        <v>6.2103140000000003</v>
      </c>
      <c r="J171" s="24">
        <v>6.0066189999999997</v>
      </c>
      <c r="K171" s="24">
        <v>4.6162749999999999</v>
      </c>
      <c r="L171" s="24">
        <v>6.9136069999999998</v>
      </c>
      <c r="M171" s="24">
        <v>43.445300000000003</v>
      </c>
      <c r="N171" s="24">
        <v>5.9788509982567382</v>
      </c>
      <c r="O171" s="24">
        <v>7.2</v>
      </c>
      <c r="P171" s="24">
        <v>8.9097744360902258</v>
      </c>
      <c r="Q171" s="24">
        <v>2.488361098641624</v>
      </c>
      <c r="R171" s="24">
        <v>6.18</v>
      </c>
      <c r="S171" s="24">
        <v>6.2414601732841533</v>
      </c>
      <c r="T171" s="24">
        <v>0.10719610643456522</v>
      </c>
      <c r="U171" s="24" t="s">
        <v>1902</v>
      </c>
      <c r="V171" s="24">
        <v>13870.14</v>
      </c>
      <c r="W171" s="24" t="s">
        <v>1415</v>
      </c>
      <c r="X171" s="64">
        <v>2.6619964973730297</v>
      </c>
    </row>
    <row r="172" spans="1:24" ht="14.4" x14ac:dyDescent="0.55000000000000004">
      <c r="A172" s="24" t="s">
        <v>382</v>
      </c>
      <c r="B172" s="24" t="s">
        <v>897</v>
      </c>
      <c r="C172" s="24" t="s">
        <v>106</v>
      </c>
      <c r="D172" s="24" t="s">
        <v>72</v>
      </c>
      <c r="E172" s="24" t="s">
        <v>95</v>
      </c>
      <c r="F172" s="70">
        <v>1.3293295565470534E-3</v>
      </c>
      <c r="G172" s="24">
        <v>1.9361379999999999</v>
      </c>
      <c r="H172" s="24">
        <v>4.97255</v>
      </c>
      <c r="I172" s="24">
        <v>5.5530660000000003</v>
      </c>
      <c r="J172" s="24">
        <v>4.5974740000000001</v>
      </c>
      <c r="K172" s="24">
        <v>2.3196680000000001</v>
      </c>
      <c r="L172" s="24">
        <v>7.5681130000000003</v>
      </c>
      <c r="M172" s="24">
        <v>40.513300000000001</v>
      </c>
      <c r="N172" s="24">
        <v>5.7268170961551732</v>
      </c>
      <c r="O172" s="24">
        <v>9.6</v>
      </c>
      <c r="P172" s="24">
        <v>8.29192546583851</v>
      </c>
      <c r="Q172" s="24">
        <v>4.2592639269902488</v>
      </c>
      <c r="R172" s="24">
        <v>4.3</v>
      </c>
      <c r="S172" s="24">
        <v>6.5851371069844484</v>
      </c>
      <c r="T172" s="24">
        <v>1.0142555009359231</v>
      </c>
      <c r="U172" s="24" t="s">
        <v>1799</v>
      </c>
      <c r="V172" s="24">
        <v>13998.23</v>
      </c>
      <c r="W172" s="24" t="s">
        <v>1415</v>
      </c>
      <c r="X172" s="64">
        <v>2.7615780445969125</v>
      </c>
    </row>
    <row r="173" spans="1:24" ht="14.4" x14ac:dyDescent="0.55000000000000004">
      <c r="A173" s="24" t="s">
        <v>375</v>
      </c>
      <c r="B173" s="24" t="s">
        <v>840</v>
      </c>
      <c r="C173" s="24" t="s">
        <v>107</v>
      </c>
      <c r="D173" s="24" t="s">
        <v>72</v>
      </c>
      <c r="E173" s="24" t="s">
        <v>89</v>
      </c>
      <c r="F173" s="70">
        <v>1.3273929721807115E-3</v>
      </c>
      <c r="G173" s="24">
        <v>6.5902919999999998</v>
      </c>
      <c r="H173" s="24">
        <v>5.3236699999999999</v>
      </c>
      <c r="I173" s="24">
        <v>4.8053359999999996</v>
      </c>
      <c r="J173" s="24">
        <v>5.6748190000000003</v>
      </c>
      <c r="K173" s="24">
        <v>2.4214989999999998</v>
      </c>
      <c r="L173" s="24">
        <v>6.384239</v>
      </c>
      <c r="M173" s="24">
        <v>14.178100000000001</v>
      </c>
      <c r="N173" s="24">
        <v>3.5552196431718324</v>
      </c>
      <c r="O173" s="24">
        <v>3.4</v>
      </c>
      <c r="P173" s="24">
        <v>3.4834834834834827</v>
      </c>
      <c r="Q173" s="24">
        <v>5.2480821159805222</v>
      </c>
      <c r="R173" s="24">
        <v>6.03</v>
      </c>
      <c r="S173" s="24">
        <v>4.9655696579980049</v>
      </c>
      <c r="T173" s="24">
        <v>0.53979408881591506</v>
      </c>
      <c r="U173" s="24" t="s">
        <v>1719</v>
      </c>
      <c r="V173" s="24">
        <v>13878.88</v>
      </c>
      <c r="W173" s="24" t="s">
        <v>1415</v>
      </c>
      <c r="X173" s="64">
        <v>2.5951557093425603</v>
      </c>
    </row>
    <row r="174" spans="1:24" ht="14.4" x14ac:dyDescent="0.55000000000000004">
      <c r="A174" s="24" t="s">
        <v>390</v>
      </c>
      <c r="B174" s="24" t="s">
        <v>894</v>
      </c>
      <c r="C174" s="24" t="s">
        <v>106</v>
      </c>
      <c r="D174" s="24" t="s">
        <v>72</v>
      </c>
      <c r="E174" s="24" t="s">
        <v>89</v>
      </c>
      <c r="F174" s="70">
        <v>1.3229943735811912E-3</v>
      </c>
      <c r="G174" s="24">
        <v>5.26614</v>
      </c>
      <c r="H174" s="24">
        <v>5.8013919999999999</v>
      </c>
      <c r="I174" s="24">
        <v>6.8645800000000001</v>
      </c>
      <c r="J174" s="24">
        <v>5.9062479999999997</v>
      </c>
      <c r="K174" s="24">
        <v>2.09015</v>
      </c>
      <c r="L174" s="24">
        <v>6.3701999999999996</v>
      </c>
      <c r="M174" s="24">
        <v>9.1598000000000006</v>
      </c>
      <c r="N174" s="24">
        <v>3.8318563288585983</v>
      </c>
      <c r="O174" s="24">
        <v>8.4</v>
      </c>
      <c r="P174" s="24">
        <v>6.0960960960960957</v>
      </c>
      <c r="Q174" s="24">
        <v>6.0150143868968575</v>
      </c>
      <c r="R174" s="24">
        <v>5.21</v>
      </c>
      <c r="S174" s="24">
        <v>5.8329559748307211</v>
      </c>
      <c r="T174" s="24">
        <v>0.65210232961702264</v>
      </c>
      <c r="U174" s="24" t="s">
        <v>1805</v>
      </c>
      <c r="V174" s="24">
        <v>14342.05</v>
      </c>
      <c r="W174" s="24" t="s">
        <v>1415</v>
      </c>
      <c r="X174" s="64">
        <v>2.8546712802768166</v>
      </c>
    </row>
    <row r="175" spans="1:24" ht="14.4" x14ac:dyDescent="0.55000000000000004">
      <c r="A175" s="24" t="s">
        <v>388</v>
      </c>
      <c r="B175" s="24" t="s">
        <v>966</v>
      </c>
      <c r="C175" s="24" t="s">
        <v>105</v>
      </c>
      <c r="D175" s="24" t="s">
        <v>72</v>
      </c>
      <c r="E175" s="24" t="s">
        <v>82</v>
      </c>
      <c r="F175" s="70">
        <v>1.3160747124396474E-3</v>
      </c>
      <c r="G175" s="24">
        <v>8.4537469999999999</v>
      </c>
      <c r="H175" s="24">
        <v>3.8267069999999999</v>
      </c>
      <c r="I175" s="24">
        <v>5.2262570000000004</v>
      </c>
      <c r="J175" s="24">
        <v>5.7046619999999999</v>
      </c>
      <c r="K175" s="24">
        <v>10.826560000000001</v>
      </c>
      <c r="L175" s="24">
        <v>11.637259999999999</v>
      </c>
      <c r="M175" s="24">
        <v>1.3503000000000001</v>
      </c>
      <c r="N175" s="24">
        <v>3.347846166262427</v>
      </c>
      <c r="O175" s="24">
        <v>2.7</v>
      </c>
      <c r="P175" s="24">
        <v>5.3494629408024661</v>
      </c>
      <c r="Q175" s="24">
        <v>6.1442050415434455</v>
      </c>
      <c r="R175" s="24">
        <v>6.9600010000000001</v>
      </c>
      <c r="S175" s="24">
        <v>4.9553345552946748</v>
      </c>
      <c r="T175" s="24">
        <v>1.0006252769059414</v>
      </c>
      <c r="U175" s="24" t="s">
        <v>1984</v>
      </c>
      <c r="V175" s="24">
        <v>12784.66</v>
      </c>
      <c r="W175" s="24" t="s">
        <v>1415</v>
      </c>
      <c r="X175" s="64">
        <v>2.8376068376068373</v>
      </c>
    </row>
    <row r="176" spans="1:24" ht="14.4" x14ac:dyDescent="0.55000000000000004">
      <c r="A176" s="24" t="s">
        <v>366</v>
      </c>
      <c r="B176" s="24" t="s">
        <v>1171</v>
      </c>
      <c r="C176" s="24" t="s">
        <v>127</v>
      </c>
      <c r="D176" s="24" t="s">
        <v>72</v>
      </c>
      <c r="E176" s="24" t="s">
        <v>88</v>
      </c>
      <c r="F176" s="70">
        <v>1.3127930276142033E-3</v>
      </c>
      <c r="G176" s="24">
        <v>6.3089440000000003</v>
      </c>
      <c r="H176" s="24">
        <v>4.9699600000000004</v>
      </c>
      <c r="I176" s="24">
        <v>3.374403</v>
      </c>
      <c r="J176" s="24">
        <v>4.5995340000000002</v>
      </c>
      <c r="K176" s="24">
        <v>0</v>
      </c>
      <c r="L176" s="24">
        <v>3.9600719999999998</v>
      </c>
      <c r="M176" s="24">
        <v>15.4208</v>
      </c>
      <c r="N176" s="24">
        <v>7.9274739333196989</v>
      </c>
      <c r="O176" s="24">
        <v>3.8</v>
      </c>
      <c r="P176" s="24">
        <v>8.7671232876712324</v>
      </c>
      <c r="Q176" s="24">
        <v>4.8921183774603971</v>
      </c>
      <c r="R176" s="24">
        <v>0</v>
      </c>
      <c r="S176" s="24">
        <v>5.4720847730495432</v>
      </c>
      <c r="T176" s="24">
        <v>0.99619377838826284</v>
      </c>
      <c r="U176" s="24" t="s">
        <v>1644</v>
      </c>
      <c r="V176" s="24">
        <v>14036.54</v>
      </c>
      <c r="W176" s="24" t="s">
        <v>1415</v>
      </c>
      <c r="X176" s="64">
        <v>2.65625</v>
      </c>
    </row>
    <row r="177" spans="1:24" ht="14.4" x14ac:dyDescent="0.55000000000000004">
      <c r="A177" s="24" t="s">
        <v>389</v>
      </c>
      <c r="B177" s="24" t="s">
        <v>854</v>
      </c>
      <c r="C177" s="24" t="s">
        <v>112</v>
      </c>
      <c r="D177" s="24" t="s">
        <v>72</v>
      </c>
      <c r="E177" s="24" t="s">
        <v>88</v>
      </c>
      <c r="F177" s="70">
        <v>1.3096534590575034E-3</v>
      </c>
      <c r="G177" s="24">
        <v>5.4089970000000003</v>
      </c>
      <c r="H177" s="24">
        <v>7.3792289999999996</v>
      </c>
      <c r="I177" s="24">
        <v>7.8007340000000003</v>
      </c>
      <c r="J177" s="24">
        <v>7.1537839999999999</v>
      </c>
      <c r="K177" s="24">
        <v>2.5491090000000001</v>
      </c>
      <c r="L177" s="24">
        <v>10.30165</v>
      </c>
      <c r="M177" s="24">
        <v>40.606099999999998</v>
      </c>
      <c r="N177" s="24">
        <v>0</v>
      </c>
      <c r="O177" s="24">
        <v>7.1</v>
      </c>
      <c r="P177" s="24">
        <v>1.506849315068493</v>
      </c>
      <c r="Q177" s="24">
        <v>9.254803307441744</v>
      </c>
      <c r="R177" s="24">
        <v>6.26</v>
      </c>
      <c r="S177" s="24">
        <v>6.5658138153260399</v>
      </c>
      <c r="T177" s="24">
        <v>0.75165875173245167</v>
      </c>
      <c r="U177" s="24" t="s">
        <v>1592</v>
      </c>
      <c r="V177" s="24">
        <v>14074.12</v>
      </c>
      <c r="W177" s="24" t="s">
        <v>1415</v>
      </c>
      <c r="X177" s="64">
        <v>3.0555555555555558</v>
      </c>
    </row>
    <row r="178" spans="1:24" ht="14.4" x14ac:dyDescent="0.55000000000000004">
      <c r="A178" s="24" t="s">
        <v>393</v>
      </c>
      <c r="B178" s="24" t="s">
        <v>1013</v>
      </c>
      <c r="C178" s="24" t="s">
        <v>126</v>
      </c>
      <c r="D178" s="24" t="s">
        <v>72</v>
      </c>
      <c r="E178" s="24" t="s">
        <v>87</v>
      </c>
      <c r="F178" s="70">
        <v>1.2638569918639972E-3</v>
      </c>
      <c r="G178" s="24">
        <v>6.7405889999999999</v>
      </c>
      <c r="H178" s="24">
        <v>7.4027649999999996</v>
      </c>
      <c r="I178" s="24">
        <v>7.957859</v>
      </c>
      <c r="J178" s="24">
        <v>7.3044229999999999</v>
      </c>
      <c r="K178" s="24">
        <v>1.358935</v>
      </c>
      <c r="L178" s="24">
        <v>5.873278</v>
      </c>
      <c r="M178" s="24">
        <v>100.68380000000001</v>
      </c>
      <c r="N178" s="24">
        <v>2.1525039620816964</v>
      </c>
      <c r="O178" s="24">
        <v>6.8</v>
      </c>
      <c r="P178" s="24">
        <v>4.6861924686192467</v>
      </c>
      <c r="Q178" s="24">
        <v>3.4358324087282721</v>
      </c>
      <c r="R178" s="24">
        <v>3.32</v>
      </c>
      <c r="S178" s="24">
        <v>3.8711734897318033</v>
      </c>
      <c r="T178" s="24">
        <v>0.26830426510376848</v>
      </c>
      <c r="U178" s="24" t="s">
        <v>1861</v>
      </c>
      <c r="V178" s="24">
        <v>13879.31</v>
      </c>
      <c r="W178" s="24" t="s">
        <v>1415</v>
      </c>
      <c r="X178" s="64">
        <v>3.1616341030195381</v>
      </c>
    </row>
    <row r="179" spans="1:24" ht="14.4" x14ac:dyDescent="0.55000000000000004">
      <c r="A179" s="24" t="s">
        <v>370</v>
      </c>
      <c r="B179" s="24" t="s">
        <v>1252</v>
      </c>
      <c r="C179" s="24" t="s">
        <v>110</v>
      </c>
      <c r="D179" s="24" t="s">
        <v>72</v>
      </c>
      <c r="E179" s="24" t="s">
        <v>89</v>
      </c>
      <c r="F179" s="70">
        <v>1.255027768463549E-3</v>
      </c>
      <c r="G179" s="24">
        <v>7.0136979999999998</v>
      </c>
      <c r="H179" s="24">
        <v>3.859953</v>
      </c>
      <c r="I179" s="24">
        <v>2.822546</v>
      </c>
      <c r="J179" s="24">
        <v>4.8102289999999996</v>
      </c>
      <c r="K179" s="24">
        <v>3.613845</v>
      </c>
      <c r="L179" s="24">
        <v>3.5910639999999998</v>
      </c>
      <c r="M179" s="24">
        <v>7.5857000000000001</v>
      </c>
      <c r="N179" s="24">
        <v>2.8571423013986461</v>
      </c>
      <c r="O179" s="24">
        <v>4.5</v>
      </c>
      <c r="P179" s="24">
        <v>7.8078078078078068</v>
      </c>
      <c r="Q179" s="24">
        <v>3.7219643647631702</v>
      </c>
      <c r="R179" s="24">
        <v>6.63</v>
      </c>
      <c r="S179" s="24">
        <v>3.5485922083952852</v>
      </c>
      <c r="T179" s="24">
        <v>0.73515596932924909</v>
      </c>
      <c r="U179" s="24" t="s">
        <v>1553</v>
      </c>
      <c r="V179" s="24">
        <v>12373.59</v>
      </c>
      <c r="W179" s="24" t="s">
        <v>1415</v>
      </c>
      <c r="X179" s="64">
        <v>2.5086505190311419</v>
      </c>
    </row>
    <row r="180" spans="1:24" ht="14.4" x14ac:dyDescent="0.55000000000000004">
      <c r="A180" s="24" t="s">
        <v>392</v>
      </c>
      <c r="B180" s="24" t="s">
        <v>1211</v>
      </c>
      <c r="C180" s="24" t="s">
        <v>106</v>
      </c>
      <c r="D180" s="24" t="s">
        <v>72</v>
      </c>
      <c r="E180" s="24" t="s">
        <v>91</v>
      </c>
      <c r="F180" s="70">
        <v>1.2439507060518328E-3</v>
      </c>
      <c r="G180" s="24">
        <v>8.8044390000000003</v>
      </c>
      <c r="H180" s="24">
        <v>5.2501910000000001</v>
      </c>
      <c r="I180" s="24">
        <v>7.4051479999999996</v>
      </c>
      <c r="J180" s="24">
        <v>6.8230230000000001</v>
      </c>
      <c r="K180" s="24">
        <v>2.4512909999999999</v>
      </c>
      <c r="L180" s="24">
        <v>6.8128719999999996</v>
      </c>
      <c r="M180" s="24">
        <v>3.5059999999999998</v>
      </c>
      <c r="N180" s="24">
        <v>5.9565576947799794</v>
      </c>
      <c r="O180" s="24">
        <v>7.3</v>
      </c>
      <c r="P180" s="24">
        <v>2.8260869565217401</v>
      </c>
      <c r="Q180" s="24">
        <v>4.0182524377325688</v>
      </c>
      <c r="R180" s="24">
        <v>5.67</v>
      </c>
      <c r="S180" s="24">
        <v>5.6634411765207595</v>
      </c>
      <c r="T180" s="24">
        <v>1.0400583299749537</v>
      </c>
      <c r="U180" s="24" t="s">
        <v>1844</v>
      </c>
      <c r="V180" s="24">
        <v>13112.35</v>
      </c>
      <c r="W180" s="24" t="s">
        <v>1415</v>
      </c>
      <c r="X180" s="64">
        <v>2.933104631217839</v>
      </c>
    </row>
    <row r="181" spans="1:24" ht="14.4" x14ac:dyDescent="0.55000000000000004">
      <c r="A181" s="24" t="s">
        <v>394</v>
      </c>
      <c r="B181" s="24" t="s">
        <v>1008</v>
      </c>
      <c r="C181" s="24" t="s">
        <v>112</v>
      </c>
      <c r="D181" s="24" t="s">
        <v>72</v>
      </c>
      <c r="E181" s="24" t="s">
        <v>93</v>
      </c>
      <c r="F181" s="70">
        <v>1.2218346123425716E-3</v>
      </c>
      <c r="G181" s="24">
        <v>5.5107489999999997</v>
      </c>
      <c r="H181" s="24">
        <v>6.1932090000000004</v>
      </c>
      <c r="I181" s="24">
        <v>5.7311059999999996</v>
      </c>
      <c r="J181" s="24">
        <v>5.7815940000000001</v>
      </c>
      <c r="K181" s="24">
        <v>2.3315769999999998</v>
      </c>
      <c r="L181" s="24">
        <v>7.3370990000000003</v>
      </c>
      <c r="M181" s="24">
        <v>32.293399999999998</v>
      </c>
      <c r="N181" s="24">
        <v>4.5133672366745961</v>
      </c>
      <c r="O181" s="24">
        <v>8.1999999999999993</v>
      </c>
      <c r="P181" s="24">
        <v>5.0931677018633561</v>
      </c>
      <c r="Q181" s="24">
        <v>5.3444517478338804</v>
      </c>
      <c r="R181" s="24">
        <v>4.59</v>
      </c>
      <c r="S181" s="24">
        <v>6.0883306081697057</v>
      </c>
      <c r="T181" s="24">
        <v>0.42953135268592529</v>
      </c>
      <c r="U181" s="24" t="s">
        <v>1432</v>
      </c>
      <c r="V181" s="24">
        <v>13742.19</v>
      </c>
      <c r="W181" s="24" t="s">
        <v>1415</v>
      </c>
      <c r="X181" s="64">
        <v>2.967409948542024</v>
      </c>
    </row>
    <row r="182" spans="1:24" ht="14.4" x14ac:dyDescent="0.55000000000000004">
      <c r="A182" s="24" t="s">
        <v>401</v>
      </c>
      <c r="B182" s="24" t="s">
        <v>1056</v>
      </c>
      <c r="C182" s="24" t="s">
        <v>126</v>
      </c>
      <c r="D182" s="24" t="s">
        <v>72</v>
      </c>
      <c r="E182" s="24" t="s">
        <v>85</v>
      </c>
      <c r="F182" s="70">
        <v>1.2192294810218546E-3</v>
      </c>
      <c r="G182" s="24">
        <v>6.862349</v>
      </c>
      <c r="H182" s="24">
        <v>5.1221360000000002</v>
      </c>
      <c r="I182" s="24">
        <v>4.4739680000000002</v>
      </c>
      <c r="J182" s="24">
        <v>5.6237709999999996</v>
      </c>
      <c r="K182" s="24">
        <v>0.64561740000000001</v>
      </c>
      <c r="L182" s="24">
        <v>4.6657999999999999</v>
      </c>
      <c r="M182" s="24">
        <v>58.640099999999997</v>
      </c>
      <c r="N182" s="24">
        <v>5.2625884909190193</v>
      </c>
      <c r="O182" s="24">
        <v>2.1</v>
      </c>
      <c r="P182" s="24">
        <v>6.0660660660660648</v>
      </c>
      <c r="Q182" s="24">
        <v>4.0812671536077918</v>
      </c>
      <c r="R182" s="24">
        <v>1.7</v>
      </c>
      <c r="S182" s="24">
        <v>4.2134310813258509</v>
      </c>
      <c r="T182" s="24">
        <v>1.3467457778157546</v>
      </c>
      <c r="U182" s="24" t="s">
        <v>1862</v>
      </c>
      <c r="V182" s="24">
        <v>12838.32</v>
      </c>
      <c r="W182" s="24" t="s">
        <v>1415</v>
      </c>
      <c r="X182" s="64">
        <v>3.0449826989619377</v>
      </c>
    </row>
    <row r="183" spans="1:24" ht="14.4" x14ac:dyDescent="0.55000000000000004">
      <c r="A183" s="24" t="s">
        <v>380</v>
      </c>
      <c r="B183" s="24" t="s">
        <v>970</v>
      </c>
      <c r="C183" s="24" t="s">
        <v>111</v>
      </c>
      <c r="D183" s="24" t="s">
        <v>72</v>
      </c>
      <c r="E183" s="24" t="s">
        <v>92</v>
      </c>
      <c r="F183" s="70">
        <v>1.1897753839151678E-3</v>
      </c>
      <c r="G183" s="24">
        <v>4.5095599999999996</v>
      </c>
      <c r="H183" s="24">
        <v>5.2017860000000002</v>
      </c>
      <c r="I183" s="24">
        <v>8.0250140000000005</v>
      </c>
      <c r="J183" s="24">
        <v>5.7026409999999998</v>
      </c>
      <c r="K183" s="24">
        <v>7.8106090000000004</v>
      </c>
      <c r="L183" s="24">
        <v>21.542190000000002</v>
      </c>
      <c r="M183" s="24">
        <v>446.49700000000001</v>
      </c>
      <c r="N183" s="24">
        <v>3.8738938332093289</v>
      </c>
      <c r="O183" s="24">
        <v>0.8</v>
      </c>
      <c r="P183" s="24">
        <v>5.1707317073170733</v>
      </c>
      <c r="Q183" s="24">
        <v>10</v>
      </c>
      <c r="R183" s="24">
        <v>5.56</v>
      </c>
      <c r="S183" s="24">
        <v>8.0040623047631705</v>
      </c>
      <c r="T183" s="24">
        <v>0.67038232060808434</v>
      </c>
      <c r="U183" s="24" t="s">
        <v>1680</v>
      </c>
      <c r="V183" s="24">
        <v>13933.43</v>
      </c>
      <c r="W183" s="24" t="s">
        <v>1415</v>
      </c>
      <c r="X183" s="64">
        <v>3.1818181818181817</v>
      </c>
    </row>
    <row r="184" spans="1:24" ht="14.4" x14ac:dyDescent="0.55000000000000004">
      <c r="A184" s="24" t="s">
        <v>399</v>
      </c>
      <c r="B184" s="24" t="s">
        <v>1017</v>
      </c>
      <c r="C184" s="24" t="s">
        <v>112</v>
      </c>
      <c r="D184" s="24" t="s">
        <v>72</v>
      </c>
      <c r="E184" s="24" t="s">
        <v>85</v>
      </c>
      <c r="F184" s="70">
        <v>1.1876606538034982E-3</v>
      </c>
      <c r="G184" s="24">
        <v>4.5171570000000001</v>
      </c>
      <c r="H184" s="24">
        <v>4.449668</v>
      </c>
      <c r="I184" s="24">
        <v>5.7861630000000002</v>
      </c>
      <c r="J184" s="24">
        <v>4.9176630000000001</v>
      </c>
      <c r="K184" s="24">
        <v>3.3319990000000002</v>
      </c>
      <c r="L184" s="24">
        <v>13.85731</v>
      </c>
      <c r="M184" s="24">
        <v>3950.8220000000001</v>
      </c>
      <c r="N184" s="24">
        <v>4.05230153221087</v>
      </c>
      <c r="O184" s="24">
        <v>4.3</v>
      </c>
      <c r="P184" s="24">
        <v>4.1741741741741736</v>
      </c>
      <c r="Q184" s="24">
        <v>9.6091555998229321</v>
      </c>
      <c r="R184" s="24">
        <v>6.11</v>
      </c>
      <c r="S184" s="24">
        <v>7.1899455188753585</v>
      </c>
      <c r="T184" s="24">
        <v>1.3847479739863671</v>
      </c>
      <c r="U184" s="24" t="s">
        <v>1431</v>
      </c>
      <c r="V184" s="24">
        <v>12652.13</v>
      </c>
      <c r="W184" s="24" t="s">
        <v>1415</v>
      </c>
      <c r="X184" s="64">
        <v>3.0103806228373702</v>
      </c>
    </row>
    <row r="185" spans="1:24" ht="14.4" x14ac:dyDescent="0.55000000000000004">
      <c r="A185" s="24" t="s">
        <v>398</v>
      </c>
      <c r="B185" s="24" t="s">
        <v>920</v>
      </c>
      <c r="C185" s="24" t="s">
        <v>106</v>
      </c>
      <c r="D185" s="24" t="s">
        <v>72</v>
      </c>
      <c r="E185" s="24" t="s">
        <v>94</v>
      </c>
      <c r="F185" s="70">
        <v>1.1739844649838289E-3</v>
      </c>
      <c r="G185" s="24">
        <v>6.8399000000000001</v>
      </c>
      <c r="H185" s="24">
        <v>5.8064679999999997</v>
      </c>
      <c r="I185" s="24">
        <v>6.5068210000000004</v>
      </c>
      <c r="J185" s="24">
        <v>6.4999820000000001</v>
      </c>
      <c r="K185" s="24">
        <v>3.362527</v>
      </c>
      <c r="L185" s="24">
        <v>4.0608940000000002</v>
      </c>
      <c r="M185" s="24">
        <v>6.3638000000000003</v>
      </c>
      <c r="N185" s="24">
        <v>6.4740836232475152</v>
      </c>
      <c r="O185" s="24">
        <v>6.9</v>
      </c>
      <c r="P185" s="24">
        <v>3.6805555555555558</v>
      </c>
      <c r="Q185" s="24">
        <v>2.471192166140904</v>
      </c>
      <c r="R185" s="24">
        <v>4.3</v>
      </c>
      <c r="S185" s="24">
        <v>3.3893187811430519</v>
      </c>
      <c r="T185" s="24">
        <v>1.1593699770586134</v>
      </c>
      <c r="U185" s="24" t="s">
        <v>1820</v>
      </c>
      <c r="V185" s="24">
        <v>14185.9</v>
      </c>
      <c r="W185" s="24" t="s">
        <v>1415</v>
      </c>
      <c r="X185" s="64">
        <v>1.5250544662309369</v>
      </c>
    </row>
    <row r="186" spans="1:24" ht="14.4" x14ac:dyDescent="0.55000000000000004">
      <c r="A186" s="24" t="s">
        <v>397</v>
      </c>
      <c r="B186" s="24" t="s">
        <v>1195</v>
      </c>
      <c r="C186" s="24" t="s">
        <v>110</v>
      </c>
      <c r="D186" s="24" t="s">
        <v>72</v>
      </c>
      <c r="E186" s="24" t="s">
        <v>89</v>
      </c>
      <c r="F186" s="70">
        <v>1.1708979398232097E-3</v>
      </c>
      <c r="G186" s="24">
        <v>6.6936410000000004</v>
      </c>
      <c r="H186" s="24">
        <v>4.2983260000000003</v>
      </c>
      <c r="I186" s="24">
        <v>6.534179</v>
      </c>
      <c r="J186" s="24">
        <v>5.9272080000000003</v>
      </c>
      <c r="K186" s="24">
        <v>1.5033719999999999</v>
      </c>
      <c r="L186" s="24">
        <v>1.7454449999999999</v>
      </c>
      <c r="M186" s="24">
        <v>35.6175</v>
      </c>
      <c r="N186" s="24">
        <v>6.3907492374865242</v>
      </c>
      <c r="O186" s="24">
        <v>8.1999999999999993</v>
      </c>
      <c r="P186" s="24">
        <v>8.078078078078077</v>
      </c>
      <c r="Q186" s="24">
        <v>0</v>
      </c>
      <c r="R186" s="24">
        <v>4.9000000000000004</v>
      </c>
      <c r="S186" s="24">
        <v>2.3258196129222974</v>
      </c>
      <c r="T186" s="24">
        <v>1.7293473572535658</v>
      </c>
      <c r="U186" s="24" t="s">
        <v>1565</v>
      </c>
      <c r="V186" s="24">
        <v>11730.18</v>
      </c>
      <c r="W186" s="24" t="s">
        <v>1415</v>
      </c>
      <c r="X186" s="64">
        <v>2.9757785467128031</v>
      </c>
    </row>
    <row r="187" spans="1:24" ht="14.4" x14ac:dyDescent="0.55000000000000004">
      <c r="A187" s="24" t="s">
        <v>396</v>
      </c>
      <c r="B187" s="24" t="s">
        <v>1115</v>
      </c>
      <c r="C187" s="24" t="s">
        <v>112</v>
      </c>
      <c r="D187" s="24" t="s">
        <v>72</v>
      </c>
      <c r="E187" s="24" t="s">
        <v>93</v>
      </c>
      <c r="F187" s="70">
        <v>1.1564641311765009E-3</v>
      </c>
      <c r="G187" s="24">
        <v>8.107246</v>
      </c>
      <c r="H187" s="24">
        <v>7.366606</v>
      </c>
      <c r="I187" s="24">
        <v>6.2053279999999997</v>
      </c>
      <c r="J187" s="24">
        <v>7.3144780000000003</v>
      </c>
      <c r="K187" s="24">
        <v>0.77134080000000005</v>
      </c>
      <c r="L187" s="24">
        <v>3.1846640000000002</v>
      </c>
      <c r="M187" s="24">
        <v>13.276899999999999</v>
      </c>
      <c r="N187" s="24">
        <v>5.3230830948230583</v>
      </c>
      <c r="O187" s="24">
        <v>5.0999999999999996</v>
      </c>
      <c r="P187" s="24">
        <v>6.6945606694560675</v>
      </c>
      <c r="Q187" s="24">
        <v>1.8331832831404871</v>
      </c>
      <c r="R187" s="24">
        <v>2.39</v>
      </c>
      <c r="S187" s="24">
        <v>3.2931078538742957</v>
      </c>
      <c r="T187" s="24">
        <v>0.31197515990682484</v>
      </c>
      <c r="U187" s="24" t="s">
        <v>1586</v>
      </c>
      <c r="V187" s="24">
        <v>13288.45</v>
      </c>
      <c r="W187" s="24" t="s">
        <v>1415</v>
      </c>
      <c r="X187" s="64">
        <v>3.2149200710479575</v>
      </c>
    </row>
    <row r="188" spans="1:24" ht="14.4" x14ac:dyDescent="0.55000000000000004">
      <c r="A188" s="24" t="s">
        <v>417</v>
      </c>
      <c r="B188" s="24" t="s">
        <v>1382</v>
      </c>
      <c r="C188" s="24" t="s">
        <v>105</v>
      </c>
      <c r="D188" s="24" t="s">
        <v>72</v>
      </c>
      <c r="E188" s="24" t="s">
        <v>89</v>
      </c>
      <c r="F188" s="70">
        <v>1.1388206966575143E-3</v>
      </c>
      <c r="G188" s="24">
        <v>7.37683</v>
      </c>
      <c r="H188" s="24">
        <v>6.9196759999999999</v>
      </c>
      <c r="I188" s="24">
        <v>6.782108</v>
      </c>
      <c r="J188" s="24">
        <v>7.061267</v>
      </c>
      <c r="K188" s="24">
        <v>1.7226239999999999</v>
      </c>
      <c r="L188" s="24">
        <v>3.6620219999999999</v>
      </c>
      <c r="M188" s="24">
        <v>11.030099999999999</v>
      </c>
      <c r="N188" s="24">
        <v>4.1257836989071235</v>
      </c>
      <c r="O188" s="24">
        <v>0.9</v>
      </c>
      <c r="P188" s="24">
        <v>8.1981981981981971</v>
      </c>
      <c r="Q188" s="24">
        <v>1.9411243913235945</v>
      </c>
      <c r="R188" s="24">
        <v>3.69</v>
      </c>
      <c r="S188" s="24">
        <v>3.2300288166547175</v>
      </c>
      <c r="T188" s="24">
        <v>1.4534948510522383</v>
      </c>
      <c r="U188" s="24" t="s">
        <v>1997</v>
      </c>
      <c r="V188" s="24">
        <v>12042.8</v>
      </c>
      <c r="W188" s="24" t="s">
        <v>1415</v>
      </c>
      <c r="X188" s="64">
        <v>3.3217993079584773</v>
      </c>
    </row>
    <row r="189" spans="1:24" ht="14.4" x14ac:dyDescent="0.55000000000000004">
      <c r="A189" s="24" t="s">
        <v>409</v>
      </c>
      <c r="B189" s="24" t="s">
        <v>1179</v>
      </c>
      <c r="C189" s="24" t="s">
        <v>105</v>
      </c>
      <c r="D189" s="24" t="s">
        <v>72</v>
      </c>
      <c r="E189" s="24" t="s">
        <v>89</v>
      </c>
      <c r="F189" s="70">
        <v>1.1368981237542882E-3</v>
      </c>
      <c r="G189" s="24">
        <v>6.4193259999999999</v>
      </c>
      <c r="H189" s="24">
        <v>4.9491560000000003</v>
      </c>
      <c r="I189" s="24">
        <v>7.2707410000000001</v>
      </c>
      <c r="J189" s="24">
        <v>6.2336989999999997</v>
      </c>
      <c r="K189" s="24">
        <v>1.6825699999999999</v>
      </c>
      <c r="L189" s="24">
        <v>4.6442589999999999</v>
      </c>
      <c r="M189" s="24">
        <v>21.1267</v>
      </c>
      <c r="N189" s="24">
        <v>5.4614222839238247</v>
      </c>
      <c r="O189" s="24">
        <v>4.9000000000000004</v>
      </c>
      <c r="P189" s="24">
        <v>7.0270270270270254</v>
      </c>
      <c r="Q189" s="24">
        <v>2.9760590969455514</v>
      </c>
      <c r="R189" s="24">
        <v>4.55</v>
      </c>
      <c r="S189" s="24">
        <v>4.1110534931439142</v>
      </c>
      <c r="T189" s="24">
        <v>1.1069449807915821</v>
      </c>
      <c r="U189" s="24" t="s">
        <v>1974</v>
      </c>
      <c r="V189" s="24">
        <v>13307.65</v>
      </c>
      <c r="W189" s="24" t="s">
        <v>1415</v>
      </c>
      <c r="X189" s="64">
        <v>3.1833910034602075</v>
      </c>
    </row>
    <row r="190" spans="1:24" ht="14.4" x14ac:dyDescent="0.55000000000000004">
      <c r="A190" s="24" t="s">
        <v>403</v>
      </c>
      <c r="B190" s="24" t="s">
        <v>1343</v>
      </c>
      <c r="C190" s="24" t="s">
        <v>113</v>
      </c>
      <c r="D190" s="24" t="s">
        <v>72</v>
      </c>
      <c r="E190" s="24" t="s">
        <v>93</v>
      </c>
      <c r="F190" s="70">
        <v>1.1289996618322367E-3</v>
      </c>
      <c r="G190" s="24">
        <v>7.9619470000000003</v>
      </c>
      <c r="H190" s="24">
        <v>5.695341</v>
      </c>
      <c r="I190" s="24">
        <v>6.4795429999999996</v>
      </c>
      <c r="J190" s="24">
        <v>6.7122770000000003</v>
      </c>
      <c r="K190" s="24">
        <v>2.0079050000000001</v>
      </c>
      <c r="L190" s="24">
        <v>4.1831839999999998</v>
      </c>
      <c r="M190" s="24">
        <v>6.5716999999999999</v>
      </c>
      <c r="N190" s="24">
        <v>4.6658321470447097</v>
      </c>
      <c r="O190" s="24">
        <v>2.8</v>
      </c>
      <c r="P190" s="24">
        <v>7.4534161490683237</v>
      </c>
      <c r="Q190" s="24">
        <v>2.7045473558410515</v>
      </c>
      <c r="R190" s="24">
        <v>3.97</v>
      </c>
      <c r="S190" s="24">
        <v>3.2954451625657981</v>
      </c>
      <c r="T190" s="24">
        <v>1.4869648620004621</v>
      </c>
      <c r="U190" s="24" t="s">
        <v>1887</v>
      </c>
      <c r="V190" s="24">
        <v>12930.44</v>
      </c>
      <c r="W190" s="24" t="s">
        <v>1415</v>
      </c>
      <c r="X190" s="64">
        <v>3.1217838765008574</v>
      </c>
    </row>
    <row r="191" spans="1:24" ht="14.4" x14ac:dyDescent="0.55000000000000004">
      <c r="A191" s="24" t="s">
        <v>404</v>
      </c>
      <c r="B191" s="24" t="s">
        <v>940</v>
      </c>
      <c r="C191" s="24" t="s">
        <v>106</v>
      </c>
      <c r="D191" s="24" t="s">
        <v>72</v>
      </c>
      <c r="E191" s="24" t="s">
        <v>96</v>
      </c>
      <c r="F191" s="70">
        <v>1.121962904891798E-3</v>
      </c>
      <c r="G191" s="24">
        <v>8.3019309999999997</v>
      </c>
      <c r="H191" s="24">
        <v>5.6872400000000001</v>
      </c>
      <c r="I191" s="24">
        <v>6.1105910000000003</v>
      </c>
      <c r="J191" s="24">
        <v>6.6999209999999998</v>
      </c>
      <c r="K191" s="24">
        <v>1.980828</v>
      </c>
      <c r="L191" s="24">
        <v>3.8594179999999998</v>
      </c>
      <c r="M191" s="24">
        <v>2.5051000000000001</v>
      </c>
      <c r="N191" s="24">
        <v>5.3941327334964759</v>
      </c>
      <c r="O191" s="24">
        <v>4.7</v>
      </c>
      <c r="P191" s="24">
        <v>1.9909502262443453</v>
      </c>
      <c r="Q191" s="24">
        <v>5.1025393731649515</v>
      </c>
      <c r="R191" s="24">
        <v>7.2100010000000001</v>
      </c>
      <c r="S191" s="24">
        <v>5.02046930861788</v>
      </c>
      <c r="T191" s="24">
        <v>0.89292749578937047</v>
      </c>
      <c r="U191" s="24" t="s">
        <v>1825</v>
      </c>
      <c r="V191" s="24">
        <v>12338.07</v>
      </c>
      <c r="W191" s="24" t="s">
        <v>1415</v>
      </c>
      <c r="X191" s="64">
        <v>3.2928942807625647</v>
      </c>
    </row>
    <row r="192" spans="1:24" ht="14.4" x14ac:dyDescent="0.55000000000000004">
      <c r="A192" s="24" t="s">
        <v>406</v>
      </c>
      <c r="B192" s="24" t="s">
        <v>1347</v>
      </c>
      <c r="C192" s="24" t="s">
        <v>106</v>
      </c>
      <c r="D192" s="24" t="s">
        <v>72</v>
      </c>
      <c r="E192" s="24" t="s">
        <v>89</v>
      </c>
      <c r="F192" s="70">
        <v>1.1078373484336337E-3</v>
      </c>
      <c r="G192" s="24">
        <v>5.9733280000000004</v>
      </c>
      <c r="H192" s="24">
        <v>5.6808750000000003</v>
      </c>
      <c r="I192" s="24">
        <v>4.3463580000000004</v>
      </c>
      <c r="J192" s="24">
        <v>5.3975010000000001</v>
      </c>
      <c r="K192" s="24">
        <v>0.88422520000000004</v>
      </c>
      <c r="L192" s="24">
        <v>3.8644440000000002</v>
      </c>
      <c r="M192" s="24">
        <v>9.6734000000000009</v>
      </c>
      <c r="N192" s="24">
        <v>4.5904471756884728</v>
      </c>
      <c r="O192" s="24">
        <v>7.6</v>
      </c>
      <c r="P192" s="24">
        <v>6.2462462462462458</v>
      </c>
      <c r="Q192" s="24">
        <v>1.8422609561752987</v>
      </c>
      <c r="R192" s="24">
        <v>2.5</v>
      </c>
      <c r="S192" s="24">
        <v>3.6229868523135833</v>
      </c>
      <c r="T192" s="24">
        <v>1.0632886186114678</v>
      </c>
      <c r="U192" s="24" t="s">
        <v>1775</v>
      </c>
      <c r="V192" s="24">
        <v>11870.26</v>
      </c>
      <c r="W192" s="24" t="s">
        <v>1415</v>
      </c>
      <c r="X192" s="64">
        <v>3.1314878892733566</v>
      </c>
    </row>
    <row r="193" spans="1:24" ht="14.4" x14ac:dyDescent="0.55000000000000004">
      <c r="A193" s="24" t="s">
        <v>402</v>
      </c>
      <c r="B193" s="24" t="s">
        <v>1303</v>
      </c>
      <c r="C193" s="24" t="s">
        <v>110</v>
      </c>
      <c r="D193" s="24" t="s">
        <v>72</v>
      </c>
      <c r="E193" s="24" t="s">
        <v>96</v>
      </c>
      <c r="F193" s="70">
        <v>1.10099074706405E-3</v>
      </c>
      <c r="G193" s="24">
        <v>7.1476069999999998</v>
      </c>
      <c r="H193" s="24">
        <v>5.704796</v>
      </c>
      <c r="I193" s="24">
        <v>7.5554490000000003</v>
      </c>
      <c r="J193" s="24">
        <v>6.837116</v>
      </c>
      <c r="K193" s="24">
        <v>1.417589</v>
      </c>
      <c r="L193" s="24">
        <v>4.645759</v>
      </c>
      <c r="M193" s="24">
        <v>3.6861000000000002</v>
      </c>
      <c r="N193" s="24">
        <v>5.357143950437529E-2</v>
      </c>
      <c r="O193" s="24">
        <v>6.5</v>
      </c>
      <c r="P193" s="24">
        <v>7.013574660633485</v>
      </c>
      <c r="Q193" s="24">
        <v>7.1805291755290357</v>
      </c>
      <c r="R193" s="24">
        <v>5.16</v>
      </c>
      <c r="S193" s="24">
        <v>5.7397415344987639</v>
      </c>
      <c r="T193" s="24">
        <v>0.92748797178341635</v>
      </c>
      <c r="U193" s="24" t="s">
        <v>1554</v>
      </c>
      <c r="V193" s="24">
        <v>12411.69</v>
      </c>
      <c r="W193" s="24" t="s">
        <v>1415</v>
      </c>
      <c r="X193" s="64">
        <v>3.2582322357019065</v>
      </c>
    </row>
    <row r="194" spans="1:24" ht="14.4" x14ac:dyDescent="0.55000000000000004">
      <c r="A194" s="24" t="s">
        <v>405</v>
      </c>
      <c r="B194" s="24" t="s">
        <v>1082</v>
      </c>
      <c r="C194" s="24" t="s">
        <v>106</v>
      </c>
      <c r="D194" s="24" t="s">
        <v>72</v>
      </c>
      <c r="E194" s="24" t="s">
        <v>88</v>
      </c>
      <c r="F194" s="70">
        <v>1.0974258305199108E-3</v>
      </c>
      <c r="G194" s="24">
        <v>6.7218450000000001</v>
      </c>
      <c r="H194" s="24">
        <v>6.0616669999999999</v>
      </c>
      <c r="I194" s="24">
        <v>5.8369479999999996</v>
      </c>
      <c r="J194" s="24">
        <v>6.103815</v>
      </c>
      <c r="K194" s="24">
        <v>2.454907</v>
      </c>
      <c r="L194" s="24">
        <v>6.2248190000000001</v>
      </c>
      <c r="M194" s="24">
        <v>16.631799999999998</v>
      </c>
      <c r="N194" s="24">
        <v>1.4023409231904804</v>
      </c>
      <c r="O194" s="24">
        <v>4</v>
      </c>
      <c r="P194" s="24">
        <v>4.6849315068493151</v>
      </c>
      <c r="Q194" s="24">
        <v>5.8633770427907237</v>
      </c>
      <c r="R194" s="24">
        <v>6.47</v>
      </c>
      <c r="S194" s="24">
        <v>5.9390015037149428</v>
      </c>
      <c r="T194" s="24">
        <v>0.64642854756096113</v>
      </c>
      <c r="U194" s="24" t="s">
        <v>1793</v>
      </c>
      <c r="V194" s="24">
        <v>12164.58</v>
      </c>
      <c r="W194" s="24" t="s">
        <v>1415</v>
      </c>
      <c r="X194" s="64">
        <v>3.333333333333333</v>
      </c>
    </row>
    <row r="195" spans="1:24" ht="14.4" x14ac:dyDescent="0.55000000000000004">
      <c r="A195" s="24" t="s">
        <v>400</v>
      </c>
      <c r="B195" s="24" t="s">
        <v>881</v>
      </c>
      <c r="C195" s="24" t="s">
        <v>127</v>
      </c>
      <c r="D195" s="24" t="s">
        <v>72</v>
      </c>
      <c r="E195" s="24" t="s">
        <v>93</v>
      </c>
      <c r="F195" s="70">
        <v>1.0772913580227202E-3</v>
      </c>
      <c r="G195" s="24">
        <v>7.2936420000000002</v>
      </c>
      <c r="H195" s="24">
        <v>5.4504450000000002</v>
      </c>
      <c r="I195" s="24">
        <v>7.3360139999999996</v>
      </c>
      <c r="J195" s="24">
        <v>6.6933670000000003</v>
      </c>
      <c r="K195" s="24">
        <v>1.7865439999999999</v>
      </c>
      <c r="L195" s="24">
        <v>6.8950180000000003</v>
      </c>
      <c r="M195" s="24">
        <v>15.642200000000001</v>
      </c>
      <c r="N195" s="24">
        <v>7.9010025325688904</v>
      </c>
      <c r="O195" s="24">
        <v>8.6</v>
      </c>
      <c r="P195" s="24">
        <v>8.8509316770186359</v>
      </c>
      <c r="Q195" s="24">
        <v>3.6532036830811854</v>
      </c>
      <c r="R195" s="24">
        <v>3.85</v>
      </c>
      <c r="S195" s="24">
        <v>6.1669757147167186</v>
      </c>
      <c r="T195" s="24">
        <v>1.1022426838582207</v>
      </c>
      <c r="U195" s="24" t="s">
        <v>1651</v>
      </c>
      <c r="V195" s="24">
        <v>11845.35</v>
      </c>
      <c r="W195" s="24" t="s">
        <v>1415</v>
      </c>
      <c r="X195" s="64">
        <v>3.0703259005145798</v>
      </c>
    </row>
    <row r="196" spans="1:24" ht="14.4" x14ac:dyDescent="0.55000000000000004">
      <c r="A196" s="24" t="s">
        <v>412</v>
      </c>
      <c r="B196" s="24" t="s">
        <v>1283</v>
      </c>
      <c r="C196" s="24" t="s">
        <v>113</v>
      </c>
      <c r="D196" s="24" t="s">
        <v>72</v>
      </c>
      <c r="E196" s="24" t="s">
        <v>99</v>
      </c>
      <c r="F196" s="70">
        <v>1.0603865277736869E-3</v>
      </c>
      <c r="G196" s="24">
        <v>7.4332710000000004</v>
      </c>
      <c r="H196" s="24">
        <v>6.1651660000000001</v>
      </c>
      <c r="I196" s="24">
        <v>6.4902680000000004</v>
      </c>
      <c r="J196" s="24">
        <v>6.9910500000000004</v>
      </c>
      <c r="K196" s="24">
        <v>4.6075350000000004</v>
      </c>
      <c r="L196" s="24">
        <v>6.5780799999999999</v>
      </c>
      <c r="M196" s="24">
        <v>676.76070000000004</v>
      </c>
      <c r="N196" s="24">
        <v>8.8875997812746483</v>
      </c>
      <c r="O196" s="24">
        <v>5.3</v>
      </c>
      <c r="P196" s="24">
        <v>5.2647975077881615</v>
      </c>
      <c r="Q196" s="24">
        <v>1.9062190250843911</v>
      </c>
      <c r="R196" s="24">
        <v>6.22</v>
      </c>
      <c r="S196" s="24">
        <v>5.2599100672964321</v>
      </c>
      <c r="T196" s="24">
        <v>0.43936104629938988</v>
      </c>
      <c r="U196" s="24" t="s">
        <v>1877</v>
      </c>
      <c r="V196" s="24">
        <v>11376.41</v>
      </c>
      <c r="W196" s="24" t="s">
        <v>1415</v>
      </c>
      <c r="X196" s="64">
        <v>3.0700179533213645</v>
      </c>
    </row>
    <row r="197" spans="1:24" ht="14.4" x14ac:dyDescent="0.55000000000000004">
      <c r="A197" s="24" t="s">
        <v>407</v>
      </c>
      <c r="B197" s="24" t="s">
        <v>1310</v>
      </c>
      <c r="C197" s="24" t="s">
        <v>125</v>
      </c>
      <c r="D197" s="24" t="s">
        <v>72</v>
      </c>
      <c r="E197" s="24" t="s">
        <v>90</v>
      </c>
      <c r="F197" s="70">
        <v>1.0592766197311686E-3</v>
      </c>
      <c r="G197" s="24">
        <v>7.0477020000000001</v>
      </c>
      <c r="H197" s="24">
        <v>6.52712</v>
      </c>
      <c r="I197" s="24">
        <v>6.5942619999999996</v>
      </c>
      <c r="J197" s="24">
        <v>6.7067940000000004</v>
      </c>
      <c r="K197" s="24">
        <v>7.7027380000000001</v>
      </c>
      <c r="L197" s="24">
        <v>17.752199999999998</v>
      </c>
      <c r="M197" s="24">
        <v>0.59311000000000003</v>
      </c>
      <c r="N197" s="24">
        <v>3.9917517869730412</v>
      </c>
      <c r="O197" s="24">
        <v>4.4000000000000004</v>
      </c>
      <c r="P197" s="24">
        <v>4.3906811172775395</v>
      </c>
      <c r="Q197" s="24">
        <v>6.5863962822137747</v>
      </c>
      <c r="R197" s="24">
        <v>7.57</v>
      </c>
      <c r="S197" s="24">
        <v>6.5141183843576922</v>
      </c>
      <c r="T197" s="24">
        <v>0.70654831796823148</v>
      </c>
      <c r="U197" s="24" t="s">
        <v>1493</v>
      </c>
      <c r="V197" s="24">
        <v>12263.52</v>
      </c>
      <c r="W197" s="24" t="s">
        <v>1415</v>
      </c>
      <c r="X197" s="64">
        <v>3.1623931623931623</v>
      </c>
    </row>
    <row r="198" spans="1:24" ht="14.4" x14ac:dyDescent="0.55000000000000004">
      <c r="A198" s="24" t="s">
        <v>420</v>
      </c>
      <c r="B198" s="24" t="s">
        <v>1059</v>
      </c>
      <c r="C198" s="24" t="s">
        <v>127</v>
      </c>
      <c r="D198" s="24" t="s">
        <v>72</v>
      </c>
      <c r="E198" s="24" t="s">
        <v>99</v>
      </c>
      <c r="F198" s="70">
        <v>1.0331852737722382E-3</v>
      </c>
      <c r="G198" s="24">
        <v>6.9237970000000004</v>
      </c>
      <c r="H198" s="24">
        <v>8.0524679999999993</v>
      </c>
      <c r="I198" s="24">
        <v>8.4127939999999999</v>
      </c>
      <c r="J198" s="24">
        <v>7.44733</v>
      </c>
      <c r="K198" s="24">
        <v>0</v>
      </c>
      <c r="L198" s="24">
        <v>4.278537</v>
      </c>
      <c r="M198" s="24">
        <v>210.1163</v>
      </c>
      <c r="N198" s="24">
        <v>0.11297797068621418</v>
      </c>
      <c r="O198" s="24">
        <v>3</v>
      </c>
      <c r="P198" s="24">
        <v>0</v>
      </c>
      <c r="Q198" s="24">
        <v>1.4289781397449139</v>
      </c>
      <c r="R198" s="24">
        <v>0.14000000000000001</v>
      </c>
      <c r="S198" s="24">
        <v>0.80270165243456626</v>
      </c>
      <c r="T198" s="24">
        <v>0.79941959898055814</v>
      </c>
      <c r="U198" s="24" t="s">
        <v>1650</v>
      </c>
      <c r="V198" s="24">
        <v>11246.06</v>
      </c>
      <c r="W198" s="24" t="s">
        <v>1415</v>
      </c>
      <c r="X198" s="64">
        <v>3.213644524236984</v>
      </c>
    </row>
    <row r="199" spans="1:24" ht="14.4" x14ac:dyDescent="0.55000000000000004">
      <c r="A199" s="24" t="s">
        <v>416</v>
      </c>
      <c r="B199" s="24" t="s">
        <v>924</v>
      </c>
      <c r="C199" s="24" t="s">
        <v>106</v>
      </c>
      <c r="D199" s="24" t="s">
        <v>72</v>
      </c>
      <c r="E199" s="24" t="s">
        <v>97</v>
      </c>
      <c r="F199" s="70">
        <v>1.0331772672218863E-3</v>
      </c>
      <c r="G199" s="24">
        <v>6.4939150000000003</v>
      </c>
      <c r="H199" s="24">
        <v>4.7688540000000001</v>
      </c>
      <c r="I199" s="24">
        <v>4.6905460000000003</v>
      </c>
      <c r="J199" s="24">
        <v>5.3177709999999996</v>
      </c>
      <c r="K199" s="24">
        <v>5.5354450000000002</v>
      </c>
      <c r="L199" s="24">
        <v>16.834150000000001</v>
      </c>
      <c r="M199" s="24">
        <v>29.468800000000002</v>
      </c>
      <c r="N199" s="24">
        <v>0.47432081726158215</v>
      </c>
      <c r="O199" s="24">
        <v>6.2</v>
      </c>
      <c r="P199" s="24">
        <v>5.3383458646616546</v>
      </c>
      <c r="Q199" s="24">
        <v>8.1636770850178468</v>
      </c>
      <c r="R199" s="24">
        <v>5.63</v>
      </c>
      <c r="S199" s="24">
        <v>6.1882677107902708</v>
      </c>
      <c r="T199" s="24">
        <v>0.72420886483797886</v>
      </c>
      <c r="U199" s="24" t="s">
        <v>1795</v>
      </c>
      <c r="V199" s="24">
        <v>11222</v>
      </c>
      <c r="W199" s="24" t="s">
        <v>1415</v>
      </c>
      <c r="X199" s="64">
        <v>3.2399299474605954</v>
      </c>
    </row>
    <row r="200" spans="1:24" ht="14.4" x14ac:dyDescent="0.55000000000000004">
      <c r="A200" s="24" t="s">
        <v>410</v>
      </c>
      <c r="B200" s="24" t="s">
        <v>1243</v>
      </c>
      <c r="C200" s="24" t="s">
        <v>1898</v>
      </c>
      <c r="D200" s="24" t="s">
        <v>72</v>
      </c>
      <c r="E200" s="24" t="s">
        <v>82</v>
      </c>
      <c r="F200" s="70">
        <v>1.0273464969281873E-3</v>
      </c>
      <c r="G200" s="24">
        <v>5.4856400000000001</v>
      </c>
      <c r="H200" s="24">
        <v>5.5026640000000002</v>
      </c>
      <c r="I200" s="24">
        <v>4.2684730000000002</v>
      </c>
      <c r="J200" s="24">
        <v>5.0655890000000001</v>
      </c>
      <c r="K200" s="24">
        <v>7.6044330000000002</v>
      </c>
      <c r="L200" s="24">
        <v>14.60013</v>
      </c>
      <c r="M200" s="24">
        <v>32.967500000000001</v>
      </c>
      <c r="N200" s="24">
        <v>5.9452344612848043</v>
      </c>
      <c r="O200" s="24">
        <v>8.3000000000000007</v>
      </c>
      <c r="P200" s="24">
        <v>6.2634415337033911</v>
      </c>
      <c r="Q200" s="24">
        <v>2.8235459794395164</v>
      </c>
      <c r="R200" s="24">
        <v>7.2</v>
      </c>
      <c r="S200" s="24">
        <v>6.0284927792706515</v>
      </c>
      <c r="T200" s="24">
        <v>1.3291221857510176</v>
      </c>
      <c r="U200" s="24" t="s">
        <v>1952</v>
      </c>
      <c r="V200" s="24">
        <v>11129.96</v>
      </c>
      <c r="W200" s="24" t="s">
        <v>1415</v>
      </c>
      <c r="X200" s="64">
        <v>3.2136752136752138</v>
      </c>
    </row>
    <row r="201" spans="1:24" ht="14.4" x14ac:dyDescent="0.55000000000000004">
      <c r="A201" s="24" t="s">
        <v>415</v>
      </c>
      <c r="B201" s="24" t="s">
        <v>991</v>
      </c>
      <c r="C201" s="24" t="s">
        <v>112</v>
      </c>
      <c r="D201" s="24" t="s">
        <v>72</v>
      </c>
      <c r="E201" s="24" t="s">
        <v>84</v>
      </c>
      <c r="F201" s="70">
        <v>1.0203998136792064E-3</v>
      </c>
      <c r="G201" s="24">
        <v>5.8699890000000003</v>
      </c>
      <c r="H201" s="24">
        <v>7.9340320000000002</v>
      </c>
      <c r="I201" s="24">
        <v>6.3457330000000001</v>
      </c>
      <c r="J201" s="24">
        <v>6.7165850000000002</v>
      </c>
      <c r="K201" s="24">
        <v>0.3242487</v>
      </c>
      <c r="L201" s="24">
        <v>-0.93360810000000005</v>
      </c>
      <c r="M201" s="24">
        <v>338.30090000000001</v>
      </c>
      <c r="N201" s="24">
        <v>4.4891414041806472</v>
      </c>
      <c r="O201" s="24">
        <v>5.9</v>
      </c>
      <c r="P201" s="24">
        <v>3.0149253731343286</v>
      </c>
      <c r="Q201" s="24">
        <v>2.821912065631476</v>
      </c>
      <c r="R201" s="24">
        <v>2.1800000000000002</v>
      </c>
      <c r="S201" s="24">
        <v>2.7778373251817934</v>
      </c>
      <c r="T201" s="24">
        <v>0.56933464332077299</v>
      </c>
      <c r="U201" s="24" t="s">
        <v>1595</v>
      </c>
      <c r="V201" s="24">
        <v>10554.79</v>
      </c>
      <c r="W201" s="24" t="s">
        <v>1415</v>
      </c>
      <c r="X201" s="64">
        <v>3.229166666666667</v>
      </c>
    </row>
    <row r="202" spans="1:24" ht="14.4" x14ac:dyDescent="0.55000000000000004">
      <c r="A202" s="24" t="s">
        <v>408</v>
      </c>
      <c r="B202" s="24" t="s">
        <v>986</v>
      </c>
      <c r="C202" s="24" t="s">
        <v>110</v>
      </c>
      <c r="D202" s="24" t="s">
        <v>72</v>
      </c>
      <c r="E202" s="24" t="s">
        <v>87</v>
      </c>
      <c r="F202" s="70">
        <v>1.0197923166712635E-3</v>
      </c>
      <c r="G202" s="24">
        <v>6.7131489999999996</v>
      </c>
      <c r="H202" s="24">
        <v>5.4858729999999998</v>
      </c>
      <c r="I202" s="24">
        <v>5.6124450000000001</v>
      </c>
      <c r="J202" s="24">
        <v>6.0147550000000001</v>
      </c>
      <c r="K202" s="24">
        <v>1.3748849999999999</v>
      </c>
      <c r="L202" s="24">
        <v>2.7483789999999999</v>
      </c>
      <c r="M202" s="24">
        <v>34.697000000000003</v>
      </c>
      <c r="N202" s="24">
        <v>4.3320172727189989</v>
      </c>
      <c r="O202" s="24">
        <v>7.1</v>
      </c>
      <c r="P202" s="24">
        <v>6.7364016736401684</v>
      </c>
      <c r="Q202" s="24">
        <v>0.691780630844825</v>
      </c>
      <c r="R202" s="24">
        <v>4.9400000000000004</v>
      </c>
      <c r="S202" s="24">
        <v>3.1115838979848012</v>
      </c>
      <c r="T202" s="24">
        <v>0.15525049440477293</v>
      </c>
      <c r="U202" s="24" t="s">
        <v>1531</v>
      </c>
      <c r="V202" s="24">
        <v>11224.35</v>
      </c>
      <c r="W202" s="24" t="s">
        <v>1415</v>
      </c>
      <c r="X202" s="64">
        <v>3.428063943161634</v>
      </c>
    </row>
    <row r="203" spans="1:24" ht="14.4" x14ac:dyDescent="0.55000000000000004">
      <c r="A203" s="24" t="s">
        <v>418</v>
      </c>
      <c r="B203" s="24" t="s">
        <v>1089</v>
      </c>
      <c r="C203" s="24" t="s">
        <v>110</v>
      </c>
      <c r="D203" s="24" t="s">
        <v>72</v>
      </c>
      <c r="E203" s="24" t="s">
        <v>89</v>
      </c>
      <c r="F203" s="70">
        <v>1.0162103862076267E-3</v>
      </c>
      <c r="G203" s="24">
        <v>7.1134750000000002</v>
      </c>
      <c r="H203" s="24">
        <v>4.9479749999999996</v>
      </c>
      <c r="I203" s="24">
        <v>5.4340299999999999</v>
      </c>
      <c r="J203" s="24">
        <v>5.9599909999999996</v>
      </c>
      <c r="K203" s="24">
        <v>2.1116640000000002</v>
      </c>
      <c r="L203" s="24">
        <v>4.1983740000000003</v>
      </c>
      <c r="M203" s="24">
        <v>17.260300000000001</v>
      </c>
      <c r="N203" s="24">
        <v>2.9695265628041252</v>
      </c>
      <c r="O203" s="24">
        <v>5.3</v>
      </c>
      <c r="P203" s="24">
        <v>7.8078078078078068</v>
      </c>
      <c r="Q203" s="24">
        <v>3.5994909251881371</v>
      </c>
      <c r="R203" s="24">
        <v>5.63</v>
      </c>
      <c r="S203" s="24">
        <v>4.4157438021080733</v>
      </c>
      <c r="T203" s="24">
        <v>0.65672074013550563</v>
      </c>
      <c r="U203" s="24" t="s">
        <v>1552</v>
      </c>
      <c r="V203" s="24">
        <v>10720.52</v>
      </c>
      <c r="W203" s="24" t="s">
        <v>1415</v>
      </c>
      <c r="X203" s="64">
        <v>3.3391003460207616</v>
      </c>
    </row>
    <row r="204" spans="1:24" ht="14.4" x14ac:dyDescent="0.55000000000000004">
      <c r="A204" s="24" t="s">
        <v>413</v>
      </c>
      <c r="B204" s="24" t="s">
        <v>870</v>
      </c>
      <c r="C204" s="24" t="s">
        <v>110</v>
      </c>
      <c r="D204" s="24" t="s">
        <v>72</v>
      </c>
      <c r="E204" s="24" t="s">
        <v>86</v>
      </c>
      <c r="F204" s="70">
        <v>1.0117087032723267E-3</v>
      </c>
      <c r="G204" s="24">
        <v>5.3842610000000004</v>
      </c>
      <c r="H204" s="24">
        <v>6.4692290000000003</v>
      </c>
      <c r="I204" s="24">
        <v>6.4029800000000003</v>
      </c>
      <c r="J204" s="24">
        <v>6.120552</v>
      </c>
      <c r="K204" s="24">
        <v>5.1940080000000002</v>
      </c>
      <c r="L204" s="24">
        <v>9.6528369999999999</v>
      </c>
      <c r="M204" s="24">
        <v>2.1507000000000001</v>
      </c>
      <c r="N204" s="24">
        <v>8.1759861675520682</v>
      </c>
      <c r="O204" s="24">
        <v>0.4</v>
      </c>
      <c r="P204" s="24">
        <v>5.2956994941612354</v>
      </c>
      <c r="Q204" s="24">
        <v>2.6066751161808197</v>
      </c>
      <c r="R204" s="24">
        <v>5.18</v>
      </c>
      <c r="S204" s="24">
        <v>4.271707593838026</v>
      </c>
      <c r="T204" s="24">
        <v>1.245219745684915</v>
      </c>
      <c r="U204" s="24" t="s">
        <v>1556</v>
      </c>
      <c r="V204" s="24">
        <v>10986.05</v>
      </c>
      <c r="W204" s="24" t="s">
        <v>1415</v>
      </c>
      <c r="X204" s="64">
        <v>3.2649572649572649</v>
      </c>
    </row>
    <row r="205" spans="1:24" ht="14.4" x14ac:dyDescent="0.55000000000000004">
      <c r="A205" s="24" t="s">
        <v>424</v>
      </c>
      <c r="B205" s="24" t="s">
        <v>1124</v>
      </c>
      <c r="C205" s="24" t="s">
        <v>125</v>
      </c>
      <c r="D205" s="24" t="s">
        <v>72</v>
      </c>
      <c r="E205" s="24" t="s">
        <v>84</v>
      </c>
      <c r="F205" s="70">
        <v>9.8658244687642644E-4</v>
      </c>
      <c r="G205" s="24">
        <v>6.1454979999999999</v>
      </c>
      <c r="H205" s="24">
        <v>6.1562020000000004</v>
      </c>
      <c r="I205" s="24">
        <v>6.0083140000000004</v>
      </c>
      <c r="J205" s="24">
        <v>6.1033379999999999</v>
      </c>
      <c r="K205" s="24">
        <v>3.0607229999999999</v>
      </c>
      <c r="L205" s="24">
        <v>5.477722</v>
      </c>
      <c r="M205" s="24">
        <v>108.0086</v>
      </c>
      <c r="N205" s="24">
        <v>6.9502774011708937</v>
      </c>
      <c r="O205" s="24">
        <v>2.5</v>
      </c>
      <c r="P205" s="24">
        <v>5.4029850746268648</v>
      </c>
      <c r="Q205" s="24">
        <v>4.7544522886557399</v>
      </c>
      <c r="R205" s="24">
        <v>5.45</v>
      </c>
      <c r="S205" s="24">
        <v>5.1980542079525076</v>
      </c>
      <c r="T205" s="24">
        <v>1.04582252762636</v>
      </c>
      <c r="U205" s="24" t="s">
        <v>1925</v>
      </c>
      <c r="V205" s="24">
        <v>10795.45</v>
      </c>
      <c r="W205" s="24" t="s">
        <v>1415</v>
      </c>
      <c r="X205" s="64">
        <v>3.385416666666667</v>
      </c>
    </row>
    <row r="206" spans="1:24" ht="14.4" x14ac:dyDescent="0.55000000000000004">
      <c r="A206" s="24" t="s">
        <v>419</v>
      </c>
      <c r="B206" s="24" t="s">
        <v>1255</v>
      </c>
      <c r="C206" s="24" t="s">
        <v>178</v>
      </c>
      <c r="D206" s="24" t="s">
        <v>72</v>
      </c>
      <c r="E206" s="24" t="s">
        <v>99</v>
      </c>
      <c r="F206" s="70">
        <v>9.8207185665386042E-4</v>
      </c>
      <c r="G206" s="24">
        <v>6.2680790000000002</v>
      </c>
      <c r="H206" s="24">
        <v>7.2874040000000004</v>
      </c>
      <c r="I206" s="24">
        <v>6.0059509999999996</v>
      </c>
      <c r="J206" s="24">
        <v>6.4195180000000001</v>
      </c>
      <c r="K206" s="24">
        <v>4.9015719999999998</v>
      </c>
      <c r="L206" s="24">
        <v>6.84823</v>
      </c>
      <c r="M206" s="24">
        <v>708.14189999999996</v>
      </c>
      <c r="N206" s="24">
        <v>7.1697558320097521</v>
      </c>
      <c r="O206" s="24">
        <v>1.7</v>
      </c>
      <c r="P206" s="24">
        <v>3.6448598130841123</v>
      </c>
      <c r="Q206" s="24">
        <v>6.4307065751047254</v>
      </c>
      <c r="R206" s="24">
        <v>6.27</v>
      </c>
      <c r="S206" s="24">
        <v>4.6811990713789999</v>
      </c>
      <c r="T206" s="24">
        <v>0.52830040639564935</v>
      </c>
      <c r="U206" s="24" t="s">
        <v>1955</v>
      </c>
      <c r="V206" s="24">
        <v>12325.4</v>
      </c>
      <c r="W206" s="24" t="s">
        <v>1415</v>
      </c>
      <c r="X206" s="64">
        <v>3.1956912028725313</v>
      </c>
    </row>
    <row r="207" spans="1:24" ht="14.4" x14ac:dyDescent="0.55000000000000004">
      <c r="A207" s="24" t="s">
        <v>426</v>
      </c>
      <c r="B207" s="24" t="s">
        <v>842</v>
      </c>
      <c r="C207" s="24" t="s">
        <v>125</v>
      </c>
      <c r="D207" s="24" t="s">
        <v>72</v>
      </c>
      <c r="E207" s="24" t="s">
        <v>83</v>
      </c>
      <c r="F207" s="70">
        <v>9.6865588072062427E-4</v>
      </c>
      <c r="G207" s="24">
        <v>3.9185490000000001</v>
      </c>
      <c r="H207" s="24">
        <v>3.8829310000000001</v>
      </c>
      <c r="I207" s="24">
        <v>6.6478339999999996</v>
      </c>
      <c r="J207" s="24">
        <v>4.8164379999999998</v>
      </c>
      <c r="K207" s="24">
        <v>1.968205</v>
      </c>
      <c r="L207" s="24">
        <v>11.1905</v>
      </c>
      <c r="M207" s="24">
        <v>2121.0100000000002</v>
      </c>
      <c r="N207" s="24">
        <v>6.7936394740278425</v>
      </c>
      <c r="O207" s="24">
        <v>1.5</v>
      </c>
      <c r="P207" s="24">
        <v>3.4925373134328357</v>
      </c>
      <c r="Q207" s="24">
        <v>8.0341572532053238</v>
      </c>
      <c r="R207" s="24">
        <v>2.82</v>
      </c>
      <c r="S207" s="24">
        <v>7.0346233367761215</v>
      </c>
      <c r="T207" s="24">
        <v>1.4771404962997317</v>
      </c>
      <c r="U207" s="24" t="s">
        <v>1490</v>
      </c>
      <c r="V207" s="24">
        <v>11395.76</v>
      </c>
      <c r="W207" s="24" t="s">
        <v>1415</v>
      </c>
      <c r="X207" s="64">
        <v>3.4201388888888888</v>
      </c>
    </row>
    <row r="208" spans="1:24" ht="14.4" x14ac:dyDescent="0.55000000000000004">
      <c r="A208" s="24" t="s">
        <v>387</v>
      </c>
      <c r="B208" s="24" t="s">
        <v>1047</v>
      </c>
      <c r="C208" s="24" t="s">
        <v>106</v>
      </c>
      <c r="D208" s="24" t="s">
        <v>72</v>
      </c>
      <c r="E208" s="24" t="s">
        <v>89</v>
      </c>
      <c r="F208" s="70">
        <v>9.6272743051263338E-4</v>
      </c>
      <c r="G208" s="24">
        <v>4.39236</v>
      </c>
      <c r="H208" s="24">
        <v>5.201918</v>
      </c>
      <c r="I208" s="24">
        <v>6.4719009999999999</v>
      </c>
      <c r="J208" s="24">
        <v>5.2590899999999996</v>
      </c>
      <c r="K208" s="24">
        <v>2.354911</v>
      </c>
      <c r="L208" s="24">
        <v>5.0078800000000001</v>
      </c>
      <c r="M208" s="24">
        <v>56.832000000000001</v>
      </c>
      <c r="N208" s="24">
        <v>2.226063443870177</v>
      </c>
      <c r="O208" s="24">
        <v>0</v>
      </c>
      <c r="P208" s="24">
        <v>3.1531531531531525</v>
      </c>
      <c r="Q208" s="24">
        <v>5.6051715360779113</v>
      </c>
      <c r="R208" s="24">
        <v>4.7</v>
      </c>
      <c r="S208" s="24">
        <v>3.0604920783117775</v>
      </c>
      <c r="T208" s="24">
        <v>1.6867291307033683</v>
      </c>
      <c r="U208" s="24" t="s">
        <v>1806</v>
      </c>
      <c r="V208" s="24">
        <v>11040.7</v>
      </c>
      <c r="W208" s="24" t="s">
        <v>1415</v>
      </c>
      <c r="X208" s="64">
        <v>2.8027681660899657</v>
      </c>
    </row>
    <row r="209" spans="1:24" ht="14.4" x14ac:dyDescent="0.55000000000000004">
      <c r="A209" s="24" t="s">
        <v>414</v>
      </c>
      <c r="B209" s="24" t="s">
        <v>1170</v>
      </c>
      <c r="C209" s="24" t="s">
        <v>111</v>
      </c>
      <c r="D209" s="24" t="s">
        <v>72</v>
      </c>
      <c r="E209" s="24" t="s">
        <v>82</v>
      </c>
      <c r="F209" s="70">
        <v>9.3496721921474963E-4</v>
      </c>
      <c r="G209" s="24">
        <v>5.9907659999999998</v>
      </c>
      <c r="H209" s="24">
        <v>7.4899120000000003</v>
      </c>
      <c r="I209" s="24">
        <v>7.7442529999999996</v>
      </c>
      <c r="J209" s="24">
        <v>7.1291869999999999</v>
      </c>
      <c r="K209" s="24">
        <v>8.5498989999999999</v>
      </c>
      <c r="L209" s="24">
        <v>25.300630000000002</v>
      </c>
      <c r="M209" s="24">
        <v>14.752599999999999</v>
      </c>
      <c r="N209" s="24">
        <v>7.001604353877374</v>
      </c>
      <c r="O209" s="24">
        <v>9.9</v>
      </c>
      <c r="P209" s="24">
        <v>2.6344088854203109</v>
      </c>
      <c r="Q209" s="24">
        <v>7.7946768060836513</v>
      </c>
      <c r="R209" s="24">
        <v>7.16</v>
      </c>
      <c r="S209" s="24">
        <v>6.6460408385422447</v>
      </c>
      <c r="T209" s="24">
        <v>1.0088656173492356</v>
      </c>
      <c r="U209" s="24" t="s">
        <v>1667</v>
      </c>
      <c r="V209" s="24">
        <v>10016.76</v>
      </c>
      <c r="W209" s="24" t="s">
        <v>1415</v>
      </c>
      <c r="X209" s="64">
        <v>3.2820512820512819</v>
      </c>
    </row>
    <row r="210" spans="1:24" ht="14.4" x14ac:dyDescent="0.55000000000000004">
      <c r="A210" s="24" t="s">
        <v>433</v>
      </c>
      <c r="B210" s="24" t="s">
        <v>1314</v>
      </c>
      <c r="C210" s="24" t="s">
        <v>106</v>
      </c>
      <c r="D210" s="24" t="s">
        <v>72</v>
      </c>
      <c r="E210" s="24" t="s">
        <v>91</v>
      </c>
      <c r="F210" s="70">
        <v>9.0710172177973949E-4</v>
      </c>
      <c r="G210" s="24">
        <v>8.6361989999999995</v>
      </c>
      <c r="H210" s="24">
        <v>4.1458839999999997</v>
      </c>
      <c r="I210" s="24">
        <v>7.3732360000000003</v>
      </c>
      <c r="J210" s="24">
        <v>6.3348880000000003</v>
      </c>
      <c r="K210" s="24">
        <v>4.9546520000000003</v>
      </c>
      <c r="L210" s="24">
        <v>12.26446</v>
      </c>
      <c r="M210" s="24">
        <v>4.5457000000000001</v>
      </c>
      <c r="N210" s="24">
        <v>2.6921467081184631</v>
      </c>
      <c r="O210" s="24">
        <v>2.7</v>
      </c>
      <c r="P210" s="24">
        <v>2.0186335403726705</v>
      </c>
      <c r="Q210" s="24">
        <v>6.9922416275090304</v>
      </c>
      <c r="R210" s="24">
        <v>6.65</v>
      </c>
      <c r="S210" s="24">
        <v>6.3672958901199763</v>
      </c>
      <c r="T210" s="24">
        <v>1.1726675284753887</v>
      </c>
      <c r="U210" s="24" t="s">
        <v>1894</v>
      </c>
      <c r="V210" s="24">
        <v>9837.3389999999999</v>
      </c>
      <c r="W210" s="24" t="s">
        <v>1415</v>
      </c>
      <c r="X210" s="64">
        <v>3.6363636363636367</v>
      </c>
    </row>
    <row r="211" spans="1:24" ht="14.4" x14ac:dyDescent="0.55000000000000004">
      <c r="A211" s="24" t="s">
        <v>425</v>
      </c>
      <c r="B211" s="24" t="s">
        <v>1123</v>
      </c>
      <c r="C211" s="24" t="s">
        <v>177</v>
      </c>
      <c r="D211" s="24" t="s">
        <v>72</v>
      </c>
      <c r="E211" s="24" t="s">
        <v>89</v>
      </c>
      <c r="F211" s="70">
        <v>8.9942904457760895E-4</v>
      </c>
      <c r="G211" s="24">
        <v>7.0502349999999998</v>
      </c>
      <c r="H211" s="24">
        <v>6.6627799999999997</v>
      </c>
      <c r="I211" s="24">
        <v>8.4647129999999997</v>
      </c>
      <c r="J211" s="24">
        <v>7.3583420000000004</v>
      </c>
      <c r="K211" s="24">
        <v>2.0894409999999999</v>
      </c>
      <c r="L211" s="24">
        <v>6.2546429999999997</v>
      </c>
      <c r="M211" s="24">
        <v>16.679400000000001</v>
      </c>
      <c r="N211" s="24">
        <v>6.1875947184960136</v>
      </c>
      <c r="O211" s="24">
        <v>9.3000000000000007</v>
      </c>
      <c r="P211" s="24">
        <v>6.8468468468468462</v>
      </c>
      <c r="Q211" s="24">
        <v>4.3594145639663573</v>
      </c>
      <c r="R211" s="24">
        <v>5.86</v>
      </c>
      <c r="S211" s="24">
        <v>5.1330748849553203</v>
      </c>
      <c r="T211" s="24">
        <v>1.422988754425468</v>
      </c>
      <c r="U211" s="24" t="s">
        <v>1686</v>
      </c>
      <c r="V211" s="24">
        <v>9743.3459999999995</v>
      </c>
      <c r="W211" s="24" t="s">
        <v>1415</v>
      </c>
      <c r="X211" s="64">
        <v>3.4602076124567471</v>
      </c>
    </row>
    <row r="212" spans="1:24" ht="14.4" x14ac:dyDescent="0.55000000000000004">
      <c r="A212" s="24" t="s">
        <v>421</v>
      </c>
      <c r="B212" s="24" t="s">
        <v>1405</v>
      </c>
      <c r="C212" s="24" t="s">
        <v>127</v>
      </c>
      <c r="D212" s="24" t="s">
        <v>72</v>
      </c>
      <c r="E212" s="24" t="s">
        <v>87</v>
      </c>
      <c r="F212" s="70">
        <v>8.9625324638056727E-4</v>
      </c>
      <c r="G212" s="24">
        <v>6.8509880000000001</v>
      </c>
      <c r="H212" s="24">
        <v>5.54617</v>
      </c>
      <c r="I212" s="24">
        <v>4.757619</v>
      </c>
      <c r="J212" s="24">
        <v>5.8315320000000002</v>
      </c>
      <c r="K212" s="24">
        <v>3.2265990000000002</v>
      </c>
      <c r="L212" s="24">
        <v>6.23027</v>
      </c>
      <c r="M212" s="24">
        <v>88.708799999999997</v>
      </c>
      <c r="N212" s="24">
        <v>2.3810512204009457</v>
      </c>
      <c r="O212" s="24">
        <v>3.1</v>
      </c>
      <c r="P212" s="24">
        <v>6.6945606694560675</v>
      </c>
      <c r="Q212" s="24">
        <v>5.0526581074655263</v>
      </c>
      <c r="R212" s="24">
        <v>4.07</v>
      </c>
      <c r="S212" s="24">
        <v>4.8933933535682215</v>
      </c>
      <c r="T212" s="24">
        <v>0.62603017926340221</v>
      </c>
      <c r="U212" s="24" t="s">
        <v>1641</v>
      </c>
      <c r="V212" s="24">
        <v>9747.7279999999992</v>
      </c>
      <c r="W212" s="24" t="s">
        <v>1415</v>
      </c>
      <c r="X212" s="64">
        <v>3.6589698046181174</v>
      </c>
    </row>
    <row r="213" spans="1:24" ht="14.4" x14ac:dyDescent="0.55000000000000004">
      <c r="A213" s="24" t="s">
        <v>422</v>
      </c>
      <c r="B213" s="24" t="s">
        <v>1066</v>
      </c>
      <c r="C213" s="24" t="s">
        <v>107</v>
      </c>
      <c r="D213" s="24" t="s">
        <v>72</v>
      </c>
      <c r="E213" s="24" t="s">
        <v>89</v>
      </c>
      <c r="F213" s="70">
        <v>8.9254371152069857E-4</v>
      </c>
      <c r="G213" s="24">
        <v>6.4623400000000002</v>
      </c>
      <c r="H213" s="24">
        <v>6.1723420000000004</v>
      </c>
      <c r="I213" s="24">
        <v>6.145022</v>
      </c>
      <c r="J213" s="24">
        <v>6.2801460000000002</v>
      </c>
      <c r="K213" s="24">
        <v>3.0169160000000002</v>
      </c>
      <c r="L213" s="24">
        <v>6.0025519999999997</v>
      </c>
      <c r="M213" s="24">
        <v>31.210999999999999</v>
      </c>
      <c r="N213" s="24">
        <v>4.0998489691009734</v>
      </c>
      <c r="O213" s="24">
        <v>7.1</v>
      </c>
      <c r="P213" s="24">
        <v>7.4474474474474475</v>
      </c>
      <c r="Q213" s="24">
        <v>4.223660911907924</v>
      </c>
      <c r="R213" s="24">
        <v>6.98</v>
      </c>
      <c r="S213" s="24">
        <v>5.3324220788530052</v>
      </c>
      <c r="T213" s="24">
        <v>0.93707103126007074</v>
      </c>
      <c r="U213" s="24" t="s">
        <v>1736</v>
      </c>
      <c r="V213" s="24">
        <v>9066.5190000000002</v>
      </c>
      <c r="W213" s="24" t="s">
        <v>1415</v>
      </c>
      <c r="X213" s="64">
        <v>3.4083044982698962</v>
      </c>
    </row>
    <row r="214" spans="1:24" ht="14.4" x14ac:dyDescent="0.55000000000000004">
      <c r="A214" s="24" t="s">
        <v>432</v>
      </c>
      <c r="B214" s="24" t="s">
        <v>1182</v>
      </c>
      <c r="C214" s="24" t="s">
        <v>106</v>
      </c>
      <c r="D214" s="24" t="s">
        <v>72</v>
      </c>
      <c r="E214" s="24" t="s">
        <v>89</v>
      </c>
      <c r="F214" s="70">
        <v>8.9162055626513593E-4</v>
      </c>
      <c r="G214" s="24">
        <v>5.6849309999999997</v>
      </c>
      <c r="H214" s="24">
        <v>5.273682</v>
      </c>
      <c r="I214" s="24">
        <v>4.3967520000000002</v>
      </c>
      <c r="J214" s="24">
        <v>5.175103</v>
      </c>
      <c r="K214" s="24">
        <v>2.8843420000000002</v>
      </c>
      <c r="L214" s="24">
        <v>5.8696469999999996</v>
      </c>
      <c r="M214" s="24">
        <v>54.8583</v>
      </c>
      <c r="N214" s="24">
        <v>2.6172460506917639</v>
      </c>
      <c r="O214" s="24">
        <v>6.9</v>
      </c>
      <c r="P214" s="24">
        <v>7.5975975975975976</v>
      </c>
      <c r="Q214" s="24">
        <v>4.1555998229305002</v>
      </c>
      <c r="R214" s="24">
        <v>7.29</v>
      </c>
      <c r="S214" s="24">
        <v>5.082352111620283</v>
      </c>
      <c r="T214" s="24">
        <v>0.95974819437333969</v>
      </c>
      <c r="U214" s="24" t="s">
        <v>1797</v>
      </c>
      <c r="V214" s="24">
        <v>9975.9429999999993</v>
      </c>
      <c r="W214" s="24" t="s">
        <v>1415</v>
      </c>
      <c r="X214" s="64">
        <v>3.5813148788927336</v>
      </c>
    </row>
    <row r="215" spans="1:24" ht="14.4" x14ac:dyDescent="0.55000000000000004">
      <c r="A215" s="24" t="s">
        <v>439</v>
      </c>
      <c r="B215" s="24" t="s">
        <v>1163</v>
      </c>
      <c r="C215" s="24" t="s">
        <v>126</v>
      </c>
      <c r="D215" s="24" t="s">
        <v>72</v>
      </c>
      <c r="E215" s="24" t="s">
        <v>98</v>
      </c>
      <c r="F215" s="70">
        <v>8.6728304516076732E-4</v>
      </c>
      <c r="G215" s="24">
        <v>5.9600289999999996</v>
      </c>
      <c r="H215" s="24">
        <v>5.0709720000000003</v>
      </c>
      <c r="I215" s="24">
        <v>5.0033130000000003</v>
      </c>
      <c r="J215" s="24">
        <v>5.4062970000000004</v>
      </c>
      <c r="K215" s="24">
        <v>2.287871</v>
      </c>
      <c r="L215" s="24">
        <v>6.469538</v>
      </c>
      <c r="M215" s="24">
        <v>5622.6149999999998</v>
      </c>
      <c r="N215" s="24">
        <v>6.9193809909852009</v>
      </c>
      <c r="O215" s="24">
        <v>1.3</v>
      </c>
      <c r="P215" s="24">
        <v>8.0745341614906838</v>
      </c>
      <c r="Q215" s="24">
        <v>5.1054317299073801</v>
      </c>
      <c r="R215" s="24">
        <v>6</v>
      </c>
      <c r="S215" s="24">
        <v>5.8593956747523865</v>
      </c>
      <c r="T215" s="24">
        <v>0.64976402592159033</v>
      </c>
      <c r="U215" s="24" t="s">
        <v>1866</v>
      </c>
      <c r="V215" s="24">
        <v>0</v>
      </c>
      <c r="W215" s="24" t="s">
        <v>1415</v>
      </c>
      <c r="X215" s="64">
        <v>3.7392795883361925</v>
      </c>
    </row>
    <row r="216" spans="1:24" ht="14.4" x14ac:dyDescent="0.55000000000000004">
      <c r="A216" s="24" t="s">
        <v>423</v>
      </c>
      <c r="B216" s="24" t="s">
        <v>1120</v>
      </c>
      <c r="C216" s="24" t="s">
        <v>125</v>
      </c>
      <c r="D216" s="24" t="s">
        <v>72</v>
      </c>
      <c r="E216" s="24" t="s">
        <v>96</v>
      </c>
      <c r="F216" s="70">
        <v>8.5545777061867532E-4</v>
      </c>
      <c r="G216" s="24">
        <v>6.5859069999999997</v>
      </c>
      <c r="H216" s="24">
        <v>4.6299929999999998</v>
      </c>
      <c r="I216" s="24">
        <v>5.8009510000000004</v>
      </c>
      <c r="J216" s="24">
        <v>5.7636459999999996</v>
      </c>
      <c r="K216" s="24">
        <v>2.1899609999999998</v>
      </c>
      <c r="L216" s="24">
        <v>1.7841689999999999</v>
      </c>
      <c r="M216" s="24">
        <v>14.8713</v>
      </c>
      <c r="N216" s="24">
        <v>4.9260209032695732</v>
      </c>
      <c r="O216" s="24">
        <v>3.1</v>
      </c>
      <c r="P216" s="24">
        <v>6.5610859728506803</v>
      </c>
      <c r="Q216" s="24">
        <v>1.3807251860287058</v>
      </c>
      <c r="R216" s="24">
        <v>9.0500000000000007</v>
      </c>
      <c r="S216" s="24">
        <v>2.0218528357351944</v>
      </c>
      <c r="T216" s="24">
        <v>1.4304481749001792</v>
      </c>
      <c r="U216" s="24" t="s">
        <v>1923</v>
      </c>
      <c r="V216" s="24">
        <v>8634.2309999999998</v>
      </c>
      <c r="W216" s="24" t="s">
        <v>1415</v>
      </c>
      <c r="X216" s="64">
        <v>3.6221837088388216</v>
      </c>
    </row>
    <row r="217" spans="1:24" ht="14.4" x14ac:dyDescent="0.55000000000000004">
      <c r="A217" s="24" t="s">
        <v>411</v>
      </c>
      <c r="B217" s="24" t="s">
        <v>892</v>
      </c>
      <c r="C217" s="24" t="s">
        <v>126</v>
      </c>
      <c r="D217" s="24" t="s">
        <v>72</v>
      </c>
      <c r="E217" s="24" t="s">
        <v>82</v>
      </c>
      <c r="F217" s="70">
        <v>8.5479462808578746E-4</v>
      </c>
      <c r="G217" s="24">
        <v>8.5846429999999998</v>
      </c>
      <c r="H217" s="24">
        <v>4.4539569999999999</v>
      </c>
      <c r="I217" s="24">
        <v>5.6443760000000003</v>
      </c>
      <c r="J217" s="24">
        <v>6.1098100000000004</v>
      </c>
      <c r="K217" s="24">
        <v>6.5029029999999999</v>
      </c>
      <c r="L217" s="24">
        <v>19.034289999999999</v>
      </c>
      <c r="M217" s="24">
        <v>3.7856000000000001</v>
      </c>
      <c r="N217" s="24">
        <v>3.9619621430780079</v>
      </c>
      <c r="O217" s="24">
        <v>1.6</v>
      </c>
      <c r="P217" s="24">
        <v>4.4623660712221582</v>
      </c>
      <c r="Q217" s="24">
        <v>8.7184914800732294</v>
      </c>
      <c r="R217" s="24">
        <v>6.23</v>
      </c>
      <c r="S217" s="24">
        <v>6.1766019982958831</v>
      </c>
      <c r="T217" s="24">
        <v>1.4065874295743679</v>
      </c>
      <c r="U217" s="24" t="s">
        <v>1864</v>
      </c>
      <c r="V217" s="24">
        <v>10218.01</v>
      </c>
      <c r="W217" s="24" t="s">
        <v>1415</v>
      </c>
      <c r="X217" s="64">
        <v>3.2307692307692308</v>
      </c>
    </row>
    <row r="218" spans="1:24" ht="14.4" x14ac:dyDescent="0.55000000000000004">
      <c r="A218" s="24" t="s">
        <v>434</v>
      </c>
      <c r="B218" s="24" t="s">
        <v>1248</v>
      </c>
      <c r="C218" s="24" t="s">
        <v>106</v>
      </c>
      <c r="D218" s="24" t="s">
        <v>72</v>
      </c>
      <c r="E218" s="24" t="s">
        <v>87</v>
      </c>
      <c r="F218" s="70">
        <v>8.507973578226511E-4</v>
      </c>
      <c r="G218" s="24">
        <v>5.1237570000000003</v>
      </c>
      <c r="H218" s="24">
        <v>5.2918050000000001</v>
      </c>
      <c r="I218" s="24">
        <v>6.0142369999999996</v>
      </c>
      <c r="J218" s="24">
        <v>5.4413159999999996</v>
      </c>
      <c r="K218" s="24">
        <v>2.9167909999999999</v>
      </c>
      <c r="L218" s="24">
        <v>9.5949550000000006</v>
      </c>
      <c r="M218" s="24">
        <v>194.3075</v>
      </c>
      <c r="N218" s="24">
        <v>6.4346562877765923</v>
      </c>
      <c r="O218" s="24">
        <v>4.8</v>
      </c>
      <c r="P218" s="24">
        <v>5.2719665271966534</v>
      </c>
      <c r="Q218" s="24">
        <v>8.418662228562372</v>
      </c>
      <c r="R218" s="24">
        <v>5.15</v>
      </c>
      <c r="S218" s="24">
        <v>6.8996454449683053</v>
      </c>
      <c r="T218" s="24">
        <v>0.9436870213050268</v>
      </c>
      <c r="U218" s="24" t="s">
        <v>1462</v>
      </c>
      <c r="V218" s="24">
        <v>8968.5540000000001</v>
      </c>
      <c r="W218" s="24" t="s">
        <v>1415</v>
      </c>
      <c r="X218" s="64">
        <v>3.8898756660746003</v>
      </c>
    </row>
    <row r="219" spans="1:24" ht="14.4" x14ac:dyDescent="0.55000000000000004">
      <c r="A219" s="24" t="s">
        <v>429</v>
      </c>
      <c r="B219" s="24" t="s">
        <v>1111</v>
      </c>
      <c r="C219" s="24" t="s">
        <v>113</v>
      </c>
      <c r="D219" s="24" t="s">
        <v>72</v>
      </c>
      <c r="E219" s="24" t="s">
        <v>82</v>
      </c>
      <c r="F219" s="70">
        <v>8.477914986568262E-4</v>
      </c>
      <c r="G219" s="24">
        <v>8.5522290000000005</v>
      </c>
      <c r="H219" s="24">
        <v>7.7772040000000002</v>
      </c>
      <c r="I219" s="24">
        <v>7.3559140000000003</v>
      </c>
      <c r="J219" s="24">
        <v>7.8622589999999999</v>
      </c>
      <c r="K219" s="24">
        <v>4.7763859999999996</v>
      </c>
      <c r="L219" s="24">
        <v>7.4433910000000001</v>
      </c>
      <c r="M219" s="24">
        <v>2.0145</v>
      </c>
      <c r="N219" s="24">
        <v>4.4202568478577842</v>
      </c>
      <c r="O219" s="24">
        <v>6.8</v>
      </c>
      <c r="P219" s="24">
        <v>9.7580655653833936</v>
      </c>
      <c r="Q219" s="24">
        <v>1.7448246725813268</v>
      </c>
      <c r="R219" s="24">
        <v>4.66</v>
      </c>
      <c r="S219" s="24">
        <v>4.0260337979165985</v>
      </c>
      <c r="T219" s="24">
        <v>1.1981754126828075</v>
      </c>
      <c r="U219" s="24" t="s">
        <v>1870</v>
      </c>
      <c r="V219" s="24">
        <v>9392.3870000000006</v>
      </c>
      <c r="W219" s="24" t="s">
        <v>1415</v>
      </c>
      <c r="X219" s="64">
        <v>3.5384615384615388</v>
      </c>
    </row>
    <row r="220" spans="1:24" ht="14.4" x14ac:dyDescent="0.55000000000000004">
      <c r="A220" s="24" t="s">
        <v>436</v>
      </c>
      <c r="B220" s="24" t="s">
        <v>1254</v>
      </c>
      <c r="C220" s="24" t="s">
        <v>106</v>
      </c>
      <c r="D220" s="24" t="s">
        <v>72</v>
      </c>
      <c r="E220" s="24" t="s">
        <v>96</v>
      </c>
      <c r="F220" s="70">
        <v>8.4744471494471382E-4</v>
      </c>
      <c r="G220" s="24">
        <v>7.9149560000000001</v>
      </c>
      <c r="H220" s="24">
        <v>6.1052369999999998</v>
      </c>
      <c r="I220" s="24">
        <v>7.8842610000000004</v>
      </c>
      <c r="J220" s="24">
        <v>7.1787910000000004</v>
      </c>
      <c r="K220" s="24">
        <v>1.2235959999999999</v>
      </c>
      <c r="L220" s="24">
        <v>4.9311610000000003</v>
      </c>
      <c r="M220" s="24">
        <v>1.1347</v>
      </c>
      <c r="N220" s="24">
        <v>5.9081644710539747</v>
      </c>
      <c r="O220" s="24">
        <v>6.1</v>
      </c>
      <c r="P220" s="24">
        <v>8.0995475113122186</v>
      </c>
      <c r="Q220" s="24">
        <v>4.4757007243313041</v>
      </c>
      <c r="R220" s="24">
        <v>5.3</v>
      </c>
      <c r="S220" s="24">
        <v>7.4616653057790661</v>
      </c>
      <c r="T220" s="24">
        <v>1.006158890110721</v>
      </c>
      <c r="U220" s="24" t="s">
        <v>1478</v>
      </c>
      <c r="V220" s="24">
        <v>9297.1329999999998</v>
      </c>
      <c r="W220" s="24" t="s">
        <v>1415</v>
      </c>
      <c r="X220" s="64">
        <v>3.8474870017331018</v>
      </c>
    </row>
    <row r="221" spans="1:24" ht="14.4" x14ac:dyDescent="0.55000000000000004">
      <c r="A221" s="24" t="s">
        <v>427</v>
      </c>
      <c r="B221" s="24" t="s">
        <v>1030</v>
      </c>
      <c r="C221" s="24" t="s">
        <v>125</v>
      </c>
      <c r="D221" s="24" t="s">
        <v>72</v>
      </c>
      <c r="E221" s="24" t="s">
        <v>86</v>
      </c>
      <c r="F221" s="70">
        <v>8.4395315841817294E-4</v>
      </c>
      <c r="G221" s="24">
        <v>6.0090599999999998</v>
      </c>
      <c r="H221" s="24">
        <v>6.2332280000000004</v>
      </c>
      <c r="I221" s="24">
        <v>6.0508759999999997</v>
      </c>
      <c r="J221" s="24">
        <v>6.1021539999999996</v>
      </c>
      <c r="K221" s="24">
        <v>0.46281850000000002</v>
      </c>
      <c r="L221" s="24">
        <v>12.17985</v>
      </c>
      <c r="M221" s="24">
        <v>23.138300000000001</v>
      </c>
      <c r="N221" s="24">
        <v>2.3854263238050555</v>
      </c>
      <c r="O221" s="24">
        <v>0.8</v>
      </c>
      <c r="P221" s="24">
        <v>9.8387107353452414</v>
      </c>
      <c r="Q221" s="24">
        <v>3.4037459512744683</v>
      </c>
      <c r="R221" s="24">
        <v>0.49</v>
      </c>
      <c r="S221" s="24">
        <v>5.6566810971350305</v>
      </c>
      <c r="T221" s="24">
        <v>0.9959512600971171</v>
      </c>
      <c r="U221" s="24" t="s">
        <v>1922</v>
      </c>
      <c r="V221" s="24">
        <v>9614.6260000000002</v>
      </c>
      <c r="W221" s="24" t="s">
        <v>1415</v>
      </c>
      <c r="X221" s="64">
        <v>3.5042735042735043</v>
      </c>
    </row>
    <row r="222" spans="1:24" ht="14.4" x14ac:dyDescent="0.55000000000000004">
      <c r="A222" s="24" t="s">
        <v>437</v>
      </c>
      <c r="B222" s="24" t="s">
        <v>1232</v>
      </c>
      <c r="C222" s="24" t="s">
        <v>113</v>
      </c>
      <c r="D222" s="24" t="s">
        <v>72</v>
      </c>
      <c r="E222" s="24" t="s">
        <v>92</v>
      </c>
      <c r="F222" s="70">
        <v>8.3706101979346358E-4</v>
      </c>
      <c r="G222" s="24">
        <v>7.3039319999999996</v>
      </c>
      <c r="H222" s="24">
        <v>6.4461310000000003</v>
      </c>
      <c r="I222" s="24">
        <v>6.505306</v>
      </c>
      <c r="J222" s="24">
        <v>6.9726460000000001</v>
      </c>
      <c r="K222" s="24">
        <v>6.3458930000000002</v>
      </c>
      <c r="L222" s="24">
        <v>7.9228649999999998</v>
      </c>
      <c r="M222" s="24">
        <v>433.24810000000002</v>
      </c>
      <c r="N222" s="24">
        <v>4.0884959981203544</v>
      </c>
      <c r="O222" s="24">
        <v>8.6</v>
      </c>
      <c r="P222" s="24">
        <v>2.8292682926829271</v>
      </c>
      <c r="Q222" s="24">
        <v>0.78908676197529148</v>
      </c>
      <c r="R222" s="24">
        <v>5.63</v>
      </c>
      <c r="S222" s="24">
        <v>3.9401027315827273</v>
      </c>
      <c r="T222" s="24">
        <v>0.59618255076608417</v>
      </c>
      <c r="U222" s="24" t="s">
        <v>1876</v>
      </c>
      <c r="V222" s="24">
        <v>10388.790000000001</v>
      </c>
      <c r="W222" s="24" t="s">
        <v>1415</v>
      </c>
      <c r="X222" s="64">
        <v>4.308300395256917</v>
      </c>
    </row>
    <row r="223" spans="1:24" ht="14.4" x14ac:dyDescent="0.55000000000000004">
      <c r="A223" s="24" t="s">
        <v>452</v>
      </c>
      <c r="B223" s="24" t="s">
        <v>888</v>
      </c>
      <c r="C223" s="24" t="s">
        <v>106</v>
      </c>
      <c r="D223" s="24" t="s">
        <v>72</v>
      </c>
      <c r="E223" s="24" t="s">
        <v>83</v>
      </c>
      <c r="F223" s="70">
        <v>8.2867575961002274E-4</v>
      </c>
      <c r="G223" s="24">
        <v>5.0436040000000002</v>
      </c>
      <c r="H223" s="24">
        <v>5.8097940000000001</v>
      </c>
      <c r="I223" s="24">
        <v>2.8500329999999998</v>
      </c>
      <c r="J223" s="24">
        <v>4.5678109999999998</v>
      </c>
      <c r="K223" s="24">
        <v>1.1406350000000001</v>
      </c>
      <c r="L223" s="24">
        <v>3.5336219999999998</v>
      </c>
      <c r="M223" s="24">
        <v>350.1336</v>
      </c>
      <c r="N223" s="24">
        <v>7.7572078665421333</v>
      </c>
      <c r="O223" s="24">
        <v>5.0999999999999996</v>
      </c>
      <c r="P223" s="24">
        <v>6.477611940298508</v>
      </c>
      <c r="Q223" s="24">
        <v>1.6923316578570269</v>
      </c>
      <c r="R223" s="24">
        <v>1.43</v>
      </c>
      <c r="S223" s="24">
        <v>3.1717151877563325</v>
      </c>
      <c r="T223" s="24">
        <v>1.7958722060395931</v>
      </c>
      <c r="U223" s="24" t="s">
        <v>1760</v>
      </c>
      <c r="V223" s="24">
        <v>8367.9429999999993</v>
      </c>
      <c r="W223" s="24" t="s">
        <v>1415</v>
      </c>
      <c r="X223" s="64">
        <v>3.8715277777777777</v>
      </c>
    </row>
    <row r="224" spans="1:24" ht="14.4" x14ac:dyDescent="0.55000000000000004">
      <c r="A224" s="24" t="s">
        <v>430</v>
      </c>
      <c r="B224" s="24" t="s">
        <v>1398</v>
      </c>
      <c r="C224" s="24" t="s">
        <v>113</v>
      </c>
      <c r="D224" s="24" t="s">
        <v>72</v>
      </c>
      <c r="E224" s="24" t="s">
        <v>82</v>
      </c>
      <c r="F224" s="70">
        <v>8.2756945451516271E-4</v>
      </c>
      <c r="G224" s="24">
        <v>5.9689220000000001</v>
      </c>
      <c r="H224" s="24">
        <v>6.3786009999999997</v>
      </c>
      <c r="I224" s="24">
        <v>5.3172439999999996</v>
      </c>
      <c r="J224" s="24">
        <v>5.8842230000000004</v>
      </c>
      <c r="K224" s="24">
        <v>12.38794</v>
      </c>
      <c r="L224" s="24">
        <v>19.959530000000001</v>
      </c>
      <c r="M224" s="24">
        <v>14.371499999999999</v>
      </c>
      <c r="N224" s="24">
        <v>5.1752985873189079</v>
      </c>
      <c r="O224" s="24">
        <v>5.8</v>
      </c>
      <c r="P224" s="24">
        <v>3.7365595415655424</v>
      </c>
      <c r="Q224" s="24">
        <v>8.4114913392479949</v>
      </c>
      <c r="R224" s="24">
        <v>8.8099989999999995</v>
      </c>
      <c r="S224" s="24">
        <v>6.6341497271767995</v>
      </c>
      <c r="T224" s="24">
        <v>1.0788444163898354</v>
      </c>
      <c r="U224" s="24" t="s">
        <v>1889</v>
      </c>
      <c r="V224" s="24">
        <v>8296.26</v>
      </c>
      <c r="W224" s="24" t="s">
        <v>1415</v>
      </c>
      <c r="X224" s="64">
        <v>3.5555555555555558</v>
      </c>
    </row>
    <row r="225" spans="1:24" ht="14.4" x14ac:dyDescent="0.55000000000000004">
      <c r="A225" s="24" t="s">
        <v>438</v>
      </c>
      <c r="B225" s="24" t="s">
        <v>1363</v>
      </c>
      <c r="C225" s="24" t="s">
        <v>126</v>
      </c>
      <c r="D225" s="24" t="s">
        <v>72</v>
      </c>
      <c r="E225" s="24" t="s">
        <v>82</v>
      </c>
      <c r="F225" s="70">
        <v>8.2664780048779098E-4</v>
      </c>
      <c r="G225" s="24">
        <v>8.6801569999999995</v>
      </c>
      <c r="H225" s="24">
        <v>5.0309140000000001</v>
      </c>
      <c r="I225" s="24">
        <v>5.0392919999999997</v>
      </c>
      <c r="J225" s="24">
        <v>6.1286189999999996</v>
      </c>
      <c r="K225" s="24">
        <v>6.5446770000000001</v>
      </c>
      <c r="L225" s="24">
        <v>20.908110000000001</v>
      </c>
      <c r="M225" s="24">
        <v>3.7961</v>
      </c>
      <c r="N225" s="24">
        <v>4.1177820402283229</v>
      </c>
      <c r="O225" s="24">
        <v>7.2</v>
      </c>
      <c r="P225" s="24">
        <v>7.1236566799630836</v>
      </c>
      <c r="Q225" s="24">
        <v>8.8705816082241959</v>
      </c>
      <c r="R225" s="24">
        <v>5.76</v>
      </c>
      <c r="S225" s="24">
        <v>7.1678686467790644</v>
      </c>
      <c r="T225" s="24">
        <v>0.8387302839941968</v>
      </c>
      <c r="U225" s="24" t="s">
        <v>1865</v>
      </c>
      <c r="V225" s="24">
        <v>9277.2139999999999</v>
      </c>
      <c r="W225" s="24" t="s">
        <v>1415</v>
      </c>
      <c r="X225" s="64">
        <v>3.6923076923076925</v>
      </c>
    </row>
    <row r="226" spans="1:24" ht="14.4" x14ac:dyDescent="0.55000000000000004">
      <c r="A226" s="24" t="s">
        <v>446</v>
      </c>
      <c r="B226" s="24" t="s">
        <v>846</v>
      </c>
      <c r="C226" s="24" t="s">
        <v>107</v>
      </c>
      <c r="D226" s="24" t="s">
        <v>72</v>
      </c>
      <c r="E226" s="24" t="s">
        <v>95</v>
      </c>
      <c r="F226" s="70">
        <v>8.1614460757254022E-4</v>
      </c>
      <c r="G226" s="24">
        <v>7.275271</v>
      </c>
      <c r="H226" s="24">
        <v>6.8515199999999998</v>
      </c>
      <c r="I226" s="24">
        <v>4.7569270000000001</v>
      </c>
      <c r="J226" s="24">
        <v>6.098433</v>
      </c>
      <c r="K226" s="24">
        <v>6.0078199999999997</v>
      </c>
      <c r="L226" s="24">
        <v>11.12598</v>
      </c>
      <c r="M226" s="24">
        <v>19.2807</v>
      </c>
      <c r="N226" s="24">
        <v>5.5765640732780337</v>
      </c>
      <c r="O226" s="24">
        <v>2.6</v>
      </c>
      <c r="P226" s="24">
        <v>2.2594142259414229</v>
      </c>
      <c r="Q226" s="24">
        <v>10</v>
      </c>
      <c r="R226" s="24">
        <v>7.14</v>
      </c>
      <c r="S226" s="24">
        <v>6.9968253702655776</v>
      </c>
      <c r="T226" s="24">
        <v>0.49592749750752102</v>
      </c>
      <c r="U226" s="24" t="s">
        <v>1450</v>
      </c>
      <c r="V226" s="24">
        <v>7766.9589999999998</v>
      </c>
      <c r="W226" s="24" t="s">
        <v>1415</v>
      </c>
      <c r="X226" s="64">
        <v>4.1030195381882777</v>
      </c>
    </row>
    <row r="227" spans="1:24" ht="14.4" x14ac:dyDescent="0.55000000000000004">
      <c r="A227" s="24" t="s">
        <v>431</v>
      </c>
      <c r="B227" s="24" t="s">
        <v>905</v>
      </c>
      <c r="C227" s="24" t="s">
        <v>106</v>
      </c>
      <c r="D227" s="24" t="s">
        <v>72</v>
      </c>
      <c r="E227" s="24" t="s">
        <v>90</v>
      </c>
      <c r="F227" s="70">
        <v>8.1591932326201635E-4</v>
      </c>
      <c r="G227" s="24">
        <v>6.1236259999999998</v>
      </c>
      <c r="H227" s="24">
        <v>6.408264</v>
      </c>
      <c r="I227" s="24">
        <v>4.5898969999999997</v>
      </c>
      <c r="J227" s="24">
        <v>5.6864439999999998</v>
      </c>
      <c r="K227" s="24">
        <v>5.2607549999999996</v>
      </c>
      <c r="L227" s="24">
        <v>6.2457849999999997</v>
      </c>
      <c r="M227" s="24">
        <v>2.4416000000000002</v>
      </c>
      <c r="N227" s="24">
        <v>6.3210360367110923</v>
      </c>
      <c r="O227" s="24">
        <v>7.9</v>
      </c>
      <c r="P227" s="24">
        <v>8.1182804428258528</v>
      </c>
      <c r="Q227" s="24">
        <v>2.5433037600337984</v>
      </c>
      <c r="R227" s="24">
        <v>5.93</v>
      </c>
      <c r="S227" s="24">
        <v>3.948662576780936</v>
      </c>
      <c r="T227" s="24">
        <v>0.7269172928311356</v>
      </c>
      <c r="U227" s="24" t="s">
        <v>1803</v>
      </c>
      <c r="V227" s="24">
        <v>9731.1170000000002</v>
      </c>
      <c r="W227" s="24" t="s">
        <v>1415</v>
      </c>
      <c r="X227" s="64">
        <v>3.5726495726495728</v>
      </c>
    </row>
    <row r="228" spans="1:24" ht="14.4" x14ac:dyDescent="0.55000000000000004">
      <c r="A228" s="24" t="s">
        <v>453</v>
      </c>
      <c r="B228" s="24" t="s">
        <v>865</v>
      </c>
      <c r="C228" s="24" t="s">
        <v>125</v>
      </c>
      <c r="D228" s="24" t="s">
        <v>72</v>
      </c>
      <c r="E228" s="24" t="s">
        <v>84</v>
      </c>
      <c r="F228" s="70">
        <v>8.1408862552407712E-4</v>
      </c>
      <c r="G228" s="24">
        <v>4.7783730000000002</v>
      </c>
      <c r="H228" s="24">
        <v>5.6862950000000003</v>
      </c>
      <c r="I228" s="24">
        <v>6.4944660000000001</v>
      </c>
      <c r="J228" s="24">
        <v>5.5655780000000004</v>
      </c>
      <c r="K228" s="24">
        <v>1.40778</v>
      </c>
      <c r="L228" s="24">
        <v>3.783588</v>
      </c>
      <c r="M228" s="24">
        <v>12.3367</v>
      </c>
      <c r="N228" s="24">
        <v>8.4597111484925378</v>
      </c>
      <c r="O228" s="24">
        <v>8.4</v>
      </c>
      <c r="P228" s="24">
        <v>6.6268656716417906</v>
      </c>
      <c r="Q228" s="24">
        <v>1.839525480689185</v>
      </c>
      <c r="R228" s="24">
        <v>2.68</v>
      </c>
      <c r="S228" s="24">
        <v>4.4168085558942307</v>
      </c>
      <c r="T228" s="24">
        <v>0.94456666809744316</v>
      </c>
      <c r="U228" s="24" t="s">
        <v>1914</v>
      </c>
      <c r="V228" s="24">
        <v>8878.3799999999992</v>
      </c>
      <c r="W228" s="24" t="s">
        <v>1415</v>
      </c>
      <c r="X228" s="64">
        <v>3.8888888888888888</v>
      </c>
    </row>
    <row r="229" spans="1:24" ht="14.4" x14ac:dyDescent="0.55000000000000004">
      <c r="A229" s="24" t="s">
        <v>461</v>
      </c>
      <c r="B229" s="24" t="s">
        <v>877</v>
      </c>
      <c r="C229" s="24" t="s">
        <v>106</v>
      </c>
      <c r="D229" s="24" t="s">
        <v>72</v>
      </c>
      <c r="E229" s="24" t="s">
        <v>95</v>
      </c>
      <c r="F229" s="70">
        <v>8.1373823886430642E-4</v>
      </c>
      <c r="G229" s="24">
        <v>6.053661</v>
      </c>
      <c r="H229" s="24">
        <v>5.3450329999999999</v>
      </c>
      <c r="I229" s="24">
        <v>6.2578199999999997</v>
      </c>
      <c r="J229" s="24">
        <v>5.8518730000000003</v>
      </c>
      <c r="K229" s="24">
        <v>1.3804080000000001</v>
      </c>
      <c r="L229" s="24">
        <v>10.341810000000001</v>
      </c>
      <c r="M229" s="24">
        <v>29.172499999999999</v>
      </c>
      <c r="N229" s="24">
        <v>6.0295035932057512</v>
      </c>
      <c r="O229" s="24">
        <v>9.1</v>
      </c>
      <c r="P229" s="24">
        <v>5.9414225941422592</v>
      </c>
      <c r="Q229" s="24">
        <v>7.5988439795001845</v>
      </c>
      <c r="R229" s="24">
        <v>3.06</v>
      </c>
      <c r="S229" s="24">
        <v>7.2805234347639667</v>
      </c>
      <c r="T229" s="24">
        <v>0.97939232233638363</v>
      </c>
      <c r="U229" s="24" t="s">
        <v>1465</v>
      </c>
      <c r="V229" s="24">
        <v>9126.9279999999999</v>
      </c>
      <c r="W229" s="24" t="s">
        <v>1415</v>
      </c>
      <c r="X229" s="64">
        <v>4.3694493783303727</v>
      </c>
    </row>
    <row r="230" spans="1:24" ht="14.4" x14ac:dyDescent="0.55000000000000004">
      <c r="A230" s="24" t="s">
        <v>428</v>
      </c>
      <c r="B230" s="24" t="s">
        <v>843</v>
      </c>
      <c r="C230" s="24" t="s">
        <v>107</v>
      </c>
      <c r="D230" s="24" t="s">
        <v>72</v>
      </c>
      <c r="E230" s="24" t="s">
        <v>89</v>
      </c>
      <c r="F230" s="70">
        <v>7.9283944105415689E-4</v>
      </c>
      <c r="G230" s="24">
        <v>7.6186629999999997</v>
      </c>
      <c r="H230" s="24">
        <v>7.4393909999999996</v>
      </c>
      <c r="I230" s="24">
        <v>5.5671140000000001</v>
      </c>
      <c r="J230" s="24">
        <v>6.8378750000000004</v>
      </c>
      <c r="K230" s="24">
        <v>3.6077880000000002</v>
      </c>
      <c r="L230" s="24">
        <v>3.9161169999999998</v>
      </c>
      <c r="M230" s="24">
        <v>4.82</v>
      </c>
      <c r="N230" s="24">
        <v>5.9628261956850572</v>
      </c>
      <c r="O230" s="24">
        <v>1.5</v>
      </c>
      <c r="P230" s="24">
        <v>6.306306306306305</v>
      </c>
      <c r="Q230" s="24">
        <v>6.1094510845506864</v>
      </c>
      <c r="R230" s="24">
        <v>7.77</v>
      </c>
      <c r="S230" s="24">
        <v>3.8165188141000872</v>
      </c>
      <c r="T230" s="24">
        <v>1.1707727302177293</v>
      </c>
      <c r="U230" s="24" t="s">
        <v>1745</v>
      </c>
      <c r="V230" s="24">
        <v>8469.4779999999992</v>
      </c>
      <c r="W230" s="24" t="s">
        <v>1415</v>
      </c>
      <c r="X230" s="64">
        <v>3.5121107266435985</v>
      </c>
    </row>
    <row r="231" spans="1:24" ht="14.4" x14ac:dyDescent="0.55000000000000004">
      <c r="A231" s="24" t="s">
        <v>444</v>
      </c>
      <c r="B231" s="24" t="s">
        <v>984</v>
      </c>
      <c r="C231" s="24" t="s">
        <v>112</v>
      </c>
      <c r="D231" s="24" t="s">
        <v>72</v>
      </c>
      <c r="E231" s="24" t="s">
        <v>84</v>
      </c>
      <c r="F231" s="70">
        <v>7.8913471012449928E-4</v>
      </c>
      <c r="G231" s="24">
        <v>5.7316760000000002</v>
      </c>
      <c r="H231" s="24">
        <v>5.5999369999999997</v>
      </c>
      <c r="I231" s="24">
        <v>7.3596630000000003</v>
      </c>
      <c r="J231" s="24">
        <v>6.1805500000000002</v>
      </c>
      <c r="K231" s="24">
        <v>3.1635239999999998</v>
      </c>
      <c r="L231" s="24">
        <v>5.5924050000000003</v>
      </c>
      <c r="M231" s="24">
        <v>16.843699999999998</v>
      </c>
      <c r="N231" s="24">
        <v>6.3474537063077658</v>
      </c>
      <c r="O231" s="24">
        <v>2.5</v>
      </c>
      <c r="P231" s="24">
        <v>6.5074626865671643</v>
      </c>
      <c r="Q231" s="24">
        <v>5.7914059378762248</v>
      </c>
      <c r="R231" s="24">
        <v>5.36</v>
      </c>
      <c r="S231" s="24">
        <v>5.407405935973312</v>
      </c>
      <c r="T231" s="24">
        <v>0.89301039364922874</v>
      </c>
      <c r="U231" s="24" t="s">
        <v>1620</v>
      </c>
      <c r="V231" s="24">
        <v>8702.8709999999992</v>
      </c>
      <c r="W231" s="24" t="s">
        <v>1415</v>
      </c>
      <c r="X231" s="64">
        <v>3.7326388888888888</v>
      </c>
    </row>
    <row r="232" spans="1:24" ht="14.4" x14ac:dyDescent="0.55000000000000004">
      <c r="A232" s="24" t="s">
        <v>460</v>
      </c>
      <c r="B232" s="24" t="s">
        <v>1106</v>
      </c>
      <c r="C232" s="24" t="s">
        <v>106</v>
      </c>
      <c r="D232" s="24" t="s">
        <v>72</v>
      </c>
      <c r="E232" s="24" t="s">
        <v>99</v>
      </c>
      <c r="F232" s="70">
        <v>7.848416979077432E-4</v>
      </c>
      <c r="G232" s="24">
        <v>8.1275099999999991</v>
      </c>
      <c r="H232" s="24">
        <v>6.7687840000000001</v>
      </c>
      <c r="I232" s="24">
        <v>6.4743180000000002</v>
      </c>
      <c r="J232" s="24">
        <v>7.5251260000000002</v>
      </c>
      <c r="K232" s="24">
        <v>4.5643339999999997</v>
      </c>
      <c r="L232" s="24">
        <v>4.1416620000000002</v>
      </c>
      <c r="M232" s="24">
        <v>248.01130000000001</v>
      </c>
      <c r="N232" s="24">
        <v>6.3035919694563178</v>
      </c>
      <c r="O232" s="24">
        <v>4.5999999999999996</v>
      </c>
      <c r="P232" s="24">
        <v>2.1183800623052962</v>
      </c>
      <c r="Q232" s="24">
        <v>0.41777636607992563</v>
      </c>
      <c r="R232" s="24">
        <v>6.18</v>
      </c>
      <c r="S232" s="24">
        <v>2.2095989852437086</v>
      </c>
      <c r="T232" s="24">
        <v>0.51286580717415997</v>
      </c>
      <c r="U232" s="24" t="s">
        <v>1809</v>
      </c>
      <c r="V232" s="24">
        <v>8379.3619999999992</v>
      </c>
      <c r="W232" s="24" t="s">
        <v>1415</v>
      </c>
      <c r="X232" s="64">
        <v>3.9317773788150805</v>
      </c>
    </row>
    <row r="233" spans="1:24" ht="14.4" x14ac:dyDescent="0.55000000000000004">
      <c r="A233" s="24" t="s">
        <v>458</v>
      </c>
      <c r="B233" s="24" t="s">
        <v>1004</v>
      </c>
      <c r="C233" s="24" t="s">
        <v>106</v>
      </c>
      <c r="D233" s="24" t="s">
        <v>72</v>
      </c>
      <c r="E233" s="24" t="s">
        <v>99</v>
      </c>
      <c r="F233" s="70">
        <v>7.7472081777179072E-4</v>
      </c>
      <c r="G233" s="24">
        <v>6.4482660000000003</v>
      </c>
      <c r="H233" s="24">
        <v>8.3987250000000007</v>
      </c>
      <c r="I233" s="24">
        <v>7.6078989999999997</v>
      </c>
      <c r="J233" s="24">
        <v>7.070284</v>
      </c>
      <c r="K233" s="24">
        <v>4.9598589999999998</v>
      </c>
      <c r="L233" s="24">
        <v>5.1425840000000003</v>
      </c>
      <c r="M233" s="24">
        <v>125.4524</v>
      </c>
      <c r="N233" s="24">
        <v>5.504055561523109</v>
      </c>
      <c r="O233" s="24">
        <v>5</v>
      </c>
      <c r="P233" s="24">
        <v>1.557632398753894</v>
      </c>
      <c r="Q233" s="24">
        <v>0.50651572559033331</v>
      </c>
      <c r="R233" s="24">
        <v>6.93</v>
      </c>
      <c r="S233" s="24">
        <v>2.7348402159278047</v>
      </c>
      <c r="T233" s="24">
        <v>0.52322351852925064</v>
      </c>
      <c r="U233" s="24" t="s">
        <v>1817</v>
      </c>
      <c r="V233" s="24">
        <v>8567.8459999999995</v>
      </c>
      <c r="W233" s="24" t="s">
        <v>1415</v>
      </c>
      <c r="X233" s="64">
        <v>3.895870736086176</v>
      </c>
    </row>
    <row r="234" spans="1:24" ht="14.4" x14ac:dyDescent="0.55000000000000004">
      <c r="A234" s="24" t="s">
        <v>455</v>
      </c>
      <c r="B234" s="24" t="s">
        <v>878</v>
      </c>
      <c r="C234" s="24" t="s">
        <v>109</v>
      </c>
      <c r="D234" s="24" t="s">
        <v>72</v>
      </c>
      <c r="E234" s="24" t="s">
        <v>90</v>
      </c>
      <c r="F234" s="70">
        <v>7.7365104256291086E-4</v>
      </c>
      <c r="G234" s="24">
        <v>8.0923590000000001</v>
      </c>
      <c r="H234" s="24">
        <v>4.8819600000000003</v>
      </c>
      <c r="I234" s="24">
        <v>6.1513179999999998</v>
      </c>
      <c r="J234" s="24">
        <v>6.2893549999999996</v>
      </c>
      <c r="K234" s="24">
        <v>7.25793</v>
      </c>
      <c r="L234" s="24">
        <v>17.552859999999999</v>
      </c>
      <c r="M234" s="24">
        <v>0.78952</v>
      </c>
      <c r="N234" s="24">
        <v>4.8831354208586344</v>
      </c>
      <c r="O234" s="24">
        <v>3.6</v>
      </c>
      <c r="P234" s="24">
        <v>3.6021509249624648</v>
      </c>
      <c r="Q234" s="24">
        <v>6.0906914519081825</v>
      </c>
      <c r="R234" s="24">
        <v>6.18</v>
      </c>
      <c r="S234" s="24">
        <v>6.3468115514338894</v>
      </c>
      <c r="T234" s="24">
        <v>0.86764951363612686</v>
      </c>
      <c r="U234" s="24" t="s">
        <v>1518</v>
      </c>
      <c r="V234" s="24">
        <v>7901.5439999999999</v>
      </c>
      <c r="W234" s="24" t="s">
        <v>1415</v>
      </c>
      <c r="X234" s="64">
        <v>3.9829059829059825</v>
      </c>
    </row>
    <row r="235" spans="1:24" ht="14.4" x14ac:dyDescent="0.55000000000000004">
      <c r="A235" s="24" t="s">
        <v>448</v>
      </c>
      <c r="B235" s="24" t="s">
        <v>1039</v>
      </c>
      <c r="C235" s="24" t="s">
        <v>105</v>
      </c>
      <c r="D235" s="24" t="s">
        <v>72</v>
      </c>
      <c r="E235" s="24" t="s">
        <v>95</v>
      </c>
      <c r="F235" s="70">
        <v>7.6874412809793029E-4</v>
      </c>
      <c r="G235" s="24">
        <v>6.5002339999999998</v>
      </c>
      <c r="H235" s="24">
        <v>2.2493129999999999</v>
      </c>
      <c r="I235" s="24">
        <v>6.2953250000000001</v>
      </c>
      <c r="J235" s="24">
        <v>4.7179019999999996</v>
      </c>
      <c r="K235" s="24">
        <v>3.9612259999999999</v>
      </c>
      <c r="L235" s="24">
        <v>4.6111740000000001</v>
      </c>
      <c r="M235" s="24">
        <v>27.169899999999998</v>
      </c>
      <c r="N235" s="24">
        <v>4.7869674838725889</v>
      </c>
      <c r="O235" s="24">
        <v>2.4</v>
      </c>
      <c r="P235" s="24">
        <v>6.0559006211180133</v>
      </c>
      <c r="Q235" s="24">
        <v>4.4003226770242012</v>
      </c>
      <c r="R235" s="24">
        <v>7</v>
      </c>
      <c r="S235" s="24">
        <v>3.6571407497674517</v>
      </c>
      <c r="T235" s="24">
        <v>1.2595901601103487</v>
      </c>
      <c r="U235" s="24" t="s">
        <v>1958</v>
      </c>
      <c r="V235" s="24">
        <v>9061.8739999999998</v>
      </c>
      <c r="W235" s="24" t="s">
        <v>1415</v>
      </c>
      <c r="X235" s="64">
        <v>3.8936535162950259</v>
      </c>
    </row>
    <row r="236" spans="1:24" ht="14.4" x14ac:dyDescent="0.55000000000000004">
      <c r="A236" s="24" t="s">
        <v>467</v>
      </c>
      <c r="B236" s="24" t="s">
        <v>848</v>
      </c>
      <c r="C236" s="24" t="s">
        <v>107</v>
      </c>
      <c r="D236" s="24" t="s">
        <v>72</v>
      </c>
      <c r="E236" s="24" t="s">
        <v>98</v>
      </c>
      <c r="F236" s="70">
        <v>7.6456480889616979E-4</v>
      </c>
      <c r="G236" s="24">
        <v>5.5724130000000001</v>
      </c>
      <c r="H236" s="24">
        <v>5.5975109999999999</v>
      </c>
      <c r="I236" s="24">
        <v>5.2611330000000001</v>
      </c>
      <c r="J236" s="24">
        <v>5.4579399999999998</v>
      </c>
      <c r="K236" s="24">
        <v>3.1721689999999998</v>
      </c>
      <c r="L236" s="24">
        <v>6.3430109999999997</v>
      </c>
      <c r="M236" s="24">
        <v>1262.8309999999999</v>
      </c>
      <c r="N236" s="24">
        <v>5.9294073191803589</v>
      </c>
      <c r="O236" s="24">
        <v>4.4000000000000004</v>
      </c>
      <c r="P236" s="24">
        <v>3.60248447204969</v>
      </c>
      <c r="Q236" s="24">
        <v>4.0935806828367332</v>
      </c>
      <c r="R236" s="24">
        <v>5.69</v>
      </c>
      <c r="S236" s="24">
        <v>4.8826572194420592</v>
      </c>
      <c r="T236" s="24">
        <v>1.2101695820126992</v>
      </c>
      <c r="U236" s="24" t="s">
        <v>1710</v>
      </c>
      <c r="V236" s="24">
        <v>8809.5239999999994</v>
      </c>
      <c r="W236" s="24" t="s">
        <v>1415</v>
      </c>
      <c r="X236" s="64">
        <v>4.2195540308747859</v>
      </c>
    </row>
    <row r="237" spans="1:24" ht="14.4" x14ac:dyDescent="0.55000000000000004">
      <c r="A237" s="24" t="s">
        <v>435</v>
      </c>
      <c r="B237" s="24" t="s">
        <v>1393</v>
      </c>
      <c r="C237" s="24" t="s">
        <v>107</v>
      </c>
      <c r="D237" s="24" t="s">
        <v>72</v>
      </c>
      <c r="E237" s="24" t="s">
        <v>85</v>
      </c>
      <c r="F237" s="70">
        <v>7.5902797908226145E-4</v>
      </c>
      <c r="G237" s="24">
        <v>5.8290139999999999</v>
      </c>
      <c r="H237" s="24">
        <v>6.8575140000000001</v>
      </c>
      <c r="I237" s="24">
        <v>5.2788680000000001</v>
      </c>
      <c r="J237" s="24">
        <v>5.9725200000000003</v>
      </c>
      <c r="K237" s="24">
        <v>4.8668820000000004</v>
      </c>
      <c r="L237" s="24">
        <v>11.10548</v>
      </c>
      <c r="M237" s="24">
        <v>41.133699999999997</v>
      </c>
      <c r="N237" s="24">
        <v>5.716447559263127</v>
      </c>
      <c r="O237" s="24">
        <v>2.2999999999999998</v>
      </c>
      <c r="P237" s="24">
        <v>3.9639639639639634</v>
      </c>
      <c r="Q237" s="24">
        <v>10</v>
      </c>
      <c r="R237" s="24">
        <v>6.77</v>
      </c>
      <c r="S237" s="24">
        <v>7.5361395439542616</v>
      </c>
      <c r="T237" s="24">
        <v>1.0374222438214231</v>
      </c>
      <c r="U237" s="24" t="s">
        <v>1453</v>
      </c>
      <c r="V237" s="24">
        <v>6573.5910000000003</v>
      </c>
      <c r="W237" s="24" t="s">
        <v>1415</v>
      </c>
      <c r="X237" s="64">
        <v>3.6332179930795849</v>
      </c>
    </row>
    <row r="238" spans="1:24" ht="14.4" x14ac:dyDescent="0.55000000000000004">
      <c r="A238" s="24" t="s">
        <v>451</v>
      </c>
      <c r="B238" s="24" t="s">
        <v>1067</v>
      </c>
      <c r="C238" s="24" t="s">
        <v>106</v>
      </c>
      <c r="D238" s="24" t="s">
        <v>72</v>
      </c>
      <c r="E238" s="24" t="s">
        <v>91</v>
      </c>
      <c r="F238" s="70">
        <v>7.4127185236707313E-4</v>
      </c>
      <c r="G238" s="24">
        <v>7.81982</v>
      </c>
      <c r="H238" s="24">
        <v>5.8233129999999997</v>
      </c>
      <c r="I238" s="24">
        <v>6.5887710000000004</v>
      </c>
      <c r="J238" s="24">
        <v>6.5287980000000001</v>
      </c>
      <c r="K238" s="24">
        <v>2.3761239999999999</v>
      </c>
      <c r="L238" s="24">
        <v>6.7254519999999998</v>
      </c>
      <c r="M238" s="24">
        <v>7.7739000000000003</v>
      </c>
      <c r="N238" s="24">
        <v>2.8926479587387477</v>
      </c>
      <c r="O238" s="24">
        <v>5.8</v>
      </c>
      <c r="P238" s="24">
        <v>3.9440993788819876</v>
      </c>
      <c r="Q238" s="24">
        <v>5.4487503055653637</v>
      </c>
      <c r="R238" s="24">
        <v>4.4800000000000004</v>
      </c>
      <c r="S238" s="24">
        <v>5.53514817250473</v>
      </c>
      <c r="T238" s="24">
        <v>0.5786019949643868</v>
      </c>
      <c r="U238" s="24" t="s">
        <v>1782</v>
      </c>
      <c r="V238" s="24">
        <v>8128.5969999999998</v>
      </c>
      <c r="W238" s="24" t="s">
        <v>1415</v>
      </c>
      <c r="X238" s="64">
        <v>3.9451114922813035</v>
      </c>
    </row>
    <row r="239" spans="1:24" ht="14.4" x14ac:dyDescent="0.55000000000000004">
      <c r="A239" s="24" t="s">
        <v>463</v>
      </c>
      <c r="B239" s="24" t="s">
        <v>988</v>
      </c>
      <c r="C239" s="24" t="s">
        <v>107</v>
      </c>
      <c r="D239" s="24" t="s">
        <v>72</v>
      </c>
      <c r="E239" s="24" t="s">
        <v>86</v>
      </c>
      <c r="F239" s="70">
        <v>7.3973109183374849E-4</v>
      </c>
      <c r="G239" s="24">
        <v>8.6620620000000006</v>
      </c>
      <c r="H239" s="24">
        <v>6.1531929999999999</v>
      </c>
      <c r="I239" s="24">
        <v>5.6760950000000001</v>
      </c>
      <c r="J239" s="24">
        <v>6.7388700000000004</v>
      </c>
      <c r="K239" s="24">
        <v>2.7888069999999998</v>
      </c>
      <c r="L239" s="24">
        <v>8.0031920000000003</v>
      </c>
      <c r="M239" s="24">
        <v>3.5882999999999998</v>
      </c>
      <c r="N239" s="24">
        <v>8.0178729614057271</v>
      </c>
      <c r="O239" s="24">
        <v>7.8</v>
      </c>
      <c r="P239" s="24">
        <v>7.5806459764135461</v>
      </c>
      <c r="Q239" s="24">
        <v>2.251795521757499</v>
      </c>
      <c r="R239" s="24">
        <v>3.99</v>
      </c>
      <c r="S239" s="24">
        <v>4.9987975635593962</v>
      </c>
      <c r="T239" s="24">
        <v>0.64491787767960629</v>
      </c>
      <c r="U239" s="24" t="s">
        <v>1912</v>
      </c>
      <c r="V239" s="24">
        <v>7689.6679999999997</v>
      </c>
      <c r="W239" s="24" t="s">
        <v>1415</v>
      </c>
      <c r="X239" s="64">
        <v>4.1196581196581192</v>
      </c>
    </row>
    <row r="240" spans="1:24" ht="14.4" x14ac:dyDescent="0.55000000000000004">
      <c r="A240" s="24" t="s">
        <v>459</v>
      </c>
      <c r="B240" s="24" t="s">
        <v>1109</v>
      </c>
      <c r="C240" s="24" t="s">
        <v>125</v>
      </c>
      <c r="D240" s="24" t="s">
        <v>72</v>
      </c>
      <c r="E240" s="24" t="s">
        <v>87</v>
      </c>
      <c r="F240" s="70">
        <v>7.3837258040280671E-4</v>
      </c>
      <c r="G240" s="24">
        <v>6.1665020000000004</v>
      </c>
      <c r="H240" s="24">
        <v>5.0787810000000002</v>
      </c>
      <c r="I240" s="24">
        <v>6.4452100000000003</v>
      </c>
      <c r="J240" s="24">
        <v>5.9237989999999998</v>
      </c>
      <c r="K240" s="24" t="e">
        <v>#N/A</v>
      </c>
      <c r="L240" s="24">
        <v>4.495692</v>
      </c>
      <c r="M240" s="24">
        <v>78.885099999999994</v>
      </c>
      <c r="N240" s="24">
        <v>2.2241848234288457</v>
      </c>
      <c r="O240" s="24">
        <v>1.6</v>
      </c>
      <c r="P240" s="24">
        <v>1.5481171548117154</v>
      </c>
      <c r="Q240" s="24">
        <v>5.1075183600147938</v>
      </c>
      <c r="R240" s="24">
        <v>0</v>
      </c>
      <c r="S240" s="24">
        <v>3.1390972489684437</v>
      </c>
      <c r="T240" s="24">
        <v>0.577637563722737</v>
      </c>
      <c r="U240" s="24" t="s">
        <v>1901</v>
      </c>
      <c r="V240" s="24">
        <v>8820.1740000000009</v>
      </c>
      <c r="W240" s="24" t="s">
        <v>1415</v>
      </c>
      <c r="X240" s="64">
        <v>4.3339253996447606</v>
      </c>
    </row>
    <row r="241" spans="1:24" ht="14.4" x14ac:dyDescent="0.55000000000000004">
      <c r="A241" s="24" t="s">
        <v>442</v>
      </c>
      <c r="B241" s="24" t="s">
        <v>850</v>
      </c>
      <c r="C241" s="24" t="s">
        <v>107</v>
      </c>
      <c r="D241" s="24" t="s">
        <v>72</v>
      </c>
      <c r="E241" s="24" t="s">
        <v>85</v>
      </c>
      <c r="F241" s="70">
        <v>7.3649734622853555E-4</v>
      </c>
      <c r="G241" s="24">
        <v>6.088279</v>
      </c>
      <c r="H241" s="24">
        <v>4.0214129999999999</v>
      </c>
      <c r="I241" s="24">
        <v>5.0893639999999998</v>
      </c>
      <c r="J241" s="24">
        <v>5.1685439999999998</v>
      </c>
      <c r="K241" s="24">
        <v>6.4315810000000004</v>
      </c>
      <c r="L241" s="24">
        <v>8.7578490000000002</v>
      </c>
      <c r="M241" s="24">
        <v>59.770499999999998</v>
      </c>
      <c r="N241" s="24">
        <v>4.8930185911813879</v>
      </c>
      <c r="O241" s="24">
        <v>0.6</v>
      </c>
      <c r="P241" s="24">
        <v>3.3633633633633626</v>
      </c>
      <c r="Q241" s="24">
        <v>9.9983410801239501</v>
      </c>
      <c r="R241" s="24">
        <v>7.44</v>
      </c>
      <c r="S241" s="24">
        <v>6.8713592930773535</v>
      </c>
      <c r="T241" s="24">
        <v>0.80380565267455806</v>
      </c>
      <c r="U241" s="24" t="s">
        <v>1711</v>
      </c>
      <c r="V241" s="24">
        <v>5437.616</v>
      </c>
      <c r="W241" s="24" t="s">
        <v>1415</v>
      </c>
      <c r="X241" s="64">
        <v>3.7543252595155705</v>
      </c>
    </row>
    <row r="242" spans="1:24" ht="14.4" x14ac:dyDescent="0.55000000000000004">
      <c r="A242" s="24" t="s">
        <v>474</v>
      </c>
      <c r="B242" s="24" t="s">
        <v>1212</v>
      </c>
      <c r="C242" s="24" t="s">
        <v>125</v>
      </c>
      <c r="D242" s="24" t="s">
        <v>72</v>
      </c>
      <c r="E242" s="24" t="s">
        <v>82</v>
      </c>
      <c r="F242" s="70">
        <v>7.3577965907137602E-4</v>
      </c>
      <c r="G242" s="24">
        <v>7.5867250000000004</v>
      </c>
      <c r="H242" s="24">
        <v>5.7144149999999998</v>
      </c>
      <c r="I242" s="24">
        <v>5.9836520000000002</v>
      </c>
      <c r="J242" s="24">
        <v>6.3703409999999998</v>
      </c>
      <c r="K242" s="24">
        <v>8.0911349999999995</v>
      </c>
      <c r="L242" s="24">
        <v>19.058009999999999</v>
      </c>
      <c r="M242" s="24">
        <v>0.87019000000000002</v>
      </c>
      <c r="N242" s="24">
        <v>4.5967000273464711</v>
      </c>
      <c r="O242" s="24">
        <v>4</v>
      </c>
      <c r="P242" s="24">
        <v>2.6344088854203109</v>
      </c>
      <c r="Q242" s="24">
        <v>9.0733699478946619</v>
      </c>
      <c r="R242" s="24">
        <v>5.79</v>
      </c>
      <c r="S242" s="24">
        <v>6.3444807913868209</v>
      </c>
      <c r="T242" s="24">
        <v>1.1340017788789005</v>
      </c>
      <c r="U242" s="24" t="s">
        <v>1916</v>
      </c>
      <c r="V242" s="24">
        <v>7208.7610000000004</v>
      </c>
      <c r="W242" s="24" t="s">
        <v>1415</v>
      </c>
      <c r="X242" s="64">
        <v>4.3076923076923084</v>
      </c>
    </row>
    <row r="243" spans="1:24" ht="14.4" x14ac:dyDescent="0.55000000000000004">
      <c r="A243" s="24" t="s">
        <v>465</v>
      </c>
      <c r="B243" s="24" t="s">
        <v>1346</v>
      </c>
      <c r="C243" s="24" t="s">
        <v>125</v>
      </c>
      <c r="D243" s="24" t="s">
        <v>72</v>
      </c>
      <c r="E243" s="24" t="s">
        <v>90</v>
      </c>
      <c r="F243" s="70">
        <v>7.3572241223636068E-4</v>
      </c>
      <c r="G243" s="24">
        <v>6.9805630000000001</v>
      </c>
      <c r="H243" s="24">
        <v>5.0485379999999997</v>
      </c>
      <c r="I243" s="24">
        <v>6.6124020000000003</v>
      </c>
      <c r="J243" s="24">
        <v>6.1754980000000002</v>
      </c>
      <c r="K243" s="24">
        <v>6.183541</v>
      </c>
      <c r="L243" s="24">
        <v>9.2315070000000006</v>
      </c>
      <c r="M243" s="24">
        <v>0.44506000000000001</v>
      </c>
      <c r="N243" s="24">
        <v>1.1950050960130656</v>
      </c>
      <c r="O243" s="24">
        <v>1.2</v>
      </c>
      <c r="P243" s="24">
        <v>0.98566354684554258</v>
      </c>
      <c r="Q243" s="24">
        <v>5.8160822419377567</v>
      </c>
      <c r="R243" s="24">
        <v>6.52</v>
      </c>
      <c r="S243" s="24">
        <v>3.2959552449460183</v>
      </c>
      <c r="T243" s="24">
        <v>1.0480728781874109</v>
      </c>
      <c r="U243" s="24" t="s">
        <v>1524</v>
      </c>
      <c r="V243" s="24">
        <v>6245.7489999999998</v>
      </c>
      <c r="W243" s="24" t="s">
        <v>1415</v>
      </c>
      <c r="X243" s="64">
        <v>4.1538461538461542</v>
      </c>
    </row>
    <row r="244" spans="1:24" ht="14.4" x14ac:dyDescent="0.55000000000000004">
      <c r="A244" s="24" t="s">
        <v>441</v>
      </c>
      <c r="B244" s="24" t="s">
        <v>1296</v>
      </c>
      <c r="C244" s="24" t="s">
        <v>111</v>
      </c>
      <c r="D244" s="24" t="s">
        <v>72</v>
      </c>
      <c r="E244" s="24" t="s">
        <v>85</v>
      </c>
      <c r="F244" s="70">
        <v>7.3471458771082773E-4</v>
      </c>
      <c r="G244" s="24">
        <v>5.7607699999999999</v>
      </c>
      <c r="H244" s="24">
        <v>6.9115989999999998</v>
      </c>
      <c r="I244" s="24">
        <v>4.3581050000000001</v>
      </c>
      <c r="J244" s="24">
        <v>5.685219</v>
      </c>
      <c r="K244" s="24">
        <v>5.074179</v>
      </c>
      <c r="L244" s="24">
        <v>6.3421200000000004</v>
      </c>
      <c r="M244" s="24">
        <v>30.5776</v>
      </c>
      <c r="N244" s="24">
        <v>4.3202941724532442</v>
      </c>
      <c r="O244" s="24">
        <v>7.5</v>
      </c>
      <c r="P244" s="24">
        <v>5.1951951951951951</v>
      </c>
      <c r="Q244" s="24">
        <v>8.3764940239043835</v>
      </c>
      <c r="R244" s="24">
        <v>6.68</v>
      </c>
      <c r="S244" s="24">
        <v>6.2147282529714296</v>
      </c>
      <c r="T244" s="24">
        <v>0.81002476018457104</v>
      </c>
      <c r="U244" s="24" t="s">
        <v>1677</v>
      </c>
      <c r="V244" s="24">
        <v>8040.8360000000002</v>
      </c>
      <c r="W244" s="24" t="s">
        <v>1415</v>
      </c>
      <c r="X244" s="64">
        <v>3.7370242214532872</v>
      </c>
    </row>
    <row r="245" spans="1:24" ht="14.4" x14ac:dyDescent="0.55000000000000004">
      <c r="A245" s="24" t="s">
        <v>476</v>
      </c>
      <c r="B245" s="24" t="s">
        <v>1306</v>
      </c>
      <c r="C245" s="24" t="s">
        <v>105</v>
      </c>
      <c r="D245" s="24" t="s">
        <v>72</v>
      </c>
      <c r="E245" s="24" t="s">
        <v>83</v>
      </c>
      <c r="F245" s="70">
        <v>7.3262087479383179E-4</v>
      </c>
      <c r="G245" s="24">
        <v>5.7926409999999997</v>
      </c>
      <c r="H245" s="24">
        <v>6.0712960000000002</v>
      </c>
      <c r="I245" s="24">
        <v>5.676164</v>
      </c>
      <c r="J245" s="24">
        <v>5.8467000000000002</v>
      </c>
      <c r="K245" s="24">
        <v>2.7253780000000001</v>
      </c>
      <c r="L245" s="24">
        <v>9.1565049999999992</v>
      </c>
      <c r="M245" s="24">
        <v>627.53229999999996</v>
      </c>
      <c r="N245" s="24">
        <v>8.0491266572977356</v>
      </c>
      <c r="O245" s="24">
        <v>4.4000000000000004</v>
      </c>
      <c r="P245" s="24">
        <v>6.2686567164179108</v>
      </c>
      <c r="Q245" s="24">
        <v>5.7315958495289374</v>
      </c>
      <c r="R245" s="24">
        <v>5.27</v>
      </c>
      <c r="S245" s="24">
        <v>6.433129239158017</v>
      </c>
      <c r="T245" s="24">
        <v>1.7825875489937031</v>
      </c>
      <c r="U245" s="24" t="s">
        <v>2010</v>
      </c>
      <c r="V245" s="24">
        <v>8324.3629999999994</v>
      </c>
      <c r="W245" s="24" t="s">
        <v>1415</v>
      </c>
      <c r="X245" s="64">
        <v>4.2881944444444446</v>
      </c>
    </row>
    <row r="246" spans="1:24" ht="14.4" x14ac:dyDescent="0.55000000000000004">
      <c r="A246" s="24" t="s">
        <v>471</v>
      </c>
      <c r="B246" s="24" t="s">
        <v>1387</v>
      </c>
      <c r="C246" s="24" t="s">
        <v>106</v>
      </c>
      <c r="D246" s="24" t="s">
        <v>72</v>
      </c>
      <c r="E246" s="24" t="s">
        <v>86</v>
      </c>
      <c r="F246" s="70">
        <v>7.3116468344859814E-4</v>
      </c>
      <c r="G246" s="24">
        <v>7.9175170000000001</v>
      </c>
      <c r="H246" s="24">
        <v>7.7289479999999999</v>
      </c>
      <c r="I246" s="24">
        <v>6.4377240000000002</v>
      </c>
      <c r="J246" s="24">
        <v>7.3335910000000002</v>
      </c>
      <c r="K246" s="24">
        <v>3.9127320000000001</v>
      </c>
      <c r="L246" s="24">
        <v>8.296659</v>
      </c>
      <c r="M246" s="24">
        <v>0.22076000000000001</v>
      </c>
      <c r="N246" s="24">
        <v>3.4532545120648264</v>
      </c>
      <c r="O246" s="24">
        <v>6</v>
      </c>
      <c r="P246" s="24">
        <v>9.4623666088566267</v>
      </c>
      <c r="Q246" s="24">
        <v>1.8532601042106747</v>
      </c>
      <c r="R246" s="24">
        <v>4.03</v>
      </c>
      <c r="S246" s="24">
        <v>3.5866330973843574</v>
      </c>
      <c r="T246" s="24">
        <v>1.8286666055599958</v>
      </c>
      <c r="U246" s="24" t="s">
        <v>1856</v>
      </c>
      <c r="V246" s="24">
        <v>7071.2079999999996</v>
      </c>
      <c r="W246" s="24" t="s">
        <v>1415</v>
      </c>
      <c r="X246" s="64">
        <v>4.2564102564102564</v>
      </c>
    </row>
    <row r="247" spans="1:24" ht="14.4" x14ac:dyDescent="0.55000000000000004">
      <c r="A247" s="24" t="s">
        <v>447</v>
      </c>
      <c r="B247" s="24" t="s">
        <v>1360</v>
      </c>
      <c r="C247" s="24" t="s">
        <v>108</v>
      </c>
      <c r="D247" s="24" t="s">
        <v>72</v>
      </c>
      <c r="E247" s="24" t="s">
        <v>89</v>
      </c>
      <c r="F247" s="70">
        <v>7.3000183209187845E-4</v>
      </c>
      <c r="G247" s="24">
        <v>5.5404960000000001</v>
      </c>
      <c r="H247" s="24">
        <v>6.2679720000000003</v>
      </c>
      <c r="I247" s="24">
        <v>6.0135339999999999</v>
      </c>
      <c r="J247" s="24">
        <v>5.9006499999999997</v>
      </c>
      <c r="K247" s="24">
        <v>1.652455</v>
      </c>
      <c r="L247" s="24">
        <v>5.7839859999999996</v>
      </c>
      <c r="M247" s="24">
        <v>4.1035000000000004</v>
      </c>
      <c r="N247" s="24">
        <v>7.7350331646841077</v>
      </c>
      <c r="O247" s="24">
        <v>9.6999999999999993</v>
      </c>
      <c r="P247" s="24">
        <v>7.7477477477477477</v>
      </c>
      <c r="Q247" s="24">
        <v>1.4329714475431607</v>
      </c>
      <c r="R247" s="24">
        <v>5.58</v>
      </c>
      <c r="S247" s="24">
        <v>4.5529796951865702</v>
      </c>
      <c r="T247" s="24">
        <v>0.9900407667021538</v>
      </c>
      <c r="U247" s="24" t="s">
        <v>1931</v>
      </c>
      <c r="V247" s="24">
        <v>6491.7070000000003</v>
      </c>
      <c r="W247" s="24" t="s">
        <v>1415</v>
      </c>
      <c r="X247" s="64">
        <v>3.8408304498269894</v>
      </c>
    </row>
    <row r="248" spans="1:24" ht="14.4" x14ac:dyDescent="0.55000000000000004">
      <c r="A248" s="24" t="s">
        <v>456</v>
      </c>
      <c r="B248" s="24" t="s">
        <v>1076</v>
      </c>
      <c r="C248" s="24" t="s">
        <v>110</v>
      </c>
      <c r="D248" s="24" t="s">
        <v>72</v>
      </c>
      <c r="E248" s="24" t="s">
        <v>90</v>
      </c>
      <c r="F248" s="70">
        <v>7.2724447623259778E-4</v>
      </c>
      <c r="G248" s="24" t="e">
        <v>#N/A</v>
      </c>
      <c r="H248" s="24" t="e">
        <v>#N/A</v>
      </c>
      <c r="I248" s="24" t="e">
        <v>#N/A</v>
      </c>
      <c r="J248" s="24" t="e">
        <v>#N/A</v>
      </c>
      <c r="K248" s="24">
        <v>4.7259840000000004</v>
      </c>
      <c r="L248" s="24">
        <v>6.7562129999999998</v>
      </c>
      <c r="M248" s="24" t="e">
        <v>#N/A</v>
      </c>
      <c r="N248" s="24">
        <v>4.8705318455789106</v>
      </c>
      <c r="O248" s="24">
        <v>3.5</v>
      </c>
      <c r="P248" s="24">
        <v>2.3835131595175443</v>
      </c>
      <c r="Q248" s="24">
        <v>2.3785382340515424</v>
      </c>
      <c r="R248" s="24">
        <v>5.32</v>
      </c>
      <c r="S248" s="24">
        <v>3.6270586908600535</v>
      </c>
      <c r="T248" s="24">
        <v>0.52955133350903039</v>
      </c>
      <c r="U248" s="24" t="s">
        <v>1542</v>
      </c>
      <c r="V248" s="24">
        <v>8279.5010000000002</v>
      </c>
      <c r="W248" s="24" t="s">
        <v>1415</v>
      </c>
      <c r="X248" s="64">
        <v>4</v>
      </c>
    </row>
    <row r="249" spans="1:24" ht="14.4" x14ac:dyDescent="0.55000000000000004">
      <c r="A249" s="24" t="s">
        <v>472</v>
      </c>
      <c r="B249" s="24" t="s">
        <v>845</v>
      </c>
      <c r="C249" s="24" t="s">
        <v>107</v>
      </c>
      <c r="D249" s="24" t="s">
        <v>72</v>
      </c>
      <c r="E249" s="24" t="s">
        <v>94</v>
      </c>
      <c r="F249" s="70">
        <v>7.2622294048958736E-4</v>
      </c>
      <c r="G249" s="24">
        <v>7.911295</v>
      </c>
      <c r="H249" s="24">
        <v>5.2978540000000001</v>
      </c>
      <c r="I249" s="24">
        <v>5.8404090000000002</v>
      </c>
      <c r="J249" s="24">
        <v>6.5602520000000002</v>
      </c>
      <c r="K249" s="24">
        <v>4.3498830000000002</v>
      </c>
      <c r="L249" s="24">
        <v>14.595599999999999</v>
      </c>
      <c r="M249" s="24">
        <v>71.312799999999996</v>
      </c>
      <c r="N249" s="24">
        <v>10</v>
      </c>
      <c r="O249" s="24">
        <v>4.5</v>
      </c>
      <c r="P249" s="24">
        <v>1.9791666666666672</v>
      </c>
      <c r="Q249" s="24">
        <v>10</v>
      </c>
      <c r="R249" s="24">
        <v>5.75</v>
      </c>
      <c r="S249" s="24">
        <v>7.6345133720946068</v>
      </c>
      <c r="T249" s="24">
        <v>1.1570975802387635</v>
      </c>
      <c r="U249" s="24" t="s">
        <v>1457</v>
      </c>
      <c r="V249" s="24">
        <v>8101.9049999999997</v>
      </c>
      <c r="W249" s="24" t="s">
        <v>1415</v>
      </c>
      <c r="X249" s="64">
        <v>3.1372549019607843</v>
      </c>
    </row>
    <row r="250" spans="1:24" ht="14.4" x14ac:dyDescent="0.55000000000000004">
      <c r="A250" s="24" t="s">
        <v>464</v>
      </c>
      <c r="B250" s="24" t="s">
        <v>1316</v>
      </c>
      <c r="C250" s="24" t="s">
        <v>113</v>
      </c>
      <c r="D250" s="24" t="s">
        <v>72</v>
      </c>
      <c r="E250" s="24" t="s">
        <v>86</v>
      </c>
      <c r="F250" s="70">
        <v>7.1763891769366297E-4</v>
      </c>
      <c r="G250" s="24">
        <v>5.2009359999999996</v>
      </c>
      <c r="H250" s="24">
        <v>6.8596450000000004</v>
      </c>
      <c r="I250" s="24">
        <v>5.5891700000000002</v>
      </c>
      <c r="J250" s="24">
        <v>5.9173660000000003</v>
      </c>
      <c r="K250" s="24">
        <v>7.50868</v>
      </c>
      <c r="L250" s="24">
        <v>11.876609999999999</v>
      </c>
      <c r="M250" s="24">
        <v>10.8331</v>
      </c>
      <c r="N250" s="24">
        <v>4.002063428142228</v>
      </c>
      <c r="O250" s="24">
        <v>7.5</v>
      </c>
      <c r="P250" s="24">
        <v>3.6827960949243108</v>
      </c>
      <c r="Q250" s="24">
        <v>4.0684410646387832</v>
      </c>
      <c r="R250" s="24">
        <v>5.46</v>
      </c>
      <c r="S250" s="24">
        <v>4.5195956084446482</v>
      </c>
      <c r="T250" s="24">
        <v>0.99151554941462261</v>
      </c>
      <c r="U250" s="24" t="s">
        <v>1869</v>
      </c>
      <c r="V250" s="24">
        <v>8334.6059999999998</v>
      </c>
      <c r="W250" s="24" t="s">
        <v>1415</v>
      </c>
      <c r="X250" s="64">
        <v>4.1367521367521363</v>
      </c>
    </row>
    <row r="251" spans="1:24" ht="14.4" x14ac:dyDescent="0.55000000000000004">
      <c r="A251" s="24" t="s">
        <v>454</v>
      </c>
      <c r="B251" s="24" t="s">
        <v>922</v>
      </c>
      <c r="C251" s="24" t="s">
        <v>106</v>
      </c>
      <c r="D251" s="24" t="s">
        <v>72</v>
      </c>
      <c r="E251" s="24" t="s">
        <v>93</v>
      </c>
      <c r="F251" s="70">
        <v>7.1593732558014665E-4</v>
      </c>
      <c r="G251" s="24">
        <v>6.6534329999999997</v>
      </c>
      <c r="H251" s="24">
        <v>8.5922599999999996</v>
      </c>
      <c r="I251" s="24">
        <v>6.4855039999999997</v>
      </c>
      <c r="J251" s="24">
        <v>7.2437319999999996</v>
      </c>
      <c r="K251" s="24">
        <v>3.2767059999999999</v>
      </c>
      <c r="L251" s="24">
        <v>5.8954810000000002</v>
      </c>
      <c r="M251" s="24">
        <v>5.8417000000000003</v>
      </c>
      <c r="N251" s="24">
        <v>4.4715953073734918</v>
      </c>
      <c r="O251" s="24">
        <v>3.7</v>
      </c>
      <c r="P251" s="24">
        <v>3.5714285714285721</v>
      </c>
      <c r="Q251" s="24">
        <v>5.0884102452671325</v>
      </c>
      <c r="R251" s="24">
        <v>5.67</v>
      </c>
      <c r="S251" s="24">
        <v>4.5440487939322036</v>
      </c>
      <c r="T251" s="24">
        <v>1.398686013076113</v>
      </c>
      <c r="U251" s="24" t="s">
        <v>1762</v>
      </c>
      <c r="V251" s="24">
        <v>7861.4790000000003</v>
      </c>
      <c r="W251" s="24" t="s">
        <v>1415</v>
      </c>
      <c r="X251" s="64">
        <v>3.9965694682675816</v>
      </c>
    </row>
    <row r="252" spans="1:24" ht="14.4" x14ac:dyDescent="0.55000000000000004">
      <c r="A252" s="24" t="s">
        <v>466</v>
      </c>
      <c r="B252" s="24" t="s">
        <v>1016</v>
      </c>
      <c r="C252" s="24" t="s">
        <v>112</v>
      </c>
      <c r="D252" s="24" t="s">
        <v>72</v>
      </c>
      <c r="E252" s="24" t="s">
        <v>100</v>
      </c>
      <c r="F252" s="70">
        <v>7.1531061285135943E-4</v>
      </c>
      <c r="G252" s="24">
        <v>6.4254689999999997</v>
      </c>
      <c r="H252" s="24">
        <v>6.1523500000000002</v>
      </c>
      <c r="I252" s="24">
        <v>2.9539599999999999</v>
      </c>
      <c r="J252" s="24">
        <v>5.3020810000000003</v>
      </c>
      <c r="K252" s="24">
        <v>2.94313</v>
      </c>
      <c r="L252" s="24">
        <v>5.5611009999999998</v>
      </c>
      <c r="M252" s="24">
        <v>39.715600000000002</v>
      </c>
      <c r="N252" s="24">
        <v>4.0977444348653584</v>
      </c>
      <c r="O252" s="24">
        <v>1</v>
      </c>
      <c r="P252" s="24">
        <v>7.9192546583850945</v>
      </c>
      <c r="Q252" s="24">
        <v>4.0093793627943608</v>
      </c>
      <c r="R252" s="24">
        <v>5.79</v>
      </c>
      <c r="S252" s="24">
        <v>4.7200832915948023</v>
      </c>
      <c r="T252" s="24">
        <v>1.1590137814722596</v>
      </c>
      <c r="U252" s="24" t="s">
        <v>1635</v>
      </c>
      <c r="V252" s="24">
        <v>0</v>
      </c>
      <c r="W252" s="24" t="s">
        <v>1415</v>
      </c>
      <c r="X252" s="64">
        <v>4.2024013722126927</v>
      </c>
    </row>
    <row r="253" spans="1:24" ht="14.4" x14ac:dyDescent="0.55000000000000004">
      <c r="A253" s="24" t="s">
        <v>462</v>
      </c>
      <c r="B253" s="24" t="s">
        <v>1219</v>
      </c>
      <c r="C253" s="24" t="s">
        <v>106</v>
      </c>
      <c r="D253" s="24" t="s">
        <v>72</v>
      </c>
      <c r="E253" s="24" t="s">
        <v>89</v>
      </c>
      <c r="F253" s="70">
        <v>7.1020953954034779E-4</v>
      </c>
      <c r="G253" s="24">
        <v>7.4947559999999998</v>
      </c>
      <c r="H253" s="24">
        <v>6.2590170000000001</v>
      </c>
      <c r="I253" s="24">
        <v>5.5996560000000004</v>
      </c>
      <c r="J253" s="24">
        <v>6.4511430000000001</v>
      </c>
      <c r="K253" s="24">
        <v>3.7667820000000001</v>
      </c>
      <c r="L253" s="24">
        <v>8.3044229999999999</v>
      </c>
      <c r="M253" s="24">
        <v>423.9461</v>
      </c>
      <c r="N253" s="24">
        <v>2.0358762897827409</v>
      </c>
      <c r="O253" s="24">
        <v>4.0999999999999996</v>
      </c>
      <c r="P253" s="24">
        <v>3.3333333333333326</v>
      </c>
      <c r="Q253" s="24">
        <v>7.6268072155821169</v>
      </c>
      <c r="R253" s="24">
        <v>5.79</v>
      </c>
      <c r="S253" s="24">
        <v>5.0794424251563157</v>
      </c>
      <c r="T253" s="24">
        <v>0.87449375237243476</v>
      </c>
      <c r="U253" s="24" t="s">
        <v>1790</v>
      </c>
      <c r="V253" s="24">
        <v>7631.1149999999998</v>
      </c>
      <c r="W253" s="24" t="s">
        <v>1415</v>
      </c>
      <c r="X253" s="64">
        <v>4.1003460207612461</v>
      </c>
    </row>
    <row r="254" spans="1:24" ht="14.4" x14ac:dyDescent="0.55000000000000004">
      <c r="A254" s="24" t="s">
        <v>494</v>
      </c>
      <c r="B254" s="24" t="s">
        <v>1146</v>
      </c>
      <c r="C254" s="24" t="s">
        <v>108</v>
      </c>
      <c r="D254" s="24" t="s">
        <v>72</v>
      </c>
      <c r="E254" s="24" t="s">
        <v>83</v>
      </c>
      <c r="F254" s="70">
        <v>6.958766134280719E-4</v>
      </c>
      <c r="G254" s="24">
        <v>6.2300370000000003</v>
      </c>
      <c r="H254" s="24">
        <v>6.7485520000000001</v>
      </c>
      <c r="I254" s="24">
        <v>7.8033669999999997</v>
      </c>
      <c r="J254" s="24">
        <v>6.9273189999999998</v>
      </c>
      <c r="K254" s="24">
        <v>3.99268</v>
      </c>
      <c r="L254" s="24">
        <v>6.7617479999999999</v>
      </c>
      <c r="M254" s="24">
        <v>757.21540000000005</v>
      </c>
      <c r="N254" s="24">
        <v>5.4432174520160261</v>
      </c>
      <c r="O254" s="24">
        <v>5.4</v>
      </c>
      <c r="P254" s="24">
        <v>4.3582089552238799</v>
      </c>
      <c r="Q254" s="24">
        <v>4.9951455422702509</v>
      </c>
      <c r="R254" s="24">
        <v>7.55</v>
      </c>
      <c r="S254" s="24">
        <v>4.7356269402190483</v>
      </c>
      <c r="T254" s="24">
        <v>1.6033003707280375</v>
      </c>
      <c r="U254" s="24" t="s">
        <v>1935</v>
      </c>
      <c r="V254" s="24">
        <v>7492.0929999999998</v>
      </c>
      <c r="W254" s="24" t="s">
        <v>1415</v>
      </c>
      <c r="X254" s="64">
        <v>4.6006944444444446</v>
      </c>
    </row>
    <row r="255" spans="1:24" ht="14.4" x14ac:dyDescent="0.55000000000000004">
      <c r="A255" s="24" t="s">
        <v>445</v>
      </c>
      <c r="B255" s="24" t="s">
        <v>844</v>
      </c>
      <c r="C255" s="24" t="s">
        <v>107</v>
      </c>
      <c r="D255" s="24" t="s">
        <v>72</v>
      </c>
      <c r="E255" s="24" t="s">
        <v>100</v>
      </c>
      <c r="F255" s="70">
        <v>6.9546617764066276E-4</v>
      </c>
      <c r="G255" s="24">
        <v>5.8983169999999996</v>
      </c>
      <c r="H255" s="24">
        <v>7.06637</v>
      </c>
      <c r="I255" s="24">
        <v>2.2758340000000001</v>
      </c>
      <c r="J255" s="24">
        <v>5.161988</v>
      </c>
      <c r="K255" s="24">
        <v>7.0053489999999998</v>
      </c>
      <c r="L255" s="24">
        <v>30.59535</v>
      </c>
      <c r="M255" s="24">
        <v>21.797799999999999</v>
      </c>
      <c r="N255" s="24">
        <v>7.1971591829929924</v>
      </c>
      <c r="O255" s="24">
        <v>3</v>
      </c>
      <c r="P255" s="24">
        <v>0.77639751552795033</v>
      </c>
      <c r="Q255" s="24">
        <v>9.3031306190075256</v>
      </c>
      <c r="R255" s="24">
        <v>6.82</v>
      </c>
      <c r="S255" s="24">
        <v>7.0718030853919824</v>
      </c>
      <c r="T255" s="24">
        <v>1.3611763245569828</v>
      </c>
      <c r="U255" s="24" t="s">
        <v>1733</v>
      </c>
      <c r="V255" s="24">
        <v>7456.0150000000003</v>
      </c>
      <c r="W255" s="24" t="s">
        <v>1415</v>
      </c>
      <c r="X255" s="64">
        <v>3.8421955403087478</v>
      </c>
    </row>
    <row r="256" spans="1:24" ht="14.4" x14ac:dyDescent="0.55000000000000004">
      <c r="A256" s="24" t="s">
        <v>468</v>
      </c>
      <c r="B256" s="24" t="s">
        <v>923</v>
      </c>
      <c r="C256" s="24" t="s">
        <v>110</v>
      </c>
      <c r="D256" s="24" t="s">
        <v>72</v>
      </c>
      <c r="E256" s="24" t="s">
        <v>94</v>
      </c>
      <c r="F256" s="70">
        <v>6.9537660435860195E-4</v>
      </c>
      <c r="G256" s="24">
        <v>6.8605939999999999</v>
      </c>
      <c r="H256" s="24">
        <v>6.8482900000000004</v>
      </c>
      <c r="I256" s="24">
        <v>8.0650230000000001</v>
      </c>
      <c r="J256" s="24">
        <v>7.3399049999999999</v>
      </c>
      <c r="K256" s="24">
        <v>3.6768580000000002</v>
      </c>
      <c r="L256" s="24">
        <v>4.2810280000000001</v>
      </c>
      <c r="M256" s="24">
        <v>92.758300000000006</v>
      </c>
      <c r="N256" s="24">
        <v>2.9217545672997405</v>
      </c>
      <c r="O256" s="24">
        <v>7.8</v>
      </c>
      <c r="P256" s="24">
        <v>2.4652777777777777</v>
      </c>
      <c r="Q256" s="24">
        <v>2.5446898002103047</v>
      </c>
      <c r="R256" s="24">
        <v>5.66</v>
      </c>
      <c r="S256" s="24">
        <v>3.4625238317826583</v>
      </c>
      <c r="T256" s="24">
        <v>0.24936937383322472</v>
      </c>
      <c r="U256" s="24" t="s">
        <v>1527</v>
      </c>
      <c r="V256" s="24">
        <v>7691.9170000000004</v>
      </c>
      <c r="W256" s="24" t="s">
        <v>1415</v>
      </c>
      <c r="X256" s="64">
        <v>3.0501089324618738</v>
      </c>
    </row>
    <row r="257" spans="1:24" ht="14.4" x14ac:dyDescent="0.55000000000000004">
      <c r="A257" s="24" t="s">
        <v>470</v>
      </c>
      <c r="B257" s="24" t="s">
        <v>1397</v>
      </c>
      <c r="C257" s="24" t="s">
        <v>105</v>
      </c>
      <c r="D257" s="24" t="s">
        <v>72</v>
      </c>
      <c r="E257" s="24" t="s">
        <v>89</v>
      </c>
      <c r="F257" s="70">
        <v>6.8870024226587358E-4</v>
      </c>
      <c r="G257" s="24">
        <v>7.6644810000000003</v>
      </c>
      <c r="H257" s="24">
        <v>6.5525039999999999</v>
      </c>
      <c r="I257" s="24">
        <v>5.7637470000000004</v>
      </c>
      <c r="J257" s="24">
        <v>6.7606679999999999</v>
      </c>
      <c r="K257" s="24">
        <v>0.98361390000000004</v>
      </c>
      <c r="L257" s="24">
        <v>3.3034319999999999</v>
      </c>
      <c r="M257" s="24">
        <v>35.001100000000001</v>
      </c>
      <c r="N257" s="24">
        <v>4.2057482513184237</v>
      </c>
      <c r="O257" s="24">
        <v>9.1999999999999993</v>
      </c>
      <c r="P257" s="24">
        <v>6.9669669669669654</v>
      </c>
      <c r="Q257" s="24">
        <v>1.8477943780433823</v>
      </c>
      <c r="R257" s="24">
        <v>3.01</v>
      </c>
      <c r="S257" s="24">
        <v>2.8964658860149575</v>
      </c>
      <c r="T257" s="24">
        <v>1.7629086181877409</v>
      </c>
      <c r="U257" s="24" t="s">
        <v>1976</v>
      </c>
      <c r="V257" s="24">
        <v>7430.9350000000004</v>
      </c>
      <c r="W257" s="24" t="s">
        <v>1415</v>
      </c>
      <c r="X257" s="64">
        <v>4.2387543252595155</v>
      </c>
    </row>
    <row r="258" spans="1:24" ht="14.4" x14ac:dyDescent="0.55000000000000004">
      <c r="A258" s="24" t="s">
        <v>440</v>
      </c>
      <c r="B258" s="24" t="s">
        <v>1355</v>
      </c>
      <c r="C258" s="24" t="s">
        <v>1898</v>
      </c>
      <c r="D258" s="24" t="s">
        <v>72</v>
      </c>
      <c r="E258" s="24" t="s">
        <v>92</v>
      </c>
      <c r="F258" s="70">
        <v>6.8572871118468214E-4</v>
      </c>
      <c r="G258" s="24">
        <v>4.5754510000000002</v>
      </c>
      <c r="H258" s="24">
        <v>4.7095719999999996</v>
      </c>
      <c r="I258" s="24">
        <v>3.1371020000000001</v>
      </c>
      <c r="J258" s="24">
        <v>4.1707710000000002</v>
      </c>
      <c r="K258" s="24">
        <v>7.5430210000000004</v>
      </c>
      <c r="L258" s="24">
        <v>15.18933</v>
      </c>
      <c r="M258" s="24">
        <v>618.9787</v>
      </c>
      <c r="N258" s="24">
        <v>2.9491148342666298</v>
      </c>
      <c r="O258" s="24">
        <v>8.6999999999999993</v>
      </c>
      <c r="P258" s="24">
        <v>3.3170731707317076</v>
      </c>
      <c r="Q258" s="24">
        <v>6.8142133596846008</v>
      </c>
      <c r="R258" s="24">
        <v>3.41</v>
      </c>
      <c r="S258" s="24">
        <v>6.5393061930649603</v>
      </c>
      <c r="T258" s="24">
        <v>0.8350147383602976</v>
      </c>
      <c r="U258" s="24" t="s">
        <v>1951</v>
      </c>
      <c r="V258" s="24">
        <v>7517.11</v>
      </c>
      <c r="W258" s="24" t="s">
        <v>1415</v>
      </c>
      <c r="X258" s="64">
        <v>4.3675889328063242</v>
      </c>
    </row>
    <row r="259" spans="1:24" ht="14.4" x14ac:dyDescent="0.55000000000000004">
      <c r="A259" s="24" t="s">
        <v>488</v>
      </c>
      <c r="B259" s="24" t="s">
        <v>907</v>
      </c>
      <c r="C259" s="24" t="s">
        <v>112</v>
      </c>
      <c r="D259" s="24" t="s">
        <v>72</v>
      </c>
      <c r="E259" s="24" t="s">
        <v>88</v>
      </c>
      <c r="F259" s="70">
        <v>6.8347376635997687E-4</v>
      </c>
      <c r="G259" s="24">
        <v>4.0542280000000002</v>
      </c>
      <c r="H259" s="24">
        <v>6.1335870000000003</v>
      </c>
      <c r="I259" s="24">
        <v>5.8020360000000002</v>
      </c>
      <c r="J259" s="24">
        <v>5.5850949999999999</v>
      </c>
      <c r="K259" s="24">
        <v>2.889332</v>
      </c>
      <c r="L259" s="24">
        <v>7.1277699999999999</v>
      </c>
      <c r="M259" s="24">
        <v>43.449300000000001</v>
      </c>
      <c r="N259" s="24">
        <v>1.9095703258137078</v>
      </c>
      <c r="O259" s="24">
        <v>2.1</v>
      </c>
      <c r="P259" s="24">
        <v>3.0684931506849313</v>
      </c>
      <c r="Q259" s="24">
        <v>9.5563161557949847</v>
      </c>
      <c r="R259" s="24">
        <v>6.4500010000000003</v>
      </c>
      <c r="S259" s="24">
        <v>5.7675012424164338</v>
      </c>
      <c r="T259" s="24">
        <v>0.77316822834204602</v>
      </c>
      <c r="U259" s="24" t="s">
        <v>1593</v>
      </c>
      <c r="V259" s="24">
        <v>7762.0219999999999</v>
      </c>
      <c r="W259" s="24" t="s">
        <v>1415</v>
      </c>
      <c r="X259" s="64">
        <v>4.7743055555555554</v>
      </c>
    </row>
    <row r="260" spans="1:24" ht="14.4" x14ac:dyDescent="0.55000000000000004">
      <c r="A260" s="24" t="s">
        <v>449</v>
      </c>
      <c r="B260" s="24" t="s">
        <v>1302</v>
      </c>
      <c r="C260" s="24" t="s">
        <v>178</v>
      </c>
      <c r="D260" s="24" t="s">
        <v>72</v>
      </c>
      <c r="E260" s="24" t="s">
        <v>92</v>
      </c>
      <c r="F260" s="70">
        <v>6.8287267459231544E-4</v>
      </c>
      <c r="G260" s="24">
        <v>6.560346</v>
      </c>
      <c r="H260" s="24">
        <v>7.4108660000000004</v>
      </c>
      <c r="I260" s="24">
        <v>4.7332349999999996</v>
      </c>
      <c r="J260" s="24">
        <v>6.1823170000000003</v>
      </c>
      <c r="K260" s="24">
        <v>3.3251439999999999</v>
      </c>
      <c r="L260" s="24">
        <v>9.7459729999999993</v>
      </c>
      <c r="M260" s="24">
        <v>201.93260000000001</v>
      </c>
      <c r="N260" s="24">
        <v>6.1438048354414079</v>
      </c>
      <c r="O260" s="24">
        <v>9.1</v>
      </c>
      <c r="P260" s="24">
        <v>8.7317073170731696</v>
      </c>
      <c r="Q260" s="24">
        <v>3.3346460236220299</v>
      </c>
      <c r="R260" s="24">
        <v>2.87</v>
      </c>
      <c r="S260" s="24">
        <v>4.3846057193570367</v>
      </c>
      <c r="T260" s="24">
        <v>0.58699772202341716</v>
      </c>
      <c r="U260" s="24" t="s">
        <v>1956</v>
      </c>
      <c r="V260" s="24">
        <v>7228.3040000000001</v>
      </c>
      <c r="W260" s="24" t="s">
        <v>1415</v>
      </c>
      <c r="X260" s="64">
        <v>4.545454545454545</v>
      </c>
    </row>
    <row r="261" spans="1:24" ht="14.4" x14ac:dyDescent="0.55000000000000004">
      <c r="A261" s="24" t="s">
        <v>457</v>
      </c>
      <c r="B261" s="24" t="s">
        <v>1096</v>
      </c>
      <c r="C261" s="24" t="s">
        <v>106</v>
      </c>
      <c r="D261" s="24" t="s">
        <v>72</v>
      </c>
      <c r="E261" s="24" t="s">
        <v>99</v>
      </c>
      <c r="F261" s="70">
        <v>6.8015875426869312E-4</v>
      </c>
      <c r="G261" s="24">
        <v>6.8440890000000003</v>
      </c>
      <c r="H261" s="24">
        <v>4.4270269999999998</v>
      </c>
      <c r="I261" s="24">
        <v>7.0944390000000004</v>
      </c>
      <c r="J261" s="24">
        <v>6.4107459999999996</v>
      </c>
      <c r="K261" s="24">
        <v>3.9964149999999998</v>
      </c>
      <c r="L261" s="24">
        <v>13.668419999999999</v>
      </c>
      <c r="M261" s="24">
        <v>13.4506</v>
      </c>
      <c r="N261" s="24">
        <v>3.1691763419262635</v>
      </c>
      <c r="O261" s="24">
        <v>0.4</v>
      </c>
      <c r="P261" s="24">
        <v>10</v>
      </c>
      <c r="Q261" s="24">
        <v>10</v>
      </c>
      <c r="R261" s="24">
        <v>3.98</v>
      </c>
      <c r="S261" s="24">
        <v>7.6287415451443064</v>
      </c>
      <c r="T261" s="24">
        <v>0.73686720200799483</v>
      </c>
      <c r="U261" s="24" t="s">
        <v>1466</v>
      </c>
      <c r="V261" s="24">
        <v>7323.6959999999999</v>
      </c>
      <c r="W261" s="24" t="s">
        <v>1415</v>
      </c>
      <c r="X261" s="64">
        <v>3.8779174147217232</v>
      </c>
    </row>
    <row r="262" spans="1:24" ht="14.4" x14ac:dyDescent="0.55000000000000004">
      <c r="A262" s="24" t="s">
        <v>480</v>
      </c>
      <c r="B262" s="24" t="s">
        <v>1187</v>
      </c>
      <c r="C262" s="24" t="s">
        <v>108</v>
      </c>
      <c r="D262" s="24" t="s">
        <v>72</v>
      </c>
      <c r="E262" s="24" t="s">
        <v>87</v>
      </c>
      <c r="F262" s="70">
        <v>6.7904564360603411E-4</v>
      </c>
      <c r="G262" s="24">
        <v>5.6578730000000004</v>
      </c>
      <c r="H262" s="24">
        <v>5.4148259999999997</v>
      </c>
      <c r="I262" s="24">
        <v>5.1187019999999999</v>
      </c>
      <c r="J262" s="24">
        <v>5.4232079999999998</v>
      </c>
      <c r="K262" s="24">
        <v>3.5052949999999998</v>
      </c>
      <c r="L262" s="24">
        <v>6.4732390000000004</v>
      </c>
      <c r="M262" s="24">
        <v>52.949599999999997</v>
      </c>
      <c r="N262" s="24">
        <v>2.9482662394238002</v>
      </c>
      <c r="O262" s="24">
        <v>1.3</v>
      </c>
      <c r="P262" s="24">
        <v>5.3974895397489542</v>
      </c>
      <c r="Q262" s="24">
        <v>5.7168774766207004</v>
      </c>
      <c r="R262" s="24">
        <v>4.74</v>
      </c>
      <c r="S262" s="24">
        <v>5.852122675354325</v>
      </c>
      <c r="T262" s="24">
        <v>0.86640810646243915</v>
      </c>
      <c r="U262" s="24" t="s">
        <v>1933</v>
      </c>
      <c r="V262" s="24">
        <v>7131.0720000000001</v>
      </c>
      <c r="W262" s="24" t="s">
        <v>1415</v>
      </c>
      <c r="X262" s="64">
        <v>4.7069271758436946</v>
      </c>
    </row>
    <row r="263" spans="1:24" ht="14.4" x14ac:dyDescent="0.55000000000000004">
      <c r="A263" s="24" t="s">
        <v>450</v>
      </c>
      <c r="B263" s="24" t="s">
        <v>893</v>
      </c>
      <c r="C263" s="24" t="s">
        <v>113</v>
      </c>
      <c r="D263" s="24" t="s">
        <v>72</v>
      </c>
      <c r="E263" s="24" t="s">
        <v>89</v>
      </c>
      <c r="F263" s="70">
        <v>6.783315593965329E-4</v>
      </c>
      <c r="G263" s="24">
        <v>5.3451259999999996</v>
      </c>
      <c r="H263" s="24">
        <v>7.5971880000000001</v>
      </c>
      <c r="I263" s="24">
        <v>4.5033440000000002</v>
      </c>
      <c r="J263" s="24">
        <v>5.7682089999999997</v>
      </c>
      <c r="K263" s="24">
        <v>1.475193</v>
      </c>
      <c r="L263" s="24">
        <v>10.547219999999999</v>
      </c>
      <c r="M263" s="24">
        <v>33.879800000000003</v>
      </c>
      <c r="N263" s="24">
        <v>5.7229299449781736</v>
      </c>
      <c r="O263" s="24">
        <v>6.1</v>
      </c>
      <c r="P263" s="24">
        <v>2.5225225225225216</v>
      </c>
      <c r="Q263" s="24">
        <v>8.2335469234174425</v>
      </c>
      <c r="R263" s="24">
        <v>2.7</v>
      </c>
      <c r="S263" s="24">
        <v>6.4595939770096695</v>
      </c>
      <c r="T263" s="24">
        <v>0.97498683878552073</v>
      </c>
      <c r="U263" s="24" t="s">
        <v>1883</v>
      </c>
      <c r="V263" s="24">
        <v>8015.5739999999996</v>
      </c>
      <c r="W263" s="24" t="s">
        <v>1415</v>
      </c>
      <c r="X263" s="64">
        <v>3.8927335640138412</v>
      </c>
    </row>
    <row r="264" spans="1:24" ht="14.4" x14ac:dyDescent="0.55000000000000004">
      <c r="A264" s="24" t="s">
        <v>492</v>
      </c>
      <c r="B264" s="24" t="s">
        <v>849</v>
      </c>
      <c r="C264" s="24" t="s">
        <v>107</v>
      </c>
      <c r="D264" s="24" t="s">
        <v>72</v>
      </c>
      <c r="E264" s="24" t="s">
        <v>88</v>
      </c>
      <c r="F264" s="70">
        <v>6.7807635060406933E-4</v>
      </c>
      <c r="G264" s="24">
        <v>7.5244140000000002</v>
      </c>
      <c r="H264" s="24">
        <v>6.8559919999999996</v>
      </c>
      <c r="I264" s="24">
        <v>5.2269750000000004</v>
      </c>
      <c r="J264" s="24">
        <v>6.3380700000000001</v>
      </c>
      <c r="K264" s="24">
        <v>1.0993250000000001</v>
      </c>
      <c r="L264" s="24">
        <v>5.3618860000000002</v>
      </c>
      <c r="M264" s="24">
        <v>23.048500000000001</v>
      </c>
      <c r="N264" s="24">
        <v>6.3736525989562987</v>
      </c>
      <c r="O264" s="24">
        <v>5.9</v>
      </c>
      <c r="P264" s="24">
        <v>4.3013698630136981</v>
      </c>
      <c r="Q264" s="24">
        <v>7.3808669506389375</v>
      </c>
      <c r="R264" s="24">
        <v>5.19</v>
      </c>
      <c r="S264" s="24">
        <v>5.3275963514441589</v>
      </c>
      <c r="T264" s="24">
        <v>1.060702543216189</v>
      </c>
      <c r="U264" s="24" t="s">
        <v>1757</v>
      </c>
      <c r="V264" s="24">
        <v>7333.2629999999999</v>
      </c>
      <c r="W264" s="24" t="s">
        <v>1415</v>
      </c>
      <c r="X264" s="64">
        <v>4.84375</v>
      </c>
    </row>
    <row r="265" spans="1:24" ht="14.4" x14ac:dyDescent="0.55000000000000004">
      <c r="A265" s="24" t="s">
        <v>479</v>
      </c>
      <c r="B265" s="24" t="s">
        <v>847</v>
      </c>
      <c r="C265" s="24" t="s">
        <v>107</v>
      </c>
      <c r="D265" s="24" t="s">
        <v>72</v>
      </c>
      <c r="E265" s="24" t="s">
        <v>91</v>
      </c>
      <c r="F265" s="70">
        <v>6.7762438083671008E-4</v>
      </c>
      <c r="G265" s="24">
        <v>7.5671109999999997</v>
      </c>
      <c r="H265" s="24">
        <v>4.068111</v>
      </c>
      <c r="I265" s="24">
        <v>5.3164990000000003</v>
      </c>
      <c r="J265" s="24">
        <v>5.2672660000000002</v>
      </c>
      <c r="K265" s="24">
        <v>2.9503849999999998</v>
      </c>
      <c r="L265" s="24">
        <v>8.3438890000000008</v>
      </c>
      <c r="M265" s="24">
        <v>4.8798000000000004</v>
      </c>
      <c r="N265" s="24">
        <v>5.2234749971995615</v>
      </c>
      <c r="O265" s="24">
        <v>6.1</v>
      </c>
      <c r="P265" s="24">
        <v>0</v>
      </c>
      <c r="Q265" s="24">
        <v>6.4948257598392054</v>
      </c>
      <c r="R265" s="24">
        <v>5.94</v>
      </c>
      <c r="S265" s="24">
        <v>5.5249834179877588</v>
      </c>
      <c r="T265" s="24">
        <v>0.98697797123906239</v>
      </c>
      <c r="U265" s="24" t="s">
        <v>1728</v>
      </c>
      <c r="V265" s="24">
        <v>6927.8519999999999</v>
      </c>
      <c r="W265" s="24" t="s">
        <v>1415</v>
      </c>
      <c r="X265" s="64">
        <v>4.4253859348198974</v>
      </c>
    </row>
    <row r="266" spans="1:24" ht="14.4" x14ac:dyDescent="0.55000000000000004">
      <c r="A266" s="24" t="s">
        <v>475</v>
      </c>
      <c r="B266" s="24" t="s">
        <v>1002</v>
      </c>
      <c r="C266" s="24" t="s">
        <v>108</v>
      </c>
      <c r="D266" s="24" t="s">
        <v>72</v>
      </c>
      <c r="E266" s="24" t="s">
        <v>97</v>
      </c>
      <c r="F266" s="70">
        <v>6.7488053603114795E-4</v>
      </c>
      <c r="G266" s="24">
        <v>3.5868319999999998</v>
      </c>
      <c r="H266" s="24">
        <v>5.2297330000000004</v>
      </c>
      <c r="I266" s="24">
        <v>6.1218870000000001</v>
      </c>
      <c r="J266" s="24">
        <v>4.9794840000000002</v>
      </c>
      <c r="K266" s="24">
        <v>6.968845</v>
      </c>
      <c r="L266" s="24">
        <v>8.7742649999999998</v>
      </c>
      <c r="M266" s="24">
        <v>99.4131</v>
      </c>
      <c r="N266" s="24">
        <v>1.2507552114347305</v>
      </c>
      <c r="O266" s="24">
        <v>7.7</v>
      </c>
      <c r="P266" s="24">
        <v>6.4661654135338349</v>
      </c>
      <c r="Q266" s="24">
        <v>4.0403147716392667</v>
      </c>
      <c r="R266" s="24">
        <v>5.74</v>
      </c>
      <c r="S266" s="24">
        <v>5.4945840722489301</v>
      </c>
      <c r="T266" s="24">
        <v>0.34514870045978097</v>
      </c>
      <c r="U266" s="24" t="s">
        <v>1936</v>
      </c>
      <c r="V266" s="24">
        <v>7109.3890000000001</v>
      </c>
      <c r="W266" s="24" t="s">
        <v>1415</v>
      </c>
      <c r="X266" s="64">
        <v>4.2732049036777582</v>
      </c>
    </row>
    <row r="267" spans="1:24" ht="14.4" x14ac:dyDescent="0.55000000000000004">
      <c r="A267" s="24" t="s">
        <v>535</v>
      </c>
      <c r="B267" s="24" t="s">
        <v>1175</v>
      </c>
      <c r="C267" s="24" t="s">
        <v>112</v>
      </c>
      <c r="D267" s="24" t="s">
        <v>72</v>
      </c>
      <c r="E267" s="24" t="s">
        <v>96</v>
      </c>
      <c r="F267" s="70">
        <v>6.7397539551387691E-4</v>
      </c>
      <c r="G267" s="24">
        <v>4.9504469999999996</v>
      </c>
      <c r="H267" s="24">
        <v>3.8089900000000001</v>
      </c>
      <c r="I267" s="24">
        <v>5.2281199999999997</v>
      </c>
      <c r="J267" s="24">
        <v>4.6049340000000001</v>
      </c>
      <c r="K267" s="24">
        <v>0</v>
      </c>
      <c r="L267" s="24">
        <v>-7.1824149999999998</v>
      </c>
      <c r="M267" s="24">
        <v>8.9794</v>
      </c>
      <c r="N267" s="24">
        <v>6.7105263570109477</v>
      </c>
      <c r="O267" s="24">
        <v>6.5</v>
      </c>
      <c r="P267" s="24">
        <v>1.5734993788819875</v>
      </c>
      <c r="Q267" s="24">
        <v>4.3205584376782458</v>
      </c>
      <c r="R267" s="24">
        <v>0</v>
      </c>
      <c r="S267" s="24">
        <v>1.6746597041517648</v>
      </c>
      <c r="T267" s="24">
        <v>2.0095969739880659</v>
      </c>
      <c r="U267" s="24" t="s">
        <v>1624</v>
      </c>
      <c r="V267" s="24">
        <v>7111.7730000000001</v>
      </c>
      <c r="W267" s="24" t="s">
        <v>1415</v>
      </c>
      <c r="X267" s="64">
        <v>5.3859348198970833</v>
      </c>
    </row>
    <row r="268" spans="1:24" ht="14.4" x14ac:dyDescent="0.55000000000000004">
      <c r="A268" s="24" t="s">
        <v>503</v>
      </c>
      <c r="B268" s="24" t="s">
        <v>1042</v>
      </c>
      <c r="C268" s="24" t="s">
        <v>112</v>
      </c>
      <c r="D268" s="24" t="s">
        <v>72</v>
      </c>
      <c r="E268" s="24" t="s">
        <v>89</v>
      </c>
      <c r="F268" s="70">
        <v>6.6299571277081447E-4</v>
      </c>
      <c r="G268" s="24">
        <v>6.9256010000000003</v>
      </c>
      <c r="H268" s="24">
        <v>7.4753999999999996</v>
      </c>
      <c r="I268" s="24">
        <v>8.0030210000000004</v>
      </c>
      <c r="J268" s="24">
        <v>7.4137659999999999</v>
      </c>
      <c r="K268" s="24">
        <v>2.5155439999999998</v>
      </c>
      <c r="L268" s="24">
        <v>7.047771</v>
      </c>
      <c r="M268" s="24">
        <v>14.157400000000001</v>
      </c>
      <c r="N268" s="24">
        <v>3.4233843344117423</v>
      </c>
      <c r="O268" s="24">
        <v>5.7</v>
      </c>
      <c r="P268" s="24">
        <v>6.7867867867867844</v>
      </c>
      <c r="Q268" s="24">
        <v>6.7255057547587436</v>
      </c>
      <c r="R268" s="24">
        <v>5.15</v>
      </c>
      <c r="S268" s="24">
        <v>6.5914004985028498</v>
      </c>
      <c r="T268" s="24">
        <v>0.88169083859529052</v>
      </c>
      <c r="U268" s="24" t="s">
        <v>1600</v>
      </c>
      <c r="V268" s="24">
        <v>7505.3249999999998</v>
      </c>
      <c r="W268" s="24" t="s">
        <v>1415</v>
      </c>
      <c r="X268" s="64">
        <v>4.8096885813148784</v>
      </c>
    </row>
    <row r="269" spans="1:24" ht="14.4" x14ac:dyDescent="0.55000000000000004">
      <c r="A269" s="24" t="s">
        <v>443</v>
      </c>
      <c r="B269" s="24" t="s">
        <v>1341</v>
      </c>
      <c r="C269" s="24" t="s">
        <v>177</v>
      </c>
      <c r="D269" s="24" t="s">
        <v>72</v>
      </c>
      <c r="E269" s="24" t="s">
        <v>92</v>
      </c>
      <c r="F269" s="70">
        <v>6.6077249390187817E-4</v>
      </c>
      <c r="G269" s="24">
        <v>7.1705880000000004</v>
      </c>
      <c r="H269" s="24">
        <v>6.244408</v>
      </c>
      <c r="I269" s="24">
        <v>5.6660589999999997</v>
      </c>
      <c r="J269" s="24">
        <v>6.5339929999999997</v>
      </c>
      <c r="K269" s="24">
        <v>4.5417750000000003</v>
      </c>
      <c r="L269" s="24">
        <v>2.2291409999999998</v>
      </c>
      <c r="M269" s="24">
        <v>172.18109999999999</v>
      </c>
      <c r="N269" s="24">
        <v>0</v>
      </c>
      <c r="O269" s="24">
        <v>0.2</v>
      </c>
      <c r="P269" s="24">
        <v>3.7560975609756091</v>
      </c>
      <c r="Q269" s="24">
        <v>1.955203454050586</v>
      </c>
      <c r="R269" s="24">
        <v>3.45</v>
      </c>
      <c r="S269" s="24">
        <v>1.1183777040096043</v>
      </c>
      <c r="T269" s="24">
        <v>0.91607784766101319</v>
      </c>
      <c r="U269" s="24" t="s">
        <v>1691</v>
      </c>
      <c r="V269" s="24">
        <v>7247.1130000000003</v>
      </c>
      <c r="W269" s="24" t="s">
        <v>1415</v>
      </c>
      <c r="X269" s="64">
        <v>4.4268774703557314</v>
      </c>
    </row>
    <row r="270" spans="1:24" ht="14.4" x14ac:dyDescent="0.55000000000000004">
      <c r="A270" s="24" t="s">
        <v>507</v>
      </c>
      <c r="B270" s="24" t="s">
        <v>1102</v>
      </c>
      <c r="C270" s="24" t="s">
        <v>105</v>
      </c>
      <c r="D270" s="24" t="s">
        <v>72</v>
      </c>
      <c r="E270" s="24" t="s">
        <v>85</v>
      </c>
      <c r="F270" s="70">
        <v>6.5957121110346995E-4</v>
      </c>
      <c r="G270" s="24">
        <v>7.6078289999999997</v>
      </c>
      <c r="H270" s="24">
        <v>5.4417660000000003</v>
      </c>
      <c r="I270" s="24">
        <v>5.2533659999999998</v>
      </c>
      <c r="J270" s="24">
        <v>6.251671</v>
      </c>
      <c r="K270" s="24">
        <v>0.65426989999999996</v>
      </c>
      <c r="L270" s="24">
        <v>1.0985929999999999</v>
      </c>
      <c r="M270" s="24">
        <v>43.407200000000003</v>
      </c>
      <c r="N270" s="24">
        <v>0.15993040155909211</v>
      </c>
      <c r="O270" s="24">
        <v>0.9</v>
      </c>
      <c r="P270" s="24">
        <v>2.2222222222222219</v>
      </c>
      <c r="Q270" s="24">
        <v>1.7480079681274898</v>
      </c>
      <c r="R270" s="24">
        <v>0.99</v>
      </c>
      <c r="S270" s="24">
        <v>0.58051202489200238</v>
      </c>
      <c r="T270" s="24">
        <v>1.9566485530728375</v>
      </c>
      <c r="U270" s="24" t="s">
        <v>2003</v>
      </c>
      <c r="V270" s="24">
        <v>7144.866</v>
      </c>
      <c r="W270" s="24" t="s">
        <v>1415</v>
      </c>
      <c r="X270" s="64">
        <v>4.8788927335640135</v>
      </c>
    </row>
    <row r="271" spans="1:24" ht="14.4" x14ac:dyDescent="0.55000000000000004">
      <c r="A271" s="24" t="s">
        <v>517</v>
      </c>
      <c r="B271" s="24" t="s">
        <v>979</v>
      </c>
      <c r="C271" s="24" t="s">
        <v>106</v>
      </c>
      <c r="D271" s="24" t="s">
        <v>72</v>
      </c>
      <c r="E271" s="24" t="s">
        <v>95</v>
      </c>
      <c r="F271" s="70">
        <v>6.5717485058317589E-4</v>
      </c>
      <c r="G271" s="24">
        <v>7.137232</v>
      </c>
      <c r="H271" s="24">
        <v>6.5390579999999998</v>
      </c>
      <c r="I271" s="24">
        <v>5.8259679999999996</v>
      </c>
      <c r="J271" s="24">
        <v>6.3734570000000001</v>
      </c>
      <c r="K271" s="24">
        <v>3.7779500000000001</v>
      </c>
      <c r="L271" s="24">
        <v>9.7623359999999995</v>
      </c>
      <c r="M271" s="24">
        <v>18.512699999999999</v>
      </c>
      <c r="N271" s="24">
        <v>1.5350878253748392</v>
      </c>
      <c r="O271" s="24">
        <v>9</v>
      </c>
      <c r="P271" s="24">
        <v>3.4782608695652177</v>
      </c>
      <c r="Q271" s="24">
        <v>7.7895178857592962</v>
      </c>
      <c r="R271" s="24">
        <v>6.2</v>
      </c>
      <c r="S271" s="24">
        <v>5.6481469040902219</v>
      </c>
      <c r="T271" s="24">
        <v>1.3414254176199287</v>
      </c>
      <c r="U271" s="24" t="s">
        <v>1800</v>
      </c>
      <c r="V271" s="24">
        <v>7113.2129999999997</v>
      </c>
      <c r="W271" s="24" t="s">
        <v>1415</v>
      </c>
      <c r="X271" s="64">
        <v>5.0771869639794165</v>
      </c>
    </row>
    <row r="272" spans="1:24" ht="14.4" x14ac:dyDescent="0.55000000000000004">
      <c r="A272" s="24" t="s">
        <v>487</v>
      </c>
      <c r="B272" s="24" t="s">
        <v>919</v>
      </c>
      <c r="C272" s="24" t="s">
        <v>105</v>
      </c>
      <c r="D272" s="24" t="s">
        <v>72</v>
      </c>
      <c r="E272" s="24" t="s">
        <v>83</v>
      </c>
      <c r="F272" s="70">
        <v>6.5541130778631245E-4</v>
      </c>
      <c r="G272" s="24">
        <v>5.9487459999999999</v>
      </c>
      <c r="H272" s="24">
        <v>5.614522</v>
      </c>
      <c r="I272" s="24">
        <v>4.6061649999999998</v>
      </c>
      <c r="J272" s="24">
        <v>5.3898109999999999</v>
      </c>
      <c r="K272" s="24">
        <v>2.0173130000000001</v>
      </c>
      <c r="L272" s="24">
        <v>3.55043</v>
      </c>
      <c r="M272" s="24">
        <v>140.18260000000001</v>
      </c>
      <c r="N272" s="24">
        <v>3.9147975913424577</v>
      </c>
      <c r="O272" s="24">
        <v>2</v>
      </c>
      <c r="P272" s="24">
        <v>0.71641791044776126</v>
      </c>
      <c r="Q272" s="24">
        <v>1.8032122959866514</v>
      </c>
      <c r="R272" s="24">
        <v>3.81</v>
      </c>
      <c r="S272" s="24">
        <v>2.9244342712556461</v>
      </c>
      <c r="T272" s="24">
        <v>1.0465487949940215</v>
      </c>
      <c r="U272" s="24" t="s">
        <v>1962</v>
      </c>
      <c r="V272" s="24">
        <v>7820.11</v>
      </c>
      <c r="W272" s="24" t="s">
        <v>1415</v>
      </c>
      <c r="X272" s="64">
        <v>4.479166666666667</v>
      </c>
    </row>
    <row r="273" spans="1:24" ht="14.4" x14ac:dyDescent="0.55000000000000004">
      <c r="A273" s="24" t="s">
        <v>485</v>
      </c>
      <c r="B273" s="24" t="s">
        <v>1044</v>
      </c>
      <c r="C273" s="24" t="s">
        <v>106</v>
      </c>
      <c r="D273" s="24" t="s">
        <v>72</v>
      </c>
      <c r="E273" s="24" t="s">
        <v>93</v>
      </c>
      <c r="F273" s="70">
        <v>6.5292577431147545E-4</v>
      </c>
      <c r="G273" s="24">
        <v>6.0969730000000002</v>
      </c>
      <c r="H273" s="24">
        <v>8.7123089999999994</v>
      </c>
      <c r="I273" s="24">
        <v>5.5317600000000002</v>
      </c>
      <c r="J273" s="24">
        <v>6.780348</v>
      </c>
      <c r="K273" s="24">
        <v>5.697648</v>
      </c>
      <c r="L273" s="24">
        <v>5.8773010000000001</v>
      </c>
      <c r="M273" s="24">
        <v>4.4828000000000001</v>
      </c>
      <c r="N273" s="24">
        <v>0.44068558345005526</v>
      </c>
      <c r="O273" s="24">
        <v>9.3000000000000007</v>
      </c>
      <c r="P273" s="24">
        <v>4.658385093167702</v>
      </c>
      <c r="Q273" s="24">
        <v>4.3452752804411006</v>
      </c>
      <c r="R273" s="24">
        <v>7.21</v>
      </c>
      <c r="S273" s="24">
        <v>4.3609709045254164</v>
      </c>
      <c r="T273" s="24">
        <v>1.3031681668330497</v>
      </c>
      <c r="U273" s="24" t="s">
        <v>1792</v>
      </c>
      <c r="V273" s="24">
        <v>6984.2849999999999</v>
      </c>
      <c r="W273" s="24" t="s">
        <v>1415</v>
      </c>
      <c r="X273" s="64">
        <v>4.5283018867924527</v>
      </c>
    </row>
    <row r="274" spans="1:24" ht="14.4" x14ac:dyDescent="0.55000000000000004">
      <c r="A274" s="24" t="s">
        <v>469</v>
      </c>
      <c r="B274" s="24" t="s">
        <v>868</v>
      </c>
      <c r="C274" s="24" t="s">
        <v>105</v>
      </c>
      <c r="D274" s="24" t="s">
        <v>72</v>
      </c>
      <c r="E274" s="24" t="s">
        <v>96</v>
      </c>
      <c r="F274" s="70">
        <v>6.522655341530901E-4</v>
      </c>
      <c r="G274" s="24">
        <v>7.1562489999999999</v>
      </c>
      <c r="H274" s="24">
        <v>5.373138</v>
      </c>
      <c r="I274" s="24">
        <v>2.8113630000000001</v>
      </c>
      <c r="J274" s="24">
        <v>5.31785</v>
      </c>
      <c r="K274" s="24">
        <v>1.0382420000000001</v>
      </c>
      <c r="L274" s="24">
        <v>3.18099</v>
      </c>
      <c r="M274" s="24">
        <v>0.38528000000000001</v>
      </c>
      <c r="N274" s="24">
        <v>9.1989799385673354</v>
      </c>
      <c r="O274" s="24">
        <v>7.5</v>
      </c>
      <c r="P274" s="24">
        <v>7.9638009049773775</v>
      </c>
      <c r="Q274" s="24">
        <v>1.1664437419374356</v>
      </c>
      <c r="R274" s="24">
        <v>5.32</v>
      </c>
      <c r="S274" s="24">
        <v>4.3717936193572511</v>
      </c>
      <c r="T274" s="24">
        <v>1.6593779190167921</v>
      </c>
      <c r="U274" s="24" t="s">
        <v>1993</v>
      </c>
      <c r="V274" s="24">
        <v>5986.8109999999997</v>
      </c>
      <c r="W274" s="24" t="s">
        <v>1415</v>
      </c>
      <c r="X274" s="64">
        <v>4.4194107452339688</v>
      </c>
    </row>
    <row r="275" spans="1:24" ht="14.4" x14ac:dyDescent="0.55000000000000004">
      <c r="A275" s="24" t="s">
        <v>504</v>
      </c>
      <c r="B275" s="24" t="s">
        <v>1090</v>
      </c>
      <c r="C275" s="24" t="s">
        <v>127</v>
      </c>
      <c r="D275" s="24" t="s">
        <v>72</v>
      </c>
      <c r="E275" s="24" t="s">
        <v>88</v>
      </c>
      <c r="F275" s="70">
        <v>6.5010436604938013E-4</v>
      </c>
      <c r="G275" s="24">
        <v>4.8270460000000002</v>
      </c>
      <c r="H275" s="24">
        <v>4.5712279999999996</v>
      </c>
      <c r="I275" s="24">
        <v>6.0141439999999999</v>
      </c>
      <c r="J275" s="24">
        <v>5.1995579999999997</v>
      </c>
      <c r="K275" s="24">
        <v>0</v>
      </c>
      <c r="L275" s="24">
        <v>-2.3104450000000001</v>
      </c>
      <c r="M275" s="24">
        <v>427.47140000000002</v>
      </c>
      <c r="N275" s="24">
        <v>6.4080799651319627</v>
      </c>
      <c r="O275" s="24">
        <v>5.5</v>
      </c>
      <c r="P275" s="24">
        <v>0</v>
      </c>
      <c r="Q275" s="24">
        <v>3.6649127202873135</v>
      </c>
      <c r="R275" s="24">
        <v>0.75</v>
      </c>
      <c r="S275" s="24">
        <v>1.3490555754635627</v>
      </c>
      <c r="T275" s="24">
        <v>0.9840250762691275</v>
      </c>
      <c r="U275" s="24" t="s">
        <v>1652</v>
      </c>
      <c r="V275" s="24">
        <v>7238.8450000000003</v>
      </c>
      <c r="W275" s="24" t="s">
        <v>1415</v>
      </c>
      <c r="X275" s="64">
        <v>5.0520833333333339</v>
      </c>
    </row>
    <row r="276" spans="1:24" ht="14.4" x14ac:dyDescent="0.55000000000000004">
      <c r="A276" s="24" t="s">
        <v>477</v>
      </c>
      <c r="B276" s="24" t="s">
        <v>1043</v>
      </c>
      <c r="C276" s="24" t="s">
        <v>106</v>
      </c>
      <c r="D276" s="24" t="s">
        <v>72</v>
      </c>
      <c r="E276" s="24" t="s">
        <v>89</v>
      </c>
      <c r="F276" s="70">
        <v>6.4674922112445811E-4</v>
      </c>
      <c r="G276" s="24">
        <v>5.3961519999999998</v>
      </c>
      <c r="H276" s="24">
        <v>5.3207959999999996</v>
      </c>
      <c r="I276" s="24">
        <v>5.5843210000000001</v>
      </c>
      <c r="J276" s="24">
        <v>5.429996</v>
      </c>
      <c r="K276" s="24">
        <v>1.473195</v>
      </c>
      <c r="L276" s="24">
        <v>4.9409349999999996</v>
      </c>
      <c r="M276" s="24">
        <v>102.3956</v>
      </c>
      <c r="N276" s="24">
        <v>4.661767682655384</v>
      </c>
      <c r="O276" s="24">
        <v>4</v>
      </c>
      <c r="P276" s="24">
        <v>1.6216216216216215</v>
      </c>
      <c r="Q276" s="24">
        <v>5.8161797255422769</v>
      </c>
      <c r="R276" s="24">
        <v>3.18</v>
      </c>
      <c r="S276" s="24">
        <v>3.2802388391143111</v>
      </c>
      <c r="T276" s="24">
        <v>1.6847454172141683</v>
      </c>
      <c r="U276" s="24" t="s">
        <v>1847</v>
      </c>
      <c r="V276" s="24">
        <v>7142.5249999999996</v>
      </c>
      <c r="W276" s="24" t="s">
        <v>1415</v>
      </c>
      <c r="X276" s="64">
        <v>4.3598615916955019</v>
      </c>
    </row>
    <row r="277" spans="1:24" ht="14.4" x14ac:dyDescent="0.55000000000000004">
      <c r="A277" s="24" t="s">
        <v>481</v>
      </c>
      <c r="B277" s="24" t="s">
        <v>1033</v>
      </c>
      <c r="C277" s="24" t="s">
        <v>177</v>
      </c>
      <c r="D277" s="24" t="s">
        <v>72</v>
      </c>
      <c r="E277" s="24" t="s">
        <v>83</v>
      </c>
      <c r="F277" s="70">
        <v>6.4314237027285142E-4</v>
      </c>
      <c r="G277" s="24">
        <v>5.6697550000000003</v>
      </c>
      <c r="H277" s="24">
        <v>4.331137</v>
      </c>
      <c r="I277" s="24">
        <v>5.6077000000000004</v>
      </c>
      <c r="J277" s="24">
        <v>5.2028639999999999</v>
      </c>
      <c r="K277" s="24">
        <v>2.534564</v>
      </c>
      <c r="L277" s="24">
        <v>3.988899</v>
      </c>
      <c r="M277" s="24">
        <v>279.41759999999999</v>
      </c>
      <c r="N277" s="24">
        <v>3.0473473766682262</v>
      </c>
      <c r="O277" s="24">
        <v>7.3</v>
      </c>
      <c r="P277" s="24">
        <v>0.9850746268656716</v>
      </c>
      <c r="Q277" s="24">
        <v>4.6400763011467197</v>
      </c>
      <c r="R277" s="24">
        <v>4.1399999999999997</v>
      </c>
      <c r="S277" s="24">
        <v>3.1249664656465663</v>
      </c>
      <c r="T277" s="24">
        <v>1.3300071858206519</v>
      </c>
      <c r="U277" s="24" t="s">
        <v>1687</v>
      </c>
      <c r="V277" s="24">
        <v>6786.0339999999997</v>
      </c>
      <c r="W277" s="24" t="s">
        <v>1415</v>
      </c>
      <c r="X277" s="64">
        <v>4.375</v>
      </c>
    </row>
    <row r="278" spans="1:24" ht="14.4" x14ac:dyDescent="0.55000000000000004">
      <c r="A278" s="24" t="s">
        <v>473</v>
      </c>
      <c r="B278" s="24" t="s">
        <v>882</v>
      </c>
      <c r="C278" s="24" t="s">
        <v>106</v>
      </c>
      <c r="D278" s="24" t="s">
        <v>72</v>
      </c>
      <c r="E278" s="24" t="s">
        <v>89</v>
      </c>
      <c r="F278" s="70">
        <v>6.3922376436692128E-4</v>
      </c>
      <c r="G278" s="24">
        <v>6.00075</v>
      </c>
      <c r="H278" s="24">
        <v>4.9512039999999997</v>
      </c>
      <c r="I278" s="24">
        <v>4.7913759999999996</v>
      </c>
      <c r="J278" s="24">
        <v>5.3230740000000001</v>
      </c>
      <c r="K278" s="24">
        <v>2.786813</v>
      </c>
      <c r="L278" s="24">
        <v>6.4358579999999996</v>
      </c>
      <c r="M278" s="24">
        <v>24.300899999999999</v>
      </c>
      <c r="N278" s="24">
        <v>3.8750804462900175</v>
      </c>
      <c r="O278" s="24">
        <v>3.3</v>
      </c>
      <c r="P278" s="24">
        <v>5.4654654654654644</v>
      </c>
      <c r="Q278" s="24">
        <v>6.5384749889331575</v>
      </c>
      <c r="R278" s="24">
        <v>5.82</v>
      </c>
      <c r="S278" s="24">
        <v>6.0914765571402647</v>
      </c>
      <c r="T278" s="24">
        <v>1.0598951230746096</v>
      </c>
      <c r="U278" s="24" t="s">
        <v>1813</v>
      </c>
      <c r="V278" s="24">
        <v>6981.5529999999999</v>
      </c>
      <c r="W278" s="24" t="s">
        <v>1415</v>
      </c>
      <c r="X278" s="64">
        <v>4.2906574394463668</v>
      </c>
    </row>
    <row r="279" spans="1:24" ht="14.4" x14ac:dyDescent="0.55000000000000004">
      <c r="A279" s="24" t="s">
        <v>498</v>
      </c>
      <c r="B279" s="24" t="s">
        <v>939</v>
      </c>
      <c r="C279" s="24" t="s">
        <v>112</v>
      </c>
      <c r="D279" s="24" t="s">
        <v>72</v>
      </c>
      <c r="E279" s="24" t="s">
        <v>94</v>
      </c>
      <c r="F279" s="70">
        <v>6.3908775309282008E-4</v>
      </c>
      <c r="G279" s="24">
        <v>4.6948949999999998</v>
      </c>
      <c r="H279" s="24">
        <v>7.0541210000000003</v>
      </c>
      <c r="I279" s="24">
        <v>6.9126180000000002</v>
      </c>
      <c r="J279" s="24">
        <v>6.0538290000000003</v>
      </c>
      <c r="K279" s="24">
        <v>2.8605849999999999</v>
      </c>
      <c r="L279" s="24">
        <v>-2.3785910000000001</v>
      </c>
      <c r="M279" s="24">
        <v>36.106999999999999</v>
      </c>
      <c r="N279" s="24">
        <v>4.017827270903088</v>
      </c>
      <c r="O279" s="24">
        <v>9.6999999999999993</v>
      </c>
      <c r="P279" s="24">
        <v>1.354166666666667</v>
      </c>
      <c r="Q279" s="24">
        <v>7.2259463722397479</v>
      </c>
      <c r="R279" s="24">
        <v>3.6</v>
      </c>
      <c r="S279" s="24">
        <v>1.7387257710709954</v>
      </c>
      <c r="T279" s="24">
        <v>1.2199108485043038</v>
      </c>
      <c r="U279" s="24" t="s">
        <v>1634</v>
      </c>
      <c r="V279" s="24">
        <v>6949.9679999999998</v>
      </c>
      <c r="W279" s="24" t="s">
        <v>1415</v>
      </c>
      <c r="X279" s="64">
        <v>3.7037037037037033</v>
      </c>
    </row>
    <row r="280" spans="1:24" ht="14.4" x14ac:dyDescent="0.55000000000000004">
      <c r="A280" s="24" t="s">
        <v>478</v>
      </c>
      <c r="B280" s="24" t="s">
        <v>1057</v>
      </c>
      <c r="C280" s="24" t="s">
        <v>105</v>
      </c>
      <c r="D280" s="24" t="s">
        <v>72</v>
      </c>
      <c r="E280" s="24" t="s">
        <v>89</v>
      </c>
      <c r="F280" s="70">
        <v>6.3872055267731056E-4</v>
      </c>
      <c r="G280" s="24">
        <v>5.3094099999999997</v>
      </c>
      <c r="H280" s="24">
        <v>4.6433410000000004</v>
      </c>
      <c r="I280" s="24">
        <v>3.8741460000000001</v>
      </c>
      <c r="J280" s="24">
        <v>4.6790099999999999</v>
      </c>
      <c r="K280" s="24">
        <v>1.8543190000000001</v>
      </c>
      <c r="L280" s="24">
        <v>5.3047610000000001</v>
      </c>
      <c r="M280" s="24">
        <v>59.546199999999999</v>
      </c>
      <c r="N280" s="24">
        <v>4.1754914987900795</v>
      </c>
      <c r="O280" s="24">
        <v>8.1999999999999993</v>
      </c>
      <c r="P280" s="24">
        <v>4.8948948948948949</v>
      </c>
      <c r="Q280" s="24">
        <v>4.4276593625498011</v>
      </c>
      <c r="R280" s="24">
        <v>4.42</v>
      </c>
      <c r="S280" s="24">
        <v>4.6949109054287916</v>
      </c>
      <c r="T280" s="24">
        <v>1.5231326436288408</v>
      </c>
      <c r="U280" s="24" t="s">
        <v>1964</v>
      </c>
      <c r="V280" s="24">
        <v>7247.0280000000002</v>
      </c>
      <c r="W280" s="24" t="s">
        <v>1415</v>
      </c>
      <c r="X280" s="64">
        <v>4.3771626297577857</v>
      </c>
    </row>
    <row r="281" spans="1:24" ht="14.4" x14ac:dyDescent="0.55000000000000004">
      <c r="A281" s="24" t="s">
        <v>496</v>
      </c>
      <c r="B281" s="24" t="s">
        <v>1208</v>
      </c>
      <c r="C281" s="24" t="s">
        <v>177</v>
      </c>
      <c r="D281" s="24" t="s">
        <v>72</v>
      </c>
      <c r="E281" s="24" t="s">
        <v>97</v>
      </c>
      <c r="F281" s="70">
        <v>6.3794732007708542E-4</v>
      </c>
      <c r="G281" s="24">
        <v>7.4517420000000003</v>
      </c>
      <c r="H281" s="24">
        <v>6.2038719999999996</v>
      </c>
      <c r="I281" s="24">
        <v>5.6344070000000004</v>
      </c>
      <c r="J281" s="24">
        <v>6.4300069999999998</v>
      </c>
      <c r="K281" s="24">
        <v>4.8862709999999998</v>
      </c>
      <c r="L281" s="24">
        <v>5.6912089999999997</v>
      </c>
      <c r="M281" s="24">
        <v>27.120999999999999</v>
      </c>
      <c r="N281" s="24">
        <v>4.8791543879665014</v>
      </c>
      <c r="O281" s="24">
        <v>3.7</v>
      </c>
      <c r="P281" s="24">
        <v>10</v>
      </c>
      <c r="Q281" s="24">
        <v>0.50658079404991774</v>
      </c>
      <c r="R281" s="24">
        <v>6.72</v>
      </c>
      <c r="S281" s="24">
        <v>4.5849236213703026</v>
      </c>
      <c r="T281" s="24">
        <v>0.34074588857175009</v>
      </c>
      <c r="U281" s="24" t="s">
        <v>1690</v>
      </c>
      <c r="V281" s="24">
        <v>6791.8450000000003</v>
      </c>
      <c r="W281" s="24" t="s">
        <v>1415</v>
      </c>
      <c r="X281" s="64">
        <v>4.6409807355516639</v>
      </c>
    </row>
    <row r="282" spans="1:24" ht="14.4" x14ac:dyDescent="0.55000000000000004">
      <c r="A282" s="24" t="s">
        <v>495</v>
      </c>
      <c r="B282" s="24" t="s">
        <v>1270</v>
      </c>
      <c r="C282" s="24" t="s">
        <v>127</v>
      </c>
      <c r="D282" s="24" t="s">
        <v>72</v>
      </c>
      <c r="E282" s="24" t="s">
        <v>90</v>
      </c>
      <c r="F282" s="70">
        <v>6.3354471820238904E-4</v>
      </c>
      <c r="G282" s="24">
        <v>5.1167340000000001</v>
      </c>
      <c r="H282" s="24">
        <v>6.7464399999999998</v>
      </c>
      <c r="I282" s="24">
        <v>6.5118340000000003</v>
      </c>
      <c r="J282" s="24">
        <v>6.1754160000000002</v>
      </c>
      <c r="K282" s="24">
        <v>4.9132870000000004</v>
      </c>
      <c r="L282" s="24">
        <v>5.5950699999999998</v>
      </c>
      <c r="M282" s="24">
        <v>0.49175000000000002</v>
      </c>
      <c r="N282" s="24">
        <v>5.9440878067867908</v>
      </c>
      <c r="O282" s="24">
        <v>3</v>
      </c>
      <c r="P282" s="24">
        <v>5.3942650961575369</v>
      </c>
      <c r="Q282" s="24">
        <v>1.9729615547106041</v>
      </c>
      <c r="R282" s="24">
        <v>4.84</v>
      </c>
      <c r="S282" s="24">
        <v>3.7740345444262888</v>
      </c>
      <c r="T282" s="24">
        <v>0.46165587653985923</v>
      </c>
      <c r="U282" s="24" t="s">
        <v>1656</v>
      </c>
      <c r="V282" s="24">
        <v>6985.3549999999996</v>
      </c>
      <c r="W282" s="24" t="s">
        <v>1415</v>
      </c>
      <c r="X282" s="64">
        <v>4.666666666666667</v>
      </c>
    </row>
    <row r="283" spans="1:24" ht="14.4" x14ac:dyDescent="0.55000000000000004">
      <c r="A283" s="24" t="s">
        <v>490</v>
      </c>
      <c r="B283" s="24" t="s">
        <v>948</v>
      </c>
      <c r="C283" s="24" t="s">
        <v>106</v>
      </c>
      <c r="D283" s="24" t="s">
        <v>72</v>
      </c>
      <c r="E283" s="24" t="s">
        <v>89</v>
      </c>
      <c r="F283" s="70">
        <v>6.3289388574066705E-4</v>
      </c>
      <c r="G283" s="24">
        <v>4.8952260000000001</v>
      </c>
      <c r="H283" s="24">
        <v>4.4949709999999996</v>
      </c>
      <c r="I283" s="24">
        <v>4.4992210000000004</v>
      </c>
      <c r="J283" s="24">
        <v>4.6563480000000004</v>
      </c>
      <c r="K283" s="24">
        <v>1.337934</v>
      </c>
      <c r="L283" s="24">
        <v>5.0376070000000004</v>
      </c>
      <c r="M283" s="24">
        <v>0.65839000000000003</v>
      </c>
      <c r="N283" s="24">
        <v>6.315106707797419</v>
      </c>
      <c r="O283" s="24">
        <v>8.4</v>
      </c>
      <c r="P283" s="24">
        <v>5.9759759759759747</v>
      </c>
      <c r="Q283" s="24">
        <v>1.4997421425409474</v>
      </c>
      <c r="R283" s="24">
        <v>4.08</v>
      </c>
      <c r="S283" s="24">
        <v>4.6052241959772049</v>
      </c>
      <c r="T283" s="24">
        <v>1.4024312576799491</v>
      </c>
      <c r="U283" s="24" t="s">
        <v>1765</v>
      </c>
      <c r="V283" s="24">
        <v>7133.8890000000001</v>
      </c>
      <c r="W283" s="24" t="s">
        <v>1415</v>
      </c>
      <c r="X283" s="64">
        <v>4.5847750865051902</v>
      </c>
    </row>
    <row r="284" spans="1:24" ht="14.4" x14ac:dyDescent="0.55000000000000004">
      <c r="A284" s="24" t="s">
        <v>557</v>
      </c>
      <c r="B284" s="24" t="s">
        <v>1193</v>
      </c>
      <c r="C284" s="24" t="s">
        <v>112</v>
      </c>
      <c r="D284" s="24" t="s">
        <v>72</v>
      </c>
      <c r="E284" s="24" t="s">
        <v>95</v>
      </c>
      <c r="F284" s="70">
        <v>6.2695712873668639E-4</v>
      </c>
      <c r="G284" s="24">
        <v>7.611434</v>
      </c>
      <c r="H284" s="24">
        <v>6.5155580000000004</v>
      </c>
      <c r="I284" s="24">
        <v>3.50962</v>
      </c>
      <c r="J284" s="24">
        <v>5.5323580000000003</v>
      </c>
      <c r="K284" s="24">
        <v>0</v>
      </c>
      <c r="L284" s="24">
        <v>4.342384</v>
      </c>
      <c r="M284" s="24">
        <v>6.5926999999999998</v>
      </c>
      <c r="N284" s="24">
        <v>4.2376780170717048</v>
      </c>
      <c r="O284" s="24">
        <v>8</v>
      </c>
      <c r="P284" s="24">
        <v>5.279503105590063</v>
      </c>
      <c r="Q284" s="24">
        <v>4.6674090773284078</v>
      </c>
      <c r="R284" s="24">
        <v>0</v>
      </c>
      <c r="S284" s="24">
        <v>3.2393906473327014</v>
      </c>
      <c r="T284" s="24">
        <v>1.7220362635743569</v>
      </c>
      <c r="U284" s="24" t="s">
        <v>1640</v>
      </c>
      <c r="V284" s="24">
        <v>6493.9449999999997</v>
      </c>
      <c r="W284" s="24" t="s">
        <v>1415</v>
      </c>
      <c r="X284" s="64">
        <v>5.7632933104631228</v>
      </c>
    </row>
    <row r="285" spans="1:24" ht="14.4" x14ac:dyDescent="0.55000000000000004">
      <c r="A285" s="24" t="s">
        <v>531</v>
      </c>
      <c r="B285" s="24" t="s">
        <v>852</v>
      </c>
      <c r="C285" s="24" t="s">
        <v>177</v>
      </c>
      <c r="D285" s="24" t="s">
        <v>72</v>
      </c>
      <c r="E285" s="24" t="s">
        <v>89</v>
      </c>
      <c r="F285" s="70">
        <v>6.2343574781008489E-4</v>
      </c>
      <c r="G285" s="24">
        <v>7.0377989999999997</v>
      </c>
      <c r="H285" s="24">
        <v>6.1001630000000002</v>
      </c>
      <c r="I285" s="24">
        <v>7.2413270000000001</v>
      </c>
      <c r="J285" s="24">
        <v>6.8175660000000002</v>
      </c>
      <c r="K285" s="24">
        <v>3.885758</v>
      </c>
      <c r="L285" s="24">
        <v>6.9877450000000003</v>
      </c>
      <c r="M285" s="24">
        <v>31.852499999999999</v>
      </c>
      <c r="N285" s="24">
        <v>3.2331958835878156</v>
      </c>
      <c r="O285" s="24">
        <v>0.5</v>
      </c>
      <c r="P285" s="24">
        <v>7.0270270270270254</v>
      </c>
      <c r="Q285" s="24">
        <v>6.4255942895086324</v>
      </c>
      <c r="R285" s="24">
        <v>6.59</v>
      </c>
      <c r="S285" s="24">
        <v>5.4529131463219915</v>
      </c>
      <c r="T285" s="24">
        <v>1.7087945914412266</v>
      </c>
      <c r="U285" s="24" t="s">
        <v>1694</v>
      </c>
      <c r="V285" s="24">
        <v>6141.0839999999998</v>
      </c>
      <c r="W285" s="24" t="s">
        <v>1415</v>
      </c>
      <c r="X285" s="64">
        <v>5.2941176470588234</v>
      </c>
    </row>
    <row r="286" spans="1:24" ht="14.4" x14ac:dyDescent="0.55000000000000004">
      <c r="A286" s="24" t="s">
        <v>499</v>
      </c>
      <c r="B286" s="24" t="s">
        <v>1256</v>
      </c>
      <c r="C286" s="24" t="s">
        <v>105</v>
      </c>
      <c r="D286" s="24" t="s">
        <v>72</v>
      </c>
      <c r="E286" s="24" t="s">
        <v>88</v>
      </c>
      <c r="F286" s="70">
        <v>6.2070421307568874E-4</v>
      </c>
      <c r="G286" s="24">
        <v>6.2922209999999996</v>
      </c>
      <c r="H286" s="24">
        <v>5.066821</v>
      </c>
      <c r="I286" s="24">
        <v>7.0968099999999996</v>
      </c>
      <c r="J286" s="24">
        <v>6.1238970000000004</v>
      </c>
      <c r="K286" s="24">
        <v>0</v>
      </c>
      <c r="L286" s="24">
        <v>3.5476390000000002</v>
      </c>
      <c r="M286" s="24">
        <v>4.8944999999999999</v>
      </c>
      <c r="N286" s="24">
        <v>5.3293562839927198</v>
      </c>
      <c r="O286" s="24">
        <v>6.9</v>
      </c>
      <c r="P286" s="24">
        <v>4.2191780821917808</v>
      </c>
      <c r="Q286" s="24">
        <v>4.2029755839527834</v>
      </c>
      <c r="R286" s="24">
        <v>0</v>
      </c>
      <c r="S286" s="24">
        <v>3.5396239346664</v>
      </c>
      <c r="T286" s="24">
        <v>1.0475735687849888</v>
      </c>
      <c r="U286" s="24" t="s">
        <v>1975</v>
      </c>
      <c r="V286" s="24">
        <v>5275.0959999999995</v>
      </c>
      <c r="W286" s="24" t="s">
        <v>1415</v>
      </c>
      <c r="X286" s="64">
        <v>4.9652777777777777</v>
      </c>
    </row>
    <row r="287" spans="1:24" ht="14.4" x14ac:dyDescent="0.55000000000000004">
      <c r="A287" s="24" t="s">
        <v>482</v>
      </c>
      <c r="B287" s="24" t="s">
        <v>1005</v>
      </c>
      <c r="C287" s="24" t="s">
        <v>106</v>
      </c>
      <c r="D287" s="24" t="s">
        <v>72</v>
      </c>
      <c r="E287" s="24" t="s">
        <v>87</v>
      </c>
      <c r="F287" s="70">
        <v>6.1708465182539851E-4</v>
      </c>
      <c r="G287" s="24">
        <v>6.6930589999999999</v>
      </c>
      <c r="H287" s="24">
        <v>7.9606719999999997</v>
      </c>
      <c r="I287" s="24">
        <v>7.7479760000000004</v>
      </c>
      <c r="J287" s="24">
        <v>7.389818</v>
      </c>
      <c r="K287" s="24">
        <v>3.1400679999999999</v>
      </c>
      <c r="L287" s="24">
        <v>8.3170500000000001</v>
      </c>
      <c r="M287" s="24">
        <v>194.07419999999999</v>
      </c>
      <c r="N287" s="24">
        <v>3.1788916194102788</v>
      </c>
      <c r="O287" s="24">
        <v>8.1</v>
      </c>
      <c r="P287" s="24">
        <v>6.7782426778242675</v>
      </c>
      <c r="Q287" s="24">
        <v>5.8545992497490351</v>
      </c>
      <c r="R287" s="24">
        <v>5.53</v>
      </c>
      <c r="S287" s="24">
        <v>6.5897444697259147</v>
      </c>
      <c r="T287" s="24">
        <v>0.63348287265293723</v>
      </c>
      <c r="U287" s="24" t="s">
        <v>1560</v>
      </c>
      <c r="V287" s="24">
        <v>6547.8320000000003</v>
      </c>
      <c r="W287" s="24" t="s">
        <v>1415</v>
      </c>
      <c r="X287" s="64">
        <v>4.7424511545293075</v>
      </c>
    </row>
    <row r="288" spans="1:24" ht="14.4" x14ac:dyDescent="0.55000000000000004">
      <c r="A288" s="24" t="s">
        <v>500</v>
      </c>
      <c r="B288" s="24" t="s">
        <v>1144</v>
      </c>
      <c r="C288" s="24" t="s">
        <v>105</v>
      </c>
      <c r="D288" s="24" t="s">
        <v>72</v>
      </c>
      <c r="E288" s="24" t="s">
        <v>85</v>
      </c>
      <c r="F288" s="70">
        <v>6.1695584644661384E-4</v>
      </c>
      <c r="G288" s="24">
        <v>6.0153850000000002</v>
      </c>
      <c r="H288" s="24">
        <v>4.955241</v>
      </c>
      <c r="I288" s="24">
        <v>5.6428779999999996</v>
      </c>
      <c r="J288" s="24">
        <v>5.5855889999999997</v>
      </c>
      <c r="K288" s="24">
        <v>3.5143219999999999</v>
      </c>
      <c r="L288" s="24">
        <v>8.1070159999999998</v>
      </c>
      <c r="M288" s="24">
        <v>16.384499999999999</v>
      </c>
      <c r="N288" s="24">
        <v>3.5984437606032516</v>
      </c>
      <c r="O288" s="24">
        <v>6.6</v>
      </c>
      <c r="P288" s="24">
        <v>4.0840840840840835</v>
      </c>
      <c r="Q288" s="24">
        <v>7.2133687472332895</v>
      </c>
      <c r="R288" s="24">
        <v>6.91</v>
      </c>
      <c r="S288" s="24">
        <v>6.409315847874903</v>
      </c>
      <c r="T288" s="24">
        <v>1.3245775340729078</v>
      </c>
      <c r="U288" s="24" t="s">
        <v>1963</v>
      </c>
      <c r="V288" s="24">
        <v>6366.6080000000002</v>
      </c>
      <c r="W288" s="24" t="s">
        <v>1415</v>
      </c>
      <c r="X288" s="64">
        <v>4.757785467128028</v>
      </c>
    </row>
    <row r="289" spans="1:24" ht="14.4" x14ac:dyDescent="0.55000000000000004">
      <c r="A289" s="24" t="s">
        <v>521</v>
      </c>
      <c r="B289" s="24" t="s">
        <v>1399</v>
      </c>
      <c r="C289" s="24" t="s">
        <v>106</v>
      </c>
      <c r="D289" s="24" t="s">
        <v>72</v>
      </c>
      <c r="E289" s="24" t="s">
        <v>89</v>
      </c>
      <c r="F289" s="70">
        <v>6.1673616672133639E-4</v>
      </c>
      <c r="G289" s="24">
        <v>5.2238749999999996</v>
      </c>
      <c r="H289" s="24">
        <v>6.9488700000000003</v>
      </c>
      <c r="I289" s="24">
        <v>5.3526239999999996</v>
      </c>
      <c r="J289" s="24">
        <v>5.779998</v>
      </c>
      <c r="K289" s="24">
        <v>1.8289249999999999</v>
      </c>
      <c r="L289" s="24">
        <v>6.5332169999999996</v>
      </c>
      <c r="M289" s="24">
        <v>74.757099999999994</v>
      </c>
      <c r="N289" s="24">
        <v>3.0192343626870817</v>
      </c>
      <c r="O289" s="24">
        <v>2.1</v>
      </c>
      <c r="P289" s="24">
        <v>5.4354354354354335</v>
      </c>
      <c r="Q289" s="24">
        <v>5.2228120849933601</v>
      </c>
      <c r="R289" s="24">
        <v>3.64</v>
      </c>
      <c r="S289" s="24">
        <v>5.7860523385443452</v>
      </c>
      <c r="T289" s="24">
        <v>1.4000971406869129</v>
      </c>
      <c r="U289" s="24" t="s">
        <v>1794</v>
      </c>
      <c r="V289" s="24">
        <v>6752.7370000000001</v>
      </c>
      <c r="W289" s="24" t="s">
        <v>1415</v>
      </c>
      <c r="X289" s="64">
        <v>5.1211072664359856</v>
      </c>
    </row>
    <row r="290" spans="1:24" ht="14.4" x14ac:dyDescent="0.55000000000000004">
      <c r="A290" s="24" t="s">
        <v>516</v>
      </c>
      <c r="B290" s="24" t="s">
        <v>895</v>
      </c>
      <c r="C290" s="24" t="s">
        <v>106</v>
      </c>
      <c r="D290" s="24" t="s">
        <v>72</v>
      </c>
      <c r="E290" s="24" t="s">
        <v>84</v>
      </c>
      <c r="F290" s="70">
        <v>6.1102459394599986E-4</v>
      </c>
      <c r="G290" s="24" t="e">
        <v>#N/A</v>
      </c>
      <c r="H290" s="24" t="e">
        <v>#N/A</v>
      </c>
      <c r="I290" s="24" t="e">
        <v>#N/A</v>
      </c>
      <c r="J290" s="24" t="e">
        <v>#N/A</v>
      </c>
      <c r="K290" s="24">
        <v>2.619615</v>
      </c>
      <c r="L290" s="24">
        <v>2.8668290000000001</v>
      </c>
      <c r="M290" s="24" t="e">
        <v>#N/A</v>
      </c>
      <c r="N290" s="24">
        <v>2.5786155103431097</v>
      </c>
      <c r="O290" s="24">
        <v>1.8</v>
      </c>
      <c r="P290" s="24">
        <v>5.6716417910447756</v>
      </c>
      <c r="Q290" s="24">
        <v>1.184535455833756</v>
      </c>
      <c r="R290" s="24">
        <v>5.1100000000000003</v>
      </c>
      <c r="S290" s="24">
        <v>2.2978138093593552</v>
      </c>
      <c r="T290" s="24">
        <v>1.2504598351407461</v>
      </c>
      <c r="U290" s="24" t="s">
        <v>1837</v>
      </c>
      <c r="V290" s="24">
        <v>7062.9949999999999</v>
      </c>
      <c r="W290" s="24" t="s">
        <v>1415</v>
      </c>
      <c r="X290" s="64">
        <v>4.9826388888888893</v>
      </c>
    </row>
    <row r="291" spans="1:24" ht="14.4" x14ac:dyDescent="0.55000000000000004">
      <c r="A291" s="24" t="s">
        <v>526</v>
      </c>
      <c r="B291" s="24" t="s">
        <v>1197</v>
      </c>
      <c r="C291" s="24" t="s">
        <v>106</v>
      </c>
      <c r="D291" s="24" t="s">
        <v>72</v>
      </c>
      <c r="E291" s="24" t="s">
        <v>98</v>
      </c>
      <c r="F291" s="70">
        <v>6.0859230403100223E-4</v>
      </c>
      <c r="G291" s="24">
        <v>6.4623030000000004</v>
      </c>
      <c r="H291" s="24">
        <v>5.8872479999999996</v>
      </c>
      <c r="I291" s="24">
        <v>5.0411729999999997</v>
      </c>
      <c r="J291" s="24">
        <v>5.6638289999999998</v>
      </c>
      <c r="K291" s="24">
        <v>3.1636649999999999</v>
      </c>
      <c r="L291" s="24">
        <v>6.5216510000000003</v>
      </c>
      <c r="M291" s="24">
        <v>199.0806</v>
      </c>
      <c r="N291" s="24">
        <v>3.5108609835731706</v>
      </c>
      <c r="O291" s="24">
        <v>4</v>
      </c>
      <c r="P291" s="24">
        <v>2.8881987577639756</v>
      </c>
      <c r="Q291" s="24">
        <v>5.0516522258739176</v>
      </c>
      <c r="R291" s="24">
        <v>5.72</v>
      </c>
      <c r="S291" s="24">
        <v>5.1944183350885051</v>
      </c>
      <c r="T291" s="24">
        <v>0.92150938148936357</v>
      </c>
      <c r="U291" s="24" t="s">
        <v>1810</v>
      </c>
      <c r="V291" s="24">
        <v>6750.8239999999996</v>
      </c>
      <c r="W291" s="24" t="s">
        <v>1415</v>
      </c>
      <c r="X291" s="64">
        <v>5.2315608919382504</v>
      </c>
    </row>
    <row r="292" spans="1:24" ht="14.4" x14ac:dyDescent="0.55000000000000004">
      <c r="A292" s="24" t="s">
        <v>518</v>
      </c>
      <c r="B292" s="24" t="s">
        <v>1285</v>
      </c>
      <c r="C292" s="24" t="s">
        <v>113</v>
      </c>
      <c r="D292" s="24" t="s">
        <v>72</v>
      </c>
      <c r="E292" s="24" t="s">
        <v>92</v>
      </c>
      <c r="F292" s="70">
        <v>6.0587047723890757E-4</v>
      </c>
      <c r="G292" s="24">
        <v>6.0511980000000003</v>
      </c>
      <c r="H292" s="24">
        <v>5.0748800000000003</v>
      </c>
      <c r="I292" s="24">
        <v>5.0049000000000001</v>
      </c>
      <c r="J292" s="24">
        <v>5.5420449999999999</v>
      </c>
      <c r="K292" s="24">
        <v>4.1785519999999998</v>
      </c>
      <c r="L292" s="24">
        <v>9.7909369999999996</v>
      </c>
      <c r="M292" s="24">
        <v>492.09050000000002</v>
      </c>
      <c r="N292" s="24">
        <v>1.962389831329683</v>
      </c>
      <c r="O292" s="24">
        <v>1.9</v>
      </c>
      <c r="P292" s="24">
        <v>9.7560975609756095</v>
      </c>
      <c r="Q292" s="24">
        <v>6.449873276656179</v>
      </c>
      <c r="R292" s="24">
        <v>3.39</v>
      </c>
      <c r="S292" s="24">
        <v>4.6083331392977893</v>
      </c>
      <c r="T292" s="24">
        <v>0.9695843476244399</v>
      </c>
      <c r="U292" s="24" t="s">
        <v>1491</v>
      </c>
      <c r="V292" s="24">
        <v>6208.1059999999998</v>
      </c>
      <c r="W292" s="24" t="s">
        <v>1415</v>
      </c>
      <c r="X292" s="64">
        <v>5.9090909090909092</v>
      </c>
    </row>
    <row r="293" spans="1:24" ht="14.4" x14ac:dyDescent="0.55000000000000004">
      <c r="A293" s="24" t="s">
        <v>501</v>
      </c>
      <c r="B293" s="24" t="s">
        <v>1237</v>
      </c>
      <c r="C293" s="24" t="s">
        <v>105</v>
      </c>
      <c r="D293" s="24" t="s">
        <v>72</v>
      </c>
      <c r="E293" s="24" t="s">
        <v>97</v>
      </c>
      <c r="F293" s="70">
        <v>6.0464667601763491E-4</v>
      </c>
      <c r="G293" s="24">
        <v>7.1464629999999998</v>
      </c>
      <c r="H293" s="24">
        <v>2.6533329999999999</v>
      </c>
      <c r="I293" s="24">
        <v>6.5125650000000004</v>
      </c>
      <c r="J293" s="24">
        <v>5.4374539999999998</v>
      </c>
      <c r="K293" s="24">
        <v>6.0278479999999997</v>
      </c>
      <c r="L293" s="24">
        <v>5.7684769999999999</v>
      </c>
      <c r="M293" s="24">
        <v>13.583299999999999</v>
      </c>
      <c r="N293" s="24">
        <v>0</v>
      </c>
      <c r="O293" s="24">
        <v>9.6999999999999993</v>
      </c>
      <c r="P293" s="24">
        <v>2.2932330827067666</v>
      </c>
      <c r="Q293" s="24">
        <v>3.2637090501904553</v>
      </c>
      <c r="R293" s="24">
        <v>6.32</v>
      </c>
      <c r="S293" s="24">
        <v>2.6095902779130973</v>
      </c>
      <c r="T293" s="24">
        <v>0.41877460163338359</v>
      </c>
      <c r="U293" s="24" t="s">
        <v>1973</v>
      </c>
      <c r="V293" s="24">
        <v>7157.9650000000001</v>
      </c>
      <c r="W293" s="24" t="s">
        <v>1415</v>
      </c>
      <c r="X293" s="64">
        <v>4.7285464098073557</v>
      </c>
    </row>
    <row r="294" spans="1:24" ht="14.4" x14ac:dyDescent="0.55000000000000004">
      <c r="A294" s="24" t="s">
        <v>489</v>
      </c>
      <c r="B294" s="24" t="s">
        <v>1388</v>
      </c>
      <c r="C294" s="24" t="s">
        <v>106</v>
      </c>
      <c r="D294" s="24" t="s">
        <v>72</v>
      </c>
      <c r="E294" s="24" t="s">
        <v>89</v>
      </c>
      <c r="F294" s="70">
        <v>6.0291666065036959E-4</v>
      </c>
      <c r="G294" s="24">
        <v>5.9394330000000002</v>
      </c>
      <c r="H294" s="24">
        <v>5.7564570000000002</v>
      </c>
      <c r="I294" s="24">
        <v>7.8173680000000001</v>
      </c>
      <c r="J294" s="24">
        <v>6.5044190000000004</v>
      </c>
      <c r="K294" s="24">
        <v>4.0287810000000004</v>
      </c>
      <c r="L294" s="24">
        <v>5.2029940000000003</v>
      </c>
      <c r="M294" s="24">
        <v>568.94470000000001</v>
      </c>
      <c r="N294" s="24">
        <v>0</v>
      </c>
      <c r="O294" s="24">
        <v>4</v>
      </c>
      <c r="P294" s="24">
        <v>3.5435435435435423</v>
      </c>
      <c r="Q294" s="24">
        <v>6.1871038069942452</v>
      </c>
      <c r="R294" s="24">
        <v>6.75</v>
      </c>
      <c r="S294" s="24">
        <v>4.0888347243274357</v>
      </c>
      <c r="T294" s="24">
        <v>1.2035884117432947</v>
      </c>
      <c r="U294" s="24" t="s">
        <v>1845</v>
      </c>
      <c r="V294" s="24">
        <v>7533.9279999999999</v>
      </c>
      <c r="W294" s="24" t="s">
        <v>1415</v>
      </c>
      <c r="X294" s="64">
        <v>4.5674740484429064</v>
      </c>
    </row>
    <row r="295" spans="1:24" ht="14.4" x14ac:dyDescent="0.55000000000000004">
      <c r="A295" s="24" t="s">
        <v>513</v>
      </c>
      <c r="B295" s="24" t="s">
        <v>904</v>
      </c>
      <c r="C295" s="24" t="s">
        <v>108</v>
      </c>
      <c r="D295" s="24" t="s">
        <v>72</v>
      </c>
      <c r="E295" s="24" t="s">
        <v>87</v>
      </c>
      <c r="F295" s="70">
        <v>5.9920952775560643E-4</v>
      </c>
      <c r="G295" s="24">
        <v>7.8253060000000003</v>
      </c>
      <c r="H295" s="24">
        <v>6.4196989999999996</v>
      </c>
      <c r="I295" s="24">
        <v>4.4889840000000003</v>
      </c>
      <c r="J295" s="24">
        <v>6.4027269999999996</v>
      </c>
      <c r="K295" s="24">
        <v>4.0949629999999999</v>
      </c>
      <c r="L295" s="24">
        <v>7.6672019999999996</v>
      </c>
      <c r="M295" s="24">
        <v>35.887999999999998</v>
      </c>
      <c r="N295" s="24">
        <v>4.5335551824826421</v>
      </c>
      <c r="O295" s="24">
        <v>6.6</v>
      </c>
      <c r="P295" s="24">
        <v>5.1882845188284517</v>
      </c>
      <c r="Q295" s="24">
        <v>6.1434279072224864</v>
      </c>
      <c r="R295" s="24">
        <v>5.74</v>
      </c>
      <c r="S295" s="24">
        <v>6.1976187878194269</v>
      </c>
      <c r="T295" s="24">
        <v>0.42077476390602531</v>
      </c>
      <c r="U295" s="24" t="s">
        <v>1934</v>
      </c>
      <c r="V295" s="24">
        <v>6440.1149999999998</v>
      </c>
      <c r="W295" s="24" t="s">
        <v>1415</v>
      </c>
      <c r="X295" s="64">
        <v>5.2930728241563054</v>
      </c>
    </row>
    <row r="296" spans="1:24" ht="14.4" x14ac:dyDescent="0.55000000000000004">
      <c r="A296" s="24" t="s">
        <v>511</v>
      </c>
      <c r="B296" s="24" t="s">
        <v>1189</v>
      </c>
      <c r="C296" s="24" t="s">
        <v>106</v>
      </c>
      <c r="D296" s="24" t="s">
        <v>72</v>
      </c>
      <c r="E296" s="24" t="s">
        <v>93</v>
      </c>
      <c r="F296" s="70">
        <v>5.9291647926097051E-4</v>
      </c>
      <c r="G296" s="24">
        <v>4.8026099999999996</v>
      </c>
      <c r="H296" s="24">
        <v>6.1975009999999999</v>
      </c>
      <c r="I296" s="24">
        <v>5.2313049999999999</v>
      </c>
      <c r="J296" s="24">
        <v>5.4104720000000004</v>
      </c>
      <c r="K296" s="24">
        <v>3.7411449999999999</v>
      </c>
      <c r="L296" s="24">
        <v>6.1688280000000004</v>
      </c>
      <c r="M296" s="24">
        <v>6.4386000000000001</v>
      </c>
      <c r="N296" s="24">
        <v>2.0906429562576072</v>
      </c>
      <c r="O296" s="24">
        <v>9.1999999999999993</v>
      </c>
      <c r="P296" s="24">
        <v>4.7826086956521756</v>
      </c>
      <c r="Q296" s="24">
        <v>4.1345030828150033</v>
      </c>
      <c r="R296" s="24">
        <v>6.03</v>
      </c>
      <c r="S296" s="24">
        <v>4.682556621106583</v>
      </c>
      <c r="T296" s="24">
        <v>1.5985927995496341</v>
      </c>
      <c r="U296" s="24" t="s">
        <v>1783</v>
      </c>
      <c r="V296" s="24">
        <v>6313.0249999999996</v>
      </c>
      <c r="W296" s="24" t="s">
        <v>1415</v>
      </c>
      <c r="X296" s="64">
        <v>4.9742710120068612</v>
      </c>
    </row>
    <row r="297" spans="1:24" ht="14.4" x14ac:dyDescent="0.55000000000000004">
      <c r="A297" s="24" t="s">
        <v>529</v>
      </c>
      <c r="B297" s="24" t="s">
        <v>1234</v>
      </c>
      <c r="C297" s="24" t="s">
        <v>127</v>
      </c>
      <c r="D297" s="24" t="s">
        <v>72</v>
      </c>
      <c r="E297" s="24" t="s">
        <v>89</v>
      </c>
      <c r="F297" s="70">
        <v>5.9252736091387303E-4</v>
      </c>
      <c r="G297" s="24">
        <v>5.1969469999999998</v>
      </c>
      <c r="H297" s="24">
        <v>3.6445430000000001</v>
      </c>
      <c r="I297" s="24">
        <v>5.2827580000000003</v>
      </c>
      <c r="J297" s="24">
        <v>4.7569689999999998</v>
      </c>
      <c r="K297" s="24">
        <v>4.3958550000000001</v>
      </c>
      <c r="L297" s="24">
        <v>13.98062</v>
      </c>
      <c r="M297" s="24">
        <v>684.21950000000004</v>
      </c>
      <c r="N297" s="24">
        <v>4.7849576492345944</v>
      </c>
      <c r="O297" s="24">
        <v>6.1</v>
      </c>
      <c r="P297" s="24">
        <v>2.342342342342342</v>
      </c>
      <c r="Q297" s="24">
        <v>9.4968271359008423</v>
      </c>
      <c r="R297" s="24">
        <v>7.41</v>
      </c>
      <c r="S297" s="24">
        <v>6.5551073531022057</v>
      </c>
      <c r="T297" s="24">
        <v>0.66407298095028233</v>
      </c>
      <c r="U297" s="24" t="s">
        <v>1643</v>
      </c>
      <c r="V297" s="24">
        <v>4525.46</v>
      </c>
      <c r="W297" s="24" t="s">
        <v>1414</v>
      </c>
      <c r="X297" s="64">
        <v>5.2595155709342558</v>
      </c>
    </row>
    <row r="298" spans="1:24" ht="14.4" x14ac:dyDescent="0.55000000000000004">
      <c r="A298" s="24" t="s">
        <v>522</v>
      </c>
      <c r="B298" s="24" t="s">
        <v>949</v>
      </c>
      <c r="C298" s="24" t="s">
        <v>112</v>
      </c>
      <c r="D298" s="24" t="s">
        <v>72</v>
      </c>
      <c r="E298" s="24" t="s">
        <v>88</v>
      </c>
      <c r="F298" s="70">
        <v>5.9195579330063386E-4</v>
      </c>
      <c r="G298" s="24">
        <v>6.2790030000000003</v>
      </c>
      <c r="H298" s="24">
        <v>6.1736139999999997</v>
      </c>
      <c r="I298" s="24">
        <v>6.9755390000000004</v>
      </c>
      <c r="J298" s="24">
        <v>6.5154610000000002</v>
      </c>
      <c r="K298" s="24">
        <v>0.29800720000000003</v>
      </c>
      <c r="L298" s="24">
        <v>1.233606</v>
      </c>
      <c r="M298" s="24">
        <v>18.654499999999999</v>
      </c>
      <c r="N298" s="24">
        <v>1.1223321373266322</v>
      </c>
      <c r="O298" s="24">
        <v>0.4</v>
      </c>
      <c r="P298" s="24">
        <v>2.9315068493150682</v>
      </c>
      <c r="Q298" s="24">
        <v>1.1334758762771793</v>
      </c>
      <c r="R298" s="24">
        <v>2.48</v>
      </c>
      <c r="S298" s="24">
        <v>0.96548036161908402</v>
      </c>
      <c r="T298" s="24">
        <v>1.9693816646158202</v>
      </c>
      <c r="U298" s="24" t="s">
        <v>1607</v>
      </c>
      <c r="V298" s="24">
        <v>6320.2240000000002</v>
      </c>
      <c r="W298" s="24" t="s">
        <v>1415</v>
      </c>
      <c r="X298" s="64">
        <v>5.3645833333333339</v>
      </c>
    </row>
    <row r="299" spans="1:24" ht="14.4" x14ac:dyDescent="0.55000000000000004">
      <c r="A299" s="24" t="s">
        <v>506</v>
      </c>
      <c r="B299" s="24" t="s">
        <v>1288</v>
      </c>
      <c r="C299" s="24" t="s">
        <v>106</v>
      </c>
      <c r="D299" s="24" t="s">
        <v>72</v>
      </c>
      <c r="E299" s="24" t="s">
        <v>89</v>
      </c>
      <c r="F299" s="70">
        <v>5.9181507817820098E-4</v>
      </c>
      <c r="G299" s="24">
        <v>7.2336739999999997</v>
      </c>
      <c r="H299" s="24">
        <v>6.3008069999999998</v>
      </c>
      <c r="I299" s="24">
        <v>7.0359819999999997</v>
      </c>
      <c r="J299" s="24">
        <v>6.8945059999999998</v>
      </c>
      <c r="K299" s="24">
        <v>2.183243</v>
      </c>
      <c r="L299" s="24">
        <v>2.8914279999999999</v>
      </c>
      <c r="M299" s="24">
        <v>24.9207</v>
      </c>
      <c r="N299" s="24">
        <v>2.4270588966043274</v>
      </c>
      <c r="O299" s="24">
        <v>0.3</v>
      </c>
      <c r="P299" s="24">
        <v>5.7657657657657646</v>
      </c>
      <c r="Q299" s="24">
        <v>2.5260070827799912</v>
      </c>
      <c r="R299" s="24">
        <v>5.28</v>
      </c>
      <c r="S299" s="24">
        <v>2.1892614407594633</v>
      </c>
      <c r="T299" s="24">
        <v>1.5660224503534517</v>
      </c>
      <c r="U299" s="24" t="s">
        <v>1854</v>
      </c>
      <c r="V299" s="24">
        <v>6659.3720000000003</v>
      </c>
      <c r="W299" s="24" t="s">
        <v>1415</v>
      </c>
      <c r="X299" s="64">
        <v>4.8615916955017298</v>
      </c>
    </row>
    <row r="300" spans="1:24" ht="14.4" x14ac:dyDescent="0.55000000000000004">
      <c r="A300" s="24" t="s">
        <v>483</v>
      </c>
      <c r="B300" s="24" t="s">
        <v>1032</v>
      </c>
      <c r="C300" s="24" t="s">
        <v>105</v>
      </c>
      <c r="D300" s="24" t="s">
        <v>72</v>
      </c>
      <c r="E300" s="24" t="s">
        <v>89</v>
      </c>
      <c r="F300" s="70">
        <v>5.908624988500955E-4</v>
      </c>
      <c r="G300" s="24">
        <v>5.9056110000000004</v>
      </c>
      <c r="H300" s="24">
        <v>5.9323240000000004</v>
      </c>
      <c r="I300" s="24">
        <v>5.8483280000000004</v>
      </c>
      <c r="J300" s="24">
        <v>5.8964400000000001</v>
      </c>
      <c r="K300" s="24">
        <v>1.0481819999999999</v>
      </c>
      <c r="L300" s="24">
        <v>5.1235109999999997</v>
      </c>
      <c r="M300" s="24">
        <v>2.4899</v>
      </c>
      <c r="N300" s="24">
        <v>7.2898207352573694</v>
      </c>
      <c r="O300" s="24">
        <v>8.8000000000000007</v>
      </c>
      <c r="P300" s="24">
        <v>4.2342342342342336</v>
      </c>
      <c r="Q300" s="24">
        <v>3.2522687029659147</v>
      </c>
      <c r="R300" s="24">
        <v>3.35</v>
      </c>
      <c r="S300" s="24">
        <v>3.9191286305763144</v>
      </c>
      <c r="T300" s="24">
        <v>1.0670982587516009</v>
      </c>
      <c r="U300" s="24" t="s">
        <v>2013</v>
      </c>
      <c r="V300" s="24">
        <v>6123.9170000000004</v>
      </c>
      <c r="W300" s="24" t="s">
        <v>1415</v>
      </c>
      <c r="X300" s="64">
        <v>4.4636678200692046</v>
      </c>
    </row>
    <row r="301" spans="1:24" ht="14.4" x14ac:dyDescent="0.55000000000000004">
      <c r="A301" s="24" t="s">
        <v>509</v>
      </c>
      <c r="B301" s="24" t="s">
        <v>1135</v>
      </c>
      <c r="C301" s="24" t="s">
        <v>106</v>
      </c>
      <c r="D301" s="24" t="s">
        <v>72</v>
      </c>
      <c r="E301" s="24" t="s">
        <v>95</v>
      </c>
      <c r="F301" s="70">
        <v>5.8845993325327885E-4</v>
      </c>
      <c r="G301" s="24">
        <v>5.8439139999999998</v>
      </c>
      <c r="H301" s="24">
        <v>3.8587220000000002</v>
      </c>
      <c r="I301" s="24">
        <v>5.6251610000000003</v>
      </c>
      <c r="J301" s="24">
        <v>4.9623359999999996</v>
      </c>
      <c r="K301" s="24">
        <v>4.6503449999999997</v>
      </c>
      <c r="L301" s="24">
        <v>9.1771969999999996</v>
      </c>
      <c r="M301" s="24">
        <v>23.0594</v>
      </c>
      <c r="N301" s="24">
        <v>3.3243302171481308</v>
      </c>
      <c r="O301" s="24">
        <v>7.3</v>
      </c>
      <c r="P301" s="24">
        <v>1.9665271966527196</v>
      </c>
      <c r="Q301" s="24">
        <v>8.4401468801183483</v>
      </c>
      <c r="R301" s="24">
        <v>7.77</v>
      </c>
      <c r="S301" s="24">
        <v>6.4430005008536533</v>
      </c>
      <c r="T301" s="24">
        <v>0.79106064820775523</v>
      </c>
      <c r="U301" s="24" t="s">
        <v>1802</v>
      </c>
      <c r="V301" s="24">
        <v>6407.1459999999997</v>
      </c>
      <c r="W301" s="24" t="s">
        <v>1415</v>
      </c>
      <c r="X301" s="64">
        <v>5.2220248667850804</v>
      </c>
    </row>
    <row r="302" spans="1:24" ht="14.4" x14ac:dyDescent="0.55000000000000004">
      <c r="A302" s="24" t="s">
        <v>510</v>
      </c>
      <c r="B302" s="24" t="s">
        <v>1227</v>
      </c>
      <c r="C302" s="24" t="s">
        <v>107</v>
      </c>
      <c r="D302" s="24" t="s">
        <v>72</v>
      </c>
      <c r="E302" s="24" t="s">
        <v>89</v>
      </c>
      <c r="F302" s="70">
        <v>5.8639634498198166E-4</v>
      </c>
      <c r="G302" s="24">
        <v>8.0263159999999996</v>
      </c>
      <c r="H302" s="24">
        <v>7.0291600000000001</v>
      </c>
      <c r="I302" s="24">
        <v>7.1713649999999998</v>
      </c>
      <c r="J302" s="24">
        <v>7.4706840000000003</v>
      </c>
      <c r="K302" s="24">
        <v>0.66683239999999999</v>
      </c>
      <c r="L302" s="24">
        <v>10.740970000000001</v>
      </c>
      <c r="M302" s="24">
        <v>28.651700000000002</v>
      </c>
      <c r="N302" s="24">
        <v>5.1134637945336596</v>
      </c>
      <c r="O302" s="24">
        <v>0.7</v>
      </c>
      <c r="P302" s="24">
        <v>1.4414414414414412</v>
      </c>
      <c r="Q302" s="24">
        <v>9.0401350154935809</v>
      </c>
      <c r="R302" s="24">
        <v>2.5299999999999998</v>
      </c>
      <c r="S302" s="24">
        <v>6.281678149930169</v>
      </c>
      <c r="T302" s="24">
        <v>1.5037770777130055</v>
      </c>
      <c r="U302" s="24" t="s">
        <v>1739</v>
      </c>
      <c r="V302" s="24">
        <v>6442.56</v>
      </c>
      <c r="W302" s="24" t="s">
        <v>1415</v>
      </c>
      <c r="X302" s="64">
        <v>4.9307958477508649</v>
      </c>
    </row>
    <row r="303" spans="1:24" ht="14.4" x14ac:dyDescent="0.55000000000000004">
      <c r="A303" s="24" t="s">
        <v>533</v>
      </c>
      <c r="B303" s="24" t="s">
        <v>1366</v>
      </c>
      <c r="C303" s="24" t="s">
        <v>107</v>
      </c>
      <c r="D303" s="24" t="s">
        <v>72</v>
      </c>
      <c r="E303" s="24" t="s">
        <v>94</v>
      </c>
      <c r="F303" s="70">
        <v>5.7863359408839334E-4</v>
      </c>
      <c r="G303" s="24">
        <v>8.5043849999999992</v>
      </c>
      <c r="H303" s="24">
        <v>5.7964630000000001</v>
      </c>
      <c r="I303" s="24">
        <v>7.0519109999999996</v>
      </c>
      <c r="J303" s="24">
        <v>7.3818109999999999</v>
      </c>
      <c r="K303" s="24">
        <v>6.2761740000000001</v>
      </c>
      <c r="L303" s="24">
        <v>10.23531</v>
      </c>
      <c r="M303" s="24">
        <v>46.116900000000001</v>
      </c>
      <c r="N303" s="24">
        <v>6.5731262181001124</v>
      </c>
      <c r="O303" s="24">
        <v>5.4</v>
      </c>
      <c r="P303" s="24">
        <v>6.9791666666666679</v>
      </c>
      <c r="Q303" s="24">
        <v>9.7452234490010508</v>
      </c>
      <c r="R303" s="24">
        <v>7.6900009999999996</v>
      </c>
      <c r="S303" s="24">
        <v>8.3592112942270962</v>
      </c>
      <c r="T303" s="24">
        <v>0.62806403695468438</v>
      </c>
      <c r="U303" s="24" t="s">
        <v>1452</v>
      </c>
      <c r="V303" s="24">
        <v>6053.5010000000002</v>
      </c>
      <c r="W303" s="24" t="s">
        <v>1415</v>
      </c>
      <c r="X303" s="64">
        <v>4.4662309368191719</v>
      </c>
    </row>
    <row r="304" spans="1:24" ht="14.4" x14ac:dyDescent="0.55000000000000004">
      <c r="A304" s="24" t="s">
        <v>549</v>
      </c>
      <c r="B304" s="24" t="s">
        <v>1319</v>
      </c>
      <c r="C304" s="24" t="s">
        <v>105</v>
      </c>
      <c r="D304" s="24" t="s">
        <v>72</v>
      </c>
      <c r="E304" s="24" t="s">
        <v>83</v>
      </c>
      <c r="F304" s="70">
        <v>5.7599073189914325E-4</v>
      </c>
      <c r="G304" s="24">
        <v>5.8715840000000004</v>
      </c>
      <c r="H304" s="24">
        <v>6.7847419999999996</v>
      </c>
      <c r="I304" s="24">
        <v>5.1601869999999996</v>
      </c>
      <c r="J304" s="24">
        <v>5.9321120000000001</v>
      </c>
      <c r="K304" s="24">
        <v>3.857675</v>
      </c>
      <c r="L304" s="24">
        <v>8.0494590000000006</v>
      </c>
      <c r="M304" s="24">
        <v>73.266999999999996</v>
      </c>
      <c r="N304" s="24">
        <v>4.6576468981634882</v>
      </c>
      <c r="O304" s="24">
        <v>5.6</v>
      </c>
      <c r="P304" s="24">
        <v>6.9552238805970159</v>
      </c>
      <c r="Q304" s="24">
        <v>6.2650257787842323</v>
      </c>
      <c r="R304" s="24">
        <v>6</v>
      </c>
      <c r="S304" s="24">
        <v>6.0453284533430747</v>
      </c>
      <c r="T304" s="24">
        <v>1.6001730848633819</v>
      </c>
      <c r="U304" s="24" t="s">
        <v>1959</v>
      </c>
      <c r="V304" s="24">
        <v>6019.37</v>
      </c>
      <c r="W304" s="24" t="s">
        <v>1415</v>
      </c>
      <c r="X304" s="64">
        <v>5.5555555555555554</v>
      </c>
    </row>
    <row r="305" spans="1:24" ht="14.4" x14ac:dyDescent="0.55000000000000004">
      <c r="A305" s="24" t="s">
        <v>514</v>
      </c>
      <c r="B305" s="24" t="s">
        <v>1191</v>
      </c>
      <c r="C305" s="24" t="s">
        <v>112</v>
      </c>
      <c r="D305" s="24" t="s">
        <v>72</v>
      </c>
      <c r="E305" s="24" t="s">
        <v>100</v>
      </c>
      <c r="F305" s="70">
        <v>5.7547430940145213E-4</v>
      </c>
      <c r="G305" s="24">
        <v>6.4254689999999997</v>
      </c>
      <c r="H305" s="24">
        <v>6.1523500000000002</v>
      </c>
      <c r="I305" s="24">
        <v>2.9539599999999999</v>
      </c>
      <c r="J305" s="24">
        <v>5.3020810000000003</v>
      </c>
      <c r="K305" s="24">
        <v>7.4471869999999996</v>
      </c>
      <c r="L305" s="24">
        <v>32.605649999999997</v>
      </c>
      <c r="M305" s="24">
        <v>39.715600000000002</v>
      </c>
      <c r="N305" s="24">
        <v>5.4511278765522819</v>
      </c>
      <c r="O305" s="24">
        <v>2.5</v>
      </c>
      <c r="P305" s="24">
        <v>6.2732919254658395</v>
      </c>
      <c r="Q305" s="24">
        <v>6.6224841785044948</v>
      </c>
      <c r="R305" s="24">
        <v>8.3300009999999993</v>
      </c>
      <c r="S305" s="24">
        <v>8.0932662457519768</v>
      </c>
      <c r="T305" s="24">
        <v>1.146835875536607</v>
      </c>
      <c r="U305" s="24" t="s">
        <v>1436</v>
      </c>
      <c r="V305" s="24">
        <v>0</v>
      </c>
      <c r="W305" s="24" t="s">
        <v>1415</v>
      </c>
      <c r="X305" s="64">
        <v>5.0257289879931388</v>
      </c>
    </row>
    <row r="306" spans="1:24" ht="14.4" x14ac:dyDescent="0.55000000000000004">
      <c r="A306" s="24" t="s">
        <v>486</v>
      </c>
      <c r="B306" s="24" t="s">
        <v>1307</v>
      </c>
      <c r="C306" s="24" t="s">
        <v>105</v>
      </c>
      <c r="D306" s="24" t="s">
        <v>72</v>
      </c>
      <c r="E306" s="24" t="s">
        <v>89</v>
      </c>
      <c r="F306" s="70">
        <v>5.7347317222289904E-4</v>
      </c>
      <c r="G306" s="24">
        <v>4.5214030000000003</v>
      </c>
      <c r="H306" s="24">
        <v>4.4896130000000003</v>
      </c>
      <c r="I306" s="24">
        <v>4.2487190000000004</v>
      </c>
      <c r="J306" s="24">
        <v>4.4300610000000002</v>
      </c>
      <c r="K306" s="24">
        <v>0.6552962</v>
      </c>
      <c r="L306" s="24">
        <v>3.2337199999999999</v>
      </c>
      <c r="M306" s="24">
        <v>34.467599999999997</v>
      </c>
      <c r="N306" s="24">
        <v>5.2452991032937488</v>
      </c>
      <c r="O306" s="24">
        <v>7.4</v>
      </c>
      <c r="P306" s="24">
        <v>7.1171171171171155</v>
      </c>
      <c r="Q306" s="24">
        <v>0.9238966356795042</v>
      </c>
      <c r="R306" s="24">
        <v>2.0299999999999998</v>
      </c>
      <c r="S306" s="24">
        <v>3.2273915272686455</v>
      </c>
      <c r="T306" s="24">
        <v>1.2927948442997685</v>
      </c>
      <c r="U306" s="24" t="s">
        <v>2000</v>
      </c>
      <c r="V306" s="24">
        <v>6696.0730000000003</v>
      </c>
      <c r="W306" s="24" t="s">
        <v>1415</v>
      </c>
      <c r="X306" s="64">
        <v>4.515570934256055</v>
      </c>
    </row>
    <row r="307" spans="1:24" ht="14.4" x14ac:dyDescent="0.55000000000000004">
      <c r="A307" s="24" t="s">
        <v>484</v>
      </c>
      <c r="B307" s="24" t="s">
        <v>946</v>
      </c>
      <c r="C307" s="24" t="s">
        <v>107</v>
      </c>
      <c r="D307" s="24" t="s">
        <v>72</v>
      </c>
      <c r="E307" s="24" t="s">
        <v>98</v>
      </c>
      <c r="F307" s="70">
        <v>5.7239939373884309E-4</v>
      </c>
      <c r="G307" s="24">
        <v>6.7165689999999998</v>
      </c>
      <c r="H307" s="24">
        <v>7.3423210000000001</v>
      </c>
      <c r="I307" s="24">
        <v>4.0038660000000004</v>
      </c>
      <c r="J307" s="24">
        <v>5.8817890000000004</v>
      </c>
      <c r="K307" s="24">
        <v>3.5035669999999999</v>
      </c>
      <c r="L307" s="24">
        <v>5.269145</v>
      </c>
      <c r="M307" s="24">
        <v>5.5926999999999998</v>
      </c>
      <c r="N307" s="24">
        <v>8.8032581603601727</v>
      </c>
      <c r="O307" s="24">
        <v>7.2</v>
      </c>
      <c r="P307" s="24">
        <v>4.0993788819875778</v>
      </c>
      <c r="Q307" s="24">
        <v>5.484604394708966</v>
      </c>
      <c r="R307" s="24">
        <v>7.58</v>
      </c>
      <c r="S307" s="24">
        <v>5.5585360907571859</v>
      </c>
      <c r="T307" s="24">
        <v>0.32018505649263823</v>
      </c>
      <c r="U307" s="24" t="s">
        <v>1718</v>
      </c>
      <c r="V307" s="24">
        <v>6437.0810000000001</v>
      </c>
      <c r="W307" s="24" t="s">
        <v>1415</v>
      </c>
      <c r="X307" s="64">
        <v>4.5111492281303605</v>
      </c>
    </row>
    <row r="308" spans="1:24" ht="14.4" x14ac:dyDescent="0.55000000000000004">
      <c r="A308" s="24" t="s">
        <v>505</v>
      </c>
      <c r="B308" s="24" t="s">
        <v>1114</v>
      </c>
      <c r="C308" s="24" t="s">
        <v>106</v>
      </c>
      <c r="D308" s="24" t="s">
        <v>72</v>
      </c>
      <c r="E308" s="24" t="s">
        <v>89</v>
      </c>
      <c r="F308" s="70">
        <v>5.7080168661614134E-4</v>
      </c>
      <c r="G308" s="24">
        <v>5.254766</v>
      </c>
      <c r="H308" s="24">
        <v>5.3701420000000004</v>
      </c>
      <c r="I308" s="24">
        <v>4.0183220000000004</v>
      </c>
      <c r="J308" s="24">
        <v>4.9184460000000003</v>
      </c>
      <c r="K308" s="24">
        <v>4.0677729999999999</v>
      </c>
      <c r="L308" s="24">
        <v>8.7890189999999997</v>
      </c>
      <c r="M308" s="24">
        <v>6.6169000000000002</v>
      </c>
      <c r="N308" s="24">
        <v>4.9729844403291787</v>
      </c>
      <c r="O308" s="24">
        <v>3.8</v>
      </c>
      <c r="P308" s="24">
        <v>4.9249249249249241</v>
      </c>
      <c r="Q308" s="24">
        <v>9.2491146525011061</v>
      </c>
      <c r="R308" s="24">
        <v>7.21</v>
      </c>
      <c r="S308" s="24">
        <v>7.2141754152163085</v>
      </c>
      <c r="T308" s="24">
        <v>1.3765014220393852</v>
      </c>
      <c r="U308" s="24" t="s">
        <v>1480</v>
      </c>
      <c r="V308" s="24">
        <v>6032.665</v>
      </c>
      <c r="W308" s="24" t="s">
        <v>1415</v>
      </c>
      <c r="X308" s="64">
        <v>4.844290657439446</v>
      </c>
    </row>
    <row r="309" spans="1:24" ht="14.4" x14ac:dyDescent="0.55000000000000004">
      <c r="A309" s="24" t="s">
        <v>520</v>
      </c>
      <c r="B309" s="24" t="s">
        <v>1011</v>
      </c>
      <c r="C309" s="24" t="s">
        <v>111</v>
      </c>
      <c r="D309" s="24" t="s">
        <v>72</v>
      </c>
      <c r="E309" s="24" t="s">
        <v>99</v>
      </c>
      <c r="F309" s="70">
        <v>5.6856605759415975E-4</v>
      </c>
      <c r="G309" s="24">
        <v>7.4036590000000002</v>
      </c>
      <c r="H309" s="24">
        <v>7.8840589999999997</v>
      </c>
      <c r="I309" s="24">
        <v>5.3759170000000003</v>
      </c>
      <c r="J309" s="24">
        <v>7.0941910000000004</v>
      </c>
      <c r="K309" s="24">
        <v>4.75509</v>
      </c>
      <c r="L309" s="24">
        <v>6.217543</v>
      </c>
      <c r="M309" s="24">
        <v>334.74419999999998</v>
      </c>
      <c r="N309" s="24">
        <v>1.3064894198737633</v>
      </c>
      <c r="O309" s="24">
        <v>7.2</v>
      </c>
      <c r="P309" s="24">
        <v>4.6417445482866047</v>
      </c>
      <c r="Q309" s="24">
        <v>2.4593915273245264</v>
      </c>
      <c r="R309" s="24">
        <v>4.91</v>
      </c>
      <c r="S309" s="24">
        <v>3.7885095215632481</v>
      </c>
      <c r="T309" s="24">
        <v>0.41153099379365454</v>
      </c>
      <c r="U309" s="24" t="s">
        <v>1679</v>
      </c>
      <c r="V309" s="24">
        <v>7535.2730000000001</v>
      </c>
      <c r="W309" s="24" t="s">
        <v>1415</v>
      </c>
      <c r="X309" s="64">
        <v>5.0089766606822259</v>
      </c>
    </row>
    <row r="310" spans="1:24" ht="14.4" x14ac:dyDescent="0.55000000000000004">
      <c r="A310" s="24" t="s">
        <v>502</v>
      </c>
      <c r="B310" s="24" t="s">
        <v>1024</v>
      </c>
      <c r="C310" s="24" t="s">
        <v>112</v>
      </c>
      <c r="D310" s="24" t="s">
        <v>72</v>
      </c>
      <c r="E310" s="24" t="s">
        <v>100</v>
      </c>
      <c r="F310" s="70">
        <v>5.6757404600557169E-4</v>
      </c>
      <c r="G310" s="24">
        <v>4.5151120000000002</v>
      </c>
      <c r="H310" s="24">
        <v>5.42523</v>
      </c>
      <c r="I310" s="24">
        <v>6.7334259999999997</v>
      </c>
      <c r="J310" s="24">
        <v>5.4536410000000002</v>
      </c>
      <c r="K310" s="24">
        <v>3.5908829999999998</v>
      </c>
      <c r="L310" s="24">
        <v>9.5843539999999994</v>
      </c>
      <c r="M310" s="24">
        <v>86.052199999999999</v>
      </c>
      <c r="N310" s="24">
        <v>5.78529704529703</v>
      </c>
      <c r="O310" s="24">
        <v>4.0999999999999996</v>
      </c>
      <c r="P310" s="24">
        <v>3.2298136645962732</v>
      </c>
      <c r="Q310" s="24">
        <v>8.6222853573077671</v>
      </c>
      <c r="R310" s="24">
        <v>4.47</v>
      </c>
      <c r="S310" s="24">
        <v>5.8352289222238589</v>
      </c>
      <c r="T310" s="24">
        <v>1.3919653123057132</v>
      </c>
      <c r="U310" s="24" t="s">
        <v>1588</v>
      </c>
      <c r="V310" s="24">
        <v>6279.308</v>
      </c>
      <c r="W310" s="24" t="s">
        <v>1415</v>
      </c>
      <c r="X310" s="64">
        <v>4.8198970840480273</v>
      </c>
    </row>
    <row r="311" spans="1:24" ht="14.4" x14ac:dyDescent="0.55000000000000004">
      <c r="A311" s="24" t="s">
        <v>525</v>
      </c>
      <c r="B311" s="24" t="s">
        <v>1404</v>
      </c>
      <c r="C311" s="24" t="s">
        <v>111</v>
      </c>
      <c r="D311" s="24" t="s">
        <v>72</v>
      </c>
      <c r="E311" s="24" t="s">
        <v>99</v>
      </c>
      <c r="F311" s="70">
        <v>5.649859286043521E-4</v>
      </c>
      <c r="G311" s="24">
        <v>6.0792830000000002</v>
      </c>
      <c r="H311" s="24">
        <v>7.4054330000000004</v>
      </c>
      <c r="I311" s="24">
        <v>8.8351810000000004</v>
      </c>
      <c r="J311" s="24">
        <v>6.8956920000000004</v>
      </c>
      <c r="K311" s="24">
        <v>5.7994950000000003</v>
      </c>
      <c r="L311" s="24">
        <v>8.9319860000000002</v>
      </c>
      <c r="M311" s="24">
        <v>821.21320000000003</v>
      </c>
      <c r="N311" s="24">
        <v>6.6772883340337952</v>
      </c>
      <c r="O311" s="24">
        <v>6.2</v>
      </c>
      <c r="P311" s="24">
        <v>6.3862928348909653</v>
      </c>
      <c r="Q311" s="24">
        <v>4.9746894610331154</v>
      </c>
      <c r="R311" s="24">
        <v>7.66</v>
      </c>
      <c r="S311" s="24">
        <v>6.4744764476271328</v>
      </c>
      <c r="T311" s="24">
        <v>0.49091613688054569</v>
      </c>
      <c r="U311" s="24" t="s">
        <v>1672</v>
      </c>
      <c r="V311" s="24">
        <v>6207.9859999999999</v>
      </c>
      <c r="W311" s="24" t="s">
        <v>1415</v>
      </c>
      <c r="X311" s="64">
        <v>5.0987432675044886</v>
      </c>
    </row>
    <row r="312" spans="1:24" ht="14.4" x14ac:dyDescent="0.55000000000000004">
      <c r="A312" s="24" t="s">
        <v>523</v>
      </c>
      <c r="B312" s="24" t="s">
        <v>1277</v>
      </c>
      <c r="C312" s="24" t="s">
        <v>110</v>
      </c>
      <c r="D312" s="24" t="s">
        <v>72</v>
      </c>
      <c r="E312" s="24" t="s">
        <v>94</v>
      </c>
      <c r="F312" s="70">
        <v>5.647236139984512E-4</v>
      </c>
      <c r="G312" s="24">
        <v>7.2191979999999996</v>
      </c>
      <c r="H312" s="24">
        <v>7.3817219999999999</v>
      </c>
      <c r="I312" s="24">
        <v>5.7951290000000002</v>
      </c>
      <c r="J312" s="24">
        <v>6.6820750000000002</v>
      </c>
      <c r="K312" s="24">
        <v>3.1453929999999999</v>
      </c>
      <c r="L312" s="24">
        <v>4.2941570000000002</v>
      </c>
      <c r="M312" s="24">
        <v>97.457400000000007</v>
      </c>
      <c r="N312" s="24">
        <v>2.5552989471970253</v>
      </c>
      <c r="O312" s="24">
        <v>7.3</v>
      </c>
      <c r="P312" s="24">
        <v>3.9930555555555562</v>
      </c>
      <c r="Q312" s="24">
        <v>3.6119873817034693</v>
      </c>
      <c r="R312" s="24">
        <v>4.6900000000000004</v>
      </c>
      <c r="S312" s="24">
        <v>3.8104260830185632</v>
      </c>
      <c r="T312" s="24">
        <v>0.27171074628625058</v>
      </c>
      <c r="U312" s="24" t="s">
        <v>1549</v>
      </c>
      <c r="V312" s="24">
        <v>5933.3119999999999</v>
      </c>
      <c r="W312" s="24" t="s">
        <v>1415</v>
      </c>
      <c r="X312" s="64">
        <v>4.2483660130718954</v>
      </c>
    </row>
    <row r="313" spans="1:24" ht="14.4" x14ac:dyDescent="0.55000000000000004">
      <c r="A313" s="24" t="s">
        <v>539</v>
      </c>
      <c r="B313" s="24" t="s">
        <v>926</v>
      </c>
      <c r="C313" s="24" t="s">
        <v>110</v>
      </c>
      <c r="D313" s="24" t="s">
        <v>72</v>
      </c>
      <c r="E313" s="24" t="s">
        <v>85</v>
      </c>
      <c r="F313" s="70">
        <v>5.5781906522069644E-4</v>
      </c>
      <c r="G313" s="24">
        <v>7.3456950000000001</v>
      </c>
      <c r="H313" s="24">
        <v>5.9064319999999997</v>
      </c>
      <c r="I313" s="24">
        <v>5.4235160000000002</v>
      </c>
      <c r="J313" s="24">
        <v>6.337262</v>
      </c>
      <c r="K313" s="24">
        <v>1.55206</v>
      </c>
      <c r="L313" s="24">
        <v>2.5016210000000001</v>
      </c>
      <c r="M313" s="24">
        <v>55.000900000000001</v>
      </c>
      <c r="N313" s="24">
        <v>4.6444782950301136</v>
      </c>
      <c r="O313" s="24">
        <v>9</v>
      </c>
      <c r="P313" s="24">
        <v>9.4894894894894879</v>
      </c>
      <c r="Q313" s="24">
        <v>0.33089862771137674</v>
      </c>
      <c r="R313" s="24">
        <v>5.48</v>
      </c>
      <c r="S313" s="24">
        <v>2.5445928797358457</v>
      </c>
      <c r="T313" s="24">
        <v>1.1085719125904014</v>
      </c>
      <c r="U313" s="24" t="s">
        <v>1574</v>
      </c>
      <c r="V313" s="24">
        <v>5915.402</v>
      </c>
      <c r="W313" s="24" t="s">
        <v>1415</v>
      </c>
      <c r="X313" s="64">
        <v>5.4325259515570936</v>
      </c>
    </row>
    <row r="314" spans="1:24" ht="14.4" x14ac:dyDescent="0.55000000000000004">
      <c r="A314" s="24" t="s">
        <v>515</v>
      </c>
      <c r="B314" s="24" t="s">
        <v>1168</v>
      </c>
      <c r="C314" s="24" t="s">
        <v>177</v>
      </c>
      <c r="D314" s="24" t="s">
        <v>72</v>
      </c>
      <c r="E314" s="24" t="s">
        <v>99</v>
      </c>
      <c r="F314" s="70">
        <v>5.5775080937894741E-4</v>
      </c>
      <c r="G314" s="24">
        <v>4.0850429999999998</v>
      </c>
      <c r="H314" s="24">
        <v>4.8264240000000003</v>
      </c>
      <c r="I314" s="24">
        <v>7.587383</v>
      </c>
      <c r="J314" s="24">
        <v>4.9337869999999997</v>
      </c>
      <c r="K314" s="24">
        <v>7.4238410000000004</v>
      </c>
      <c r="L314" s="24">
        <v>8.7809749999999998</v>
      </c>
      <c r="M314" s="24">
        <v>1081.336</v>
      </c>
      <c r="N314" s="24">
        <v>0</v>
      </c>
      <c r="O314" s="24">
        <v>7.5</v>
      </c>
      <c r="P314" s="24">
        <v>6.5732087227414322</v>
      </c>
      <c r="Q314" s="24">
        <v>5.6510602493289372</v>
      </c>
      <c r="R314" s="24">
        <v>5.42</v>
      </c>
      <c r="S314" s="24">
        <v>4.8284210785289261</v>
      </c>
      <c r="T314" s="24">
        <v>0.67667502084969311</v>
      </c>
      <c r="U314" s="24" t="s">
        <v>1689</v>
      </c>
      <c r="V314" s="24">
        <v>6441.0429999999997</v>
      </c>
      <c r="W314" s="24" t="s">
        <v>1415</v>
      </c>
      <c r="X314" s="64">
        <v>4.9192100538599641</v>
      </c>
    </row>
    <row r="315" spans="1:24" ht="14.4" x14ac:dyDescent="0.55000000000000004">
      <c r="A315" s="24" t="s">
        <v>493</v>
      </c>
      <c r="B315" s="24" t="s">
        <v>1407</v>
      </c>
      <c r="C315" s="24" t="s">
        <v>1898</v>
      </c>
      <c r="D315" s="24" t="s">
        <v>72</v>
      </c>
      <c r="E315" s="24" t="s">
        <v>82</v>
      </c>
      <c r="F315" s="70">
        <v>5.5622876415707006E-4</v>
      </c>
      <c r="G315" s="24">
        <v>4.9979490000000002</v>
      </c>
      <c r="H315" s="24">
        <v>5.2998089999999998</v>
      </c>
      <c r="I315" s="24">
        <v>5.414695</v>
      </c>
      <c r="J315" s="24">
        <v>5.2494610000000002</v>
      </c>
      <c r="K315" s="24">
        <v>12.70955</v>
      </c>
      <c r="L315" s="24">
        <v>16.17146</v>
      </c>
      <c r="M315" s="24">
        <v>42.070900000000002</v>
      </c>
      <c r="N315" s="24">
        <v>3.7167733142425896</v>
      </c>
      <c r="O315" s="24">
        <v>7.6</v>
      </c>
      <c r="P315" s="24">
        <v>7.2849470198867774</v>
      </c>
      <c r="Q315" s="24">
        <v>4.2120828052386994</v>
      </c>
      <c r="R315" s="24">
        <v>8.17</v>
      </c>
      <c r="S315" s="24">
        <v>6.1752107084219334</v>
      </c>
      <c r="T315" s="24">
        <v>1.5884330836171199</v>
      </c>
      <c r="U315" s="24" t="s">
        <v>1950</v>
      </c>
      <c r="V315" s="24">
        <v>5367.1170000000002</v>
      </c>
      <c r="W315" s="24" t="s">
        <v>1415</v>
      </c>
      <c r="X315" s="64">
        <v>4.6324786324786329</v>
      </c>
    </row>
    <row r="316" spans="1:24" ht="14.4" x14ac:dyDescent="0.55000000000000004">
      <c r="A316" s="24" t="s">
        <v>491</v>
      </c>
      <c r="B316" s="24" t="s">
        <v>1345</v>
      </c>
      <c r="C316" s="24" t="s">
        <v>125</v>
      </c>
      <c r="D316" s="24" t="s">
        <v>72</v>
      </c>
      <c r="E316" s="24" t="s">
        <v>90</v>
      </c>
      <c r="F316" s="70">
        <v>5.5348531967902559E-4</v>
      </c>
      <c r="G316" s="24">
        <v>7.9030199999999997</v>
      </c>
      <c r="H316" s="24">
        <v>6.991619</v>
      </c>
      <c r="I316" s="24">
        <v>6.3881209999999999</v>
      </c>
      <c r="J316" s="24">
        <v>7.0538150000000002</v>
      </c>
      <c r="K316" s="24">
        <v>7.1165479999999999</v>
      </c>
      <c r="L316" s="24">
        <v>8.999803</v>
      </c>
      <c r="M316" s="24">
        <v>478.66539999999998</v>
      </c>
      <c r="N316" s="24">
        <v>4.5084791250448717</v>
      </c>
      <c r="O316" s="24">
        <v>3.2</v>
      </c>
      <c r="P316" s="24">
        <v>4.1039434520369298</v>
      </c>
      <c r="Q316" s="24">
        <v>5.2865793550204208</v>
      </c>
      <c r="R316" s="24">
        <v>7.34</v>
      </c>
      <c r="S316" s="24">
        <v>4.3454369812572047</v>
      </c>
      <c r="T316" s="24">
        <v>0.95982703535090008</v>
      </c>
      <c r="U316" s="24" t="s">
        <v>1920</v>
      </c>
      <c r="V316" s="24">
        <v>6476.08</v>
      </c>
      <c r="W316" s="24" t="s">
        <v>1415</v>
      </c>
      <c r="X316" s="64">
        <v>4.5982905982905979</v>
      </c>
    </row>
    <row r="317" spans="1:24" ht="14.4" x14ac:dyDescent="0.55000000000000004">
      <c r="A317" s="24" t="s">
        <v>528</v>
      </c>
      <c r="B317" s="24" t="s">
        <v>956</v>
      </c>
      <c r="C317" s="24" t="s">
        <v>109</v>
      </c>
      <c r="D317" s="24" t="s">
        <v>72</v>
      </c>
      <c r="E317" s="24" t="s">
        <v>86</v>
      </c>
      <c r="F317" s="70">
        <v>5.5181054950918774E-4</v>
      </c>
      <c r="G317" s="24">
        <v>8.0911740000000005</v>
      </c>
      <c r="H317" s="24">
        <v>5.7174659999999999</v>
      </c>
      <c r="I317" s="24">
        <v>4.8480239999999997</v>
      </c>
      <c r="J317" s="24">
        <v>6.1252740000000001</v>
      </c>
      <c r="K317" s="24">
        <v>5.5789850000000003</v>
      </c>
      <c r="L317" s="24">
        <v>4.4532699999999998</v>
      </c>
      <c r="M317" s="24">
        <v>1.2612000000000001</v>
      </c>
      <c r="N317" s="24">
        <v>3.8244735941555263</v>
      </c>
      <c r="O317" s="24">
        <v>1</v>
      </c>
      <c r="P317" s="24">
        <v>1.505376505954463</v>
      </c>
      <c r="Q317" s="24">
        <v>4.6880721025207732</v>
      </c>
      <c r="R317" s="24">
        <v>4.6900000000000004</v>
      </c>
      <c r="S317" s="24">
        <v>3.0613592035642658</v>
      </c>
      <c r="T317" s="24">
        <v>1.0156174450768936</v>
      </c>
      <c r="U317" s="24" t="s">
        <v>1514</v>
      </c>
      <c r="V317" s="24">
        <v>5871.549</v>
      </c>
      <c r="W317" s="24" t="s">
        <v>1415</v>
      </c>
      <c r="X317" s="64">
        <v>5.2307692307692308</v>
      </c>
    </row>
    <row r="318" spans="1:24" ht="14.4" x14ac:dyDescent="0.55000000000000004">
      <c r="A318" s="24" t="s">
        <v>546</v>
      </c>
      <c r="B318" s="24" t="s">
        <v>1342</v>
      </c>
      <c r="C318" s="24" t="s">
        <v>109</v>
      </c>
      <c r="D318" s="24" t="s">
        <v>72</v>
      </c>
      <c r="E318" s="24" t="s">
        <v>83</v>
      </c>
      <c r="F318" s="70">
        <v>5.5038198076266765E-4</v>
      </c>
      <c r="G318" s="24">
        <v>0</v>
      </c>
      <c r="H318" s="24">
        <v>0</v>
      </c>
      <c r="I318" s="24">
        <v>0</v>
      </c>
      <c r="J318" s="24">
        <v>0</v>
      </c>
      <c r="K318" s="24">
        <v>2.008346</v>
      </c>
      <c r="L318" s="24">
        <v>6.3523690000000004</v>
      </c>
      <c r="M318" s="24" t="e">
        <v>#N/A</v>
      </c>
      <c r="N318" s="24">
        <v>6.7224397689655015</v>
      </c>
      <c r="O318" s="24">
        <v>0.9</v>
      </c>
      <c r="P318" s="24">
        <v>5.3134328358208958</v>
      </c>
      <c r="Q318" s="24">
        <v>5.5948892399514252</v>
      </c>
      <c r="R318" s="24">
        <v>0</v>
      </c>
      <c r="S318" s="24">
        <v>5.1453475222131244</v>
      </c>
      <c r="T318" s="24">
        <v>1.2753752110518857</v>
      </c>
      <c r="U318" s="24" t="s">
        <v>1523</v>
      </c>
      <c r="V318" s="24">
        <v>5615.72</v>
      </c>
      <c r="W318" s="24" t="s">
        <v>1415</v>
      </c>
      <c r="X318" s="64">
        <v>5.5034722222222223</v>
      </c>
    </row>
    <row r="319" spans="1:24" ht="14.4" x14ac:dyDescent="0.55000000000000004">
      <c r="A319" s="24" t="s">
        <v>508</v>
      </c>
      <c r="B319" s="24" t="s">
        <v>1156</v>
      </c>
      <c r="C319" s="24" t="s">
        <v>106</v>
      </c>
      <c r="D319" s="24" t="s">
        <v>72</v>
      </c>
      <c r="E319" s="24" t="s">
        <v>94</v>
      </c>
      <c r="F319" s="70">
        <v>5.5013147581853565E-4</v>
      </c>
      <c r="G319" s="24">
        <v>8.6319859999999995</v>
      </c>
      <c r="H319" s="24">
        <v>6.1923120000000003</v>
      </c>
      <c r="I319" s="24">
        <v>8.1991029999999991</v>
      </c>
      <c r="J319" s="24">
        <v>7.4829639999999999</v>
      </c>
      <c r="K319" s="24">
        <v>1.548184</v>
      </c>
      <c r="L319" s="24">
        <v>4.661454</v>
      </c>
      <c r="M319" s="24">
        <v>22.081800000000001</v>
      </c>
      <c r="N319" s="24">
        <v>6.2033685178850124</v>
      </c>
      <c r="O319" s="24">
        <v>1.1000000000000001</v>
      </c>
      <c r="P319" s="24">
        <v>10</v>
      </c>
      <c r="Q319" s="24">
        <v>5.7312473711882239</v>
      </c>
      <c r="R319" s="24">
        <v>4.03</v>
      </c>
      <c r="S319" s="24">
        <v>4.5036300148015744</v>
      </c>
      <c r="T319" s="24">
        <v>1.5061814653398886</v>
      </c>
      <c r="U319" s="24" t="s">
        <v>1832</v>
      </c>
      <c r="V319" s="24">
        <v>5895.4380000000001</v>
      </c>
      <c r="W319" s="24" t="s">
        <v>1415</v>
      </c>
      <c r="X319" s="64">
        <v>3.9215686274509802</v>
      </c>
    </row>
    <row r="320" spans="1:24" ht="14.4" x14ac:dyDescent="0.55000000000000004">
      <c r="A320" s="24" t="s">
        <v>530</v>
      </c>
      <c r="B320" s="24" t="s">
        <v>1054</v>
      </c>
      <c r="C320" s="24" t="s">
        <v>113</v>
      </c>
      <c r="D320" s="24" t="s">
        <v>72</v>
      </c>
      <c r="E320" s="24" t="s">
        <v>90</v>
      </c>
      <c r="F320" s="70">
        <v>5.4771049515590995E-4</v>
      </c>
      <c r="G320" s="24">
        <v>5.801342</v>
      </c>
      <c r="H320" s="24">
        <v>6.3489839999999997</v>
      </c>
      <c r="I320" s="24">
        <v>6.3435139999999999</v>
      </c>
      <c r="J320" s="24">
        <v>6.1827769999999997</v>
      </c>
      <c r="K320" s="24">
        <v>7.7518209999999996</v>
      </c>
      <c r="L320" s="24">
        <v>14.919180000000001</v>
      </c>
      <c r="M320" s="24">
        <v>9.7279999999999998</v>
      </c>
      <c r="N320" s="24">
        <v>4.2919346604919637</v>
      </c>
      <c r="O320" s="24">
        <v>5.3</v>
      </c>
      <c r="P320" s="24">
        <v>5.7526887906116979</v>
      </c>
      <c r="Q320" s="24">
        <v>5.6639909871849046</v>
      </c>
      <c r="R320" s="24">
        <v>7.22</v>
      </c>
      <c r="S320" s="24">
        <v>6.4168426049908094</v>
      </c>
      <c r="T320" s="24">
        <v>0.96293064151972441</v>
      </c>
      <c r="U320" s="24" t="s">
        <v>1881</v>
      </c>
      <c r="V320" s="24">
        <v>5694.25</v>
      </c>
      <c r="W320" s="24" t="s">
        <v>1415</v>
      </c>
      <c r="X320" s="64">
        <v>5.2649572649572649</v>
      </c>
    </row>
    <row r="321" spans="1:24" ht="14.4" x14ac:dyDescent="0.55000000000000004">
      <c r="A321" s="24" t="s">
        <v>536</v>
      </c>
      <c r="B321" s="24" t="s">
        <v>873</v>
      </c>
      <c r="C321" s="24" t="s">
        <v>106</v>
      </c>
      <c r="D321" s="24" t="s">
        <v>72</v>
      </c>
      <c r="E321" s="24" t="s">
        <v>94</v>
      </c>
      <c r="F321" s="70">
        <v>5.4632265973430475E-4</v>
      </c>
      <c r="G321" s="24">
        <v>8.4971049999999995</v>
      </c>
      <c r="H321" s="24">
        <v>5.6348580000000004</v>
      </c>
      <c r="I321" s="24">
        <v>7.3623900000000004</v>
      </c>
      <c r="J321" s="24">
        <v>7.4707689999999998</v>
      </c>
      <c r="K321" s="24">
        <v>6.1883429999999997</v>
      </c>
      <c r="L321" s="24">
        <v>7.6934430000000003</v>
      </c>
      <c r="M321" s="24">
        <v>34.198300000000003</v>
      </c>
      <c r="N321" s="24">
        <v>4.0871570872999063</v>
      </c>
      <c r="O321" s="24">
        <v>0.7</v>
      </c>
      <c r="P321" s="24">
        <v>3.9236111111111112</v>
      </c>
      <c r="Q321" s="24">
        <v>9.96823606729758</v>
      </c>
      <c r="R321" s="24">
        <v>6.07</v>
      </c>
      <c r="S321" s="24">
        <v>7.1224240192367443</v>
      </c>
      <c r="T321" s="24">
        <v>1.219963095923764</v>
      </c>
      <c r="U321" s="24" t="s">
        <v>1857</v>
      </c>
      <c r="V321" s="24">
        <v>5824.1559999999999</v>
      </c>
      <c r="W321" s="24" t="s">
        <v>1415</v>
      </c>
      <c r="X321" s="64">
        <v>4.5315904139433547</v>
      </c>
    </row>
    <row r="322" spans="1:24" ht="14.4" x14ac:dyDescent="0.55000000000000004">
      <c r="A322" s="24" t="s">
        <v>519</v>
      </c>
      <c r="B322" s="24" t="s">
        <v>1299</v>
      </c>
      <c r="C322" s="24" t="s">
        <v>106</v>
      </c>
      <c r="D322" s="24" t="s">
        <v>72</v>
      </c>
      <c r="E322" s="24" t="s">
        <v>95</v>
      </c>
      <c r="F322" s="70">
        <v>5.4388196294143771E-4</v>
      </c>
      <c r="G322" s="24">
        <v>5.2825379999999997</v>
      </c>
      <c r="H322" s="24">
        <v>6.4586610000000002</v>
      </c>
      <c r="I322" s="24">
        <v>6.21814</v>
      </c>
      <c r="J322" s="24">
        <v>5.9160550000000001</v>
      </c>
      <c r="K322" s="24">
        <v>2.3916270000000002</v>
      </c>
      <c r="L322" s="24">
        <v>6.1025359999999997</v>
      </c>
      <c r="M322" s="24">
        <v>27.528300000000002</v>
      </c>
      <c r="N322" s="24">
        <v>3.2205514634016108</v>
      </c>
      <c r="O322" s="24">
        <v>6.9</v>
      </c>
      <c r="P322" s="24">
        <v>7.4223602484472062</v>
      </c>
      <c r="Q322" s="24">
        <v>3.0686910937881957</v>
      </c>
      <c r="R322" s="24">
        <v>4.54</v>
      </c>
      <c r="S322" s="24">
        <v>5.1005327924453256</v>
      </c>
      <c r="T322" s="24">
        <v>1.3956116782342549</v>
      </c>
      <c r="U322" s="24" t="s">
        <v>1780</v>
      </c>
      <c r="V322" s="24">
        <v>5980.6559999999999</v>
      </c>
      <c r="W322" s="24" t="s">
        <v>1415</v>
      </c>
      <c r="X322" s="64">
        <v>5.1114922813036028</v>
      </c>
    </row>
    <row r="323" spans="1:24" ht="14.4" x14ac:dyDescent="0.55000000000000004">
      <c r="A323" s="24" t="s">
        <v>524</v>
      </c>
      <c r="B323" s="24" t="s">
        <v>853</v>
      </c>
      <c r="C323" s="24" t="s">
        <v>106</v>
      </c>
      <c r="D323" s="24" t="s">
        <v>72</v>
      </c>
      <c r="E323" s="24" t="s">
        <v>86</v>
      </c>
      <c r="F323" s="70">
        <v>5.4167665872891359E-4</v>
      </c>
      <c r="G323" s="24">
        <v>7.1215299999999999</v>
      </c>
      <c r="H323" s="24">
        <v>5.945017</v>
      </c>
      <c r="I323" s="24">
        <v>7.4089349999999996</v>
      </c>
      <c r="J323" s="24">
        <v>6.8103420000000003</v>
      </c>
      <c r="K323" s="24">
        <v>9.6606640000000006</v>
      </c>
      <c r="L323" s="24">
        <v>10.359059999999999</v>
      </c>
      <c r="M323" s="24">
        <v>0.29366999999999999</v>
      </c>
      <c r="N323" s="24">
        <v>1.3015587214279887</v>
      </c>
      <c r="O323" s="24">
        <v>2.5</v>
      </c>
      <c r="P323" s="24">
        <v>2.2580647589316944</v>
      </c>
      <c r="Q323" s="24">
        <v>3.7769328263624846</v>
      </c>
      <c r="R323" s="24">
        <v>7.32</v>
      </c>
      <c r="S323" s="24">
        <v>3.8527967446565361</v>
      </c>
      <c r="T323" s="24">
        <v>1.1635053448657984</v>
      </c>
      <c r="U323" s="24" t="s">
        <v>1839</v>
      </c>
      <c r="V323" s="24">
        <v>5407.4059999999999</v>
      </c>
      <c r="W323" s="24" t="s">
        <v>1415</v>
      </c>
      <c r="X323" s="64">
        <v>5.1623931623931627</v>
      </c>
    </row>
    <row r="324" spans="1:24" ht="14.4" x14ac:dyDescent="0.55000000000000004">
      <c r="A324" s="24" t="s">
        <v>548</v>
      </c>
      <c r="B324" s="24" t="s">
        <v>1233</v>
      </c>
      <c r="C324" s="24" t="s">
        <v>105</v>
      </c>
      <c r="D324" s="24" t="s">
        <v>72</v>
      </c>
      <c r="E324" s="24" t="s">
        <v>89</v>
      </c>
      <c r="F324" s="70">
        <v>5.4162861942680276E-4</v>
      </c>
      <c r="G324" s="24">
        <v>7.0654960000000004</v>
      </c>
      <c r="H324" s="24">
        <v>5.1998810000000004</v>
      </c>
      <c r="I324" s="24">
        <v>5.2162379999999997</v>
      </c>
      <c r="J324" s="24">
        <v>5.9510339999999999</v>
      </c>
      <c r="K324" s="24">
        <v>3.2931750000000002</v>
      </c>
      <c r="L324" s="24">
        <v>9.077216</v>
      </c>
      <c r="M324" s="24">
        <v>12.7498</v>
      </c>
      <c r="N324" s="24">
        <v>4.7957646511448173</v>
      </c>
      <c r="O324" s="24">
        <v>8.1</v>
      </c>
      <c r="P324" s="24">
        <v>3.7537537537537533</v>
      </c>
      <c r="Q324" s="24">
        <v>7.7121148738379821</v>
      </c>
      <c r="R324" s="24">
        <v>7.16</v>
      </c>
      <c r="S324" s="24">
        <v>7.0684756314058443</v>
      </c>
      <c r="T324" s="24">
        <v>1.0502606714118399</v>
      </c>
      <c r="U324" s="24" t="s">
        <v>1501</v>
      </c>
      <c r="V324" s="24">
        <v>5518.9179999999997</v>
      </c>
      <c r="W324" s="24" t="s">
        <v>1415</v>
      </c>
      <c r="X324" s="64">
        <v>5.5882352941176467</v>
      </c>
    </row>
    <row r="325" spans="1:24" ht="14.4" x14ac:dyDescent="0.55000000000000004">
      <c r="A325" s="24" t="s">
        <v>544</v>
      </c>
      <c r="B325" s="24" t="s">
        <v>1055</v>
      </c>
      <c r="C325" s="24" t="s">
        <v>110</v>
      </c>
      <c r="D325" s="24" t="s">
        <v>72</v>
      </c>
      <c r="E325" s="24" t="s">
        <v>89</v>
      </c>
      <c r="F325" s="70">
        <v>5.4150171560372678E-4</v>
      </c>
      <c r="G325" s="24">
        <v>7.7626619999999997</v>
      </c>
      <c r="H325" s="24">
        <v>6.3336579999999998</v>
      </c>
      <c r="I325" s="24">
        <v>8.2371160000000003</v>
      </c>
      <c r="J325" s="24">
        <v>7.4444790000000003</v>
      </c>
      <c r="K325" s="24">
        <v>2.3888060000000002</v>
      </c>
      <c r="L325" s="24">
        <v>3.8066019999999998</v>
      </c>
      <c r="M325" s="24">
        <v>65.421999999999997</v>
      </c>
      <c r="N325" s="24">
        <v>3.1942937888785918</v>
      </c>
      <c r="O325" s="24">
        <v>1.1000000000000001</v>
      </c>
      <c r="P325" s="24">
        <v>2.462462462462462</v>
      </c>
      <c r="Q325" s="24">
        <v>4.4918481629039402</v>
      </c>
      <c r="R325" s="24">
        <v>5.18</v>
      </c>
      <c r="S325" s="24">
        <v>2.8647121996895009</v>
      </c>
      <c r="T325" s="24">
        <v>0.88564972098650596</v>
      </c>
      <c r="U325" s="24" t="s">
        <v>1571</v>
      </c>
      <c r="V325" s="24">
        <v>6598.9359999999997</v>
      </c>
      <c r="W325" s="24" t="s">
        <v>1415</v>
      </c>
      <c r="X325" s="64">
        <v>5.5190311418685125</v>
      </c>
    </row>
    <row r="326" spans="1:24" ht="14.4" x14ac:dyDescent="0.55000000000000004">
      <c r="A326" s="24" t="s">
        <v>558</v>
      </c>
      <c r="B326" s="24" t="s">
        <v>1376</v>
      </c>
      <c r="C326" s="24" t="s">
        <v>112</v>
      </c>
      <c r="D326" s="24" t="s">
        <v>72</v>
      </c>
      <c r="E326" s="24" t="s">
        <v>96</v>
      </c>
      <c r="F326" s="70">
        <v>5.3928920549588602E-4</v>
      </c>
      <c r="G326" s="24">
        <v>7.7924069999999999</v>
      </c>
      <c r="H326" s="24">
        <v>7.4621209999999998</v>
      </c>
      <c r="I326" s="24">
        <v>7.8539089999999998</v>
      </c>
      <c r="J326" s="24">
        <v>7.6848939999999999</v>
      </c>
      <c r="K326" s="24">
        <v>1.582255</v>
      </c>
      <c r="L326" s="24">
        <v>4.2016619999999998</v>
      </c>
      <c r="M326" s="24">
        <v>12.0655</v>
      </c>
      <c r="N326" s="24">
        <v>7.1938774885464261</v>
      </c>
      <c r="O326" s="24">
        <v>3.8</v>
      </c>
      <c r="P326" s="24">
        <v>1.040723981900453</v>
      </c>
      <c r="Q326" s="24">
        <v>5.2167831949567391</v>
      </c>
      <c r="R326" s="24">
        <v>6.92</v>
      </c>
      <c r="S326" s="24">
        <v>5.8282971114912767</v>
      </c>
      <c r="T326" s="24">
        <v>0.79682322152983298</v>
      </c>
      <c r="U326" s="24" t="s">
        <v>1619</v>
      </c>
      <c r="V326" s="24">
        <v>5666.3010000000004</v>
      </c>
      <c r="W326" s="24" t="s">
        <v>1415</v>
      </c>
      <c r="X326" s="64">
        <v>5.961871750433275</v>
      </c>
    </row>
    <row r="327" spans="1:24" ht="14.4" x14ac:dyDescent="0.55000000000000004">
      <c r="A327" s="24" t="s">
        <v>568</v>
      </c>
      <c r="B327" s="24" t="s">
        <v>1260</v>
      </c>
      <c r="C327" s="24" t="s">
        <v>106</v>
      </c>
      <c r="D327" s="24" t="s">
        <v>72</v>
      </c>
      <c r="E327" s="24" t="s">
        <v>98</v>
      </c>
      <c r="F327" s="70">
        <v>5.3872584459675743E-4</v>
      </c>
      <c r="G327" s="24">
        <v>5.2352600000000002</v>
      </c>
      <c r="H327" s="24">
        <v>6.1638869999999999</v>
      </c>
      <c r="I327" s="24">
        <v>4.446612</v>
      </c>
      <c r="J327" s="24">
        <v>5.2772540000000001</v>
      </c>
      <c r="K327" s="24">
        <v>2.63584</v>
      </c>
      <c r="L327" s="24">
        <v>27.911249999999999</v>
      </c>
      <c r="M327" s="24">
        <v>1295.973</v>
      </c>
      <c r="N327" s="24">
        <v>5.6328321349269146</v>
      </c>
      <c r="O327" s="24">
        <v>8.9</v>
      </c>
      <c r="P327" s="24">
        <v>6.7701863354037268</v>
      </c>
      <c r="Q327" s="24">
        <v>8.3948534644321917</v>
      </c>
      <c r="R327" s="24">
        <v>0</v>
      </c>
      <c r="S327" s="24">
        <v>7.8963117071336484</v>
      </c>
      <c r="T327" s="24">
        <v>1.040881982871229</v>
      </c>
      <c r="U327" s="24" t="s">
        <v>1442</v>
      </c>
      <c r="V327" s="24">
        <v>5767.4030000000002</v>
      </c>
      <c r="W327" s="24" t="s">
        <v>1415</v>
      </c>
      <c r="X327" s="64">
        <v>5.9519725557461411</v>
      </c>
    </row>
    <row r="328" spans="1:24" ht="14.4" x14ac:dyDescent="0.55000000000000004">
      <c r="A328" s="24" t="s">
        <v>534</v>
      </c>
      <c r="B328" s="24" t="s">
        <v>1367</v>
      </c>
      <c r="C328" s="24" t="s">
        <v>106</v>
      </c>
      <c r="D328" s="24" t="s">
        <v>72</v>
      </c>
      <c r="E328" s="24" t="s">
        <v>89</v>
      </c>
      <c r="F328" s="70">
        <v>5.3689844956083838E-4</v>
      </c>
      <c r="G328" s="24">
        <v>6.6333310000000001</v>
      </c>
      <c r="H328" s="24">
        <v>5.8635710000000003</v>
      </c>
      <c r="I328" s="24">
        <v>6.5863019999999999</v>
      </c>
      <c r="J328" s="24">
        <v>6.3882940000000001</v>
      </c>
      <c r="K328" s="24">
        <v>1.680712</v>
      </c>
      <c r="L328" s="24">
        <v>7.570354</v>
      </c>
      <c r="M328" s="24">
        <v>6.9207000000000001</v>
      </c>
      <c r="N328" s="24">
        <v>3.5552196431718324</v>
      </c>
      <c r="O328" s="24">
        <v>3.9</v>
      </c>
      <c r="P328" s="24">
        <v>7.9879879879879869</v>
      </c>
      <c r="Q328" s="24">
        <v>5.8680090748118641</v>
      </c>
      <c r="R328" s="24">
        <v>3.35</v>
      </c>
      <c r="S328" s="24">
        <v>6.5785293360637827</v>
      </c>
      <c r="T328" s="24">
        <v>1.3829714901834944</v>
      </c>
      <c r="U328" s="24" t="s">
        <v>1833</v>
      </c>
      <c r="V328" s="24">
        <v>5669.3789999999999</v>
      </c>
      <c r="W328" s="24" t="s">
        <v>1415</v>
      </c>
      <c r="X328" s="64">
        <v>5.3460207612456747</v>
      </c>
    </row>
    <row r="329" spans="1:24" ht="14.4" x14ac:dyDescent="0.55000000000000004">
      <c r="A329" s="24" t="s">
        <v>2029</v>
      </c>
      <c r="B329" s="24" t="s">
        <v>876</v>
      </c>
      <c r="C329" s="24" t="s">
        <v>106</v>
      </c>
      <c r="D329" s="24" t="s">
        <v>72</v>
      </c>
      <c r="E329" s="24" t="s">
        <v>94</v>
      </c>
      <c r="F329" s="70">
        <v>5.3222532636613051E-4</v>
      </c>
      <c r="G329" s="24">
        <v>7.2782989999999996</v>
      </c>
      <c r="H329" s="24">
        <v>7.3360580000000004</v>
      </c>
      <c r="I329" s="24">
        <v>3.3963540000000001</v>
      </c>
      <c r="J329" s="24">
        <v>6.003571</v>
      </c>
      <c r="K329" s="24">
        <v>4.5938400000000001</v>
      </c>
      <c r="L329" s="24">
        <v>7.6355789999999999</v>
      </c>
      <c r="M329" s="24">
        <v>6.4500999999999999</v>
      </c>
      <c r="N329" s="24">
        <v>2.5375940784762649</v>
      </c>
      <c r="O329" s="24">
        <v>5.5</v>
      </c>
      <c r="P329" s="24">
        <v>5.4658385093167716</v>
      </c>
      <c r="Q329" s="24">
        <v>5.5885422495043047</v>
      </c>
      <c r="R329" s="24">
        <v>6.4</v>
      </c>
      <c r="S329" s="24" t="e">
        <v>#N/A</v>
      </c>
      <c r="T329" s="24">
        <v>1.0019387588853788</v>
      </c>
      <c r="U329" s="24" t="s">
        <v>1841</v>
      </c>
      <c r="V329" s="24">
        <v>5617.5469999999996</v>
      </c>
      <c r="W329" s="24" t="s">
        <v>1415</v>
      </c>
      <c r="X329" s="64" t="e">
        <v>#N/A</v>
      </c>
    </row>
    <row r="330" spans="1:24" ht="14.4" x14ac:dyDescent="0.55000000000000004">
      <c r="A330" s="24" t="s">
        <v>497</v>
      </c>
      <c r="B330" s="24" t="s">
        <v>867</v>
      </c>
      <c r="C330" s="24" t="s">
        <v>108</v>
      </c>
      <c r="D330" s="24" t="s">
        <v>72</v>
      </c>
      <c r="E330" s="24" t="s">
        <v>92</v>
      </c>
      <c r="F330" s="70">
        <v>5.3075031962757004E-4</v>
      </c>
      <c r="G330" s="24">
        <v>7.3790959999999997</v>
      </c>
      <c r="H330" s="24">
        <v>6.379867</v>
      </c>
      <c r="I330" s="24">
        <v>4.1324730000000001</v>
      </c>
      <c r="J330" s="24">
        <v>6.2052630000000004</v>
      </c>
      <c r="K330" s="24">
        <v>11.156180000000001</v>
      </c>
      <c r="L330" s="24">
        <v>11.01829</v>
      </c>
      <c r="M330" s="24">
        <v>188.58420000000001</v>
      </c>
      <c r="N330" s="24">
        <v>5.6261058349323374</v>
      </c>
      <c r="O330" s="24">
        <v>5.8</v>
      </c>
      <c r="P330" s="24">
        <v>7.3658536585365866</v>
      </c>
      <c r="Q330" s="24">
        <v>7.2003803451583579</v>
      </c>
      <c r="R330" s="24">
        <v>8.26</v>
      </c>
      <c r="S330" s="24">
        <v>5.8158906768024288</v>
      </c>
      <c r="T330" s="24">
        <v>0.98748930447344352</v>
      </c>
      <c r="U330" s="24" t="s">
        <v>1941</v>
      </c>
      <c r="V330" s="24">
        <v>5887.7879999999996</v>
      </c>
      <c r="W330" s="24" t="s">
        <v>1415</v>
      </c>
      <c r="X330" s="64">
        <v>5.4940711462450595</v>
      </c>
    </row>
    <row r="331" spans="1:24" ht="14.4" x14ac:dyDescent="0.55000000000000004">
      <c r="A331" s="24" t="s">
        <v>580</v>
      </c>
      <c r="B331" s="24" t="s">
        <v>989</v>
      </c>
      <c r="C331" s="24" t="s">
        <v>105</v>
      </c>
      <c r="D331" s="24" t="s">
        <v>72</v>
      </c>
      <c r="E331" s="24" t="s">
        <v>94</v>
      </c>
      <c r="F331" s="70">
        <v>5.2926630551986377E-4</v>
      </c>
      <c r="G331" s="24">
        <v>6.4866210000000004</v>
      </c>
      <c r="H331" s="24">
        <v>7.9694960000000004</v>
      </c>
      <c r="I331" s="24">
        <v>7.3149949999999997</v>
      </c>
      <c r="J331" s="24">
        <v>7.1145459999999998</v>
      </c>
      <c r="K331" s="24">
        <v>1.2318</v>
      </c>
      <c r="L331" s="24">
        <v>5.8486799999999999</v>
      </c>
      <c r="M331" s="24">
        <v>27.337299999999999</v>
      </c>
      <c r="N331" s="24">
        <v>0.77913441922313709</v>
      </c>
      <c r="O331" s="24">
        <v>5.9</v>
      </c>
      <c r="P331" s="24">
        <v>2.604166666666667</v>
      </c>
      <c r="Q331" s="24">
        <v>7.7924553101997898</v>
      </c>
      <c r="R331" s="24">
        <v>3.61</v>
      </c>
      <c r="S331" s="24">
        <v>4.8336042154785916</v>
      </c>
      <c r="T331" s="24">
        <v>1.3719272685701291</v>
      </c>
      <c r="U331" s="24" t="s">
        <v>1971</v>
      </c>
      <c r="V331" s="24">
        <v>5611.9170000000004</v>
      </c>
      <c r="W331" s="24" t="s">
        <v>1415</v>
      </c>
      <c r="X331" s="64">
        <v>5.4901960784313726</v>
      </c>
    </row>
    <row r="332" spans="1:24" ht="14.4" x14ac:dyDescent="0.55000000000000004">
      <c r="A332" s="24" t="s">
        <v>554</v>
      </c>
      <c r="B332" s="24" t="s">
        <v>947</v>
      </c>
      <c r="C332" s="24" t="s">
        <v>105</v>
      </c>
      <c r="D332" s="24" t="s">
        <v>72</v>
      </c>
      <c r="E332" s="24" t="s">
        <v>94</v>
      </c>
      <c r="F332" s="70">
        <v>5.2832993945622062E-4</v>
      </c>
      <c r="G332" s="24">
        <v>8.2031259999999993</v>
      </c>
      <c r="H332" s="24">
        <v>8.4277069999999998</v>
      </c>
      <c r="I332" s="24">
        <v>3.4365770000000002</v>
      </c>
      <c r="J332" s="24">
        <v>6.3414229999999998</v>
      </c>
      <c r="K332" s="24">
        <v>1.1540459999999999</v>
      </c>
      <c r="L332" s="24">
        <v>3.9131770000000001</v>
      </c>
      <c r="M332" s="24">
        <v>131.01329999999999</v>
      </c>
      <c r="N332" s="24">
        <v>7.7583352762189026</v>
      </c>
      <c r="O332" s="24">
        <v>2.1</v>
      </c>
      <c r="P332" s="24">
        <v>6.875</v>
      </c>
      <c r="Q332" s="24">
        <v>0.23922187171398523</v>
      </c>
      <c r="R332" s="24">
        <v>3.44</v>
      </c>
      <c r="S332" s="24">
        <v>3.1344206845654821</v>
      </c>
      <c r="T332" s="24">
        <v>1.4748380737903017</v>
      </c>
      <c r="U332" s="24" t="s">
        <v>1978</v>
      </c>
      <c r="V332" s="24">
        <v>5475.9650000000001</v>
      </c>
      <c r="W332" s="24" t="s">
        <v>1415</v>
      </c>
      <c r="X332" s="64">
        <v>4.9237472766884531</v>
      </c>
    </row>
    <row r="333" spans="1:24" ht="14.4" x14ac:dyDescent="0.55000000000000004">
      <c r="A333" s="24" t="s">
        <v>532</v>
      </c>
      <c r="B333" s="24" t="s">
        <v>1053</v>
      </c>
      <c r="C333" s="24" t="s">
        <v>105</v>
      </c>
      <c r="D333" s="24" t="s">
        <v>72</v>
      </c>
      <c r="E333" s="24" t="s">
        <v>97</v>
      </c>
      <c r="F333" s="70">
        <v>5.2708291923892771E-4</v>
      </c>
      <c r="G333" s="24">
        <v>6.5180939999999996</v>
      </c>
      <c r="H333" s="24">
        <v>5.7362929999999999</v>
      </c>
      <c r="I333" s="24">
        <v>5.3749399999999996</v>
      </c>
      <c r="J333" s="24">
        <v>5.8764419999999999</v>
      </c>
      <c r="K333" s="24">
        <v>6.1076730000000001</v>
      </c>
      <c r="L333" s="24">
        <v>6.5039530000000001</v>
      </c>
      <c r="M333" s="24">
        <v>18.0596</v>
      </c>
      <c r="N333" s="24">
        <v>5.2930510396948014</v>
      </c>
      <c r="O333" s="24">
        <v>9.1999999999999993</v>
      </c>
      <c r="P333" s="24">
        <v>7.2556390977443597</v>
      </c>
      <c r="Q333" s="24">
        <v>1.8529321213444458</v>
      </c>
      <c r="R333" s="24">
        <v>6.78</v>
      </c>
      <c r="S333" s="24">
        <v>4.8623336599464952</v>
      </c>
      <c r="T333" s="24">
        <v>0.509065667220163</v>
      </c>
      <c r="U333" s="24" t="s">
        <v>1979</v>
      </c>
      <c r="V333" s="24">
        <v>5321.8090000000002</v>
      </c>
      <c r="W333" s="24" t="s">
        <v>1415</v>
      </c>
      <c r="X333" s="64">
        <v>5.2714535901926443</v>
      </c>
    </row>
    <row r="334" spans="1:24" ht="14.4" x14ac:dyDescent="0.55000000000000004">
      <c r="A334" s="24" t="s">
        <v>567</v>
      </c>
      <c r="B334" s="24" t="s">
        <v>962</v>
      </c>
      <c r="C334" s="24" t="s">
        <v>110</v>
      </c>
      <c r="D334" s="24" t="s">
        <v>72</v>
      </c>
      <c r="E334" s="24" t="s">
        <v>87</v>
      </c>
      <c r="F334" s="70">
        <v>5.2701946732738967E-4</v>
      </c>
      <c r="G334" s="24">
        <v>6.5246579999999996</v>
      </c>
      <c r="H334" s="24">
        <v>4.3878349999999999</v>
      </c>
      <c r="I334" s="24">
        <v>5.87371</v>
      </c>
      <c r="J334" s="24">
        <v>5.6883270000000001</v>
      </c>
      <c r="K334" s="24">
        <v>1.849926</v>
      </c>
      <c r="L334" s="24">
        <v>4.1878349999999998</v>
      </c>
      <c r="M334" s="24">
        <v>56.080800000000004</v>
      </c>
      <c r="N334" s="24">
        <v>4.351756311998491</v>
      </c>
      <c r="O334" s="24">
        <v>4.0999999999999996</v>
      </c>
      <c r="P334" s="24">
        <v>3.3891213389121337</v>
      </c>
      <c r="Q334" s="24">
        <v>4.397950018492101</v>
      </c>
      <c r="R334" s="24">
        <v>3.19</v>
      </c>
      <c r="S334" s="24">
        <v>2.4419980946452444</v>
      </c>
      <c r="T334" s="24">
        <v>2.7298381480074907E-2</v>
      </c>
      <c r="U334" s="24" t="s">
        <v>1530</v>
      </c>
      <c r="V334" s="24">
        <v>5912.643</v>
      </c>
      <c r="W334" s="24" t="s">
        <v>1415</v>
      </c>
      <c r="X334" s="64">
        <v>6.2522202486678511</v>
      </c>
    </row>
    <row r="335" spans="1:24" ht="14.4" x14ac:dyDescent="0.55000000000000004">
      <c r="A335" s="24" t="s">
        <v>537</v>
      </c>
      <c r="B335" s="24" t="s">
        <v>1258</v>
      </c>
      <c r="C335" s="24" t="s">
        <v>106</v>
      </c>
      <c r="D335" s="24" t="s">
        <v>72</v>
      </c>
      <c r="E335" s="24" t="s">
        <v>90</v>
      </c>
      <c r="F335" s="70">
        <v>5.2662464431316657E-4</v>
      </c>
      <c r="G335" s="24">
        <v>7.0267470000000003</v>
      </c>
      <c r="H335" s="24">
        <v>6.7447520000000001</v>
      </c>
      <c r="I335" s="24">
        <v>5.5479200000000004</v>
      </c>
      <c r="J335" s="24">
        <v>6.4104599999999996</v>
      </c>
      <c r="K335" s="24">
        <v>9.6448959999999992</v>
      </c>
      <c r="L335" s="24">
        <v>6.0348629999999996</v>
      </c>
      <c r="M335" s="24">
        <v>0.4758</v>
      </c>
      <c r="N335" s="24">
        <v>1.6796522309648134</v>
      </c>
      <c r="O335" s="24">
        <v>2.4</v>
      </c>
      <c r="P335" s="24">
        <v>3.2078852911704612</v>
      </c>
      <c r="Q335" s="24">
        <v>5.4907759470497117</v>
      </c>
      <c r="R335" s="24">
        <v>5.48</v>
      </c>
      <c r="S335" s="24">
        <v>2.8620225240308654</v>
      </c>
      <c r="T335" s="24">
        <v>1.2432276155778366</v>
      </c>
      <c r="U335" s="24" t="s">
        <v>1834</v>
      </c>
      <c r="V335" s="24">
        <v>5031.66</v>
      </c>
      <c r="W335" s="24" t="s">
        <v>1415</v>
      </c>
      <c r="X335" s="64">
        <v>5.3846153846153841</v>
      </c>
    </row>
    <row r="336" spans="1:24" ht="14.4" x14ac:dyDescent="0.55000000000000004">
      <c r="A336" s="24" t="s">
        <v>542</v>
      </c>
      <c r="B336" s="24" t="s">
        <v>969</v>
      </c>
      <c r="C336" s="24" t="s">
        <v>112</v>
      </c>
      <c r="D336" s="24" t="s">
        <v>72</v>
      </c>
      <c r="E336" s="24" t="s">
        <v>96</v>
      </c>
      <c r="F336" s="70">
        <v>5.2325308596002328E-4</v>
      </c>
      <c r="G336" s="24">
        <v>3.8872680000000002</v>
      </c>
      <c r="H336" s="24">
        <v>5.4784800000000002</v>
      </c>
      <c r="I336" s="24">
        <v>6.1959629999999999</v>
      </c>
      <c r="J336" s="24">
        <v>5.1872369999999997</v>
      </c>
      <c r="K336" s="24">
        <v>0.57022450000000002</v>
      </c>
      <c r="L336" s="24">
        <v>1.9864869999999999</v>
      </c>
      <c r="M336" s="24">
        <v>0.80561000000000005</v>
      </c>
      <c r="N336" s="24">
        <v>7.4311239655355044</v>
      </c>
      <c r="O336" s="24">
        <v>5.6</v>
      </c>
      <c r="P336" s="24">
        <v>6.3348416289592766</v>
      </c>
      <c r="Q336" s="24">
        <v>1.7202538340772562</v>
      </c>
      <c r="R336" s="24">
        <v>3.37</v>
      </c>
      <c r="S336" s="24">
        <v>3.3009135394454243</v>
      </c>
      <c r="T336" s="24">
        <v>1.0988642995293962</v>
      </c>
      <c r="U336" s="24" t="s">
        <v>1598</v>
      </c>
      <c r="V336" s="24">
        <v>5029.17</v>
      </c>
      <c r="W336" s="24" t="s">
        <v>1415</v>
      </c>
      <c r="X336" s="64">
        <v>5.6845753899480069</v>
      </c>
    </row>
    <row r="337" spans="1:24" ht="14.4" x14ac:dyDescent="0.55000000000000004">
      <c r="A337" s="24" t="s">
        <v>595</v>
      </c>
      <c r="B337" s="24" t="s">
        <v>1317</v>
      </c>
      <c r="C337" s="24" t="s">
        <v>106</v>
      </c>
      <c r="D337" s="24" t="s">
        <v>72</v>
      </c>
      <c r="E337" s="24" t="s">
        <v>98</v>
      </c>
      <c r="F337" s="70">
        <v>5.2104227724413226E-4</v>
      </c>
      <c r="G337" s="24">
        <v>7.9159309999999996</v>
      </c>
      <c r="H337" s="24">
        <v>7.0274679999999998</v>
      </c>
      <c r="I337" s="24">
        <v>5.1462709999999996</v>
      </c>
      <c r="J337" s="24">
        <v>6.4526820000000003</v>
      </c>
      <c r="K337" s="24">
        <v>2.472324</v>
      </c>
      <c r="L337" s="24">
        <v>2.812656</v>
      </c>
      <c r="M337" s="24">
        <v>5.8253000000000004</v>
      </c>
      <c r="N337" s="24">
        <v>2.9323309156349513</v>
      </c>
      <c r="O337" s="24">
        <v>1.4</v>
      </c>
      <c r="P337" s="24">
        <v>1.1180124223602486</v>
      </c>
      <c r="Q337" s="24">
        <v>4.454101094603037</v>
      </c>
      <c r="R337" s="24">
        <v>3.86</v>
      </c>
      <c r="S337" s="24">
        <v>1.5695145037925906</v>
      </c>
      <c r="T337" s="24">
        <v>1.3992241468776863</v>
      </c>
      <c r="U337" s="24" t="s">
        <v>1867</v>
      </c>
      <c r="V337" s="24">
        <v>5580.6530000000002</v>
      </c>
      <c r="W337" s="24" t="s">
        <v>1415</v>
      </c>
      <c r="X337" s="64">
        <v>6.415094339622641</v>
      </c>
    </row>
    <row r="338" spans="1:24" ht="14.4" x14ac:dyDescent="0.55000000000000004">
      <c r="A338" s="24" t="s">
        <v>543</v>
      </c>
      <c r="B338" s="24" t="s">
        <v>866</v>
      </c>
      <c r="C338" s="24" t="s">
        <v>106</v>
      </c>
      <c r="D338" s="24" t="s">
        <v>72</v>
      </c>
      <c r="E338" s="24" t="s">
        <v>90</v>
      </c>
      <c r="F338" s="70">
        <v>5.1909638526300653E-4</v>
      </c>
      <c r="G338" s="24">
        <v>4.2243789999999999</v>
      </c>
      <c r="H338" s="24">
        <v>6.0062689999999996</v>
      </c>
      <c r="I338" s="24">
        <v>5.1322270000000003</v>
      </c>
      <c r="J338" s="24">
        <v>5.165788</v>
      </c>
      <c r="K338" s="24">
        <v>1.821763</v>
      </c>
      <c r="L338" s="24">
        <v>22.646650000000001</v>
      </c>
      <c r="M338" s="24">
        <v>0.32908999999999999</v>
      </c>
      <c r="N338" s="24">
        <v>3.305454321973158</v>
      </c>
      <c r="O338" s="24">
        <v>8.1</v>
      </c>
      <c r="P338" s="24">
        <v>8.9516138657649318</v>
      </c>
      <c r="Q338" s="24">
        <v>7.513026334319111</v>
      </c>
      <c r="R338" s="24">
        <v>0.89</v>
      </c>
      <c r="S338" s="24">
        <v>7.1903696902894918</v>
      </c>
      <c r="T338" s="24">
        <v>1.0002755407100552</v>
      </c>
      <c r="U338" s="24" t="s">
        <v>1479</v>
      </c>
      <c r="V338" s="24">
        <v>5913.9260000000004</v>
      </c>
      <c r="W338" s="24" t="s">
        <v>1415</v>
      </c>
      <c r="X338" s="64">
        <v>5.4871794871794872</v>
      </c>
    </row>
    <row r="339" spans="1:24" ht="14.4" x14ac:dyDescent="0.55000000000000004">
      <c r="A339" s="24" t="s">
        <v>541</v>
      </c>
      <c r="B339" s="24" t="s">
        <v>994</v>
      </c>
      <c r="C339" s="24" t="s">
        <v>161</v>
      </c>
      <c r="D339" s="24" t="s">
        <v>72</v>
      </c>
      <c r="E339" s="24" t="s">
        <v>82</v>
      </c>
      <c r="F339" s="70">
        <v>5.1289821439003949E-4</v>
      </c>
      <c r="G339" s="24">
        <v>7.6865810000000003</v>
      </c>
      <c r="H339" s="24">
        <v>7.5932050000000002</v>
      </c>
      <c r="I339" s="24">
        <v>5.7301270000000004</v>
      </c>
      <c r="J339" s="24">
        <v>6.9691409999999996</v>
      </c>
      <c r="K339" s="24">
        <v>7.3121359999999997</v>
      </c>
      <c r="L339" s="24">
        <v>17.82001</v>
      </c>
      <c r="M339" s="24">
        <v>18.0305</v>
      </c>
      <c r="N339" s="24">
        <v>7.9239229112705258</v>
      </c>
      <c r="O339" s="24">
        <v>8.1</v>
      </c>
      <c r="P339" s="24">
        <v>5.6881726546422211</v>
      </c>
      <c r="Q339" s="24">
        <v>6.9947894662723575</v>
      </c>
      <c r="R339" s="24">
        <v>8.5299999999999994</v>
      </c>
      <c r="S339" s="24">
        <v>7.3486976402747697</v>
      </c>
      <c r="T339" s="24">
        <v>1.2496539477103925</v>
      </c>
      <c r="U339" s="24" t="s">
        <v>1507</v>
      </c>
      <c r="V339" s="24">
        <v>5307.3180000000002</v>
      </c>
      <c r="W339" s="24" t="s">
        <v>1415</v>
      </c>
      <c r="X339" s="64">
        <v>5.4529914529914523</v>
      </c>
    </row>
    <row r="340" spans="1:24" ht="14.4" x14ac:dyDescent="0.55000000000000004">
      <c r="A340" s="24" t="s">
        <v>559</v>
      </c>
      <c r="B340" s="24" t="s">
        <v>944</v>
      </c>
      <c r="C340" s="24" t="s">
        <v>105</v>
      </c>
      <c r="D340" s="24" t="s">
        <v>72</v>
      </c>
      <c r="E340" s="24" t="s">
        <v>87</v>
      </c>
      <c r="F340" s="70">
        <v>5.110448981473564E-4</v>
      </c>
      <c r="G340" s="24">
        <v>7.1676089999999997</v>
      </c>
      <c r="H340" s="24">
        <v>6.1993910000000003</v>
      </c>
      <c r="I340" s="24">
        <v>5.4113920000000002</v>
      </c>
      <c r="J340" s="24">
        <v>6.3502789999999996</v>
      </c>
      <c r="K340" s="24">
        <v>1.490715</v>
      </c>
      <c r="L340" s="24">
        <v>5.9398869999999997</v>
      </c>
      <c r="M340" s="24">
        <v>27.619299999999999</v>
      </c>
      <c r="N340" s="24">
        <v>3.8458352858576643</v>
      </c>
      <c r="O340" s="24">
        <v>8.6</v>
      </c>
      <c r="P340" s="24">
        <v>8.1171548117154817</v>
      </c>
      <c r="Q340" s="24">
        <v>2.6200665715644322</v>
      </c>
      <c r="R340" s="24">
        <v>3.82</v>
      </c>
      <c r="S340" s="24">
        <v>4.574312320963335</v>
      </c>
      <c r="T340" s="24">
        <v>0.68007051441337851</v>
      </c>
      <c r="U340" s="24" t="s">
        <v>1989</v>
      </c>
      <c r="V340" s="24">
        <v>5118.9340000000002</v>
      </c>
      <c r="W340" s="24" t="s">
        <v>1415</v>
      </c>
      <c r="X340" s="64">
        <v>6.1101243339254001</v>
      </c>
    </row>
    <row r="341" spans="1:24" ht="14.4" x14ac:dyDescent="0.55000000000000004">
      <c r="A341" s="24" t="s">
        <v>570</v>
      </c>
      <c r="B341" s="24" t="s">
        <v>1162</v>
      </c>
      <c r="C341" s="24" t="s">
        <v>110</v>
      </c>
      <c r="D341" s="24" t="s">
        <v>72</v>
      </c>
      <c r="E341" s="24" t="s">
        <v>90</v>
      </c>
      <c r="F341" s="70">
        <v>5.0743294311990036E-4</v>
      </c>
      <c r="G341" s="24">
        <v>4.0651029999999997</v>
      </c>
      <c r="H341" s="24">
        <v>4.3859339999999998</v>
      </c>
      <c r="I341" s="24">
        <v>3.364684</v>
      </c>
      <c r="J341" s="24">
        <v>3.9322469999999998</v>
      </c>
      <c r="K341" s="24">
        <v>4.5889290000000003</v>
      </c>
      <c r="L341" s="24">
        <v>8.5838140000000003</v>
      </c>
      <c r="M341" s="24">
        <v>1.4787999999999999</v>
      </c>
      <c r="N341" s="24">
        <v>3.5128324249694041</v>
      </c>
      <c r="O341" s="24">
        <v>4.3</v>
      </c>
      <c r="P341" s="24">
        <v>1.505376505954463</v>
      </c>
      <c r="Q341" s="24">
        <v>3.6731908181946205</v>
      </c>
      <c r="R341" s="24">
        <v>5.2</v>
      </c>
      <c r="S341" s="24">
        <v>3.5412216664139411</v>
      </c>
      <c r="T341" s="24">
        <v>0.58152633877022475</v>
      </c>
      <c r="U341" s="24" t="s">
        <v>1572</v>
      </c>
      <c r="V341" s="24">
        <v>5387.3869999999997</v>
      </c>
      <c r="W341" s="24" t="s">
        <v>1415</v>
      </c>
      <c r="X341" s="64">
        <v>5.9487179487179489</v>
      </c>
    </row>
    <row r="342" spans="1:24" ht="14.4" x14ac:dyDescent="0.55000000000000004">
      <c r="A342" s="24" t="s">
        <v>538</v>
      </c>
      <c r="B342" s="24" t="s">
        <v>1148</v>
      </c>
      <c r="C342" s="24" t="s">
        <v>105</v>
      </c>
      <c r="D342" s="24" t="s">
        <v>72</v>
      </c>
      <c r="E342" s="24" t="s">
        <v>89</v>
      </c>
      <c r="F342" s="70">
        <v>5.0420580291872768E-4</v>
      </c>
      <c r="G342" s="24">
        <v>4.418838</v>
      </c>
      <c r="H342" s="24">
        <v>4.5064770000000003</v>
      </c>
      <c r="I342" s="24">
        <v>4.4092570000000002</v>
      </c>
      <c r="J342" s="24">
        <v>4.4422550000000003</v>
      </c>
      <c r="K342" s="24">
        <v>0.88915509999999998</v>
      </c>
      <c r="L342" s="24">
        <v>3.3797809999999999</v>
      </c>
      <c r="M342" s="24">
        <v>0.57323000000000002</v>
      </c>
      <c r="N342" s="24">
        <v>5.3771344120538398</v>
      </c>
      <c r="O342" s="24">
        <v>8.9</v>
      </c>
      <c r="P342" s="24">
        <v>4.804804804804804</v>
      </c>
      <c r="Q342" s="24">
        <v>2.4666146525011072</v>
      </c>
      <c r="R342" s="24">
        <v>2.88</v>
      </c>
      <c r="S342" s="24">
        <v>2.3776928339798178</v>
      </c>
      <c r="T342" s="24">
        <v>1.9154609801556468</v>
      </c>
      <c r="U342" s="24" t="s">
        <v>2001</v>
      </c>
      <c r="V342" s="24">
        <v>6017.7489999999998</v>
      </c>
      <c r="W342" s="24" t="s">
        <v>1415</v>
      </c>
      <c r="X342" s="64">
        <v>5.4152249134948089</v>
      </c>
    </row>
    <row r="343" spans="1:24" ht="14.4" x14ac:dyDescent="0.55000000000000004">
      <c r="A343" s="24" t="s">
        <v>563</v>
      </c>
      <c r="B343" s="24" t="s">
        <v>1071</v>
      </c>
      <c r="C343" s="24" t="s">
        <v>177</v>
      </c>
      <c r="D343" s="24" t="s">
        <v>72</v>
      </c>
      <c r="E343" s="24" t="s">
        <v>95</v>
      </c>
      <c r="F343" s="70">
        <v>5.0078740624602634E-4</v>
      </c>
      <c r="G343" s="24">
        <v>7.595478</v>
      </c>
      <c r="H343" s="24">
        <v>6.9990019999999999</v>
      </c>
      <c r="I343" s="24">
        <v>3.1723379999999999</v>
      </c>
      <c r="J343" s="24">
        <v>5.587631</v>
      </c>
      <c r="K343" s="24">
        <v>4.7951990000000002</v>
      </c>
      <c r="L343" s="24">
        <v>6.0012100000000004</v>
      </c>
      <c r="M343" s="24">
        <v>14.715199999999999</v>
      </c>
      <c r="N343" s="24">
        <v>0</v>
      </c>
      <c r="O343" s="24">
        <v>3.8</v>
      </c>
      <c r="P343" s="24">
        <v>5.6903765690376575</v>
      </c>
      <c r="Q343" s="24">
        <v>6.3500110952607383</v>
      </c>
      <c r="R343" s="24">
        <v>6.73</v>
      </c>
      <c r="S343" s="24">
        <v>4.8099862914378591</v>
      </c>
      <c r="T343" s="24">
        <v>0.86046045852627462</v>
      </c>
      <c r="U343" s="24" t="s">
        <v>1683</v>
      </c>
      <c r="V343" s="24">
        <v>5183.125</v>
      </c>
      <c r="W343" s="24" t="s">
        <v>1415</v>
      </c>
      <c r="X343" s="64">
        <v>6.1811722912966252</v>
      </c>
    </row>
    <row r="344" spans="1:24" ht="14.4" x14ac:dyDescent="0.55000000000000004">
      <c r="A344" s="24" t="s">
        <v>586</v>
      </c>
      <c r="B344" s="24" t="s">
        <v>950</v>
      </c>
      <c r="C344" s="24" t="s">
        <v>107</v>
      </c>
      <c r="D344" s="24" t="s">
        <v>72</v>
      </c>
      <c r="E344" s="24" t="s">
        <v>89</v>
      </c>
      <c r="F344" s="70">
        <v>4.9921662114888246E-4</v>
      </c>
      <c r="G344" s="24">
        <v>8.5304070000000003</v>
      </c>
      <c r="H344" s="24">
        <v>6.9813939999999999</v>
      </c>
      <c r="I344" s="24">
        <v>6.0247409999999997</v>
      </c>
      <c r="J344" s="24">
        <v>7.3140029999999996</v>
      </c>
      <c r="K344" s="24">
        <v>4.6399699999999999</v>
      </c>
      <c r="L344" s="24">
        <v>9.8825299999999991</v>
      </c>
      <c r="M344" s="24">
        <v>6.1642999999999999</v>
      </c>
      <c r="N344" s="24">
        <v>4.7374102123444901</v>
      </c>
      <c r="O344" s="24">
        <v>1.8</v>
      </c>
      <c r="P344" s="24">
        <v>4.684684684684683</v>
      </c>
      <c r="Q344" s="24">
        <v>9.2943038955289978</v>
      </c>
      <c r="R344" s="24">
        <v>6.42</v>
      </c>
      <c r="S344" s="24">
        <v>6.4315205124951724</v>
      </c>
      <c r="T344" s="24">
        <v>1.784169043617805</v>
      </c>
      <c r="U344" s="24" t="s">
        <v>1743</v>
      </c>
      <c r="V344" s="24">
        <v>6098.16</v>
      </c>
      <c r="W344" s="24" t="s">
        <v>1415</v>
      </c>
      <c r="X344" s="64">
        <v>6.2456747404844295</v>
      </c>
    </row>
    <row r="345" spans="1:24" ht="14.4" x14ac:dyDescent="0.55000000000000004">
      <c r="A345" s="24" t="s">
        <v>581</v>
      </c>
      <c r="B345" s="24" t="s">
        <v>1183</v>
      </c>
      <c r="C345" s="24" t="s">
        <v>105</v>
      </c>
      <c r="D345" s="24" t="s">
        <v>72</v>
      </c>
      <c r="E345" s="24" t="s">
        <v>94</v>
      </c>
      <c r="F345" s="70">
        <v>4.9828605983424446E-4</v>
      </c>
      <c r="G345" s="24">
        <v>5.1452939999999998</v>
      </c>
      <c r="H345" s="24">
        <v>6.2985699999999998</v>
      </c>
      <c r="I345" s="24">
        <v>4.5714240000000004</v>
      </c>
      <c r="J345" s="24">
        <v>5.146401</v>
      </c>
      <c r="K345" s="24">
        <v>0</v>
      </c>
      <c r="L345" s="24">
        <v>6.0960619999999999</v>
      </c>
      <c r="M345" s="24">
        <v>82.724599999999995</v>
      </c>
      <c r="N345" s="24">
        <v>2.9712778455779358</v>
      </c>
      <c r="O345" s="24">
        <v>9.1999999999999993</v>
      </c>
      <c r="P345" s="24">
        <v>1.25</v>
      </c>
      <c r="Q345" s="24">
        <v>4.7926524710830698</v>
      </c>
      <c r="R345" s="24">
        <v>0</v>
      </c>
      <c r="S345" s="24">
        <v>4.0897631365918841</v>
      </c>
      <c r="T345" s="24">
        <v>1.6665166134922749</v>
      </c>
      <c r="U345" s="24" t="s">
        <v>2008</v>
      </c>
      <c r="V345" s="24">
        <v>4998.0479999999998</v>
      </c>
      <c r="W345" s="24" t="s">
        <v>1414</v>
      </c>
      <c r="X345" s="64">
        <v>5.5119825708060999</v>
      </c>
    </row>
    <row r="346" spans="1:24" ht="14.4" x14ac:dyDescent="0.55000000000000004">
      <c r="A346" s="24" t="s">
        <v>540</v>
      </c>
      <c r="B346" s="24" t="s">
        <v>1350</v>
      </c>
      <c r="C346" s="24" t="s">
        <v>161</v>
      </c>
      <c r="D346" s="24" t="s">
        <v>72</v>
      </c>
      <c r="E346" s="24" t="s">
        <v>92</v>
      </c>
      <c r="F346" s="70">
        <v>4.9735539843772704E-4</v>
      </c>
      <c r="G346" s="24">
        <v>7.1156059999999997</v>
      </c>
      <c r="H346" s="24">
        <v>7.1468829999999999</v>
      </c>
      <c r="I346" s="24">
        <v>6.5756249999999996</v>
      </c>
      <c r="J346" s="24">
        <v>6.959867</v>
      </c>
      <c r="K346" s="24">
        <v>11.39207</v>
      </c>
      <c r="L346" s="24">
        <v>16.279579999999999</v>
      </c>
      <c r="M346" s="24">
        <v>419.43099999999998</v>
      </c>
      <c r="N346" s="24">
        <v>3.276548832621939</v>
      </c>
      <c r="O346" s="24">
        <v>3</v>
      </c>
      <c r="P346" s="24">
        <v>4.48780487804878</v>
      </c>
      <c r="Q346" s="24">
        <v>9.8815989907817769</v>
      </c>
      <c r="R346" s="24">
        <v>7.5</v>
      </c>
      <c r="S346" s="24">
        <v>7.4144228627995288</v>
      </c>
      <c r="T346" s="24">
        <v>0.63514267477455566</v>
      </c>
      <c r="U346" s="24" t="s">
        <v>1504</v>
      </c>
      <c r="V346" s="24">
        <v>5443.6409999999996</v>
      </c>
      <c r="W346" s="24" t="s">
        <v>1415</v>
      </c>
      <c r="X346" s="64">
        <v>6.3438735177865615</v>
      </c>
    </row>
    <row r="347" spans="1:24" ht="14.4" x14ac:dyDescent="0.55000000000000004">
      <c r="A347" s="24" t="s">
        <v>545</v>
      </c>
      <c r="B347" s="24" t="s">
        <v>1300</v>
      </c>
      <c r="C347" s="24" t="s">
        <v>106</v>
      </c>
      <c r="D347" s="24" t="s">
        <v>72</v>
      </c>
      <c r="E347" s="24" t="s">
        <v>89</v>
      </c>
      <c r="F347" s="70">
        <v>4.9345911079090262E-4</v>
      </c>
      <c r="G347" s="24">
        <v>0</v>
      </c>
      <c r="H347" s="24">
        <v>3.5803129999999999</v>
      </c>
      <c r="I347" s="24">
        <v>0</v>
      </c>
      <c r="J347" s="24">
        <v>1.253109</v>
      </c>
      <c r="K347" s="24">
        <v>0</v>
      </c>
      <c r="L347" s="24">
        <v>3.9743010000000001</v>
      </c>
      <c r="M347" s="24">
        <v>23.138300000000001</v>
      </c>
      <c r="N347" s="24">
        <v>6.2437862008305069</v>
      </c>
      <c r="O347" s="24">
        <v>4.7</v>
      </c>
      <c r="P347" s="24">
        <v>8.168168168168167</v>
      </c>
      <c r="Q347" s="24">
        <v>4.4717430278884462</v>
      </c>
      <c r="R347" s="24">
        <v>0</v>
      </c>
      <c r="S347" s="24">
        <v>3.6008515198384892</v>
      </c>
      <c r="T347" s="24">
        <v>1.6361331378550523</v>
      </c>
      <c r="U347" s="24" t="s">
        <v>1840</v>
      </c>
      <c r="V347" s="24">
        <v>6051.28</v>
      </c>
      <c r="W347" s="24" t="s">
        <v>1415</v>
      </c>
      <c r="X347" s="64">
        <v>5.5363321799307963</v>
      </c>
    </row>
    <row r="348" spans="1:24" ht="14.4" x14ac:dyDescent="0.55000000000000004">
      <c r="A348" s="24" t="s">
        <v>560</v>
      </c>
      <c r="B348" s="24" t="s">
        <v>859</v>
      </c>
      <c r="C348" s="24" t="s">
        <v>110</v>
      </c>
      <c r="D348" s="24" t="s">
        <v>72</v>
      </c>
      <c r="E348" s="24" t="s">
        <v>93</v>
      </c>
      <c r="F348" s="70">
        <v>4.9091923285555258E-4</v>
      </c>
      <c r="G348" s="24">
        <v>6.7129779999999997</v>
      </c>
      <c r="H348" s="24">
        <v>3.0610279999999999</v>
      </c>
      <c r="I348" s="24">
        <v>2.4716909999999999</v>
      </c>
      <c r="J348" s="24">
        <v>4.0818989999999999</v>
      </c>
      <c r="K348" s="24">
        <v>2.9972880000000002</v>
      </c>
      <c r="L348" s="24">
        <v>3.6744849999999998</v>
      </c>
      <c r="M348" s="24">
        <v>55.753599999999999</v>
      </c>
      <c r="N348" s="24">
        <v>3.5756053436640931</v>
      </c>
      <c r="O348" s="24">
        <v>0.3</v>
      </c>
      <c r="P348" s="24">
        <v>4.2236024844720506</v>
      </c>
      <c r="Q348" s="24">
        <v>6.0964597875981212</v>
      </c>
      <c r="R348" s="24">
        <v>4.07</v>
      </c>
      <c r="S348" s="24">
        <v>2.8743223093012178</v>
      </c>
      <c r="T348" s="24">
        <v>1.149020167478028</v>
      </c>
      <c r="U348" s="24" t="s">
        <v>1541</v>
      </c>
      <c r="V348" s="24">
        <v>5418.7290000000003</v>
      </c>
      <c r="W348" s="24" t="s">
        <v>1415</v>
      </c>
      <c r="X348" s="64">
        <v>5.8147512864494004</v>
      </c>
    </row>
    <row r="349" spans="1:24" ht="14.4" x14ac:dyDescent="0.55000000000000004">
      <c r="A349" s="24" t="s">
        <v>562</v>
      </c>
      <c r="B349" s="24" t="s">
        <v>1063</v>
      </c>
      <c r="C349" s="24" t="s">
        <v>105</v>
      </c>
      <c r="D349" s="24" t="s">
        <v>72</v>
      </c>
      <c r="E349" s="24" t="s">
        <v>86</v>
      </c>
      <c r="F349" s="70">
        <v>4.8971364653633024E-4</v>
      </c>
      <c r="G349" s="24">
        <v>7.6308150000000001</v>
      </c>
      <c r="H349" s="24">
        <v>8.3058259999999997</v>
      </c>
      <c r="I349" s="24">
        <v>3.0857060000000001</v>
      </c>
      <c r="J349" s="24">
        <v>6.276281</v>
      </c>
      <c r="K349" s="24">
        <v>2.1653720000000001</v>
      </c>
      <c r="L349" s="24">
        <v>18.36337</v>
      </c>
      <c r="M349" s="24">
        <v>0.33445999999999998</v>
      </c>
      <c r="N349" s="24">
        <v>1.1549038109488452</v>
      </c>
      <c r="O349" s="24">
        <v>8.9</v>
      </c>
      <c r="P349" s="24">
        <v>8.1720438894670835</v>
      </c>
      <c r="Q349" s="24">
        <v>6.7722855935783706</v>
      </c>
      <c r="R349" s="24">
        <v>2.15</v>
      </c>
      <c r="S349" s="24">
        <v>6.9124194965324266</v>
      </c>
      <c r="T349" s="24">
        <v>1.3134713516225356</v>
      </c>
      <c r="U349" s="24" t="s">
        <v>1499</v>
      </c>
      <c r="V349" s="24">
        <v>5203.7139999999999</v>
      </c>
      <c r="W349" s="24" t="s">
        <v>1415</v>
      </c>
      <c r="X349" s="64">
        <v>5.8119658119658126</v>
      </c>
    </row>
    <row r="350" spans="1:24" ht="14.4" x14ac:dyDescent="0.55000000000000004">
      <c r="A350" s="24" t="s">
        <v>573</v>
      </c>
      <c r="B350" s="24" t="s">
        <v>1091</v>
      </c>
      <c r="C350" s="24" t="s">
        <v>107</v>
      </c>
      <c r="D350" s="24" t="s">
        <v>72</v>
      </c>
      <c r="E350" s="24" t="s">
        <v>88</v>
      </c>
      <c r="F350" s="70">
        <v>4.8919782452991551E-4</v>
      </c>
      <c r="G350" s="24">
        <v>5.7637900000000002</v>
      </c>
      <c r="H350" s="24">
        <v>6.2248109999999999</v>
      </c>
      <c r="I350" s="24">
        <v>4.842206</v>
      </c>
      <c r="J350" s="24">
        <v>5.5795649999999997</v>
      </c>
      <c r="K350" s="24">
        <v>0.84327569999999996</v>
      </c>
      <c r="L350" s="24">
        <v>4.0895929999999998</v>
      </c>
      <c r="M350" s="24">
        <v>22.520900000000001</v>
      </c>
      <c r="N350" s="24">
        <v>6.1372522692798404</v>
      </c>
      <c r="O350" s="24">
        <v>5.7</v>
      </c>
      <c r="P350" s="24">
        <v>6.3835616438356171</v>
      </c>
      <c r="Q350" s="24">
        <v>4.4609627216793344</v>
      </c>
      <c r="R350" s="24">
        <v>4.4000000000000004</v>
      </c>
      <c r="S350" s="24">
        <v>5.1156062325347778</v>
      </c>
      <c r="T350" s="24">
        <v>0.79233263481886129</v>
      </c>
      <c r="U350" s="24" t="s">
        <v>1754</v>
      </c>
      <c r="V350" s="24">
        <v>4370.0230000000001</v>
      </c>
      <c r="W350" s="24" t="s">
        <v>1414</v>
      </c>
      <c r="X350" s="64">
        <v>6.25</v>
      </c>
    </row>
    <row r="351" spans="1:24" ht="14.4" x14ac:dyDescent="0.55000000000000004">
      <c r="A351" s="24" t="s">
        <v>575</v>
      </c>
      <c r="B351" s="24" t="s">
        <v>1250</v>
      </c>
      <c r="C351" s="24" t="s">
        <v>112</v>
      </c>
      <c r="D351" s="24" t="s">
        <v>72</v>
      </c>
      <c r="E351" s="24" t="s">
        <v>89</v>
      </c>
      <c r="F351" s="70">
        <v>4.882256291534481E-4</v>
      </c>
      <c r="G351" s="24">
        <v>7.2318850000000001</v>
      </c>
      <c r="H351" s="24">
        <v>7.1539450000000002</v>
      </c>
      <c r="I351" s="24">
        <v>5.9331740000000002</v>
      </c>
      <c r="J351" s="24">
        <v>6.8188899999999997</v>
      </c>
      <c r="K351" s="24">
        <v>2.272408</v>
      </c>
      <c r="L351" s="24">
        <v>6.5270010000000003</v>
      </c>
      <c r="M351" s="24">
        <v>26.778400000000001</v>
      </c>
      <c r="N351" s="24">
        <v>2.939269810275781</v>
      </c>
      <c r="O351" s="24">
        <v>5.9</v>
      </c>
      <c r="P351" s="24">
        <v>7.0270270270270254</v>
      </c>
      <c r="Q351" s="24">
        <v>5.7590006640106246</v>
      </c>
      <c r="R351" s="24">
        <v>5.27</v>
      </c>
      <c r="S351" s="24">
        <v>6.0230193092269948</v>
      </c>
      <c r="T351" s="24">
        <v>1.0938438478076735</v>
      </c>
      <c r="U351" s="24" t="s">
        <v>1631</v>
      </c>
      <c r="V351" s="24">
        <v>5278.2569999999996</v>
      </c>
      <c r="W351" s="24" t="s">
        <v>1415</v>
      </c>
      <c r="X351" s="64">
        <v>6.055363321799307</v>
      </c>
    </row>
    <row r="352" spans="1:24" ht="14.4" x14ac:dyDescent="0.55000000000000004">
      <c r="A352" s="24" t="s">
        <v>552</v>
      </c>
      <c r="B352" s="24" t="s">
        <v>851</v>
      </c>
      <c r="C352" s="24" t="s">
        <v>107</v>
      </c>
      <c r="D352" s="24" t="s">
        <v>72</v>
      </c>
      <c r="E352" s="24" t="s">
        <v>89</v>
      </c>
      <c r="F352" s="70">
        <v>4.837718854383796E-4</v>
      </c>
      <c r="G352" s="24">
        <v>7.1336820000000003</v>
      </c>
      <c r="H352" s="24">
        <v>2.918371</v>
      </c>
      <c r="I352" s="24">
        <v>2.0488529999999998</v>
      </c>
      <c r="J352" s="24">
        <v>4.3436399999999997</v>
      </c>
      <c r="K352" s="24">
        <v>4.6650489999999998</v>
      </c>
      <c r="L352" s="24">
        <v>11.41024</v>
      </c>
      <c r="M352" s="24">
        <v>20.6313</v>
      </c>
      <c r="N352" s="24">
        <v>8.0937973592480059</v>
      </c>
      <c r="O352" s="24">
        <v>2</v>
      </c>
      <c r="P352" s="24">
        <v>4.9849849849849832</v>
      </c>
      <c r="Q352" s="24">
        <v>9.8301239486498453</v>
      </c>
      <c r="R352" s="24">
        <v>7.69</v>
      </c>
      <c r="S352" s="24">
        <v>7.2338796421224325</v>
      </c>
      <c r="T352" s="24">
        <v>1.343302326741211</v>
      </c>
      <c r="U352" s="24" t="s">
        <v>1449</v>
      </c>
      <c r="V352" s="24">
        <v>5580.7650000000003</v>
      </c>
      <c r="W352" s="24" t="s">
        <v>1415</v>
      </c>
      <c r="X352" s="64">
        <v>5.6574394463667819</v>
      </c>
    </row>
    <row r="353" spans="1:24" ht="14.4" x14ac:dyDescent="0.55000000000000004">
      <c r="A353" s="24" t="s">
        <v>574</v>
      </c>
      <c r="B353" s="24" t="s">
        <v>1157</v>
      </c>
      <c r="C353" s="24" t="s">
        <v>109</v>
      </c>
      <c r="D353" s="24" t="s">
        <v>72</v>
      </c>
      <c r="E353" s="24" t="s">
        <v>87</v>
      </c>
      <c r="F353" s="70">
        <v>4.8318810783585392E-4</v>
      </c>
      <c r="G353" s="24">
        <v>0</v>
      </c>
      <c r="H353" s="24">
        <v>4.4315559999999996</v>
      </c>
      <c r="I353" s="24">
        <v>0</v>
      </c>
      <c r="J353" s="24">
        <v>1.329467</v>
      </c>
      <c r="K353" s="24">
        <v>0.54396460000000002</v>
      </c>
      <c r="L353" s="24">
        <v>2.2965019999999998</v>
      </c>
      <c r="M353" s="24">
        <v>67.9876</v>
      </c>
      <c r="N353" s="24">
        <v>6.156244082433239</v>
      </c>
      <c r="O353" s="24">
        <v>9.6</v>
      </c>
      <c r="P353" s="24">
        <v>8.7029288702928866</v>
      </c>
      <c r="Q353" s="24">
        <v>0</v>
      </c>
      <c r="R353" s="24">
        <v>3.1</v>
      </c>
      <c r="S353" s="24">
        <v>2.7378045117545815</v>
      </c>
      <c r="T353" s="24">
        <v>0.55505804409011328</v>
      </c>
      <c r="U353" s="24" t="s">
        <v>1510</v>
      </c>
      <c r="V353" s="24">
        <v>4821.2089999999998</v>
      </c>
      <c r="W353" s="24" t="s">
        <v>1414</v>
      </c>
      <c r="X353" s="64">
        <v>6.376554174067496</v>
      </c>
    </row>
    <row r="354" spans="1:24" ht="14.4" x14ac:dyDescent="0.55000000000000004">
      <c r="A354" s="24" t="s">
        <v>564</v>
      </c>
      <c r="B354" s="24" t="s">
        <v>889</v>
      </c>
      <c r="C354" s="24" t="s">
        <v>177</v>
      </c>
      <c r="D354" s="24" t="s">
        <v>72</v>
      </c>
      <c r="E354" s="24" t="s">
        <v>88</v>
      </c>
      <c r="F354" s="70">
        <v>4.8148951817871943E-4</v>
      </c>
      <c r="G354" s="24">
        <v>6.6469360000000002</v>
      </c>
      <c r="H354" s="24">
        <v>6.8419059999999998</v>
      </c>
      <c r="I354" s="24">
        <v>6.5633299999999997</v>
      </c>
      <c r="J354" s="24">
        <v>6.6914819999999997</v>
      </c>
      <c r="K354" s="24">
        <v>3.4030879999999999</v>
      </c>
      <c r="L354" s="24">
        <v>5.5343349999999996</v>
      </c>
      <c r="M354" s="24">
        <v>23.478400000000001</v>
      </c>
      <c r="N354" s="24">
        <v>6.6743191816201932</v>
      </c>
      <c r="O354" s="24">
        <v>9.5</v>
      </c>
      <c r="P354" s="24">
        <v>8.6027397260273961</v>
      </c>
      <c r="Q354" s="24">
        <v>3.6753061054038256</v>
      </c>
      <c r="R354" s="24">
        <v>8.1200010000000002</v>
      </c>
      <c r="S354" s="24">
        <v>6.3771677659717261</v>
      </c>
      <c r="T354" s="24">
        <v>0.58605697769495668</v>
      </c>
      <c r="U354" s="24" t="s">
        <v>1693</v>
      </c>
      <c r="V354" s="24">
        <v>5234.9059999999999</v>
      </c>
      <c r="W354" s="24" t="s">
        <v>1415</v>
      </c>
      <c r="X354" s="64">
        <v>6.09375</v>
      </c>
    </row>
    <row r="355" spans="1:24" ht="0.4" customHeight="1" x14ac:dyDescent="0.55000000000000004">
      <c r="A355" s="24" t="s">
        <v>550</v>
      </c>
      <c r="B355" s="24" t="s">
        <v>1172</v>
      </c>
      <c r="C355" s="24" t="s">
        <v>113</v>
      </c>
      <c r="D355" s="24" t="s">
        <v>72</v>
      </c>
      <c r="E355" s="24" t="s">
        <v>88</v>
      </c>
      <c r="F355" s="70">
        <v>4.7897756308772137E-4</v>
      </c>
      <c r="G355" s="24">
        <v>7.0430469999999996</v>
      </c>
      <c r="H355" s="24">
        <v>6.4929009999999998</v>
      </c>
      <c r="I355" s="24">
        <v>6.4046909999999997</v>
      </c>
      <c r="J355" s="24">
        <v>6.5676459999999999</v>
      </c>
      <c r="K355" s="24">
        <v>2.6740029999999999</v>
      </c>
      <c r="L355" s="24">
        <v>5.4593489999999996</v>
      </c>
      <c r="M355" s="24">
        <v>29.803000000000001</v>
      </c>
      <c r="N355" s="24">
        <v>6.1326610357266551</v>
      </c>
      <c r="O355" s="24">
        <v>7.3</v>
      </c>
      <c r="P355" s="24">
        <v>6.9315068493150687</v>
      </c>
      <c r="Q355" s="24">
        <v>4.7711049862189938</v>
      </c>
      <c r="R355" s="24">
        <v>7.68</v>
      </c>
      <c r="S355" s="24">
        <v>6.6520026891288229</v>
      </c>
      <c r="T355" s="24">
        <v>0.88239593637721647</v>
      </c>
      <c r="U355" s="24" t="s">
        <v>1882</v>
      </c>
      <c r="V355" s="24">
        <v>4950.3900000000003</v>
      </c>
      <c r="W355" s="24" t="s">
        <v>1414</v>
      </c>
      <c r="X355" s="64">
        <v>5.8506944444444446</v>
      </c>
    </row>
    <row r="356" spans="1:24" ht="14.4" x14ac:dyDescent="0.55000000000000004">
      <c r="A356" s="24" t="s">
        <v>591</v>
      </c>
      <c r="B356" s="24" t="s">
        <v>1173</v>
      </c>
      <c r="C356" s="24" t="s">
        <v>112</v>
      </c>
      <c r="D356" s="24" t="s">
        <v>72</v>
      </c>
      <c r="E356" s="24" t="s">
        <v>91</v>
      </c>
      <c r="F356" s="70">
        <v>4.776202526393323E-4</v>
      </c>
      <c r="G356" s="24">
        <v>4.4276900000000001</v>
      </c>
      <c r="H356" s="24">
        <v>5.7683960000000001</v>
      </c>
      <c r="I356" s="24">
        <v>6.4049100000000001</v>
      </c>
      <c r="J356" s="24">
        <v>5.7548599999999999</v>
      </c>
      <c r="K356" s="24">
        <v>1.6970879999999999</v>
      </c>
      <c r="L356" s="24">
        <v>5.2364230000000003</v>
      </c>
      <c r="M356" s="24">
        <v>18.945499999999999</v>
      </c>
      <c r="N356" s="24">
        <v>8.0722644351846569</v>
      </c>
      <c r="O356" s="24">
        <v>9.9</v>
      </c>
      <c r="P356" s="24">
        <v>8.3540372670807468</v>
      </c>
      <c r="Q356" s="24">
        <v>2.0890708096803108</v>
      </c>
      <c r="R356" s="24">
        <v>4.13</v>
      </c>
      <c r="S356" s="24">
        <v>5.4762652201504052</v>
      </c>
      <c r="T356" s="24">
        <v>1.0469206387399748</v>
      </c>
      <c r="U356" s="24" t="s">
        <v>1589</v>
      </c>
      <c r="V356" s="24">
        <v>5481.26</v>
      </c>
      <c r="W356" s="24" t="s">
        <v>1415</v>
      </c>
      <c r="X356" s="64">
        <v>6.3464837049742702</v>
      </c>
    </row>
    <row r="357" spans="1:24" ht="14.4" x14ac:dyDescent="0.55000000000000004">
      <c r="A357" s="24" t="s">
        <v>527</v>
      </c>
      <c r="B357" s="24" t="s">
        <v>1354</v>
      </c>
      <c r="C357" s="24" t="s">
        <v>1898</v>
      </c>
      <c r="D357" s="24" t="s">
        <v>72</v>
      </c>
      <c r="E357" s="24" t="s">
        <v>90</v>
      </c>
      <c r="F357" s="70">
        <v>4.774571191759144E-4</v>
      </c>
      <c r="G357" s="24">
        <v>5.5562860000000001</v>
      </c>
      <c r="H357" s="24">
        <v>4.6288359999999997</v>
      </c>
      <c r="I357" s="24">
        <v>6.1246460000000003</v>
      </c>
      <c r="J357" s="24">
        <v>5.4306039999999998</v>
      </c>
      <c r="K357" s="24">
        <v>10.103770000000001</v>
      </c>
      <c r="L357" s="24">
        <v>12.600860000000001</v>
      </c>
      <c r="M357" s="24">
        <v>3.1246</v>
      </c>
      <c r="N357" s="24">
        <v>3.4131532270006053</v>
      </c>
      <c r="O357" s="24">
        <v>2.2999999999999998</v>
      </c>
      <c r="P357" s="24">
        <v>6.2903232570240064</v>
      </c>
      <c r="Q357" s="24">
        <v>2.9221236445571055</v>
      </c>
      <c r="R357" s="24">
        <v>6.29</v>
      </c>
      <c r="S357" s="24">
        <v>5.3572496834458327</v>
      </c>
      <c r="T357" s="24">
        <v>1.0278985875088553</v>
      </c>
      <c r="U357" s="24" t="s">
        <v>1953</v>
      </c>
      <c r="V357" s="24">
        <v>5499.4920000000002</v>
      </c>
      <c r="W357" s="24" t="s">
        <v>1415</v>
      </c>
      <c r="X357" s="64">
        <v>5.2136752136752138</v>
      </c>
    </row>
    <row r="358" spans="1:24" ht="14.4" x14ac:dyDescent="0.55000000000000004">
      <c r="A358" s="24" t="s">
        <v>579</v>
      </c>
      <c r="B358" s="24" t="s">
        <v>1253</v>
      </c>
      <c r="C358" s="24" t="s">
        <v>112</v>
      </c>
      <c r="D358" s="24" t="s">
        <v>72</v>
      </c>
      <c r="E358" s="24" t="s">
        <v>84</v>
      </c>
      <c r="F358" s="70">
        <v>4.744848875215672E-4</v>
      </c>
      <c r="G358" s="24">
        <v>4.3847709999999998</v>
      </c>
      <c r="H358" s="24">
        <v>5.9493910000000003</v>
      </c>
      <c r="I358" s="24">
        <v>7.3967890000000001</v>
      </c>
      <c r="J358" s="24">
        <v>5.7577619999999996</v>
      </c>
      <c r="K358" s="24">
        <v>5.5986390000000004</v>
      </c>
      <c r="L358" s="24">
        <v>8.3863000000000003</v>
      </c>
      <c r="M358" s="24">
        <v>3626.13</v>
      </c>
      <c r="N358" s="24">
        <v>5.7826022381484874</v>
      </c>
      <c r="O358" s="24">
        <v>9.5</v>
      </c>
      <c r="P358" s="24">
        <v>3.6716417910447756</v>
      </c>
      <c r="Q358" s="24">
        <v>7.6472418838861254</v>
      </c>
      <c r="R358" s="24">
        <v>5.1399990000000004</v>
      </c>
      <c r="S358" s="24">
        <v>6.6916084727933054</v>
      </c>
      <c r="T358" s="24">
        <v>0.78198969353450154</v>
      </c>
      <c r="U358" s="24" t="s">
        <v>1435</v>
      </c>
      <c r="V358" s="24">
        <v>5284.44</v>
      </c>
      <c r="W358" s="24" t="s">
        <v>1415</v>
      </c>
      <c r="X358" s="64">
        <v>6.0763888888888884</v>
      </c>
    </row>
    <row r="359" spans="1:24" ht="14.4" x14ac:dyDescent="0.55000000000000004">
      <c r="A359" s="24" t="s">
        <v>551</v>
      </c>
      <c r="B359" s="24" t="s">
        <v>1229</v>
      </c>
      <c r="C359" s="24" t="s">
        <v>107</v>
      </c>
      <c r="D359" s="24" t="s">
        <v>72</v>
      </c>
      <c r="E359" s="24" t="s">
        <v>85</v>
      </c>
      <c r="F359" s="70">
        <v>4.7139425900389275E-4</v>
      </c>
      <c r="G359" s="24">
        <v>7.0034159999999996</v>
      </c>
      <c r="H359" s="24">
        <v>7.5346469999999997</v>
      </c>
      <c r="I359" s="24">
        <v>4.5886430000000002</v>
      </c>
      <c r="J359" s="24">
        <v>6.4383530000000002</v>
      </c>
      <c r="K359" s="24">
        <v>2.961713</v>
      </c>
      <c r="L359" s="24">
        <v>8.9882349999999995</v>
      </c>
      <c r="M359" s="24">
        <v>18.801600000000001</v>
      </c>
      <c r="N359" s="24">
        <v>9.0641880672492725</v>
      </c>
      <c r="O359" s="24">
        <v>8.3000000000000007</v>
      </c>
      <c r="P359" s="24">
        <v>5.7357357357357337</v>
      </c>
      <c r="Q359" s="24">
        <v>5.3061830455953976</v>
      </c>
      <c r="R359" s="24">
        <v>7.19</v>
      </c>
      <c r="S359" s="24">
        <v>7.2312898854534406</v>
      </c>
      <c r="T359" s="24">
        <v>1.238667067874897</v>
      </c>
      <c r="U359" s="24" t="s">
        <v>1750</v>
      </c>
      <c r="V359" s="24">
        <v>4625.732</v>
      </c>
      <c r="W359" s="24" t="s">
        <v>1414</v>
      </c>
      <c r="X359" s="64">
        <v>5.6401384083044981</v>
      </c>
    </row>
    <row r="360" spans="1:24" ht="14.4" x14ac:dyDescent="0.55000000000000004">
      <c r="A360" s="24" t="s">
        <v>582</v>
      </c>
      <c r="B360" s="24" t="s">
        <v>1322</v>
      </c>
      <c r="C360" s="24" t="s">
        <v>178</v>
      </c>
      <c r="D360" s="24" t="s">
        <v>72</v>
      </c>
      <c r="E360" s="24" t="s">
        <v>95</v>
      </c>
      <c r="F360" s="70">
        <v>4.7032938780710323E-4</v>
      </c>
      <c r="G360" s="24">
        <v>7.1856540000000004</v>
      </c>
      <c r="H360" s="24">
        <v>7.4832270000000003</v>
      </c>
      <c r="I360" s="24">
        <v>6.9475170000000004</v>
      </c>
      <c r="J360" s="24">
        <v>7.2094279999999999</v>
      </c>
      <c r="K360" s="24">
        <v>3.4541270000000002</v>
      </c>
      <c r="L360" s="24">
        <v>4.481579</v>
      </c>
      <c r="M360" s="24">
        <v>50.244900000000001</v>
      </c>
      <c r="N360" s="24">
        <v>5.7427801478171547</v>
      </c>
      <c r="O360" s="24">
        <v>0.6</v>
      </c>
      <c r="P360" s="24">
        <v>7.2384937238493734</v>
      </c>
      <c r="Q360" s="24">
        <v>6.7172113911343594</v>
      </c>
      <c r="R360" s="24">
        <v>4.91</v>
      </c>
      <c r="S360" s="24">
        <v>3.4760550770062726</v>
      </c>
      <c r="T360" s="24">
        <v>0.45207609428964213</v>
      </c>
      <c r="U360" s="24" t="s">
        <v>1957</v>
      </c>
      <c r="V360" s="24">
        <v>4849.5919999999996</v>
      </c>
      <c r="W360" s="24" t="s">
        <v>1414</v>
      </c>
      <c r="X360" s="64">
        <v>6.5186500888099461</v>
      </c>
    </row>
    <row r="361" spans="1:24" ht="14.4" x14ac:dyDescent="0.55000000000000004">
      <c r="A361" s="24" t="s">
        <v>555</v>
      </c>
      <c r="B361" s="24" t="s">
        <v>900</v>
      </c>
      <c r="C361" s="24" t="s">
        <v>110</v>
      </c>
      <c r="D361" s="24" t="s">
        <v>72</v>
      </c>
      <c r="E361" s="24" t="s">
        <v>85</v>
      </c>
      <c r="F361" s="70">
        <v>4.6984248946383431E-4</v>
      </c>
      <c r="G361" s="24">
        <v>3.5515810000000001</v>
      </c>
      <c r="H361" s="24">
        <v>6.6271820000000004</v>
      </c>
      <c r="I361" s="24">
        <v>7.4945560000000002</v>
      </c>
      <c r="J361" s="24">
        <v>5.6571540000000002</v>
      </c>
      <c r="K361" s="24">
        <v>2.147891</v>
      </c>
      <c r="L361" s="24">
        <v>5.8564340000000001</v>
      </c>
      <c r="M361" s="24">
        <v>59.130600000000001</v>
      </c>
      <c r="N361" s="24">
        <v>7.5837468085694049</v>
      </c>
      <c r="O361" s="24">
        <v>6.6</v>
      </c>
      <c r="P361" s="24">
        <v>5.6456456456456454</v>
      </c>
      <c r="Q361" s="24">
        <v>4.9706728640991589</v>
      </c>
      <c r="R361" s="24">
        <v>5.1100000000000003</v>
      </c>
      <c r="S361" s="24">
        <v>5.6797530386623691</v>
      </c>
      <c r="T361" s="24">
        <v>1.233083158085539</v>
      </c>
      <c r="U361" s="24" t="s">
        <v>1575</v>
      </c>
      <c r="V361" s="24">
        <v>5554.8869999999997</v>
      </c>
      <c r="W361" s="24" t="s">
        <v>1415</v>
      </c>
      <c r="X361" s="64">
        <v>5.7093425605536332</v>
      </c>
    </row>
    <row r="362" spans="1:24" ht="14.4" x14ac:dyDescent="0.55000000000000004">
      <c r="A362" s="24" t="s">
        <v>556</v>
      </c>
      <c r="B362" s="24" t="s">
        <v>1190</v>
      </c>
      <c r="C362" s="24" t="s">
        <v>111</v>
      </c>
      <c r="D362" s="24" t="s">
        <v>72</v>
      </c>
      <c r="E362" s="24" t="s">
        <v>82</v>
      </c>
      <c r="F362" s="70">
        <v>4.6946848348052586E-4</v>
      </c>
      <c r="G362" s="24">
        <v>6.9927320000000002</v>
      </c>
      <c r="H362" s="24">
        <v>6.7282590000000004</v>
      </c>
      <c r="I362" s="24">
        <v>6.2360069999999999</v>
      </c>
      <c r="J362" s="24">
        <v>6.635313</v>
      </c>
      <c r="K362" s="24">
        <v>6.6365020000000001</v>
      </c>
      <c r="L362" s="24">
        <v>18.002790000000001</v>
      </c>
      <c r="M362" s="24">
        <v>4.9245999999999999</v>
      </c>
      <c r="N362" s="24">
        <v>5.9624191550146239</v>
      </c>
      <c r="O362" s="24">
        <v>8.8000000000000007</v>
      </c>
      <c r="P362" s="24">
        <v>6.2365598103827757</v>
      </c>
      <c r="Q362" s="24">
        <v>5.5780875932967202</v>
      </c>
      <c r="R362" s="24">
        <v>6.01</v>
      </c>
      <c r="S362" s="24">
        <v>6.3793504555888783</v>
      </c>
      <c r="T362" s="24">
        <v>0.69828925525921981</v>
      </c>
      <c r="U362" s="24" t="s">
        <v>1666</v>
      </c>
      <c r="V362" s="24">
        <v>5093.527</v>
      </c>
      <c r="W362" s="24" t="s">
        <v>1415</v>
      </c>
      <c r="X362" s="64">
        <v>5.7094017094017087</v>
      </c>
    </row>
    <row r="363" spans="1:24" ht="14.4" x14ac:dyDescent="0.55000000000000004">
      <c r="A363" s="24" t="s">
        <v>603</v>
      </c>
      <c r="B363" s="24" t="s">
        <v>1149</v>
      </c>
      <c r="C363" s="24" t="s">
        <v>1898</v>
      </c>
      <c r="D363" s="24" t="s">
        <v>72</v>
      </c>
      <c r="E363" s="24" t="s">
        <v>83</v>
      </c>
      <c r="F363" s="70">
        <v>4.6917063980743889E-4</v>
      </c>
      <c r="G363" s="24">
        <v>4.4257819999999999</v>
      </c>
      <c r="H363" s="24">
        <v>3.3655490000000001</v>
      </c>
      <c r="I363" s="24">
        <v>5.4714210000000003</v>
      </c>
      <c r="J363" s="24">
        <v>4.4209170000000002</v>
      </c>
      <c r="K363" s="24">
        <v>0.99675769999999997</v>
      </c>
      <c r="L363" s="24">
        <v>10.698309999999999</v>
      </c>
      <c r="M363" s="24">
        <v>478.66219999999998</v>
      </c>
      <c r="N363" s="24">
        <v>4.6635806815833831</v>
      </c>
      <c r="O363" s="24">
        <v>9.1</v>
      </c>
      <c r="P363" s="24">
        <v>5.9701492537313428</v>
      </c>
      <c r="Q363" s="24">
        <v>5.6234345932164835</v>
      </c>
      <c r="R363" s="24">
        <v>4.7300000000000004</v>
      </c>
      <c r="S363" s="24">
        <v>6.2737595799922889</v>
      </c>
      <c r="T363" s="24">
        <v>1.4882635142114242</v>
      </c>
      <c r="U363" s="24" t="s">
        <v>1947</v>
      </c>
      <c r="V363" s="24">
        <v>5077.3119999999999</v>
      </c>
      <c r="W363" s="24" t="s">
        <v>1415</v>
      </c>
      <c r="X363" s="64">
        <v>6.4930555555555554</v>
      </c>
    </row>
    <row r="364" spans="1:24" ht="14.4" x14ac:dyDescent="0.55000000000000004">
      <c r="A364" s="24" t="s">
        <v>572</v>
      </c>
      <c r="B364" s="24" t="s">
        <v>1309</v>
      </c>
      <c r="C364" s="24" t="s">
        <v>110</v>
      </c>
      <c r="D364" s="24" t="s">
        <v>72</v>
      </c>
      <c r="E364" s="24" t="s">
        <v>84</v>
      </c>
      <c r="F364" s="70">
        <v>4.6865111477148636E-4</v>
      </c>
      <c r="G364" s="24">
        <v>4.1618839999999997</v>
      </c>
      <c r="H364" s="24">
        <v>3.3378380000000001</v>
      </c>
      <c r="I364" s="24">
        <v>2.8214440000000001</v>
      </c>
      <c r="J364" s="24">
        <v>3.4403890000000001</v>
      </c>
      <c r="K364" s="24">
        <v>2.446736</v>
      </c>
      <c r="L364" s="24">
        <v>2.9493900000000002</v>
      </c>
      <c r="M364" s="24">
        <v>49.817300000000003</v>
      </c>
      <c r="N364" s="24">
        <v>6.3237199966222857</v>
      </c>
      <c r="O364" s="24">
        <v>8.6999999999999993</v>
      </c>
      <c r="P364" s="24">
        <v>10</v>
      </c>
      <c r="Q364" s="24">
        <v>0.29593958078876759</v>
      </c>
      <c r="R364" s="24">
        <v>4.7300000000000004</v>
      </c>
      <c r="S364" s="24">
        <v>4.2609900593901067</v>
      </c>
      <c r="T364" s="24">
        <v>0.81521588477381601</v>
      </c>
      <c r="U364" s="24" t="s">
        <v>1548</v>
      </c>
      <c r="V364" s="24">
        <v>5342.8789999999999</v>
      </c>
      <c r="W364" s="24" t="s">
        <v>1415</v>
      </c>
      <c r="X364" s="64">
        <v>5.9548611111111116</v>
      </c>
    </row>
    <row r="365" spans="1:24" ht="14.4" x14ac:dyDescent="0.55000000000000004">
      <c r="A365" s="24" t="s">
        <v>589</v>
      </c>
      <c r="B365" s="24" t="s">
        <v>1070</v>
      </c>
      <c r="C365" s="24" t="s">
        <v>107</v>
      </c>
      <c r="D365" s="24" t="s">
        <v>72</v>
      </c>
      <c r="E365" s="24" t="s">
        <v>88</v>
      </c>
      <c r="F365" s="70">
        <v>4.6403493816615576E-4</v>
      </c>
      <c r="G365" s="24">
        <v>6.2790030000000003</v>
      </c>
      <c r="H365" s="24">
        <v>6.1736139999999997</v>
      </c>
      <c r="I365" s="24">
        <v>6.9755390000000004</v>
      </c>
      <c r="J365" s="24">
        <v>6.5154610000000002</v>
      </c>
      <c r="K365" s="24">
        <v>0.31561800000000001</v>
      </c>
      <c r="L365" s="24">
        <v>1.4576530000000001</v>
      </c>
      <c r="M365" s="24">
        <v>18.654499999999999</v>
      </c>
      <c r="N365" s="24">
        <v>0.62428244762048402</v>
      </c>
      <c r="O365" s="24">
        <v>0.1</v>
      </c>
      <c r="P365" s="24">
        <v>3.0136986301369859</v>
      </c>
      <c r="Q365" s="24">
        <v>0.90852529302040708</v>
      </c>
      <c r="R365" s="24">
        <v>2.61</v>
      </c>
      <c r="S365" s="24">
        <v>0.917225837291062</v>
      </c>
      <c r="T365" s="24">
        <v>1.6243503213890749</v>
      </c>
      <c r="U365" s="24" t="s">
        <v>1751</v>
      </c>
      <c r="V365" s="24">
        <v>4750.442</v>
      </c>
      <c r="W365" s="24" t="s">
        <v>1414</v>
      </c>
      <c r="X365" s="64">
        <v>6.5277777777777777</v>
      </c>
    </row>
    <row r="366" spans="1:24" ht="14.4" x14ac:dyDescent="0.55000000000000004">
      <c r="A366" s="24" t="s">
        <v>561</v>
      </c>
      <c r="B366" s="24" t="s">
        <v>1313</v>
      </c>
      <c r="C366" s="24" t="s">
        <v>161</v>
      </c>
      <c r="D366" s="24" t="s">
        <v>72</v>
      </c>
      <c r="E366" s="24" t="s">
        <v>99</v>
      </c>
      <c r="F366" s="70">
        <v>4.6067098603584666E-4</v>
      </c>
      <c r="G366" s="24">
        <v>8.6224380000000007</v>
      </c>
      <c r="H366" s="24">
        <v>6.1436210000000004</v>
      </c>
      <c r="I366" s="24">
        <v>7.1625040000000002</v>
      </c>
      <c r="J366" s="24">
        <v>7.834689</v>
      </c>
      <c r="K366" s="24">
        <v>3.4214340000000001</v>
      </c>
      <c r="L366" s="24">
        <v>5.7574189999999996</v>
      </c>
      <c r="M366" s="24">
        <v>125.34269999999999</v>
      </c>
      <c r="N366" s="24">
        <v>4.6002317960333956</v>
      </c>
      <c r="O366" s="24">
        <v>3.8</v>
      </c>
      <c r="P366" s="24">
        <v>8.7538940809968846</v>
      </c>
      <c r="Q366" s="24">
        <v>2.9528958062083648</v>
      </c>
      <c r="R366" s="24">
        <v>3.45</v>
      </c>
      <c r="S366" s="24">
        <v>4.1057189561216054</v>
      </c>
      <c r="T366" s="24">
        <v>0.28082933537576621</v>
      </c>
      <c r="U366" s="24" t="s">
        <v>1505</v>
      </c>
      <c r="V366" s="24">
        <v>4917.6689999999999</v>
      </c>
      <c r="W366" s="24" t="s">
        <v>1414</v>
      </c>
      <c r="X366" s="64">
        <v>5.7450628366247756</v>
      </c>
    </row>
    <row r="367" spans="1:24" ht="14.4" x14ac:dyDescent="0.55000000000000004">
      <c r="A367" s="24" t="s">
        <v>565</v>
      </c>
      <c r="B367" s="24" t="s">
        <v>1281</v>
      </c>
      <c r="C367" s="24" t="s">
        <v>110</v>
      </c>
      <c r="D367" s="24" t="s">
        <v>72</v>
      </c>
      <c r="E367" s="24" t="s">
        <v>89</v>
      </c>
      <c r="F367" s="70">
        <v>4.5823899636648723E-4</v>
      </c>
      <c r="G367" s="24">
        <v>5.6023440000000004</v>
      </c>
      <c r="H367" s="24">
        <v>5.1571959999999999</v>
      </c>
      <c r="I367" s="24">
        <v>7.021147</v>
      </c>
      <c r="J367" s="24">
        <v>5.8944400000000003</v>
      </c>
      <c r="K367" s="24">
        <v>8.4233449999999994</v>
      </c>
      <c r="L367" s="24">
        <v>6.0969730000000002</v>
      </c>
      <c r="M367" s="24">
        <v>2.4213</v>
      </c>
      <c r="N367" s="24">
        <v>1.5885022006266605</v>
      </c>
      <c r="O367" s="24">
        <v>0.2</v>
      </c>
      <c r="P367" s="24">
        <v>3.6036036036036028</v>
      </c>
      <c r="Q367" s="24">
        <v>8.5282934926958838</v>
      </c>
      <c r="R367" s="24">
        <v>8.0299999999999994</v>
      </c>
      <c r="S367" s="24">
        <v>4.6181272058408158</v>
      </c>
      <c r="T367" s="24">
        <v>1.5208754582816821</v>
      </c>
      <c r="U367" s="24" t="s">
        <v>1537</v>
      </c>
      <c r="V367" s="24">
        <v>4870.0309999999999</v>
      </c>
      <c r="W367" s="24" t="s">
        <v>1414</v>
      </c>
      <c r="X367" s="64">
        <v>5.882352941176471</v>
      </c>
    </row>
    <row r="368" spans="1:24" ht="14.4" x14ac:dyDescent="0.55000000000000004">
      <c r="A368" s="24" t="s">
        <v>553</v>
      </c>
      <c r="B368" s="24" t="s">
        <v>1099</v>
      </c>
      <c r="C368" s="24" t="s">
        <v>1898</v>
      </c>
      <c r="D368" s="24" t="s">
        <v>72</v>
      </c>
      <c r="E368" s="24" t="s">
        <v>96</v>
      </c>
      <c r="F368" s="70">
        <v>4.5622364756105958E-4</v>
      </c>
      <c r="G368" s="24">
        <v>6.8946670000000001</v>
      </c>
      <c r="H368" s="24">
        <v>4.9109210000000001</v>
      </c>
      <c r="I368" s="24">
        <v>4.3406320000000003</v>
      </c>
      <c r="J368" s="24">
        <v>5.079555</v>
      </c>
      <c r="K368" s="24">
        <v>0</v>
      </c>
      <c r="L368" s="24">
        <v>4.2507989999999998</v>
      </c>
      <c r="M368" s="24">
        <v>10.249700000000001</v>
      </c>
      <c r="N368" s="24">
        <v>4.1436930558434453</v>
      </c>
      <c r="O368" s="24">
        <v>8.5</v>
      </c>
      <c r="P368" s="24">
        <v>4.1614906832298146</v>
      </c>
      <c r="Q368" s="24">
        <v>1.8263302278838578</v>
      </c>
      <c r="R368" s="24">
        <v>0</v>
      </c>
      <c r="S368" s="24">
        <v>3.3316314937356921</v>
      </c>
      <c r="T368" s="24">
        <v>0.92033707928037278</v>
      </c>
      <c r="U368" s="24" t="s">
        <v>1899</v>
      </c>
      <c r="V368" s="24">
        <v>4553.4560000000001</v>
      </c>
      <c r="W368" s="24" t="s">
        <v>1414</v>
      </c>
      <c r="X368" s="64">
        <v>5.694682675814752</v>
      </c>
    </row>
    <row r="369" spans="1:24" ht="14.4" x14ac:dyDescent="0.55000000000000004">
      <c r="A369" s="24" t="s">
        <v>571</v>
      </c>
      <c r="B369" s="24" t="s">
        <v>1380</v>
      </c>
      <c r="C369" s="24" t="s">
        <v>106</v>
      </c>
      <c r="D369" s="24" t="s">
        <v>72</v>
      </c>
      <c r="E369" s="24" t="s">
        <v>90</v>
      </c>
      <c r="F369" s="70">
        <v>4.5304254502440979E-4</v>
      </c>
      <c r="G369" s="24">
        <v>4.2734639999999997</v>
      </c>
      <c r="H369" s="24">
        <v>5.2776880000000004</v>
      </c>
      <c r="I369" s="24">
        <v>3.372198</v>
      </c>
      <c r="J369" s="24">
        <v>4.3094989999999997</v>
      </c>
      <c r="K369" s="24">
        <v>2.792459</v>
      </c>
      <c r="L369" s="24">
        <v>12.839079999999999</v>
      </c>
      <c r="M369" s="24">
        <v>0.81344000000000005</v>
      </c>
      <c r="N369" s="24">
        <v>3.2355633930139041</v>
      </c>
      <c r="O369" s="24">
        <v>1.4</v>
      </c>
      <c r="P369" s="24">
        <v>6.747312553474468</v>
      </c>
      <c r="Q369" s="24">
        <v>6.2357414448669211</v>
      </c>
      <c r="R369" s="24">
        <v>2.19</v>
      </c>
      <c r="S369" s="24">
        <v>5.1490179531984657</v>
      </c>
      <c r="T369" s="24">
        <v>0.80798142960607455</v>
      </c>
      <c r="U369" s="24" t="s">
        <v>1525</v>
      </c>
      <c r="V369" s="24">
        <v>4256.1189999999997</v>
      </c>
      <c r="W369" s="24" t="s">
        <v>1414</v>
      </c>
      <c r="X369" s="64">
        <v>5.9658119658119659</v>
      </c>
    </row>
    <row r="370" spans="1:24" ht="14.4" x14ac:dyDescent="0.55000000000000004">
      <c r="A370" s="24" t="s">
        <v>584</v>
      </c>
      <c r="B370" s="24" t="s">
        <v>1247</v>
      </c>
      <c r="C370" s="24" t="s">
        <v>107</v>
      </c>
      <c r="D370" s="24" t="s">
        <v>72</v>
      </c>
      <c r="E370" s="24" t="s">
        <v>94</v>
      </c>
      <c r="F370" s="70">
        <v>4.5137548115928549E-4</v>
      </c>
      <c r="G370" s="24">
        <v>8.2542939999999998</v>
      </c>
      <c r="H370" s="24">
        <v>5.2456849999999999</v>
      </c>
      <c r="I370" s="24">
        <v>7.044041</v>
      </c>
      <c r="J370" s="24">
        <v>7.1684710000000003</v>
      </c>
      <c r="K370" s="24">
        <v>5.3806099999999999</v>
      </c>
      <c r="L370" s="24">
        <v>5.7636450000000004</v>
      </c>
      <c r="M370" s="24">
        <v>14.0091</v>
      </c>
      <c r="N370" s="24">
        <v>0.41927899764139909</v>
      </c>
      <c r="O370" s="24">
        <v>1.6</v>
      </c>
      <c r="P370" s="24">
        <v>1.0069444444444446</v>
      </c>
      <c r="Q370" s="24">
        <v>6.4275538906414305</v>
      </c>
      <c r="R370" s="24">
        <v>6.02</v>
      </c>
      <c r="S370" s="24">
        <v>3.9325191047343271</v>
      </c>
      <c r="T370" s="24">
        <v>0.98069274399156048</v>
      </c>
      <c r="U370" s="24" t="s">
        <v>1737</v>
      </c>
      <c r="V370" s="24">
        <v>5343.6710000000003</v>
      </c>
      <c r="W370" s="24" t="s">
        <v>1415</v>
      </c>
      <c r="X370" s="64">
        <v>5.5773420479302835</v>
      </c>
    </row>
    <row r="371" spans="1:24" ht="14.4" x14ac:dyDescent="0.55000000000000004">
      <c r="A371" s="24" t="s">
        <v>600</v>
      </c>
      <c r="B371" s="24" t="s">
        <v>1389</v>
      </c>
      <c r="C371" s="24" t="s">
        <v>178</v>
      </c>
      <c r="D371" s="24" t="s">
        <v>72</v>
      </c>
      <c r="E371" s="24" t="s">
        <v>99</v>
      </c>
      <c r="F371" s="70">
        <v>4.509935687075046E-4</v>
      </c>
      <c r="G371" s="24">
        <v>4.9945709999999996</v>
      </c>
      <c r="H371" s="24">
        <v>6.6274749999999996</v>
      </c>
      <c r="I371" s="24">
        <v>6.9648529999999997</v>
      </c>
      <c r="J371" s="24">
        <v>5.7152089999999998</v>
      </c>
      <c r="K371" s="24">
        <v>1.1461429999999999</v>
      </c>
      <c r="L371" s="24">
        <v>2.066719</v>
      </c>
      <c r="M371" s="24">
        <v>29.761099999999999</v>
      </c>
      <c r="N371" s="24">
        <v>5.5619924030136261</v>
      </c>
      <c r="O371" s="24">
        <v>1.4</v>
      </c>
      <c r="P371" s="24">
        <v>1.838006230529595</v>
      </c>
      <c r="Q371" s="24">
        <v>1.9943484920895724</v>
      </c>
      <c r="R371" s="24">
        <v>2.78</v>
      </c>
      <c r="S371" s="24">
        <v>1.518885393808028</v>
      </c>
      <c r="T371" s="24">
        <v>0.8581156156931764</v>
      </c>
      <c r="U371" s="24" t="s">
        <v>1671</v>
      </c>
      <c r="V371" s="24">
        <v>4693.2969999999996</v>
      </c>
      <c r="W371" s="24" t="s">
        <v>1414</v>
      </c>
      <c r="X371" s="64">
        <v>6.4452423698384198</v>
      </c>
    </row>
    <row r="372" spans="1:24" ht="14.4" x14ac:dyDescent="0.55000000000000004">
      <c r="A372" s="24" t="s">
        <v>566</v>
      </c>
      <c r="B372" s="24" t="s">
        <v>1031</v>
      </c>
      <c r="C372" s="24" t="s">
        <v>106</v>
      </c>
      <c r="D372" s="24" t="s">
        <v>72</v>
      </c>
      <c r="E372" s="24" t="s">
        <v>95</v>
      </c>
      <c r="F372" s="70">
        <v>4.4415437339699647E-4</v>
      </c>
      <c r="G372" s="24">
        <v>5.5301</v>
      </c>
      <c r="H372" s="24">
        <v>4.3047319999999996</v>
      </c>
      <c r="I372" s="24">
        <v>3.8638629999999998</v>
      </c>
      <c r="J372" s="24">
        <v>4.3734580000000003</v>
      </c>
      <c r="K372" s="24">
        <v>3.6107230000000001</v>
      </c>
      <c r="L372" s="24">
        <v>7.1335610000000003</v>
      </c>
      <c r="M372" s="24">
        <v>17.233799999999999</v>
      </c>
      <c r="N372" s="24">
        <v>4.3734336544682497</v>
      </c>
      <c r="O372" s="24">
        <v>2.2999999999999998</v>
      </c>
      <c r="P372" s="24">
        <v>7.0186335403726723</v>
      </c>
      <c r="Q372" s="24">
        <v>6.6414971344759222</v>
      </c>
      <c r="R372" s="24">
        <v>4.8099999999999996</v>
      </c>
      <c r="S372" s="24">
        <v>6.0968505939061259</v>
      </c>
      <c r="T372" s="24">
        <v>1.063247267336447</v>
      </c>
      <c r="U372" s="24" t="s">
        <v>1897</v>
      </c>
      <c r="V372" s="24">
        <v>4650.4290000000001</v>
      </c>
      <c r="W372" s="24" t="s">
        <v>1414</v>
      </c>
      <c r="X372" s="64">
        <v>5.9176672384219557</v>
      </c>
    </row>
    <row r="373" spans="1:24" ht="14.4" x14ac:dyDescent="0.55000000000000004">
      <c r="A373" s="24" t="s">
        <v>576</v>
      </c>
      <c r="B373" s="24" t="s">
        <v>1192</v>
      </c>
      <c r="C373" s="24" t="s">
        <v>107</v>
      </c>
      <c r="D373" s="24" t="s">
        <v>72</v>
      </c>
      <c r="E373" s="24" t="s">
        <v>89</v>
      </c>
      <c r="F373" s="70">
        <v>4.4376435431298436E-4</v>
      </c>
      <c r="G373" s="24">
        <v>8.1706120000000002</v>
      </c>
      <c r="H373" s="24">
        <v>6.924188</v>
      </c>
      <c r="I373" s="24">
        <v>4.6160269999999999</v>
      </c>
      <c r="J373" s="24">
        <v>6.7303090000000001</v>
      </c>
      <c r="K373" s="24">
        <v>3.688571</v>
      </c>
      <c r="L373" s="24">
        <v>3.007768</v>
      </c>
      <c r="M373" s="24">
        <v>82.027299999999997</v>
      </c>
      <c r="N373" s="24">
        <v>0.28744368759698785</v>
      </c>
      <c r="O373" s="24">
        <v>2.8</v>
      </c>
      <c r="P373" s="24">
        <v>4.2942942942942945</v>
      </c>
      <c r="Q373" s="24">
        <v>3.7776671093404164</v>
      </c>
      <c r="R373" s="24">
        <v>7.26</v>
      </c>
      <c r="S373" s="24">
        <v>2.9054737553305934</v>
      </c>
      <c r="T373" s="24">
        <v>0.65714414158743262</v>
      </c>
      <c r="U373" s="24" t="s">
        <v>1744</v>
      </c>
      <c r="V373" s="24">
        <v>5639.5879999999997</v>
      </c>
      <c r="W373" s="24" t="s">
        <v>1415</v>
      </c>
      <c r="X373" s="64">
        <v>6.0726643598615917</v>
      </c>
    </row>
    <row r="374" spans="1:24" ht="14.4" x14ac:dyDescent="0.55000000000000004">
      <c r="A374" s="24" t="s">
        <v>578</v>
      </c>
      <c r="B374" s="24" t="s">
        <v>1293</v>
      </c>
      <c r="C374" s="24" t="s">
        <v>106</v>
      </c>
      <c r="D374" s="24" t="s">
        <v>72</v>
      </c>
      <c r="E374" s="24" t="s">
        <v>93</v>
      </c>
      <c r="F374" s="70">
        <v>4.424972176379325E-4</v>
      </c>
      <c r="G374" s="24">
        <v>6.4345039999999996</v>
      </c>
      <c r="H374" s="24">
        <v>5.3773439999999999</v>
      </c>
      <c r="I374" s="24">
        <v>5.4286960000000004</v>
      </c>
      <c r="J374" s="24">
        <v>5.746848</v>
      </c>
      <c r="K374" s="24">
        <v>1.9381710000000001</v>
      </c>
      <c r="L374" s="24">
        <v>10.22167</v>
      </c>
      <c r="M374" s="24">
        <v>4.3235000000000001</v>
      </c>
      <c r="N374" s="24">
        <v>6.4097744810805199</v>
      </c>
      <c r="O374" s="24">
        <v>8.6</v>
      </c>
      <c r="P374" s="24">
        <v>5.1863354037267086</v>
      </c>
      <c r="Q374" s="24">
        <v>4.8390689083847143</v>
      </c>
      <c r="R374" s="24">
        <v>0</v>
      </c>
      <c r="S374" s="24">
        <v>6.5657081585890857</v>
      </c>
      <c r="T374" s="24">
        <v>1.751520836801896</v>
      </c>
      <c r="U374" s="24" t="s">
        <v>1461</v>
      </c>
      <c r="V374" s="24">
        <v>4808.8900000000003</v>
      </c>
      <c r="W374" s="24" t="s">
        <v>1414</v>
      </c>
      <c r="X374" s="64">
        <v>6.1234991423670673</v>
      </c>
    </row>
    <row r="375" spans="1:24" ht="14.4" x14ac:dyDescent="0.55000000000000004">
      <c r="A375" s="24" t="s">
        <v>593</v>
      </c>
      <c r="B375" s="24" t="s">
        <v>1093</v>
      </c>
      <c r="C375" s="24" t="s">
        <v>110</v>
      </c>
      <c r="D375" s="24" t="s">
        <v>72</v>
      </c>
      <c r="E375" s="24" t="s">
        <v>88</v>
      </c>
      <c r="F375" s="70">
        <v>4.4220157576619224E-4</v>
      </c>
      <c r="G375" s="24">
        <v>6.1560180000000004</v>
      </c>
      <c r="H375" s="24">
        <v>6.7766820000000001</v>
      </c>
      <c r="I375" s="24">
        <v>5.5965809999999996</v>
      </c>
      <c r="J375" s="24">
        <v>6.1805089999999998</v>
      </c>
      <c r="K375" s="24">
        <v>0.3470123</v>
      </c>
      <c r="L375" s="24">
        <v>4.1436080000000004</v>
      </c>
      <c r="M375" s="24">
        <v>17.078099999999999</v>
      </c>
      <c r="N375" s="24">
        <v>7.762222575676514</v>
      </c>
      <c r="O375" s="24">
        <v>9.1999999999999993</v>
      </c>
      <c r="P375" s="24">
        <v>6.8493150684931505</v>
      </c>
      <c r="Q375" s="24">
        <v>0.98016871293744257</v>
      </c>
      <c r="R375" s="24">
        <v>4.74</v>
      </c>
      <c r="S375" s="24">
        <v>5.3419539567244287</v>
      </c>
      <c r="T375" s="24">
        <v>0.68802038183088776</v>
      </c>
      <c r="U375" s="24" t="s">
        <v>1546</v>
      </c>
      <c r="V375" s="24">
        <v>4961.7790000000005</v>
      </c>
      <c r="W375" s="24" t="s">
        <v>1414</v>
      </c>
      <c r="X375" s="64">
        <v>6.5972222222222223</v>
      </c>
    </row>
    <row r="376" spans="1:24" ht="14.4" x14ac:dyDescent="0.55000000000000004">
      <c r="A376" s="24" t="s">
        <v>587</v>
      </c>
      <c r="B376" s="24" t="s">
        <v>1249</v>
      </c>
      <c r="C376" s="24" t="s">
        <v>106</v>
      </c>
      <c r="D376" s="24" t="s">
        <v>72</v>
      </c>
      <c r="E376" s="24" t="s">
        <v>94</v>
      </c>
      <c r="F376" s="70">
        <v>4.4176311705255181E-4</v>
      </c>
      <c r="G376" s="24">
        <v>7.4684220000000003</v>
      </c>
      <c r="H376" s="24">
        <v>7.6770779999999998</v>
      </c>
      <c r="I376" s="24">
        <v>4.0613320000000002</v>
      </c>
      <c r="J376" s="24">
        <v>6.1473170000000001</v>
      </c>
      <c r="K376" s="24">
        <v>5.859375</v>
      </c>
      <c r="L376" s="24">
        <v>6.5094919999999998</v>
      </c>
      <c r="M376" s="24">
        <v>21.927099999999999</v>
      </c>
      <c r="N376" s="24">
        <v>7.8606799511838865</v>
      </c>
      <c r="O376" s="24">
        <v>6.8</v>
      </c>
      <c r="P376" s="24">
        <v>2.8472222222222228</v>
      </c>
      <c r="Q376" s="24">
        <v>3.4950052576235535</v>
      </c>
      <c r="R376" s="24">
        <v>8.24</v>
      </c>
      <c r="S376" s="24">
        <v>6.2564238584180618</v>
      </c>
      <c r="T376" s="24">
        <v>1.1349147708612481</v>
      </c>
      <c r="U376" s="24" t="s">
        <v>1819</v>
      </c>
      <c r="V376" s="24">
        <v>4859.72</v>
      </c>
      <c r="W376" s="24" t="s">
        <v>1414</v>
      </c>
      <c r="X376" s="64">
        <v>5.6427015250544663</v>
      </c>
    </row>
    <row r="377" spans="1:24" ht="14.4" x14ac:dyDescent="0.55000000000000004">
      <c r="A377" s="24" t="s">
        <v>602</v>
      </c>
      <c r="B377" s="24" t="s">
        <v>1353</v>
      </c>
      <c r="C377" s="24" t="s">
        <v>106</v>
      </c>
      <c r="D377" s="24" t="s">
        <v>72</v>
      </c>
      <c r="E377" s="24" t="s">
        <v>94</v>
      </c>
      <c r="F377" s="70">
        <v>4.4156605583201805E-4</v>
      </c>
      <c r="G377" s="24">
        <v>8.2812549999999998</v>
      </c>
      <c r="H377" s="24">
        <v>6.8424589999999998</v>
      </c>
      <c r="I377" s="24">
        <v>6.459613</v>
      </c>
      <c r="J377" s="24">
        <v>7.2648390000000003</v>
      </c>
      <c r="K377" s="24">
        <v>5.227087</v>
      </c>
      <c r="L377" s="24">
        <v>7.3180880000000004</v>
      </c>
      <c r="M377" s="24">
        <v>32.174999999999997</v>
      </c>
      <c r="N377" s="24">
        <v>2.5123798291436001</v>
      </c>
      <c r="O377" s="24">
        <v>8.8000000000000007</v>
      </c>
      <c r="P377" s="24">
        <v>4.8263888888888893</v>
      </c>
      <c r="Q377" s="24">
        <v>7.9637657728706639</v>
      </c>
      <c r="R377" s="24">
        <v>5.12</v>
      </c>
      <c r="S377" s="24">
        <v>6.1503284132322955</v>
      </c>
      <c r="T377" s="24">
        <v>1.2458209329161656</v>
      </c>
      <c r="U377" s="24" t="s">
        <v>1764</v>
      </c>
      <c r="V377" s="24">
        <v>4847.6499999999996</v>
      </c>
      <c r="W377" s="24" t="s">
        <v>1414</v>
      </c>
      <c r="X377" s="64">
        <v>5.969498910675382</v>
      </c>
    </row>
    <row r="378" spans="1:24" ht="14.4" x14ac:dyDescent="0.55000000000000004">
      <c r="A378" s="24" t="s">
        <v>590</v>
      </c>
      <c r="B378" s="24" t="s">
        <v>957</v>
      </c>
      <c r="C378" s="24" t="s">
        <v>106</v>
      </c>
      <c r="D378" s="24" t="s">
        <v>72</v>
      </c>
      <c r="E378" s="24" t="s">
        <v>86</v>
      </c>
      <c r="F378" s="70">
        <v>4.4124609406358424E-4</v>
      </c>
      <c r="G378" s="24">
        <v>7.1719200000000001</v>
      </c>
      <c r="H378" s="24">
        <v>5.7973369999999997</v>
      </c>
      <c r="I378" s="24">
        <v>4.7935410000000003</v>
      </c>
      <c r="J378" s="24">
        <v>5.858384</v>
      </c>
      <c r="K378" s="24">
        <v>4.2370489999999998</v>
      </c>
      <c r="L378" s="24">
        <v>6.1506100000000004</v>
      </c>
      <c r="M378" s="24">
        <v>3.2118000000000002</v>
      </c>
      <c r="N378" s="24">
        <v>1.9454629672531145</v>
      </c>
      <c r="O378" s="24">
        <v>9.1</v>
      </c>
      <c r="P378" s="24">
        <v>9.784947288704009</v>
      </c>
      <c r="Q378" s="24">
        <v>1.8349528235459798</v>
      </c>
      <c r="R378" s="24">
        <v>4.2699999999999996</v>
      </c>
      <c r="S378" s="24">
        <v>3.286243742168609</v>
      </c>
      <c r="T378" s="24">
        <v>0.85416669444151216</v>
      </c>
      <c r="U378" s="24" t="s">
        <v>1812</v>
      </c>
      <c r="V378" s="24">
        <v>5085.4440000000004</v>
      </c>
      <c r="W378" s="24" t="s">
        <v>1415</v>
      </c>
      <c r="X378" s="64">
        <v>6.2905982905982905</v>
      </c>
    </row>
    <row r="379" spans="1:24" ht="14.4" x14ac:dyDescent="0.55000000000000004">
      <c r="A379" s="24" t="s">
        <v>569</v>
      </c>
      <c r="B379" s="24" t="s">
        <v>1204</v>
      </c>
      <c r="C379" s="24" t="s">
        <v>125</v>
      </c>
      <c r="D379" s="24" t="s">
        <v>72</v>
      </c>
      <c r="E379" s="24" t="s">
        <v>85</v>
      </c>
      <c r="F379" s="70">
        <v>4.408738895541049E-4</v>
      </c>
      <c r="G379" s="24">
        <v>6.4905229999999996</v>
      </c>
      <c r="H379" s="24">
        <v>7.9401190000000001</v>
      </c>
      <c r="I379" s="24">
        <v>6.9692679999999996</v>
      </c>
      <c r="J379" s="24">
        <v>7.069026</v>
      </c>
      <c r="K379" s="24">
        <v>1.6588799999999999</v>
      </c>
      <c r="L379" s="24">
        <v>6.2142390000000001</v>
      </c>
      <c r="M379" s="24">
        <v>5.7523</v>
      </c>
      <c r="N379" s="24">
        <v>8.0095094873780202</v>
      </c>
      <c r="O379" s="24">
        <v>8</v>
      </c>
      <c r="P379" s="24">
        <v>7.0870870870870846</v>
      </c>
      <c r="Q379" s="24">
        <v>3.2093846834882696</v>
      </c>
      <c r="R379" s="24">
        <v>6.15</v>
      </c>
      <c r="S379" s="24">
        <v>6.0583662450526568</v>
      </c>
      <c r="T379" s="24">
        <v>0.87150566829426335</v>
      </c>
      <c r="U379" s="24" t="s">
        <v>1911</v>
      </c>
      <c r="V379" s="24">
        <v>4505.0339999999997</v>
      </c>
      <c r="W379" s="24" t="s">
        <v>1414</v>
      </c>
      <c r="X379" s="64">
        <v>5.9515570934256061</v>
      </c>
    </row>
    <row r="380" spans="1:24" ht="14.4" x14ac:dyDescent="0.55000000000000004">
      <c r="A380" s="24" t="s">
        <v>605</v>
      </c>
      <c r="B380" s="24" t="s">
        <v>1028</v>
      </c>
      <c r="C380" s="24" t="s">
        <v>161</v>
      </c>
      <c r="D380" s="24" t="s">
        <v>72</v>
      </c>
      <c r="E380" s="24" t="s">
        <v>89</v>
      </c>
      <c r="F380" s="70">
        <v>4.3443772397193056E-4</v>
      </c>
      <c r="G380" s="24">
        <v>7.1913819999999999</v>
      </c>
      <c r="H380" s="24">
        <v>6.7973689999999998</v>
      </c>
      <c r="I380" s="24">
        <v>5.5003799999999998</v>
      </c>
      <c r="J380" s="24">
        <v>6.5658770000000004</v>
      </c>
      <c r="K380" s="24">
        <v>4.1633930000000001</v>
      </c>
      <c r="L380" s="24">
        <v>9.5410629999999994</v>
      </c>
      <c r="M380" s="24">
        <v>18.670300000000001</v>
      </c>
      <c r="N380" s="24">
        <v>4.7201208247192206</v>
      </c>
      <c r="O380" s="24">
        <v>4.5</v>
      </c>
      <c r="P380" s="24">
        <v>7.3573573573573565</v>
      </c>
      <c r="Q380" s="24">
        <v>8.506713147410359</v>
      </c>
      <c r="R380" s="24">
        <v>6.84</v>
      </c>
      <c r="S380" s="24">
        <v>7.4977086278756992</v>
      </c>
      <c r="T380" s="24">
        <v>1.1460682338298391</v>
      </c>
      <c r="U380" s="24" t="s">
        <v>1423</v>
      </c>
      <c r="V380" s="24">
        <v>4420.3220000000001</v>
      </c>
      <c r="W380" s="24" t="s">
        <v>1414</v>
      </c>
      <c r="X380" s="64">
        <v>6.5743944636678195</v>
      </c>
    </row>
    <row r="381" spans="1:24" ht="14.4" x14ac:dyDescent="0.55000000000000004">
      <c r="A381" s="24" t="s">
        <v>583</v>
      </c>
      <c r="B381" s="24" t="s">
        <v>1077</v>
      </c>
      <c r="C381" s="24" t="s">
        <v>113</v>
      </c>
      <c r="D381" s="24" t="s">
        <v>72</v>
      </c>
      <c r="E381" s="24" t="s">
        <v>82</v>
      </c>
      <c r="F381" s="70">
        <v>4.3403539481675263E-4</v>
      </c>
      <c r="G381" s="24">
        <v>7.5367249999999997</v>
      </c>
      <c r="H381" s="24">
        <v>5.6935770000000003</v>
      </c>
      <c r="I381" s="24">
        <v>5.5347910000000002</v>
      </c>
      <c r="J381" s="24">
        <v>6.1909470000000004</v>
      </c>
      <c r="K381" s="24">
        <v>10.97289</v>
      </c>
      <c r="L381" s="24">
        <v>31.518360000000001</v>
      </c>
      <c r="M381" s="24">
        <v>14.7666</v>
      </c>
      <c r="N381" s="24">
        <v>3.8955084278418157</v>
      </c>
      <c r="O381" s="24">
        <v>6.7</v>
      </c>
      <c r="P381" s="24">
        <v>5.1881726008787741</v>
      </c>
      <c r="Q381" s="24">
        <v>9.1606815941416713</v>
      </c>
      <c r="R381" s="24">
        <v>7.57</v>
      </c>
      <c r="S381" s="24">
        <v>6.8943298314499488</v>
      </c>
      <c r="T381" s="24">
        <v>1.2144329909009772</v>
      </c>
      <c r="U381" s="24" t="s">
        <v>1481</v>
      </c>
      <c r="V381" s="24">
        <v>5330.2370000000001</v>
      </c>
      <c r="W381" s="24" t="s">
        <v>1415</v>
      </c>
      <c r="X381" s="64">
        <v>6.1709401709401712</v>
      </c>
    </row>
    <row r="382" spans="1:24" ht="14.4" x14ac:dyDescent="0.55000000000000004">
      <c r="A382" s="24" t="s">
        <v>585</v>
      </c>
      <c r="B382" s="24" t="s">
        <v>1377</v>
      </c>
      <c r="C382" s="24" t="s">
        <v>113</v>
      </c>
      <c r="D382" s="24" t="s">
        <v>72</v>
      </c>
      <c r="E382" s="24" t="s">
        <v>82</v>
      </c>
      <c r="F382" s="70">
        <v>4.3319530752108985E-4</v>
      </c>
      <c r="G382" s="24">
        <v>3.5244740000000001</v>
      </c>
      <c r="H382" s="24">
        <v>5.3575530000000002</v>
      </c>
      <c r="I382" s="24">
        <v>5.8293650000000001</v>
      </c>
      <c r="J382" s="24">
        <v>4.9727639999999997</v>
      </c>
      <c r="K382" s="24">
        <v>14.401059999999999</v>
      </c>
      <c r="L382" s="24">
        <v>29.395620000000001</v>
      </c>
      <c r="M382" s="24">
        <v>10.077500000000001</v>
      </c>
      <c r="N382" s="24">
        <v>6.3657198151109</v>
      </c>
      <c r="O382" s="24">
        <v>8.6999999999999993</v>
      </c>
      <c r="P382" s="24">
        <v>5.4946242467337907</v>
      </c>
      <c r="Q382" s="24">
        <v>9.0959019856358267</v>
      </c>
      <c r="R382" s="24">
        <v>8.93</v>
      </c>
      <c r="S382" s="24">
        <v>7.4368118225576385</v>
      </c>
      <c r="T382" s="24">
        <v>1.7811349525117459</v>
      </c>
      <c r="U382" s="24" t="s">
        <v>1488</v>
      </c>
      <c r="V382" s="24">
        <v>4653.4939999999997</v>
      </c>
      <c r="W382" s="24" t="s">
        <v>1414</v>
      </c>
      <c r="X382" s="64">
        <v>6.2051282051282053</v>
      </c>
    </row>
    <row r="383" spans="1:24" ht="14.4" x14ac:dyDescent="0.55000000000000004">
      <c r="A383" s="24" t="s">
        <v>596</v>
      </c>
      <c r="B383" s="24" t="s">
        <v>1331</v>
      </c>
      <c r="C383" s="24" t="s">
        <v>106</v>
      </c>
      <c r="D383" s="24" t="s">
        <v>72</v>
      </c>
      <c r="E383" s="24" t="s">
        <v>86</v>
      </c>
      <c r="F383" s="70">
        <v>4.3197010515350559E-4</v>
      </c>
      <c r="G383" s="24">
        <v>8.4747859999999999</v>
      </c>
      <c r="H383" s="24">
        <v>6.1245690000000002</v>
      </c>
      <c r="I383" s="24">
        <v>6.6313120000000003</v>
      </c>
      <c r="J383" s="24">
        <v>7.0069939999999997</v>
      </c>
      <c r="K383" s="24">
        <v>2.7209029999999998</v>
      </c>
      <c r="L383" s="24">
        <v>10.88049</v>
      </c>
      <c r="M383" s="24">
        <v>0.12415</v>
      </c>
      <c r="N383" s="24">
        <v>5.4640245400561192</v>
      </c>
      <c r="O383" s="24">
        <v>3.1</v>
      </c>
      <c r="P383" s="24">
        <v>0.16129033992369252</v>
      </c>
      <c r="Q383" s="24">
        <v>4.5556963807914386</v>
      </c>
      <c r="R383" s="24">
        <v>0.82</v>
      </c>
      <c r="S383" s="24">
        <v>3.1341078514099876</v>
      </c>
      <c r="T383" s="24">
        <v>1.6810841100571747</v>
      </c>
      <c r="U383" s="24" t="s">
        <v>1786</v>
      </c>
      <c r="V383" s="24">
        <v>4838.1440000000002</v>
      </c>
      <c r="W383" s="24" t="s">
        <v>1414</v>
      </c>
      <c r="X383" s="64">
        <v>6.3931623931623927</v>
      </c>
    </row>
    <row r="384" spans="1:24" ht="14.4" x14ac:dyDescent="0.55000000000000004">
      <c r="A384" s="24" t="s">
        <v>594</v>
      </c>
      <c r="B384" s="24" t="s">
        <v>1406</v>
      </c>
      <c r="C384" s="24" t="s">
        <v>107</v>
      </c>
      <c r="D384" s="24" t="s">
        <v>72</v>
      </c>
      <c r="E384" s="24" t="s">
        <v>84</v>
      </c>
      <c r="F384" s="70">
        <v>4.3172800708724305E-4</v>
      </c>
      <c r="G384" s="24">
        <v>7.2093470000000002</v>
      </c>
      <c r="H384" s="24">
        <v>7.3247640000000001</v>
      </c>
      <c r="I384" s="24">
        <v>4.7484739999999999</v>
      </c>
      <c r="J384" s="24">
        <v>6.4275279999999997</v>
      </c>
      <c r="K384" s="24">
        <v>4.2258990000000001</v>
      </c>
      <c r="L384" s="24">
        <v>8.6543270000000003</v>
      </c>
      <c r="M384" s="24">
        <v>261.58350000000002</v>
      </c>
      <c r="N384" s="24">
        <v>4.567461079749223</v>
      </c>
      <c r="O384" s="24">
        <v>4</v>
      </c>
      <c r="P384" s="24">
        <v>4.3880597014925371</v>
      </c>
      <c r="Q384" s="24">
        <v>8.0107582193431952</v>
      </c>
      <c r="R384" s="24">
        <v>7.27</v>
      </c>
      <c r="S384" s="24">
        <v>6.1674530439250059</v>
      </c>
      <c r="T384" s="24">
        <v>1.5690490813148636</v>
      </c>
      <c r="U384" s="24" t="s">
        <v>1455</v>
      </c>
      <c r="V384" s="24">
        <v>4912.1459999999997</v>
      </c>
      <c r="W384" s="24" t="s">
        <v>1414</v>
      </c>
      <c r="X384" s="64">
        <v>6.3368055555555554</v>
      </c>
    </row>
    <row r="385" spans="1:24" ht="14.4" x14ac:dyDescent="0.55000000000000004">
      <c r="A385" s="24" t="s">
        <v>547</v>
      </c>
      <c r="B385" s="24" t="s">
        <v>1325</v>
      </c>
      <c r="C385" s="24" t="s">
        <v>125</v>
      </c>
      <c r="D385" s="24" t="s">
        <v>72</v>
      </c>
      <c r="E385" s="24" t="s">
        <v>89</v>
      </c>
      <c r="F385" s="70">
        <v>4.2929021266887852E-4</v>
      </c>
      <c r="G385" s="24">
        <v>7.5682520000000002</v>
      </c>
      <c r="H385" s="24">
        <v>5.870279</v>
      </c>
      <c r="I385" s="24">
        <v>6.454904</v>
      </c>
      <c r="J385" s="24">
        <v>6.7248549999999998</v>
      </c>
      <c r="K385" s="24">
        <v>5.9810280000000002</v>
      </c>
      <c r="L385" s="24">
        <v>5.7092150000000004</v>
      </c>
      <c r="M385" s="24">
        <v>2.8193999999999999</v>
      </c>
      <c r="N385" s="24">
        <v>0.43872874697519998</v>
      </c>
      <c r="O385" s="24">
        <v>0.4</v>
      </c>
      <c r="P385" s="24">
        <v>5.2852852852852834</v>
      </c>
      <c r="Q385" s="24">
        <v>8.6288180610889782</v>
      </c>
      <c r="R385" s="24">
        <v>7.34</v>
      </c>
      <c r="S385" s="24">
        <v>4.6091154290555814</v>
      </c>
      <c r="T385" s="24">
        <v>1.1852085805624324</v>
      </c>
      <c r="U385" s="24" t="s">
        <v>1908</v>
      </c>
      <c r="V385" s="24">
        <v>4743.973</v>
      </c>
      <c r="W385" s="24" t="s">
        <v>1414</v>
      </c>
      <c r="X385" s="64">
        <v>5.570934256055363</v>
      </c>
    </row>
    <row r="386" spans="1:24" ht="14.4" x14ac:dyDescent="0.55000000000000004">
      <c r="A386" s="24" t="s">
        <v>604</v>
      </c>
      <c r="B386" s="24" t="s">
        <v>1381</v>
      </c>
      <c r="C386" s="24" t="s">
        <v>177</v>
      </c>
      <c r="D386" s="24" t="s">
        <v>72</v>
      </c>
      <c r="E386" s="24" t="s">
        <v>89</v>
      </c>
      <c r="F386" s="70">
        <v>4.2706269027912821E-4</v>
      </c>
      <c r="G386" s="24">
        <v>6.9780790000000001</v>
      </c>
      <c r="H386" s="24">
        <v>5.2310800000000004</v>
      </c>
      <c r="I386" s="24">
        <v>6.1827959999999997</v>
      </c>
      <c r="J386" s="24">
        <v>6.2153939999999999</v>
      </c>
      <c r="K386" s="24">
        <v>2.336795</v>
      </c>
      <c r="L386" s="24">
        <v>11.074669999999999</v>
      </c>
      <c r="M386" s="24">
        <v>21.439599999999999</v>
      </c>
      <c r="N386" s="24">
        <v>8.698941486970325</v>
      </c>
      <c r="O386" s="24">
        <v>9.6999999999999993</v>
      </c>
      <c r="P386" s="24">
        <v>7.7777777777777768</v>
      </c>
      <c r="Q386" s="24">
        <v>4.8041168658698545</v>
      </c>
      <c r="R386" s="24">
        <v>5.76</v>
      </c>
      <c r="S386" s="24">
        <v>7.8968618391939884</v>
      </c>
      <c r="T386" s="24">
        <v>1.6704795659326945</v>
      </c>
      <c r="U386" s="24" t="s">
        <v>1446</v>
      </c>
      <c r="V386" s="24">
        <v>4786.7510000000002</v>
      </c>
      <c r="W386" s="24" t="s">
        <v>1414</v>
      </c>
      <c r="X386" s="64">
        <v>6.5570934256055367</v>
      </c>
    </row>
    <row r="387" spans="1:24" ht="14.4" x14ac:dyDescent="0.55000000000000004">
      <c r="A387" s="24" t="s">
        <v>588</v>
      </c>
      <c r="B387" s="24" t="s">
        <v>890</v>
      </c>
      <c r="C387" s="24" t="s">
        <v>106</v>
      </c>
      <c r="D387" s="24" t="s">
        <v>72</v>
      </c>
      <c r="E387" s="24" t="s">
        <v>88</v>
      </c>
      <c r="F387" s="70">
        <v>4.236799227554924E-4</v>
      </c>
      <c r="G387" s="24">
        <v>7.6124340000000004</v>
      </c>
      <c r="H387" s="24">
        <v>5.4372259999999999</v>
      </c>
      <c r="I387" s="24">
        <v>7.5317980000000002</v>
      </c>
      <c r="J387" s="24">
        <v>6.7100960000000001</v>
      </c>
      <c r="K387" s="24">
        <v>2.132946</v>
      </c>
      <c r="L387" s="24">
        <v>4.6502119999999998</v>
      </c>
      <c r="M387" s="24">
        <v>18.674600000000002</v>
      </c>
      <c r="N387" s="24">
        <v>2.9768186772592782</v>
      </c>
      <c r="O387" s="24">
        <v>2.1</v>
      </c>
      <c r="P387" s="24">
        <v>4.7945205479452051</v>
      </c>
      <c r="Q387" s="24">
        <v>5.2982176563935521</v>
      </c>
      <c r="R387" s="24">
        <v>6.21</v>
      </c>
      <c r="S387" s="24">
        <v>5.1436009687042326</v>
      </c>
      <c r="T387" s="24">
        <v>0.80301514398008123</v>
      </c>
      <c r="U387" s="24" t="s">
        <v>1826</v>
      </c>
      <c r="V387" s="24">
        <v>4506.6869999999999</v>
      </c>
      <c r="W387" s="24" t="s">
        <v>1414</v>
      </c>
      <c r="X387" s="64">
        <v>6.5104166666666661</v>
      </c>
    </row>
    <row r="388" spans="1:24" ht="14.4" x14ac:dyDescent="0.55000000000000004">
      <c r="A388" s="24" t="s">
        <v>577</v>
      </c>
      <c r="B388" s="24" t="s">
        <v>1228</v>
      </c>
      <c r="C388" s="24" t="s">
        <v>113</v>
      </c>
      <c r="D388" s="24" t="s">
        <v>72</v>
      </c>
      <c r="E388" s="24" t="s">
        <v>87</v>
      </c>
      <c r="F388" s="70">
        <v>4.1822435942765482E-4</v>
      </c>
      <c r="G388" s="24">
        <v>5.7379090000000001</v>
      </c>
      <c r="H388" s="24">
        <v>7.2428920000000003</v>
      </c>
      <c r="I388" s="24">
        <v>4.7446020000000004</v>
      </c>
      <c r="J388" s="24">
        <v>5.8914119999999999</v>
      </c>
      <c r="K388" s="24">
        <v>0.91114779999999995</v>
      </c>
      <c r="L388" s="24">
        <v>3.2570700000000001</v>
      </c>
      <c r="M388" s="24">
        <v>43.052</v>
      </c>
      <c r="N388" s="24">
        <v>3.9933520052627451</v>
      </c>
      <c r="O388" s="24">
        <v>0.8</v>
      </c>
      <c r="P388" s="24">
        <v>3.4309623430962342</v>
      </c>
      <c r="Q388" s="24">
        <v>2.1273841601944317</v>
      </c>
      <c r="R388" s="24">
        <v>1.85</v>
      </c>
      <c r="S388" s="24">
        <v>2.1567427383944664</v>
      </c>
      <c r="T388" s="24">
        <v>1.2448951273284707</v>
      </c>
      <c r="U388" s="24" t="s">
        <v>1930</v>
      </c>
      <c r="V388" s="24">
        <v>3630.6970000000001</v>
      </c>
      <c r="W388" s="24" t="s">
        <v>1414</v>
      </c>
      <c r="X388" s="64">
        <v>6.429840142095915</v>
      </c>
    </row>
    <row r="389" spans="1:24" ht="14.4" x14ac:dyDescent="0.55000000000000004">
      <c r="A389" s="24" t="s">
        <v>626</v>
      </c>
      <c r="B389" s="24" t="s">
        <v>918</v>
      </c>
      <c r="C389" s="24" t="s">
        <v>106</v>
      </c>
      <c r="D389" s="24" t="s">
        <v>72</v>
      </c>
      <c r="E389" s="24" t="s">
        <v>95</v>
      </c>
      <c r="F389" s="70">
        <v>4.1747734827983181E-4</v>
      </c>
      <c r="G389" s="24" t="e">
        <v>#N/A</v>
      </c>
      <c r="H389" s="24" t="e">
        <v>#N/A</v>
      </c>
      <c r="I389" s="24" t="e">
        <v>#N/A</v>
      </c>
      <c r="J389" s="24" t="e">
        <v>#N/A</v>
      </c>
      <c r="K389" s="24">
        <v>0.64718089999999995</v>
      </c>
      <c r="L389" s="24">
        <v>11.79766</v>
      </c>
      <c r="M389" s="24" t="e">
        <v>#N/A</v>
      </c>
      <c r="N389" s="24">
        <v>6.1821228548606157</v>
      </c>
      <c r="O389" s="24">
        <v>5.9</v>
      </c>
      <c r="P389" s="24">
        <v>6.8012422360248461</v>
      </c>
      <c r="Q389" s="24">
        <v>6.7943254474834989</v>
      </c>
      <c r="R389" s="24">
        <v>2.77</v>
      </c>
      <c r="S389" s="24">
        <v>6.5543263885044087</v>
      </c>
      <c r="T389" s="24">
        <v>1.6273204254381863</v>
      </c>
      <c r="U389" s="24" t="s">
        <v>1843</v>
      </c>
      <c r="V389" s="24">
        <v>4620.2860000000001</v>
      </c>
      <c r="W389" s="24" t="s">
        <v>1414</v>
      </c>
      <c r="X389" s="64">
        <v>6.9468267581475125</v>
      </c>
    </row>
    <row r="390" spans="1:24" ht="14.4" x14ac:dyDescent="0.55000000000000004">
      <c r="A390" s="24" t="s">
        <v>610</v>
      </c>
      <c r="B390" s="24" t="s">
        <v>1127</v>
      </c>
      <c r="C390" s="24" t="s">
        <v>1898</v>
      </c>
      <c r="D390" s="24" t="s">
        <v>72</v>
      </c>
      <c r="E390" s="24" t="s">
        <v>95</v>
      </c>
      <c r="F390" s="70">
        <v>4.1278711108374698E-4</v>
      </c>
      <c r="G390" s="24">
        <v>5.0189969999999997</v>
      </c>
      <c r="H390" s="24">
        <v>4.6726510000000001</v>
      </c>
      <c r="I390" s="24">
        <v>2.362657</v>
      </c>
      <c r="J390" s="24">
        <v>4.0181019999999998</v>
      </c>
      <c r="K390" s="24">
        <v>3.9678529999999999</v>
      </c>
      <c r="L390" s="24">
        <v>6.616517</v>
      </c>
      <c r="M390" s="24">
        <v>9.4574999999999996</v>
      </c>
      <c r="N390" s="24">
        <v>6.1883872658096823</v>
      </c>
      <c r="O390" s="24">
        <v>5</v>
      </c>
      <c r="P390" s="24">
        <v>6.1490683229813667</v>
      </c>
      <c r="Q390" s="24">
        <v>2.6308498791319228</v>
      </c>
      <c r="R390" s="24">
        <v>6.96</v>
      </c>
      <c r="S390" s="24">
        <v>4.8549789124937757</v>
      </c>
      <c r="T390" s="24">
        <v>1.3989224840630585</v>
      </c>
      <c r="U390" s="24" t="s">
        <v>1948</v>
      </c>
      <c r="V390" s="24">
        <v>4084.5920000000001</v>
      </c>
      <c r="W390" s="24" t="s">
        <v>1414</v>
      </c>
      <c r="X390" s="64">
        <v>6.672384219554031</v>
      </c>
    </row>
    <row r="391" spans="1:24" ht="14.4" x14ac:dyDescent="0.55000000000000004">
      <c r="A391" s="24" t="s">
        <v>599</v>
      </c>
      <c r="B391" s="24" t="s">
        <v>1236</v>
      </c>
      <c r="C391" s="24" t="s">
        <v>110</v>
      </c>
      <c r="D391" s="24" t="s">
        <v>72</v>
      </c>
      <c r="E391" s="24" t="s">
        <v>88</v>
      </c>
      <c r="F391" s="70">
        <v>4.1208833940179358E-4</v>
      </c>
      <c r="G391" s="24" t="e">
        <v>#N/A</v>
      </c>
      <c r="H391" s="24" t="e">
        <v>#N/A</v>
      </c>
      <c r="I391" s="24" t="e">
        <v>#N/A</v>
      </c>
      <c r="J391" s="24" t="e">
        <v>#N/A</v>
      </c>
      <c r="K391" s="24">
        <v>5.6307290000000003E-2</v>
      </c>
      <c r="L391" s="24" t="e">
        <v>#N/A</v>
      </c>
      <c r="M391" s="24" t="e">
        <v>#N/A</v>
      </c>
      <c r="N391" s="24">
        <v>6.1693826415842636</v>
      </c>
      <c r="O391" s="24">
        <v>2.4</v>
      </c>
      <c r="P391" s="24">
        <v>1.9452054794520546</v>
      </c>
      <c r="Q391" s="24">
        <v>2.0427439516690331</v>
      </c>
      <c r="R391" s="24">
        <v>0</v>
      </c>
      <c r="S391" s="24" t="e">
        <v>#N/A</v>
      </c>
      <c r="T391" s="24">
        <v>7.2121775379277747E-2</v>
      </c>
      <c r="U391" s="24" t="s">
        <v>1581</v>
      </c>
      <c r="V391" s="24">
        <v>4816.2979999999998</v>
      </c>
      <c r="W391" s="24" t="s">
        <v>1414</v>
      </c>
      <c r="X391" s="64">
        <v>6.7013888888888884</v>
      </c>
    </row>
    <row r="392" spans="1:24" ht="14.4" x14ac:dyDescent="0.55000000000000004">
      <c r="A392" s="24" t="s">
        <v>607</v>
      </c>
      <c r="B392" s="24" t="s">
        <v>1364</v>
      </c>
      <c r="C392" s="24" t="s">
        <v>112</v>
      </c>
      <c r="D392" s="24" t="s">
        <v>72</v>
      </c>
      <c r="E392" s="24" t="s">
        <v>89</v>
      </c>
      <c r="F392" s="70">
        <v>4.057934894333285E-4</v>
      </c>
      <c r="G392" s="24">
        <v>5.4132129999999998</v>
      </c>
      <c r="H392" s="24">
        <v>5.1587940000000003</v>
      </c>
      <c r="I392" s="24">
        <v>4.2965260000000001</v>
      </c>
      <c r="J392" s="24">
        <v>5.001881</v>
      </c>
      <c r="K392" s="24">
        <v>1.612463</v>
      </c>
      <c r="L392" s="24">
        <v>2.9744630000000001</v>
      </c>
      <c r="M392" s="24">
        <v>7.0845000000000002</v>
      </c>
      <c r="N392" s="24">
        <v>5.9044743503577104</v>
      </c>
      <c r="O392" s="24">
        <v>8.6999999999999993</v>
      </c>
      <c r="P392" s="24">
        <v>10</v>
      </c>
      <c r="Q392" s="24">
        <v>0.44175154935812311</v>
      </c>
      <c r="R392" s="24">
        <v>5.27</v>
      </c>
      <c r="S392" s="24">
        <v>3.5066019841142739</v>
      </c>
      <c r="T392" s="24">
        <v>1.144737977498808</v>
      </c>
      <c r="U392" s="24" t="s">
        <v>1603</v>
      </c>
      <c r="V392" s="24">
        <v>4354.9589999999998</v>
      </c>
      <c r="W392" s="24" t="s">
        <v>1414</v>
      </c>
      <c r="X392" s="64">
        <v>6.608996539792388</v>
      </c>
    </row>
    <row r="393" spans="1:24" ht="14.4" x14ac:dyDescent="0.55000000000000004">
      <c r="A393" s="24" t="s">
        <v>592</v>
      </c>
      <c r="B393" s="24" t="s">
        <v>1117</v>
      </c>
      <c r="C393" s="24" t="s">
        <v>107</v>
      </c>
      <c r="D393" s="24" t="s">
        <v>72</v>
      </c>
      <c r="E393" s="24" t="s">
        <v>99</v>
      </c>
      <c r="F393" s="70">
        <v>4.0459791130204584E-4</v>
      </c>
      <c r="G393" s="24">
        <v>6.58934</v>
      </c>
      <c r="H393" s="24">
        <v>5.2227249999999996</v>
      </c>
      <c r="I393" s="24">
        <v>5.5796150000000004</v>
      </c>
      <c r="J393" s="24">
        <v>6.0130990000000004</v>
      </c>
      <c r="K393" s="24">
        <v>5.5065400000000002</v>
      </c>
      <c r="L393" s="24">
        <v>7.130236</v>
      </c>
      <c r="M393" s="24">
        <v>1.9320999999999999</v>
      </c>
      <c r="N393" s="24">
        <v>9.736384155691292</v>
      </c>
      <c r="O393" s="24">
        <v>8.3000000000000007</v>
      </c>
      <c r="P393" s="24">
        <v>8.722741433021806</v>
      </c>
      <c r="Q393" s="24">
        <v>2.2431846342218495</v>
      </c>
      <c r="R393" s="24">
        <v>8.5</v>
      </c>
      <c r="S393" s="24">
        <v>6.2486669609006693</v>
      </c>
      <c r="T393" s="24">
        <v>0.80299373008740205</v>
      </c>
      <c r="U393" s="24" t="s">
        <v>1747</v>
      </c>
      <c r="V393" s="24">
        <v>4395.4350000000004</v>
      </c>
      <c r="W393" s="24" t="s">
        <v>1414</v>
      </c>
      <c r="X393" s="64">
        <v>6.3016157989228008</v>
      </c>
    </row>
    <row r="394" spans="1:24" ht="14.4" x14ac:dyDescent="0.55000000000000004">
      <c r="A394" s="24" t="s">
        <v>606</v>
      </c>
      <c r="B394" s="24" t="s">
        <v>1075</v>
      </c>
      <c r="C394" s="24" t="s">
        <v>107</v>
      </c>
      <c r="D394" s="24" t="s">
        <v>72</v>
      </c>
      <c r="E394" s="24" t="s">
        <v>89</v>
      </c>
      <c r="F394" s="70">
        <v>4.0449272524679909E-4</v>
      </c>
      <c r="G394" s="24">
        <v>5.5365019999999996</v>
      </c>
      <c r="H394" s="24">
        <v>5.173686</v>
      </c>
      <c r="I394" s="24">
        <v>5.5815029999999997</v>
      </c>
      <c r="J394" s="24">
        <v>5.409376</v>
      </c>
      <c r="K394" s="24">
        <v>1.169591</v>
      </c>
      <c r="L394" s="24">
        <v>2.6639699999999999</v>
      </c>
      <c r="M394" s="24">
        <v>17.1768</v>
      </c>
      <c r="N394" s="24">
        <v>5.3706494328658119</v>
      </c>
      <c r="O394" s="24">
        <v>4.2</v>
      </c>
      <c r="P394" s="24">
        <v>1.9519519519519521</v>
      </c>
      <c r="Q394" s="24">
        <v>5.768960823373174</v>
      </c>
      <c r="R394" s="24">
        <v>2.93</v>
      </c>
      <c r="S394" s="24">
        <v>2.9051179542478662</v>
      </c>
      <c r="T394" s="24">
        <v>0.96071104055873624</v>
      </c>
      <c r="U394" s="24" t="s">
        <v>1700</v>
      </c>
      <c r="V394" s="24">
        <v>4186.1270000000004</v>
      </c>
      <c r="W394" s="24" t="s">
        <v>1414</v>
      </c>
      <c r="X394" s="64">
        <v>6.5916955017301042</v>
      </c>
    </row>
    <row r="395" spans="1:24" ht="14.4" x14ac:dyDescent="0.55000000000000004">
      <c r="A395" s="24" t="s">
        <v>598</v>
      </c>
      <c r="B395" s="24" t="s">
        <v>1034</v>
      </c>
      <c r="C395" s="24" t="s">
        <v>106</v>
      </c>
      <c r="D395" s="24" t="s">
        <v>72</v>
      </c>
      <c r="E395" s="24" t="s">
        <v>86</v>
      </c>
      <c r="F395" s="70">
        <v>4.038398911474891E-4</v>
      </c>
      <c r="G395" s="24">
        <v>6.8129860000000004</v>
      </c>
      <c r="H395" s="24">
        <v>5.239071</v>
      </c>
      <c r="I395" s="24">
        <v>5.1367450000000003</v>
      </c>
      <c r="J395" s="24">
        <v>5.6754319999999998</v>
      </c>
      <c r="K395" s="24">
        <v>5.2180809999999997</v>
      </c>
      <c r="L395" s="24">
        <v>13.17489</v>
      </c>
      <c r="M395" s="24">
        <v>3.3862999999999999</v>
      </c>
      <c r="N395" s="24">
        <v>6.8240158947761618</v>
      </c>
      <c r="O395" s="24">
        <v>8.6</v>
      </c>
      <c r="P395" s="24">
        <v>7.2580652965661603</v>
      </c>
      <c r="Q395" s="24">
        <v>6.0011266018870586</v>
      </c>
      <c r="R395" s="24">
        <v>7.3</v>
      </c>
      <c r="S395" s="24">
        <v>6.6027685499258135</v>
      </c>
      <c r="T395" s="24">
        <v>0.87510917605457816</v>
      </c>
      <c r="U395" s="24" t="s">
        <v>1804</v>
      </c>
      <c r="V395" s="24">
        <v>4080.848</v>
      </c>
      <c r="W395" s="24" t="s">
        <v>1414</v>
      </c>
      <c r="X395" s="64">
        <v>6.4273504273504276</v>
      </c>
    </row>
    <row r="396" spans="1:24" ht="14.4" x14ac:dyDescent="0.55000000000000004">
      <c r="A396" s="24" t="s">
        <v>631</v>
      </c>
      <c r="B396" s="24" t="s">
        <v>1370</v>
      </c>
      <c r="C396" s="24" t="s">
        <v>177</v>
      </c>
      <c r="D396" s="24" t="s">
        <v>72</v>
      </c>
      <c r="E396" s="24" t="s">
        <v>89</v>
      </c>
      <c r="F396" s="70">
        <v>4.0325991665638057E-4</v>
      </c>
      <c r="G396" s="24">
        <v>6.0900169999999996</v>
      </c>
      <c r="H396" s="24">
        <v>6.8451750000000002</v>
      </c>
      <c r="I396" s="24">
        <v>5.3932989999999998</v>
      </c>
      <c r="J396" s="24">
        <v>6.1075489999999997</v>
      </c>
      <c r="K396" s="24">
        <v>4.7809460000000001</v>
      </c>
      <c r="L396" s="24">
        <v>7.7417030000000002</v>
      </c>
      <c r="M396" s="24">
        <v>24.127099999999999</v>
      </c>
      <c r="N396" s="24">
        <v>3.0170739996942291</v>
      </c>
      <c r="O396" s="24">
        <v>3.1</v>
      </c>
      <c r="P396" s="24">
        <v>4.5945945945945947</v>
      </c>
      <c r="Q396" s="24">
        <v>7.8469455511288189</v>
      </c>
      <c r="R396" s="24">
        <v>7.4</v>
      </c>
      <c r="S396" s="24">
        <v>5.1841703231816005</v>
      </c>
      <c r="T396" s="24">
        <v>1.2428803868547589</v>
      </c>
      <c r="U396" s="24" t="s">
        <v>1695</v>
      </c>
      <c r="V396" s="24">
        <v>4738.875</v>
      </c>
      <c r="W396" s="24" t="s">
        <v>1414</v>
      </c>
      <c r="X396" s="64">
        <v>7.0242214532871969</v>
      </c>
    </row>
    <row r="397" spans="1:24" ht="14.4" x14ac:dyDescent="0.55000000000000004">
      <c r="A397" s="24" t="s">
        <v>618</v>
      </c>
      <c r="B397" s="24" t="s">
        <v>1180</v>
      </c>
      <c r="C397" s="24" t="s">
        <v>106</v>
      </c>
      <c r="D397" s="24" t="s">
        <v>72</v>
      </c>
      <c r="E397" s="24" t="s">
        <v>89</v>
      </c>
      <c r="F397" s="70">
        <v>4.0284197472801659E-4</v>
      </c>
      <c r="G397" s="24">
        <v>7.2158170000000004</v>
      </c>
      <c r="H397" s="24">
        <v>6.8077430000000003</v>
      </c>
      <c r="I397" s="24">
        <v>7.994021</v>
      </c>
      <c r="J397" s="24">
        <v>7.3268560000000003</v>
      </c>
      <c r="K397" s="24">
        <v>2.6883400000000002</v>
      </c>
      <c r="L397" s="24">
        <v>5.9835659999999997</v>
      </c>
      <c r="M397" s="24">
        <v>0.82416</v>
      </c>
      <c r="N397" s="24">
        <v>2.2822562229411618</v>
      </c>
      <c r="O397" s="24">
        <v>3.2</v>
      </c>
      <c r="P397" s="24">
        <v>5.9459459459459456</v>
      </c>
      <c r="Q397" s="24">
        <v>5.9246347941567068</v>
      </c>
      <c r="R397" s="24">
        <v>4.83</v>
      </c>
      <c r="S397" s="24">
        <v>4.3690783696393485</v>
      </c>
      <c r="T397" s="24">
        <v>1.6739506248868501</v>
      </c>
      <c r="U397" s="24" t="s">
        <v>1772</v>
      </c>
      <c r="V397" s="24">
        <v>4586.9740000000002</v>
      </c>
      <c r="W397" s="24" t="s">
        <v>1414</v>
      </c>
      <c r="X397" s="64">
        <v>6.7993079584775087</v>
      </c>
    </row>
    <row r="398" spans="1:24" ht="14.4" x14ac:dyDescent="0.55000000000000004">
      <c r="A398" s="24" t="s">
        <v>601</v>
      </c>
      <c r="B398" s="24" t="s">
        <v>903</v>
      </c>
      <c r="C398" s="24" t="s">
        <v>112</v>
      </c>
      <c r="D398" s="24" t="s">
        <v>72</v>
      </c>
      <c r="E398" s="24" t="s">
        <v>90</v>
      </c>
      <c r="F398" s="70">
        <v>3.999749291289161E-4</v>
      </c>
      <c r="G398" s="24">
        <v>4.2130859999999997</v>
      </c>
      <c r="H398" s="24">
        <v>7.628342</v>
      </c>
      <c r="I398" s="24">
        <v>4.9359719999999996</v>
      </c>
      <c r="J398" s="24">
        <v>5.661435</v>
      </c>
      <c r="K398" s="24">
        <v>3.361993</v>
      </c>
      <c r="L398" s="24">
        <v>11.411210000000001</v>
      </c>
      <c r="M398" s="24">
        <v>0.49184</v>
      </c>
      <c r="N398" s="24">
        <v>9.6402392135764998</v>
      </c>
      <c r="O398" s="24">
        <v>8</v>
      </c>
      <c r="P398" s="24">
        <v>5.2150543241993894</v>
      </c>
      <c r="Q398" s="24">
        <v>6.2075763976904677</v>
      </c>
      <c r="R398" s="24">
        <v>3.86</v>
      </c>
      <c r="S398" s="24">
        <v>5.0252904237141003</v>
      </c>
      <c r="T398" s="24">
        <v>0.88131427361869097</v>
      </c>
      <c r="U398" s="24" t="s">
        <v>1638</v>
      </c>
      <c r="V398" s="24">
        <v>4548.652</v>
      </c>
      <c r="W398" s="24" t="s">
        <v>1414</v>
      </c>
      <c r="X398" s="64">
        <v>6.4786324786324787</v>
      </c>
    </row>
    <row r="399" spans="1:24" ht="14.1" customHeight="1" x14ac:dyDescent="0.55000000000000004">
      <c r="A399" s="24" t="s">
        <v>608</v>
      </c>
      <c r="B399" s="24" t="s">
        <v>972</v>
      </c>
      <c r="C399" s="24" t="s">
        <v>127</v>
      </c>
      <c r="D399" s="24" t="s">
        <v>72</v>
      </c>
      <c r="E399" s="24" t="s">
        <v>89</v>
      </c>
      <c r="F399" s="70">
        <v>3.9887562976561388E-4</v>
      </c>
      <c r="G399" s="24">
        <v>6.8252689999999996</v>
      </c>
      <c r="H399" s="24">
        <v>5.542586</v>
      </c>
      <c r="I399" s="24">
        <v>6.5162990000000001</v>
      </c>
      <c r="J399" s="24">
        <v>6.3477730000000001</v>
      </c>
      <c r="K399" s="24">
        <v>0</v>
      </c>
      <c r="L399" s="24">
        <v>6.479616</v>
      </c>
      <c r="M399" s="24">
        <v>90.891400000000004</v>
      </c>
      <c r="N399" s="24">
        <v>10</v>
      </c>
      <c r="O399" s="24">
        <v>9.6</v>
      </c>
      <c r="P399" s="24">
        <v>7.5075075075075066</v>
      </c>
      <c r="Q399" s="24">
        <v>4.1701715360779108</v>
      </c>
      <c r="R399" s="24">
        <v>0</v>
      </c>
      <c r="S399" s="24">
        <v>6.4127762896112621</v>
      </c>
      <c r="T399" s="24">
        <v>1.0753264306244112</v>
      </c>
      <c r="U399" s="24" t="s">
        <v>1647</v>
      </c>
      <c r="V399" s="24">
        <v>4550.5559999999996</v>
      </c>
      <c r="W399" s="24" t="s">
        <v>1414</v>
      </c>
      <c r="X399" s="64">
        <v>6.6262975778546718</v>
      </c>
    </row>
    <row r="400" spans="1:24" ht="14.4" x14ac:dyDescent="0.55000000000000004">
      <c r="A400" s="24" t="s">
        <v>663</v>
      </c>
      <c r="B400" s="24" t="s">
        <v>1065</v>
      </c>
      <c r="C400" s="24" t="s">
        <v>111</v>
      </c>
      <c r="D400" s="24" t="s">
        <v>72</v>
      </c>
      <c r="E400" s="24" t="s">
        <v>94</v>
      </c>
      <c r="F400" s="70">
        <v>3.9360161496700342E-4</v>
      </c>
      <c r="G400" s="24">
        <v>7.1834129999999998</v>
      </c>
      <c r="H400" s="24">
        <v>6.1717519999999997</v>
      </c>
      <c r="I400" s="24">
        <v>6.0008850000000002</v>
      </c>
      <c r="J400" s="24">
        <v>6.5080689999999999</v>
      </c>
      <c r="K400" s="24">
        <v>3.7967469999999999</v>
      </c>
      <c r="L400" s="24">
        <v>5.69198</v>
      </c>
      <c r="M400" s="24">
        <v>39.485799999999998</v>
      </c>
      <c r="N400" s="24">
        <v>2.8755353499858272</v>
      </c>
      <c r="O400" s="24">
        <v>3</v>
      </c>
      <c r="P400" s="24">
        <v>1.7013888888888893</v>
      </c>
      <c r="Q400" s="24">
        <v>5.1888367507886421</v>
      </c>
      <c r="R400" s="24">
        <v>4</v>
      </c>
      <c r="S400" s="24">
        <v>4.5297764969777994</v>
      </c>
      <c r="T400" s="24">
        <v>1.1061416440802556</v>
      </c>
      <c r="U400" s="24" t="s">
        <v>1662</v>
      </c>
      <c r="V400" s="24">
        <v>4969.9070000000002</v>
      </c>
      <c r="W400" s="24" t="s">
        <v>1414</v>
      </c>
      <c r="X400" s="64">
        <v>7.2984749455337692</v>
      </c>
    </row>
    <row r="401" spans="1:24" ht="14.4" x14ac:dyDescent="0.55000000000000004">
      <c r="A401" s="24" t="s">
        <v>628</v>
      </c>
      <c r="B401" s="24" t="s">
        <v>1150</v>
      </c>
      <c r="C401" s="24" t="s">
        <v>108</v>
      </c>
      <c r="D401" s="24" t="s">
        <v>72</v>
      </c>
      <c r="E401" s="24" t="s">
        <v>84</v>
      </c>
      <c r="F401" s="70">
        <v>3.9266604955839554E-4</v>
      </c>
      <c r="G401" s="24">
        <v>5.0085800000000003</v>
      </c>
      <c r="H401" s="24">
        <v>6.7815399999999997</v>
      </c>
      <c r="I401" s="24">
        <v>5.5997950000000003</v>
      </c>
      <c r="J401" s="24">
        <v>5.7966379999999997</v>
      </c>
      <c r="K401" s="24">
        <v>3.0377269999999998</v>
      </c>
      <c r="L401" s="24">
        <v>5.2867179999999996</v>
      </c>
      <c r="M401" s="24">
        <v>1182.2080000000001</v>
      </c>
      <c r="N401" s="24">
        <v>4.8688722151837354</v>
      </c>
      <c r="O401" s="24">
        <v>4.8</v>
      </c>
      <c r="P401" s="24">
        <v>4.656716417910447</v>
      </c>
      <c r="Q401" s="24">
        <v>6.6252401741942322</v>
      </c>
      <c r="R401" s="24">
        <v>7.22</v>
      </c>
      <c r="S401" s="24">
        <v>4.8997488747223308</v>
      </c>
      <c r="T401" s="24">
        <v>1.0179578991684715</v>
      </c>
      <c r="U401" s="24" t="s">
        <v>1939</v>
      </c>
      <c r="V401" s="24">
        <v>4619.0050000000001</v>
      </c>
      <c r="W401" s="24" t="s">
        <v>1414</v>
      </c>
      <c r="X401" s="64">
        <v>6.9270833333333339</v>
      </c>
    </row>
    <row r="402" spans="1:24" ht="14.4" x14ac:dyDescent="0.55000000000000004">
      <c r="A402" s="24" t="s">
        <v>614</v>
      </c>
      <c r="B402" s="24" t="s">
        <v>1078</v>
      </c>
      <c r="C402" s="24" t="s">
        <v>111</v>
      </c>
      <c r="D402" s="24" t="s">
        <v>72</v>
      </c>
      <c r="E402" s="24" t="s">
        <v>99</v>
      </c>
      <c r="F402" s="70">
        <v>3.9185508608963752E-4</v>
      </c>
      <c r="G402" s="24">
        <v>0</v>
      </c>
      <c r="H402" s="24">
        <v>6.2415669999999999</v>
      </c>
      <c r="I402" s="24">
        <v>0</v>
      </c>
      <c r="J402" s="24">
        <v>1.248313</v>
      </c>
      <c r="K402" s="24">
        <v>6.0292849999999998</v>
      </c>
      <c r="L402" s="24">
        <v>7.0283610000000003</v>
      </c>
      <c r="M402" s="24">
        <v>607.6019</v>
      </c>
      <c r="N402" s="24">
        <v>3.2300106338342252</v>
      </c>
      <c r="O402" s="24">
        <v>3.8</v>
      </c>
      <c r="P402" s="24">
        <v>7.2897196261682238</v>
      </c>
      <c r="Q402" s="24">
        <v>5.7049357136705954</v>
      </c>
      <c r="R402" s="24">
        <v>5.66</v>
      </c>
      <c r="S402" s="24">
        <v>4.9778755681083098</v>
      </c>
      <c r="T402" s="24">
        <v>0.44062664705003612</v>
      </c>
      <c r="U402" s="24" t="s">
        <v>1669</v>
      </c>
      <c r="V402" s="24">
        <v>2926.8760000000002</v>
      </c>
      <c r="W402" s="24" t="s">
        <v>1414</v>
      </c>
      <c r="X402" s="64">
        <v>6.6965888689407542</v>
      </c>
    </row>
    <row r="403" spans="1:24" ht="14.4" x14ac:dyDescent="0.55000000000000004">
      <c r="A403" s="24" t="s">
        <v>621</v>
      </c>
      <c r="B403" s="24" t="s">
        <v>981</v>
      </c>
      <c r="C403" s="24" t="s">
        <v>105</v>
      </c>
      <c r="D403" s="24" t="s">
        <v>72</v>
      </c>
      <c r="E403" s="24" t="s">
        <v>88</v>
      </c>
      <c r="F403" s="70">
        <v>3.9061427094886714E-4</v>
      </c>
      <c r="G403" s="24">
        <v>7.149419</v>
      </c>
      <c r="H403" s="24">
        <v>4.3969699999999996</v>
      </c>
      <c r="I403" s="24">
        <v>4.3020870000000002</v>
      </c>
      <c r="J403" s="24">
        <v>4.9095069999999996</v>
      </c>
      <c r="K403" s="24">
        <v>2.057191</v>
      </c>
      <c r="L403" s="24">
        <v>4.5245160000000002</v>
      </c>
      <c r="M403" s="24">
        <v>14.2799</v>
      </c>
      <c r="N403" s="24">
        <v>3.4817538402005606</v>
      </c>
      <c r="O403" s="24">
        <v>6.1</v>
      </c>
      <c r="P403" s="24">
        <v>5.0684931506849313</v>
      </c>
      <c r="Q403" s="24">
        <v>7.7665480664829207</v>
      </c>
      <c r="R403" s="24">
        <v>6.12</v>
      </c>
      <c r="S403" s="24">
        <v>4.9703661961455925</v>
      </c>
      <c r="T403" s="24">
        <v>1.2005298525442316</v>
      </c>
      <c r="U403" s="24" t="s">
        <v>1968</v>
      </c>
      <c r="V403" s="24">
        <v>4312.9629999999997</v>
      </c>
      <c r="W403" s="24" t="s">
        <v>1414</v>
      </c>
      <c r="X403" s="64">
        <v>7.0833333333333339</v>
      </c>
    </row>
    <row r="404" spans="1:24" ht="14.4" x14ac:dyDescent="0.55000000000000004">
      <c r="A404" s="24" t="s">
        <v>615</v>
      </c>
      <c r="B404" s="24" t="s">
        <v>1137</v>
      </c>
      <c r="C404" s="24" t="s">
        <v>106</v>
      </c>
      <c r="D404" s="24" t="s">
        <v>72</v>
      </c>
      <c r="E404" s="24" t="s">
        <v>93</v>
      </c>
      <c r="F404" s="70">
        <v>3.8948514718550447E-4</v>
      </c>
      <c r="G404" s="24">
        <v>6.7058039999999997</v>
      </c>
      <c r="H404" s="24">
        <v>5.64994</v>
      </c>
      <c r="I404" s="24">
        <v>5.5332980000000003</v>
      </c>
      <c r="J404" s="24">
        <v>5.9630140000000003</v>
      </c>
      <c r="K404" s="24">
        <v>1.6055219999999999</v>
      </c>
      <c r="L404" s="24">
        <v>6.0100360000000004</v>
      </c>
      <c r="M404" s="24">
        <v>2.5849000000000002</v>
      </c>
      <c r="N404" s="24">
        <v>3.0242269044583097</v>
      </c>
      <c r="O404" s="24">
        <v>8.9</v>
      </c>
      <c r="P404" s="24">
        <v>6.4285714285714288</v>
      </c>
      <c r="Q404" s="24">
        <v>3.8596300621995274</v>
      </c>
      <c r="R404" s="24">
        <v>4.47</v>
      </c>
      <c r="S404" s="24">
        <v>4.9192623625181131</v>
      </c>
      <c r="T404" s="24">
        <v>1.4496478366009613</v>
      </c>
      <c r="U404" s="24" t="s">
        <v>1763</v>
      </c>
      <c r="V404" s="24">
        <v>4392.6120000000001</v>
      </c>
      <c r="W404" s="24" t="s">
        <v>1414</v>
      </c>
      <c r="X404" s="64">
        <v>6.7581475128644941</v>
      </c>
    </row>
    <row r="405" spans="1:24" ht="14.4" x14ac:dyDescent="0.55000000000000004">
      <c r="A405" s="24" t="s">
        <v>609</v>
      </c>
      <c r="B405" s="24" t="s">
        <v>1361</v>
      </c>
      <c r="C405" s="24" t="s">
        <v>107</v>
      </c>
      <c r="D405" s="24" t="s">
        <v>72</v>
      </c>
      <c r="E405" s="24" t="s">
        <v>86</v>
      </c>
      <c r="F405" s="70">
        <v>3.88774766005541E-4</v>
      </c>
      <c r="G405" s="24">
        <v>7.765218</v>
      </c>
      <c r="H405" s="24">
        <v>7.7225409999999997</v>
      </c>
      <c r="I405" s="24">
        <v>6.0892749999999998</v>
      </c>
      <c r="J405" s="24">
        <v>7.1637009999999997</v>
      </c>
      <c r="K405" s="24">
        <v>6.283747</v>
      </c>
      <c r="L405" s="24">
        <v>10.65307</v>
      </c>
      <c r="M405" s="24">
        <v>3.9834999999999998</v>
      </c>
      <c r="N405" s="24">
        <v>5.788267909636474</v>
      </c>
      <c r="O405" s="24">
        <v>6.1</v>
      </c>
      <c r="P405" s="24">
        <v>6.3978501503064678</v>
      </c>
      <c r="Q405" s="24">
        <v>3.3544571187156742</v>
      </c>
      <c r="R405" s="24">
        <v>5.7100010000000001</v>
      </c>
      <c r="S405" s="24">
        <v>4.59818886149358</v>
      </c>
      <c r="T405" s="24">
        <v>1.5196373998338846</v>
      </c>
      <c r="U405" s="24" t="s">
        <v>1735</v>
      </c>
      <c r="V405" s="24">
        <v>3837.7339999999999</v>
      </c>
      <c r="W405" s="24" t="s">
        <v>1414</v>
      </c>
      <c r="X405" s="64">
        <v>6.615384615384615</v>
      </c>
    </row>
    <row r="406" spans="1:24" ht="14.4" x14ac:dyDescent="0.55000000000000004">
      <c r="A406" s="24" t="s">
        <v>611</v>
      </c>
      <c r="B406" s="24" t="s">
        <v>1158</v>
      </c>
      <c r="C406" s="24" t="s">
        <v>108</v>
      </c>
      <c r="D406" s="24" t="s">
        <v>72</v>
      </c>
      <c r="E406" s="24" t="s">
        <v>82</v>
      </c>
      <c r="F406" s="70">
        <v>3.8802875567651199E-4</v>
      </c>
      <c r="G406" s="24">
        <v>8.6640029999999992</v>
      </c>
      <c r="H406" s="24">
        <v>5.3226420000000001</v>
      </c>
      <c r="I406" s="24">
        <v>6.4980229999999999</v>
      </c>
      <c r="J406" s="24">
        <v>6.736434</v>
      </c>
      <c r="K406" s="24">
        <v>4.1901330000000003</v>
      </c>
      <c r="L406" s="24">
        <v>10.946770000000001</v>
      </c>
      <c r="M406" s="24">
        <v>1.102E-2</v>
      </c>
      <c r="N406" s="24">
        <v>7.5893679005209833</v>
      </c>
      <c r="O406" s="24">
        <v>7</v>
      </c>
      <c r="P406" s="24">
        <v>4.5913983431611118</v>
      </c>
      <c r="Q406" s="24">
        <v>6.0991409660611193</v>
      </c>
      <c r="R406" s="24">
        <v>7.53</v>
      </c>
      <c r="S406" s="24">
        <v>5.6508523245098434</v>
      </c>
      <c r="T406" s="24">
        <v>0.89526109752106053</v>
      </c>
      <c r="U406" s="24" t="s">
        <v>1932</v>
      </c>
      <c r="V406" s="24">
        <v>3969.1370000000002</v>
      </c>
      <c r="W406" s="24" t="s">
        <v>1414</v>
      </c>
      <c r="X406" s="64">
        <v>6.649572649572649</v>
      </c>
    </row>
    <row r="407" spans="1:24" ht="14.4" x14ac:dyDescent="0.55000000000000004">
      <c r="A407" s="24" t="s">
        <v>613</v>
      </c>
      <c r="B407" s="24" t="s">
        <v>1375</v>
      </c>
      <c r="C407" s="24" t="s">
        <v>110</v>
      </c>
      <c r="D407" s="24" t="s">
        <v>72</v>
      </c>
      <c r="E407" s="24" t="s">
        <v>89</v>
      </c>
      <c r="F407" s="70">
        <v>3.8679684782300805E-4</v>
      </c>
      <c r="G407" s="24" t="e">
        <v>#N/A</v>
      </c>
      <c r="H407" s="24" t="e">
        <v>#N/A</v>
      </c>
      <c r="I407" s="24" t="e">
        <v>#N/A</v>
      </c>
      <c r="J407" s="24" t="e">
        <v>#N/A</v>
      </c>
      <c r="K407" s="24">
        <v>2.6872419999999999</v>
      </c>
      <c r="L407" s="24">
        <v>6.2958319999999999</v>
      </c>
      <c r="M407" s="24" t="e">
        <v>#N/A</v>
      </c>
      <c r="N407" s="24">
        <v>5.5046464013552452</v>
      </c>
      <c r="O407" s="24">
        <v>9.6999999999999993</v>
      </c>
      <c r="P407" s="24">
        <v>8.5585585585585573</v>
      </c>
      <c r="Q407" s="24">
        <v>1.3084694555112879</v>
      </c>
      <c r="R407" s="24">
        <v>7.27</v>
      </c>
      <c r="S407" s="24">
        <v>5.5114558647206282</v>
      </c>
      <c r="T407" s="24">
        <v>0.98897158137080188</v>
      </c>
      <c r="U407" s="24" t="s">
        <v>1576</v>
      </c>
      <c r="V407" s="24">
        <v>4366.2470000000003</v>
      </c>
      <c r="W407" s="24" t="s">
        <v>1414</v>
      </c>
      <c r="X407" s="64">
        <v>6.7128027681660898</v>
      </c>
    </row>
    <row r="408" spans="1:24" ht="14.4" x14ac:dyDescent="0.55000000000000004">
      <c r="A408" s="24" t="s">
        <v>656</v>
      </c>
      <c r="B408" s="24" t="s">
        <v>1036</v>
      </c>
      <c r="C408" s="24" t="s">
        <v>106</v>
      </c>
      <c r="D408" s="24" t="s">
        <v>72</v>
      </c>
      <c r="E408" s="24" t="s">
        <v>94</v>
      </c>
      <c r="F408" s="70">
        <v>3.8276214693697683E-4</v>
      </c>
      <c r="G408" s="24">
        <v>5.0480989999999997</v>
      </c>
      <c r="H408" s="24">
        <v>5.0856180000000002</v>
      </c>
      <c r="I408" s="24">
        <v>6.717587</v>
      </c>
      <c r="J408" s="24">
        <v>5.7233980000000004</v>
      </c>
      <c r="K408" s="24">
        <v>3.955076</v>
      </c>
      <c r="L408" s="24">
        <v>4.597594</v>
      </c>
      <c r="M408" s="24">
        <v>125.02970000000001</v>
      </c>
      <c r="N408" s="24">
        <v>9.0458890093026749</v>
      </c>
      <c r="O408" s="24">
        <v>4</v>
      </c>
      <c r="P408" s="24">
        <v>4.0625000000000009</v>
      </c>
      <c r="Q408" s="24">
        <v>4.4461974237644579</v>
      </c>
      <c r="R408" s="24">
        <v>6.6</v>
      </c>
      <c r="S408" s="24">
        <v>4.8507306020369851</v>
      </c>
      <c r="T408" s="24">
        <v>1.0165657744799774</v>
      </c>
      <c r="U408" s="24" t="s">
        <v>1784</v>
      </c>
      <c r="V408" s="24">
        <v>4562.0320000000002</v>
      </c>
      <c r="W408" s="24" t="s">
        <v>1414</v>
      </c>
      <c r="X408" s="64">
        <v>7.1459694989106755</v>
      </c>
    </row>
    <row r="409" spans="1:24" ht="14.4" x14ac:dyDescent="0.55000000000000004">
      <c r="A409" s="24" t="s">
        <v>651</v>
      </c>
      <c r="B409" s="24" t="s">
        <v>909</v>
      </c>
      <c r="C409" s="24" t="s">
        <v>110</v>
      </c>
      <c r="D409" s="24" t="s">
        <v>72</v>
      </c>
      <c r="E409" s="24" t="s">
        <v>88</v>
      </c>
      <c r="F409" s="70">
        <v>3.8273852761343903E-4</v>
      </c>
      <c r="G409" s="24">
        <v>6.7754779999999997</v>
      </c>
      <c r="H409" s="24">
        <v>6.8459440000000003</v>
      </c>
      <c r="I409" s="24">
        <v>6.3926460000000001</v>
      </c>
      <c r="J409" s="24">
        <v>6.6505320000000001</v>
      </c>
      <c r="K409" s="24">
        <v>3.017836</v>
      </c>
      <c r="L409" s="24">
        <v>4.5897790000000001</v>
      </c>
      <c r="M409" s="24">
        <v>0.33162999999999998</v>
      </c>
      <c r="N409" s="24">
        <v>6.3047978666049733</v>
      </c>
      <c r="O409" s="24">
        <v>3.6</v>
      </c>
      <c r="P409" s="24">
        <v>6.3013698630136981</v>
      </c>
      <c r="Q409" s="24">
        <v>2.9627773601714971</v>
      </c>
      <c r="R409" s="24">
        <v>6.5</v>
      </c>
      <c r="S409" s="24">
        <v>6.0157794573259373</v>
      </c>
      <c r="T409" s="24">
        <v>0.25523648980953562</v>
      </c>
      <c r="U409" s="24" t="s">
        <v>1567</v>
      </c>
      <c r="V409" s="24">
        <v>3842.2420000000002</v>
      </c>
      <c r="W409" s="24" t="s">
        <v>1414</v>
      </c>
      <c r="X409" s="64">
        <v>7.6041666666666661</v>
      </c>
    </row>
    <row r="410" spans="1:24" ht="14.4" x14ac:dyDescent="0.55000000000000004">
      <c r="A410" s="24" t="s">
        <v>612</v>
      </c>
      <c r="B410" s="24" t="s">
        <v>1015</v>
      </c>
      <c r="C410" s="24" t="s">
        <v>106</v>
      </c>
      <c r="D410" s="24" t="s">
        <v>72</v>
      </c>
      <c r="E410" s="24" t="s">
        <v>94</v>
      </c>
      <c r="F410" s="70">
        <v>3.8031254285684346E-4</v>
      </c>
      <c r="G410" s="24">
        <v>6.9190329999999998</v>
      </c>
      <c r="H410" s="24">
        <v>7.648053</v>
      </c>
      <c r="I410" s="24">
        <v>4.5673190000000004</v>
      </c>
      <c r="J410" s="24">
        <v>6.1241519999999996</v>
      </c>
      <c r="K410" s="24">
        <v>4.798298</v>
      </c>
      <c r="L410" s="24">
        <v>5.2756040000000004</v>
      </c>
      <c r="M410" s="24">
        <v>21.927099999999999</v>
      </c>
      <c r="N410" s="24">
        <v>6.0845154232099983</v>
      </c>
      <c r="O410" s="24">
        <v>6.9</v>
      </c>
      <c r="P410" s="24">
        <v>3.0208333333333344</v>
      </c>
      <c r="Q410" s="24">
        <v>3.467840431125131</v>
      </c>
      <c r="R410" s="24">
        <v>7.28</v>
      </c>
      <c r="S410" s="24">
        <v>4.9743945293313123</v>
      </c>
      <c r="T410" s="24">
        <v>1.2172787134616239</v>
      </c>
      <c r="U410" s="24" t="s">
        <v>1831</v>
      </c>
      <c r="V410" s="24">
        <v>4708.8270000000002</v>
      </c>
      <c r="W410" s="24" t="s">
        <v>1414</v>
      </c>
      <c r="X410" s="64">
        <v>6.1873638344226576</v>
      </c>
    </row>
    <row r="411" spans="1:24" ht="14.4" x14ac:dyDescent="0.55000000000000004">
      <c r="A411" s="24" t="s">
        <v>638</v>
      </c>
      <c r="B411" s="24" t="s">
        <v>1264</v>
      </c>
      <c r="C411" s="24" t="s">
        <v>110</v>
      </c>
      <c r="D411" s="24" t="s">
        <v>72</v>
      </c>
      <c r="E411" s="24" t="s">
        <v>95</v>
      </c>
      <c r="F411" s="70">
        <v>3.8028361919369759E-4</v>
      </c>
      <c r="G411" s="24">
        <v>6.8440479999999999</v>
      </c>
      <c r="H411" s="24">
        <v>3.669257</v>
      </c>
      <c r="I411" s="24">
        <v>5.8536049999999999</v>
      </c>
      <c r="J411" s="24">
        <v>5.1779539999999997</v>
      </c>
      <c r="K411" s="24">
        <v>2.250537</v>
      </c>
      <c r="L411" s="24">
        <v>7.670661</v>
      </c>
      <c r="M411" s="24">
        <v>17.488600000000002</v>
      </c>
      <c r="N411" s="24">
        <v>7.690058926189737</v>
      </c>
      <c r="O411" s="24">
        <v>5.7</v>
      </c>
      <c r="P411" s="24">
        <v>2.6086956521739131</v>
      </c>
      <c r="Q411" s="24">
        <v>7.0702849227259161</v>
      </c>
      <c r="R411" s="24">
        <v>5.15</v>
      </c>
      <c r="S411" s="24">
        <v>5.7705702803503964</v>
      </c>
      <c r="T411" s="24">
        <v>1.3311087489990427</v>
      </c>
      <c r="U411" s="24" t="s">
        <v>1550</v>
      </c>
      <c r="V411" s="24">
        <v>4000.0590000000002</v>
      </c>
      <c r="W411" s="24" t="s">
        <v>1414</v>
      </c>
      <c r="X411" s="64">
        <v>7.1526586620926249</v>
      </c>
    </row>
    <row r="412" spans="1:24" ht="14.4" x14ac:dyDescent="0.55000000000000004">
      <c r="A412" s="24" t="s">
        <v>625</v>
      </c>
      <c r="B412" s="24" t="s">
        <v>908</v>
      </c>
      <c r="C412" s="24" t="s">
        <v>113</v>
      </c>
      <c r="D412" s="24" t="s">
        <v>72</v>
      </c>
      <c r="E412" s="24" t="s">
        <v>97</v>
      </c>
      <c r="F412" s="70">
        <v>3.7861145115272406E-4</v>
      </c>
      <c r="G412" s="24">
        <v>5.4264450000000002</v>
      </c>
      <c r="H412" s="24">
        <v>7.9590389999999998</v>
      </c>
      <c r="I412" s="24">
        <v>4.1449040000000004</v>
      </c>
      <c r="J412" s="24">
        <v>5.8434619999999997</v>
      </c>
      <c r="K412" s="24">
        <v>4.5512290000000002</v>
      </c>
      <c r="L412" s="24">
        <v>3.5666920000000002</v>
      </c>
      <c r="M412" s="24">
        <v>247.68010000000001</v>
      </c>
      <c r="N412" s="24">
        <v>9.8398779552943836</v>
      </c>
      <c r="O412" s="24">
        <v>1.2</v>
      </c>
      <c r="P412" s="24">
        <v>4.7744360902255636</v>
      </c>
      <c r="Q412" s="24">
        <v>0</v>
      </c>
      <c r="R412" s="24">
        <v>6.29</v>
      </c>
      <c r="S412" s="24">
        <v>4.0754008458901989</v>
      </c>
      <c r="T412" s="24">
        <v>0.59018652936785787</v>
      </c>
      <c r="U412" s="24" t="s">
        <v>1888</v>
      </c>
      <c r="V412" s="24">
        <v>3850.9380000000001</v>
      </c>
      <c r="W412" s="24" t="s">
        <v>1414</v>
      </c>
      <c r="X412" s="64">
        <v>6.9001751313485116</v>
      </c>
    </row>
    <row r="413" spans="1:24" ht="14.4" x14ac:dyDescent="0.55000000000000004">
      <c r="A413" s="24" t="s">
        <v>642</v>
      </c>
      <c r="B413" s="24" t="s">
        <v>1181</v>
      </c>
      <c r="C413" s="24" t="s">
        <v>113</v>
      </c>
      <c r="D413" s="24" t="s">
        <v>72</v>
      </c>
      <c r="E413" s="24" t="s">
        <v>90</v>
      </c>
      <c r="F413" s="70">
        <v>3.7583467940884013E-4</v>
      </c>
      <c r="G413" s="24">
        <v>3.9913620000000001</v>
      </c>
      <c r="H413" s="24">
        <v>6.9533310000000004</v>
      </c>
      <c r="I413" s="24">
        <v>4.9405330000000003</v>
      </c>
      <c r="J413" s="24">
        <v>5.3602610000000004</v>
      </c>
      <c r="K413" s="24">
        <v>6.0731020000000004</v>
      </c>
      <c r="L413" s="24">
        <v>31.037710000000001</v>
      </c>
      <c r="M413" s="24">
        <v>2.4376000000000002</v>
      </c>
      <c r="N413" s="24">
        <v>4.8281400012896416</v>
      </c>
      <c r="O413" s="24">
        <v>9.8000000000000007</v>
      </c>
      <c r="P413" s="24">
        <v>4.0591402214129273</v>
      </c>
      <c r="Q413" s="24">
        <v>7.1806787776369543</v>
      </c>
      <c r="R413" s="24">
        <v>5.73</v>
      </c>
      <c r="S413" s="24">
        <v>7.027370480098849</v>
      </c>
      <c r="T413" s="24">
        <v>1.0346030269700901</v>
      </c>
      <c r="U413" s="24" t="s">
        <v>1485</v>
      </c>
      <c r="V413" s="24">
        <v>4591.7790000000005</v>
      </c>
      <c r="W413" s="24" t="s">
        <v>1414</v>
      </c>
      <c r="X413" s="64">
        <v>7.1794871794871797</v>
      </c>
    </row>
    <row r="414" spans="1:24" ht="14.4" x14ac:dyDescent="0.55000000000000004">
      <c r="A414" s="24" t="s">
        <v>649</v>
      </c>
      <c r="B414" s="24" t="s">
        <v>977</v>
      </c>
      <c r="C414" s="24" t="s">
        <v>107</v>
      </c>
      <c r="D414" s="24" t="s">
        <v>72</v>
      </c>
      <c r="E414" s="24" t="s">
        <v>89</v>
      </c>
      <c r="F414" s="70">
        <v>3.7414649826716299E-4</v>
      </c>
      <c r="G414" s="24">
        <v>6.9060050000000004</v>
      </c>
      <c r="H414" s="24">
        <v>6.3641379999999996</v>
      </c>
      <c r="I414" s="24">
        <v>6.1016510000000004</v>
      </c>
      <c r="J414" s="24">
        <v>6.5021389999999997</v>
      </c>
      <c r="K414" s="24">
        <v>1.9747520000000001</v>
      </c>
      <c r="L414" s="24">
        <v>9.425243</v>
      </c>
      <c r="M414" s="24">
        <v>34.309600000000003</v>
      </c>
      <c r="N414" s="24">
        <v>8.5563004730365027</v>
      </c>
      <c r="O414" s="24">
        <v>9.3000000000000007</v>
      </c>
      <c r="P414" s="24">
        <v>7.1771771771771755</v>
      </c>
      <c r="Q414" s="24">
        <v>4.2256894643647636</v>
      </c>
      <c r="R414" s="24">
        <v>6.28</v>
      </c>
      <c r="S414" s="24">
        <v>7.1525565004028966</v>
      </c>
      <c r="T414" s="24">
        <v>1.3406547796014099</v>
      </c>
      <c r="U414" s="24" t="s">
        <v>1447</v>
      </c>
      <c r="V414" s="24">
        <v>3964.9690000000001</v>
      </c>
      <c r="W414" s="24" t="s">
        <v>1414</v>
      </c>
      <c r="X414" s="64">
        <v>7.335640138408305</v>
      </c>
    </row>
    <row r="415" spans="1:24" ht="14.4" x14ac:dyDescent="0.55000000000000004">
      <c r="A415" s="24" t="s">
        <v>624</v>
      </c>
      <c r="B415" s="24" t="s">
        <v>1320</v>
      </c>
      <c r="C415" s="24" t="s">
        <v>110</v>
      </c>
      <c r="D415" s="24" t="s">
        <v>72</v>
      </c>
      <c r="E415" s="24" t="s">
        <v>88</v>
      </c>
      <c r="F415" s="70">
        <v>3.7288846904313629E-4</v>
      </c>
      <c r="G415" s="24">
        <v>7.6783669999999997</v>
      </c>
      <c r="H415" s="24">
        <v>6.3269200000000003</v>
      </c>
      <c r="I415" s="24">
        <v>8.6956819999999997</v>
      </c>
      <c r="J415" s="24">
        <v>7.5447139999999999</v>
      </c>
      <c r="K415" s="24">
        <v>1.103243</v>
      </c>
      <c r="L415" s="24">
        <v>2.3974479999999998</v>
      </c>
      <c r="M415" s="24">
        <v>0.28954999999999997</v>
      </c>
      <c r="N415" s="24">
        <v>1.5125084949526035</v>
      </c>
      <c r="O415" s="24">
        <v>0.6</v>
      </c>
      <c r="P415" s="24">
        <v>4.7123287671232879</v>
      </c>
      <c r="Q415" s="24">
        <v>3.8752014254294394</v>
      </c>
      <c r="R415" s="24">
        <v>4.71</v>
      </c>
      <c r="S415" s="24">
        <v>2.4362634821931008</v>
      </c>
      <c r="T415" s="24">
        <v>1.1614480903073532</v>
      </c>
      <c r="U415" s="24" t="s">
        <v>1536</v>
      </c>
      <c r="V415" s="24">
        <v>3758.4050000000002</v>
      </c>
      <c r="W415" s="24" t="s">
        <v>1414</v>
      </c>
      <c r="X415" s="64">
        <v>7.1354166666666661</v>
      </c>
    </row>
    <row r="416" spans="1:24" ht="14.4" x14ac:dyDescent="0.55000000000000004">
      <c r="A416" s="24" t="s">
        <v>672</v>
      </c>
      <c r="B416" s="24" t="s">
        <v>1373</v>
      </c>
      <c r="C416" s="24" t="s">
        <v>127</v>
      </c>
      <c r="D416" s="24" t="s">
        <v>72</v>
      </c>
      <c r="E416" s="24" t="s">
        <v>85</v>
      </c>
      <c r="F416" s="70">
        <v>3.7094848189289496E-4</v>
      </c>
      <c r="G416" s="24">
        <v>5.2556200000000004</v>
      </c>
      <c r="H416" s="24">
        <v>5.3210379999999997</v>
      </c>
      <c r="I416" s="24">
        <v>4.8113960000000002</v>
      </c>
      <c r="J416" s="24">
        <v>5.1419779999999999</v>
      </c>
      <c r="K416" s="24">
        <v>1.7133039999999999</v>
      </c>
      <c r="L416" s="24">
        <v>8.9440410000000004</v>
      </c>
      <c r="M416" s="24">
        <v>712.19010000000003</v>
      </c>
      <c r="N416" s="24">
        <v>6.9332182004228136</v>
      </c>
      <c r="O416" s="24">
        <v>9.6</v>
      </c>
      <c r="P416" s="24">
        <v>8.2282282282282271</v>
      </c>
      <c r="Q416" s="24">
        <v>6.1719787516600269</v>
      </c>
      <c r="R416" s="24">
        <v>4.9800000000000004</v>
      </c>
      <c r="S416" s="24">
        <v>7.2646449716431629</v>
      </c>
      <c r="T416" s="24">
        <v>1.3723567103881744</v>
      </c>
      <c r="U416" s="24" t="s">
        <v>1437</v>
      </c>
      <c r="V416" s="24">
        <v>3575.712</v>
      </c>
      <c r="W416" s="24" t="s">
        <v>1414</v>
      </c>
      <c r="X416" s="64">
        <v>7.7335640138408301</v>
      </c>
    </row>
    <row r="417" spans="1:24" ht="14.4" x14ac:dyDescent="0.55000000000000004">
      <c r="A417" s="24" t="s">
        <v>622</v>
      </c>
      <c r="B417" s="24" t="s">
        <v>1132</v>
      </c>
      <c r="C417" s="24" t="s">
        <v>109</v>
      </c>
      <c r="D417" s="24" t="s">
        <v>72</v>
      </c>
      <c r="E417" s="24" t="s">
        <v>94</v>
      </c>
      <c r="F417" s="70">
        <v>3.7015373168859938E-4</v>
      </c>
      <c r="G417" s="24">
        <v>6.3327479999999996</v>
      </c>
      <c r="H417" s="24">
        <v>7.4302219999999997</v>
      </c>
      <c r="I417" s="24">
        <v>4.7890769999999998</v>
      </c>
      <c r="J417" s="24">
        <v>5.934774</v>
      </c>
      <c r="K417" s="24">
        <v>4.922631</v>
      </c>
      <c r="L417" s="24">
        <v>5.1400550000000003</v>
      </c>
      <c r="M417" s="24">
        <v>0.67471999999999999</v>
      </c>
      <c r="N417" s="24">
        <v>7.3324540992046296</v>
      </c>
      <c r="O417" s="24">
        <v>0.2</v>
      </c>
      <c r="P417" s="24">
        <v>6.2500000000000009</v>
      </c>
      <c r="Q417" s="24">
        <v>4.0665523133543635</v>
      </c>
      <c r="R417" s="24">
        <v>7.57</v>
      </c>
      <c r="S417" s="24">
        <v>4.9303702066823547</v>
      </c>
      <c r="T417" s="24">
        <v>1.0104241622924031</v>
      </c>
      <c r="U417" s="24" t="s">
        <v>1521</v>
      </c>
      <c r="V417" s="24">
        <v>4095.9720000000002</v>
      </c>
      <c r="W417" s="24" t="s">
        <v>1414</v>
      </c>
      <c r="X417" s="64">
        <v>6.4052287581699341</v>
      </c>
    </row>
    <row r="418" spans="1:24" ht="14.4" x14ac:dyDescent="0.55000000000000004">
      <c r="A418" s="24" t="s">
        <v>635</v>
      </c>
      <c r="B418" s="24" t="s">
        <v>1359</v>
      </c>
      <c r="C418" s="24" t="s">
        <v>106</v>
      </c>
      <c r="D418" s="24" t="s">
        <v>72</v>
      </c>
      <c r="E418" s="24" t="s">
        <v>86</v>
      </c>
      <c r="F418" s="70">
        <v>3.695141083973699E-4</v>
      </c>
      <c r="G418" s="24">
        <v>7.5477749999999997</v>
      </c>
      <c r="H418" s="24">
        <v>3.8975279999999999</v>
      </c>
      <c r="I418" s="24">
        <v>5.1221899999999998</v>
      </c>
      <c r="J418" s="24">
        <v>5.4212340000000001</v>
      </c>
      <c r="K418" s="24">
        <v>6.1335430000000004</v>
      </c>
      <c r="L418" s="24">
        <v>7.0849219999999997</v>
      </c>
      <c r="M418" s="24">
        <v>5.2474999999999996</v>
      </c>
      <c r="N418" s="24">
        <v>1.6086160223930346</v>
      </c>
      <c r="O418" s="24">
        <v>0.1</v>
      </c>
      <c r="P418" s="24">
        <v>3.9784950514510813</v>
      </c>
      <c r="Q418" s="24">
        <v>5.5527390508379106</v>
      </c>
      <c r="R418" s="24">
        <v>4.97</v>
      </c>
      <c r="S418" s="24">
        <v>2.9433124469156779</v>
      </c>
      <c r="T418" s="24">
        <v>1.6087870272967353</v>
      </c>
      <c r="U418" s="24" t="s">
        <v>1851</v>
      </c>
      <c r="V418" s="24">
        <v>3537.6410000000001</v>
      </c>
      <c r="W418" s="24" t="s">
        <v>1414</v>
      </c>
      <c r="X418" s="64">
        <v>7.0598290598290605</v>
      </c>
    </row>
    <row r="419" spans="1:24" ht="14.4" x14ac:dyDescent="0.55000000000000004">
      <c r="A419" s="24" t="s">
        <v>597</v>
      </c>
      <c r="B419" s="24" t="s">
        <v>954</v>
      </c>
      <c r="C419" s="24" t="s">
        <v>109</v>
      </c>
      <c r="D419" s="24" t="s">
        <v>72</v>
      </c>
      <c r="E419" s="24" t="s">
        <v>100</v>
      </c>
      <c r="F419" s="70">
        <v>3.6888038993702487E-4</v>
      </c>
      <c r="G419" s="24">
        <v>9.0021470000000008</v>
      </c>
      <c r="H419" s="24">
        <v>2.1128990000000001</v>
      </c>
      <c r="I419" s="24">
        <v>7.4216550000000003</v>
      </c>
      <c r="J419" s="24">
        <v>5.6142510000000003</v>
      </c>
      <c r="K419" s="24">
        <v>2.1285970000000001</v>
      </c>
      <c r="L419" s="24">
        <v>8.1791999999999998</v>
      </c>
      <c r="M419" s="24">
        <v>3.1280999999999999</v>
      </c>
      <c r="N419" s="24">
        <v>8.5192143042704966</v>
      </c>
      <c r="O419" s="24">
        <v>5.3</v>
      </c>
      <c r="P419" s="24">
        <v>4.9378881987577659</v>
      </c>
      <c r="Q419" s="24">
        <v>4.9158453975065868</v>
      </c>
      <c r="R419" s="24">
        <v>4.09</v>
      </c>
      <c r="S419" s="24">
        <v>6.4895654651821832</v>
      </c>
      <c r="T419" s="24">
        <v>1.341799983439572</v>
      </c>
      <c r="U419" s="24" t="s">
        <v>1517</v>
      </c>
      <c r="V419" s="24">
        <v>4240.9709999999995</v>
      </c>
      <c r="W419" s="24" t="s">
        <v>1414</v>
      </c>
      <c r="X419" s="64">
        <v>6.4493996569468273</v>
      </c>
    </row>
    <row r="420" spans="1:24" ht="14.4" x14ac:dyDescent="0.55000000000000004">
      <c r="A420" s="24" t="s">
        <v>636</v>
      </c>
      <c r="B420" s="24" t="s">
        <v>1244</v>
      </c>
      <c r="C420" s="24" t="s">
        <v>105</v>
      </c>
      <c r="D420" s="24" t="s">
        <v>72</v>
      </c>
      <c r="E420" s="24" t="s">
        <v>89</v>
      </c>
      <c r="F420" s="70">
        <v>3.660259546547285E-4</v>
      </c>
      <c r="G420" s="24">
        <v>5.288754</v>
      </c>
      <c r="H420" s="24">
        <v>3.7907380000000002</v>
      </c>
      <c r="I420" s="24">
        <v>2.9955880000000001</v>
      </c>
      <c r="J420" s="24">
        <v>4.1513999999999998</v>
      </c>
      <c r="K420" s="24">
        <v>1.3877489999999999</v>
      </c>
      <c r="L420" s="24">
        <v>3.4089290000000001</v>
      </c>
      <c r="M420" s="24">
        <v>14.471500000000001</v>
      </c>
      <c r="N420" s="24">
        <v>1.8608168635912312</v>
      </c>
      <c r="O420" s="24">
        <v>9.9</v>
      </c>
      <c r="P420" s="24">
        <v>3.6036036036036028</v>
      </c>
      <c r="Q420" s="24">
        <v>2.128707392651616</v>
      </c>
      <c r="R420" s="24">
        <v>3.39</v>
      </c>
      <c r="S420" s="24">
        <v>2.8323494385767511</v>
      </c>
      <c r="T420" s="24">
        <v>1.6217571889833544</v>
      </c>
      <c r="U420" s="24" t="s">
        <v>1987</v>
      </c>
      <c r="V420" s="24">
        <v>3964.7260000000001</v>
      </c>
      <c r="W420" s="24" t="s">
        <v>1414</v>
      </c>
      <c r="X420" s="64">
        <v>7.1107266435986158</v>
      </c>
    </row>
    <row r="421" spans="1:24" ht="14.4" x14ac:dyDescent="0.55000000000000004">
      <c r="A421" s="24" t="s">
        <v>637</v>
      </c>
      <c r="B421" s="24" t="s">
        <v>1358</v>
      </c>
      <c r="C421" s="24" t="s">
        <v>106</v>
      </c>
      <c r="D421" s="24" t="s">
        <v>72</v>
      </c>
      <c r="E421" s="24" t="s">
        <v>93</v>
      </c>
      <c r="F421" s="70">
        <v>3.6580887705831532E-4</v>
      </c>
      <c r="G421" s="24">
        <v>4.1201220000000003</v>
      </c>
      <c r="H421" s="24">
        <v>4.1219159999999997</v>
      </c>
      <c r="I421" s="24">
        <v>4.5242089999999999</v>
      </c>
      <c r="J421" s="24">
        <v>4.2554160000000003</v>
      </c>
      <c r="K421" s="24">
        <v>4.0137210000000003</v>
      </c>
      <c r="L421" s="24">
        <v>4.8726139999999996</v>
      </c>
      <c r="M421" s="24">
        <v>0.75517999999999996</v>
      </c>
      <c r="N421" s="24">
        <v>6.7314110685286828</v>
      </c>
      <c r="O421" s="24">
        <v>5.6</v>
      </c>
      <c r="P421" s="24">
        <v>10</v>
      </c>
      <c r="Q421" s="24">
        <v>1.7966341635657443</v>
      </c>
      <c r="R421" s="24">
        <v>7.22</v>
      </c>
      <c r="S421" s="24">
        <v>5.3649295992278727</v>
      </c>
      <c r="T421" s="24">
        <v>1.097075699972375</v>
      </c>
      <c r="U421" s="24" t="s">
        <v>1774</v>
      </c>
      <c r="V421" s="24">
        <v>4249.2250000000004</v>
      </c>
      <c r="W421" s="24" t="s">
        <v>1414</v>
      </c>
      <c r="X421" s="64">
        <v>7.1355060034305318</v>
      </c>
    </row>
    <row r="422" spans="1:24" ht="14.4" x14ac:dyDescent="0.55000000000000004">
      <c r="A422" s="24" t="s">
        <v>641</v>
      </c>
      <c r="B422" s="24" t="s">
        <v>999</v>
      </c>
      <c r="C422" s="24" t="s">
        <v>109</v>
      </c>
      <c r="D422" s="24" t="s">
        <v>72</v>
      </c>
      <c r="E422" s="24" t="s">
        <v>85</v>
      </c>
      <c r="F422" s="70">
        <v>3.6509369194814075E-4</v>
      </c>
      <c r="G422" s="24">
        <v>2.345491</v>
      </c>
      <c r="H422" s="24">
        <v>8.268103</v>
      </c>
      <c r="I422" s="24">
        <v>2.342482</v>
      </c>
      <c r="J422" s="24">
        <v>4.121372</v>
      </c>
      <c r="K422" s="24">
        <v>1.9100680000000001</v>
      </c>
      <c r="L422" s="24">
        <v>8.8874899999999997</v>
      </c>
      <c r="M422" s="24">
        <v>5.3288000000000002E-2</v>
      </c>
      <c r="N422" s="24">
        <v>7.0780208740859782</v>
      </c>
      <c r="O422" s="24">
        <v>5.2</v>
      </c>
      <c r="P422" s="24">
        <v>1.7417417417417413</v>
      </c>
      <c r="Q422" s="24">
        <v>8.1273063302346173</v>
      </c>
      <c r="R422" s="24">
        <v>4.6900000000000004</v>
      </c>
      <c r="S422" s="24">
        <v>7.2292202052537355</v>
      </c>
      <c r="T422" s="24">
        <v>0.90935572079467708</v>
      </c>
      <c r="U422" s="24" t="s">
        <v>1513</v>
      </c>
      <c r="V422" s="24">
        <v>4223.7370000000001</v>
      </c>
      <c r="W422" s="24" t="s">
        <v>1414</v>
      </c>
      <c r="X422" s="64">
        <v>7.1972318339100347</v>
      </c>
    </row>
    <row r="423" spans="1:24" ht="14.4" x14ac:dyDescent="0.55000000000000004">
      <c r="A423" s="24" t="s">
        <v>623</v>
      </c>
      <c r="B423" s="24" t="s">
        <v>1052</v>
      </c>
      <c r="C423" s="24" t="s">
        <v>112</v>
      </c>
      <c r="D423" s="24" t="s">
        <v>72</v>
      </c>
      <c r="E423" s="24" t="s">
        <v>93</v>
      </c>
      <c r="F423" s="70">
        <v>3.6186064691608362E-4</v>
      </c>
      <c r="G423" s="24">
        <v>7.3051979999999999</v>
      </c>
      <c r="H423" s="24">
        <v>7.8048700000000002</v>
      </c>
      <c r="I423" s="24">
        <v>5.2883589999999998</v>
      </c>
      <c r="J423" s="24">
        <v>6.7994760000000003</v>
      </c>
      <c r="K423" s="24">
        <v>2.1097630000000001</v>
      </c>
      <c r="L423" s="24">
        <v>4.1941800000000002</v>
      </c>
      <c r="M423" s="24">
        <v>5.3768000000000002</v>
      </c>
      <c r="N423" s="24">
        <v>4.2502093452354721</v>
      </c>
      <c r="O423" s="24">
        <v>1.3</v>
      </c>
      <c r="P423" s="24">
        <v>4.9378881987577659</v>
      </c>
      <c r="Q423" s="24">
        <v>5.6568074530787413</v>
      </c>
      <c r="R423" s="24">
        <v>3.63</v>
      </c>
      <c r="S423" s="24">
        <v>3.0741428182806674</v>
      </c>
      <c r="T423" s="24">
        <v>1.0183357405948146</v>
      </c>
      <c r="U423" s="24" t="s">
        <v>1602</v>
      </c>
      <c r="V423" s="24">
        <v>3738.97</v>
      </c>
      <c r="W423" s="24" t="s">
        <v>1414</v>
      </c>
      <c r="X423" s="64">
        <v>6.8953687821612348</v>
      </c>
    </row>
    <row r="424" spans="1:24" ht="14.4" x14ac:dyDescent="0.55000000000000004">
      <c r="A424" s="24" t="s">
        <v>629</v>
      </c>
      <c r="B424" s="24" t="s">
        <v>884</v>
      </c>
      <c r="C424" s="24" t="s">
        <v>110</v>
      </c>
      <c r="D424" s="24" t="s">
        <v>72</v>
      </c>
      <c r="E424" s="24" t="s">
        <v>96</v>
      </c>
      <c r="F424" s="70">
        <v>3.6120240839528626E-4</v>
      </c>
      <c r="G424" s="24">
        <v>7.5364310000000003</v>
      </c>
      <c r="H424" s="24">
        <v>6.1330669999999996</v>
      </c>
      <c r="I424" s="24">
        <v>6.3536729999999997</v>
      </c>
      <c r="J424" s="24">
        <v>6.6743899999999998</v>
      </c>
      <c r="K424" s="24">
        <v>1.9143810000000001</v>
      </c>
      <c r="L424" s="24">
        <v>3.6446879999999999</v>
      </c>
      <c r="M424" s="24">
        <v>6.2243000000000004</v>
      </c>
      <c r="N424" s="24">
        <v>1.1785716690962587</v>
      </c>
      <c r="O424" s="24">
        <v>3.1</v>
      </c>
      <c r="P424" s="24">
        <v>2.3529411764705883</v>
      </c>
      <c r="Q424" s="24">
        <v>6.6963455470155084</v>
      </c>
      <c r="R424" s="24">
        <v>6.7199989999999996</v>
      </c>
      <c r="S424" s="24">
        <v>3.538964977331065</v>
      </c>
      <c r="T424" s="24">
        <v>0.90400326406889986</v>
      </c>
      <c r="U424" s="24" t="s">
        <v>1543</v>
      </c>
      <c r="V424" s="24">
        <v>3709.877</v>
      </c>
      <c r="W424" s="24" t="s">
        <v>1414</v>
      </c>
      <c r="X424" s="64">
        <v>7.1923743500866557</v>
      </c>
    </row>
    <row r="425" spans="1:24" ht="14.4" x14ac:dyDescent="0.55000000000000004">
      <c r="A425" s="24" t="s">
        <v>620</v>
      </c>
      <c r="B425" s="24" t="s">
        <v>1140</v>
      </c>
      <c r="C425" s="24" t="s">
        <v>106</v>
      </c>
      <c r="D425" s="24" t="s">
        <v>72</v>
      </c>
      <c r="E425" s="24" t="s">
        <v>87</v>
      </c>
      <c r="F425" s="70">
        <v>3.6105688934264223E-4</v>
      </c>
      <c r="G425" s="24">
        <v>4.7734610000000002</v>
      </c>
      <c r="H425" s="24">
        <v>6.7454179999999999</v>
      </c>
      <c r="I425" s="24">
        <v>7.6804750000000004</v>
      </c>
      <c r="J425" s="24">
        <v>6.7250490000000003</v>
      </c>
      <c r="K425" s="24">
        <v>2.1942699999999999</v>
      </c>
      <c r="L425" s="24">
        <v>5.3770179999999996</v>
      </c>
      <c r="M425" s="24">
        <v>22.3994</v>
      </c>
      <c r="N425" s="24">
        <v>6.6756710294755432</v>
      </c>
      <c r="O425" s="24">
        <v>7.1</v>
      </c>
      <c r="P425" s="24">
        <v>10</v>
      </c>
      <c r="Q425" s="24">
        <v>2.6079146193268876</v>
      </c>
      <c r="R425" s="24">
        <v>4.8899999999999997</v>
      </c>
      <c r="S425" s="24">
        <v>5.7782138026997121</v>
      </c>
      <c r="T425" s="24">
        <v>1.0070804685255448</v>
      </c>
      <c r="U425" s="24" t="s">
        <v>1823</v>
      </c>
      <c r="V425" s="24">
        <v>3835.0729999999999</v>
      </c>
      <c r="W425" s="24" t="s">
        <v>1414</v>
      </c>
      <c r="X425" s="64">
        <v>7.1936056838365889</v>
      </c>
    </row>
    <row r="426" spans="1:24" ht="14.4" x14ac:dyDescent="0.55000000000000004">
      <c r="A426" s="24" t="s">
        <v>648</v>
      </c>
      <c r="B426" s="24" t="s">
        <v>1095</v>
      </c>
      <c r="C426" s="24" t="s">
        <v>1898</v>
      </c>
      <c r="D426" s="24" t="s">
        <v>72</v>
      </c>
      <c r="E426" s="24" t="s">
        <v>95</v>
      </c>
      <c r="F426" s="70">
        <v>3.5902852989289292E-4</v>
      </c>
      <c r="G426" s="24">
        <v>4.1494540000000004</v>
      </c>
      <c r="H426" s="24">
        <v>4.5538290000000003</v>
      </c>
      <c r="I426" s="24">
        <v>4.0110359999999998</v>
      </c>
      <c r="J426" s="24">
        <v>4.2558369999999996</v>
      </c>
      <c r="K426" s="24">
        <v>0.25531399999999999</v>
      </c>
      <c r="L426" s="24">
        <v>3.2395040000000002</v>
      </c>
      <c r="M426" s="24">
        <v>87.422700000000006</v>
      </c>
      <c r="N426" s="24">
        <v>3.1747353760758203</v>
      </c>
      <c r="O426" s="24">
        <v>0.8</v>
      </c>
      <c r="P426" s="24">
        <v>4.6025104602510467</v>
      </c>
      <c r="Q426" s="24">
        <v>1.0836371321392719</v>
      </c>
      <c r="R426" s="24">
        <v>0</v>
      </c>
      <c r="S426" s="24">
        <v>2.5124506728657723</v>
      </c>
      <c r="T426" s="24">
        <v>0.80181755261866916</v>
      </c>
      <c r="U426" s="24" t="s">
        <v>1946</v>
      </c>
      <c r="V426" s="24">
        <v>3934.98</v>
      </c>
      <c r="W426" s="24" t="s">
        <v>1414</v>
      </c>
      <c r="X426" s="64">
        <v>7.6909413854351687</v>
      </c>
    </row>
    <row r="427" spans="1:24" ht="14.4" x14ac:dyDescent="0.55000000000000004">
      <c r="A427" s="24" t="s">
        <v>616</v>
      </c>
      <c r="B427" s="24" t="s">
        <v>1207</v>
      </c>
      <c r="C427" s="24" t="s">
        <v>106</v>
      </c>
      <c r="D427" s="24" t="s">
        <v>72</v>
      </c>
      <c r="E427" s="24" t="s">
        <v>89</v>
      </c>
      <c r="F427" s="70">
        <v>3.5841102469701033E-4</v>
      </c>
      <c r="G427" s="24">
        <v>4.7618270000000003</v>
      </c>
      <c r="H427" s="24">
        <v>3.6593019999999998</v>
      </c>
      <c r="I427" s="24">
        <v>3.8259509999999999</v>
      </c>
      <c r="J427" s="24">
        <v>3.9464670000000002</v>
      </c>
      <c r="K427" s="24">
        <v>4.2583640000000003</v>
      </c>
      <c r="L427" s="24">
        <v>10.820600000000001</v>
      </c>
      <c r="M427" s="24">
        <v>3.2985000000000002</v>
      </c>
      <c r="N427" s="24">
        <v>3.9680136603408829</v>
      </c>
      <c r="O427" s="24">
        <v>2.5</v>
      </c>
      <c r="P427" s="24">
        <v>7.5675675675675667</v>
      </c>
      <c r="Q427" s="24">
        <v>7.2862250996015945</v>
      </c>
      <c r="R427" s="24">
        <v>6.71</v>
      </c>
      <c r="S427" s="24">
        <v>7.5903889447262003</v>
      </c>
      <c r="T427" s="24">
        <v>1.2110490022953575</v>
      </c>
      <c r="U427" s="24" t="s">
        <v>1821</v>
      </c>
      <c r="V427" s="24">
        <v>3570.741</v>
      </c>
      <c r="W427" s="24" t="s">
        <v>1414</v>
      </c>
      <c r="X427" s="64">
        <v>6.764705882352942</v>
      </c>
    </row>
    <row r="428" spans="1:24" ht="14.4" x14ac:dyDescent="0.55000000000000004">
      <c r="A428" s="24" t="s">
        <v>634</v>
      </c>
      <c r="B428" s="24" t="s">
        <v>963</v>
      </c>
      <c r="C428" s="24" t="s">
        <v>107</v>
      </c>
      <c r="D428" s="24" t="s">
        <v>72</v>
      </c>
      <c r="E428" s="24" t="s">
        <v>98</v>
      </c>
      <c r="F428" s="70">
        <v>3.5672914871373519E-4</v>
      </c>
      <c r="G428" s="24">
        <v>8.1785709999999998</v>
      </c>
      <c r="H428" s="24">
        <v>8.4051290000000005</v>
      </c>
      <c r="I428" s="24">
        <v>5.3619450000000004</v>
      </c>
      <c r="J428" s="24">
        <v>7.142544</v>
      </c>
      <c r="K428" s="24">
        <v>5.126315</v>
      </c>
      <c r="L428" s="24">
        <v>7.0240039999999997</v>
      </c>
      <c r="M428" s="24">
        <v>6.9759000000000002</v>
      </c>
      <c r="N428" s="24">
        <v>5.6453634630906819</v>
      </c>
      <c r="O428" s="24">
        <v>7.1</v>
      </c>
      <c r="P428" s="24">
        <v>8.0745341614906838</v>
      </c>
      <c r="Q428" s="24">
        <v>4.6284781486813156</v>
      </c>
      <c r="R428" s="24">
        <v>8.0500000000000007</v>
      </c>
      <c r="S428" s="24">
        <v>6.4546848036030386</v>
      </c>
      <c r="T428" s="24">
        <v>0.68363858661253596</v>
      </c>
      <c r="U428" s="24" t="s">
        <v>1756</v>
      </c>
      <c r="V428" s="24">
        <v>3568.6350000000002</v>
      </c>
      <c r="W428" s="24" t="s">
        <v>1414</v>
      </c>
      <c r="X428" s="64">
        <v>7.0840480274442541</v>
      </c>
    </row>
    <row r="429" spans="1:24" ht="14.4" x14ac:dyDescent="0.55000000000000004">
      <c r="A429" s="24" t="s">
        <v>643</v>
      </c>
      <c r="B429" s="24" t="s">
        <v>1210</v>
      </c>
      <c r="C429" s="24" t="s">
        <v>110</v>
      </c>
      <c r="D429" s="24" t="s">
        <v>72</v>
      </c>
      <c r="E429" s="24" t="s">
        <v>89</v>
      </c>
      <c r="F429" s="70">
        <v>3.524305319117328E-4</v>
      </c>
      <c r="G429" s="24">
        <v>6.5014250000000002</v>
      </c>
      <c r="H429" s="24">
        <v>4.5864250000000002</v>
      </c>
      <c r="I429" s="24">
        <v>7.1106290000000003</v>
      </c>
      <c r="J429" s="24">
        <v>6.109686</v>
      </c>
      <c r="K429" s="24">
        <v>2.804522</v>
      </c>
      <c r="L429" s="24">
        <v>6.0894110000000001</v>
      </c>
      <c r="M429" s="24">
        <v>364.5915</v>
      </c>
      <c r="N429" s="24">
        <v>4.2079099110477669</v>
      </c>
      <c r="O429" s="24">
        <v>2.8</v>
      </c>
      <c r="P429" s="24">
        <v>4.864864864864864</v>
      </c>
      <c r="Q429" s="24">
        <v>4.6276007082779991</v>
      </c>
      <c r="R429" s="24">
        <v>6.38</v>
      </c>
      <c r="S429" s="24">
        <v>5.5037627176504902</v>
      </c>
      <c r="T429" s="24">
        <v>0.68096454922557381</v>
      </c>
      <c r="U429" s="24" t="s">
        <v>1566</v>
      </c>
      <c r="V429" s="24">
        <v>4087.1129999999998</v>
      </c>
      <c r="W429" s="24" t="s">
        <v>1414</v>
      </c>
      <c r="X429" s="64">
        <v>7.2318339100346023</v>
      </c>
    </row>
    <row r="430" spans="1:24" ht="14.4" x14ac:dyDescent="0.55000000000000004">
      <c r="A430" s="24" t="s">
        <v>727</v>
      </c>
      <c r="B430" s="24" t="s">
        <v>874</v>
      </c>
      <c r="C430" s="24" t="s">
        <v>105</v>
      </c>
      <c r="D430" s="24" t="s">
        <v>72</v>
      </c>
      <c r="E430" s="24" t="s">
        <v>96</v>
      </c>
      <c r="F430" s="70">
        <v>3.4965666254235144E-4</v>
      </c>
      <c r="G430" s="24" t="e">
        <v>#N/A</v>
      </c>
      <c r="H430" s="24" t="e">
        <v>#N/A</v>
      </c>
      <c r="I430" s="24" t="e">
        <v>#N/A</v>
      </c>
      <c r="J430" s="24" t="e">
        <v>#N/A</v>
      </c>
      <c r="K430" s="24">
        <v>0.52501759999999997</v>
      </c>
      <c r="L430" s="24">
        <v>1.3370010000000001</v>
      </c>
      <c r="M430" s="24" t="e">
        <v>#N/A</v>
      </c>
      <c r="N430" s="24">
        <v>8.2372455586215434</v>
      </c>
      <c r="O430" s="24">
        <v>9.1999999999999993</v>
      </c>
      <c r="P430" s="24">
        <v>9.3212669683257925</v>
      </c>
      <c r="Q430" s="24">
        <v>0</v>
      </c>
      <c r="R430" s="24">
        <v>5.26</v>
      </c>
      <c r="S430" s="24">
        <v>3.7974779586256924</v>
      </c>
      <c r="T430" s="24">
        <v>1.2092453779747048</v>
      </c>
      <c r="U430" s="24" t="s">
        <v>2011</v>
      </c>
      <c r="V430" s="24">
        <v>3775.81</v>
      </c>
      <c r="W430" s="24" t="s">
        <v>1414</v>
      </c>
      <c r="X430" s="64">
        <v>8.890814558058926</v>
      </c>
    </row>
    <row r="431" spans="1:24" ht="14.4" x14ac:dyDescent="0.55000000000000004">
      <c r="A431" s="24" t="s">
        <v>640</v>
      </c>
      <c r="B431" s="24" t="s">
        <v>1297</v>
      </c>
      <c r="C431" s="24" t="s">
        <v>106</v>
      </c>
      <c r="D431" s="24" t="s">
        <v>72</v>
      </c>
      <c r="E431" s="24" t="s">
        <v>86</v>
      </c>
      <c r="F431" s="70">
        <v>3.465862505643153E-4</v>
      </c>
      <c r="G431" s="24">
        <v>5.9496890000000002</v>
      </c>
      <c r="H431" s="24">
        <v>7.6603159999999999</v>
      </c>
      <c r="I431" s="24">
        <v>4.467098</v>
      </c>
      <c r="J431" s="24">
        <v>6.0295009999999998</v>
      </c>
      <c r="K431" s="24">
        <v>6.5243989999999998</v>
      </c>
      <c r="L431" s="24">
        <v>15.43773</v>
      </c>
      <c r="M431" s="24">
        <v>10.077500000000001</v>
      </c>
      <c r="N431" s="24">
        <v>5.9120076036667104</v>
      </c>
      <c r="O431" s="24">
        <v>5.8</v>
      </c>
      <c r="P431" s="24">
        <v>5.0268822609550821</v>
      </c>
      <c r="Q431" s="24">
        <v>8.25235882270103</v>
      </c>
      <c r="R431" s="24">
        <v>7.76</v>
      </c>
      <c r="S431" s="24">
        <v>6.7491493963996696</v>
      </c>
      <c r="T431" s="24">
        <v>1.3450430657338657</v>
      </c>
      <c r="U431" s="24" t="s">
        <v>1471</v>
      </c>
      <c r="V431" s="24">
        <v>4206.1379999999999</v>
      </c>
      <c r="W431" s="24" t="s">
        <v>1414</v>
      </c>
      <c r="X431" s="64">
        <v>7.1452991452991457</v>
      </c>
    </row>
    <row r="432" spans="1:24" ht="14.4" x14ac:dyDescent="0.55000000000000004">
      <c r="A432" s="24" t="s">
        <v>669</v>
      </c>
      <c r="B432" s="24" t="s">
        <v>1019</v>
      </c>
      <c r="C432" s="24" t="s">
        <v>112</v>
      </c>
      <c r="D432" s="24" t="s">
        <v>72</v>
      </c>
      <c r="E432" s="24" t="s">
        <v>98</v>
      </c>
      <c r="F432" s="70">
        <v>3.4580220912111521E-4</v>
      </c>
      <c r="G432" s="24">
        <v>5.174925</v>
      </c>
      <c r="H432" s="24">
        <v>6.6191310000000003</v>
      </c>
      <c r="I432" s="24">
        <v>6.9218070000000003</v>
      </c>
      <c r="J432" s="24">
        <v>6.1322510000000001</v>
      </c>
      <c r="K432" s="24">
        <v>3.6091030000000002</v>
      </c>
      <c r="L432" s="24">
        <v>10.739190000000001</v>
      </c>
      <c r="M432" s="24">
        <v>832.90459999999996</v>
      </c>
      <c r="N432" s="24">
        <v>5.8709273700385047</v>
      </c>
      <c r="O432" s="24">
        <v>1</v>
      </c>
      <c r="P432" s="24">
        <v>2.950310559006212</v>
      </c>
      <c r="Q432" s="24">
        <v>7.6216606458972755</v>
      </c>
      <c r="R432" s="24">
        <v>4.21</v>
      </c>
      <c r="S432" s="24">
        <v>6.5350530939736924</v>
      </c>
      <c r="T432" s="24">
        <v>1.1406514816682862</v>
      </c>
      <c r="U432" s="24" t="s">
        <v>1610</v>
      </c>
      <c r="V432" s="24">
        <v>3936.03</v>
      </c>
      <c r="W432" s="24" t="s">
        <v>1414</v>
      </c>
      <c r="X432" s="64">
        <v>7.6843910806174955</v>
      </c>
    </row>
    <row r="433" spans="1:24" ht="14.4" x14ac:dyDescent="0.55000000000000004">
      <c r="A433" s="24" t="s">
        <v>627</v>
      </c>
      <c r="B433" s="24" t="s">
        <v>1339</v>
      </c>
      <c r="C433" s="24" t="s">
        <v>127</v>
      </c>
      <c r="D433" s="24" t="s">
        <v>72</v>
      </c>
      <c r="E433" s="24" t="s">
        <v>82</v>
      </c>
      <c r="F433" s="70">
        <v>3.4413644632042304E-4</v>
      </c>
      <c r="G433" s="24">
        <v>5.6302219999999998</v>
      </c>
      <c r="H433" s="24">
        <v>5.9028219999999996</v>
      </c>
      <c r="I433" s="24">
        <v>3.8725269999999998</v>
      </c>
      <c r="J433" s="24">
        <v>5.1104390000000004</v>
      </c>
      <c r="K433" s="24">
        <v>1.130919</v>
      </c>
      <c r="L433" s="24">
        <v>8.9609170000000002</v>
      </c>
      <c r="M433" s="24">
        <v>10.077500000000001</v>
      </c>
      <c r="N433" s="24">
        <v>6.9122367970777621</v>
      </c>
      <c r="O433" s="24">
        <v>3.3</v>
      </c>
      <c r="P433" s="24">
        <v>6.7741942767950833</v>
      </c>
      <c r="Q433" s="24">
        <v>4.130404168426983</v>
      </c>
      <c r="R433" s="24">
        <v>4.5199999999999996</v>
      </c>
      <c r="S433" s="24">
        <v>5.3357967871792695</v>
      </c>
      <c r="T433" s="24">
        <v>1.051147164881775</v>
      </c>
      <c r="U433" s="24" t="s">
        <v>1658</v>
      </c>
      <c r="V433" s="24">
        <v>3678.567</v>
      </c>
      <c r="W433" s="24" t="s">
        <v>1414</v>
      </c>
      <c r="X433" s="64">
        <v>6.9230769230769234</v>
      </c>
    </row>
    <row r="434" spans="1:24" ht="14.4" x14ac:dyDescent="0.55000000000000004">
      <c r="A434" s="24" t="s">
        <v>644</v>
      </c>
      <c r="B434" s="24" t="s">
        <v>1352</v>
      </c>
      <c r="C434" s="24" t="s">
        <v>107</v>
      </c>
      <c r="D434" s="24" t="s">
        <v>72</v>
      </c>
      <c r="E434" s="24" t="s">
        <v>88</v>
      </c>
      <c r="F434" s="70">
        <v>3.4292725705354238E-4</v>
      </c>
      <c r="G434" s="24">
        <v>7.7917550000000002</v>
      </c>
      <c r="H434" s="24">
        <v>7.2092510000000001</v>
      </c>
      <c r="I434" s="24">
        <v>4.5203119999999997</v>
      </c>
      <c r="J434" s="24">
        <v>6.2501759999999997</v>
      </c>
      <c r="K434" s="24">
        <v>1.110676</v>
      </c>
      <c r="L434" s="24">
        <v>8.3930679999999995</v>
      </c>
      <c r="M434" s="24">
        <v>8.4408999999999992</v>
      </c>
      <c r="N434" s="24">
        <v>5.8985549457321431</v>
      </c>
      <c r="O434" s="24">
        <v>2.6</v>
      </c>
      <c r="P434" s="24">
        <v>8.0821917808219172</v>
      </c>
      <c r="Q434" s="24">
        <v>8.4317492135081711</v>
      </c>
      <c r="R434" s="24">
        <v>3.99</v>
      </c>
      <c r="S434" s="24">
        <v>8.1760877934435694</v>
      </c>
      <c r="T434" s="24">
        <v>0.79932950778469802</v>
      </c>
      <c r="U434" s="24" t="s">
        <v>1454</v>
      </c>
      <c r="V434" s="24">
        <v>3787.7640000000001</v>
      </c>
      <c r="W434" s="24" t="s">
        <v>1414</v>
      </c>
      <c r="X434" s="64">
        <v>7.4826388888888884</v>
      </c>
    </row>
    <row r="435" spans="1:24" ht="14.4" x14ac:dyDescent="0.55000000000000004">
      <c r="A435" s="24" t="s">
        <v>645</v>
      </c>
      <c r="B435" s="24" t="s">
        <v>1073</v>
      </c>
      <c r="C435" s="24" t="s">
        <v>106</v>
      </c>
      <c r="D435" s="24" t="s">
        <v>72</v>
      </c>
      <c r="E435" s="24" t="s">
        <v>87</v>
      </c>
      <c r="F435" s="70">
        <v>3.4022064270711617E-4</v>
      </c>
      <c r="G435" s="24">
        <v>6.1831100000000001</v>
      </c>
      <c r="H435" s="24">
        <v>7.5499470000000004</v>
      </c>
      <c r="I435" s="24">
        <v>6.7475870000000002</v>
      </c>
      <c r="J435" s="24">
        <v>6.7625039999999998</v>
      </c>
      <c r="K435" s="24">
        <v>2.6260530000000002</v>
      </c>
      <c r="L435" s="24">
        <v>7.9698779999999996</v>
      </c>
      <c r="M435" s="24">
        <v>5.7157999999999998</v>
      </c>
      <c r="N435" s="24">
        <v>5.9640558502366146</v>
      </c>
      <c r="O435" s="24">
        <v>7.1</v>
      </c>
      <c r="P435" s="24">
        <v>8.3263598326359833</v>
      </c>
      <c r="Q435" s="24">
        <v>2.9018513235061025</v>
      </c>
      <c r="R435" s="24">
        <v>6.3200010000000004</v>
      </c>
      <c r="S435" s="24">
        <v>6.9016047492075332</v>
      </c>
      <c r="T435" s="24">
        <v>0.46557431593642518</v>
      </c>
      <c r="U435" s="24" t="s">
        <v>1468</v>
      </c>
      <c r="V435" s="24">
        <v>3814.9180000000001</v>
      </c>
      <c r="W435" s="24" t="s">
        <v>1414</v>
      </c>
      <c r="X435" s="64">
        <v>7.6376554174067488</v>
      </c>
    </row>
    <row r="436" spans="1:24" ht="14.4" x14ac:dyDescent="0.55000000000000004">
      <c r="A436" s="24" t="s">
        <v>659</v>
      </c>
      <c r="B436" s="24" t="s">
        <v>1391</v>
      </c>
      <c r="C436" s="24" t="s">
        <v>113</v>
      </c>
      <c r="D436" s="24" t="s">
        <v>72</v>
      </c>
      <c r="E436" s="24" t="s">
        <v>89</v>
      </c>
      <c r="F436" s="70">
        <v>3.4009363880216072E-4</v>
      </c>
      <c r="G436" s="24">
        <v>5.986618</v>
      </c>
      <c r="H436" s="24">
        <v>5.1943840000000003</v>
      </c>
      <c r="I436" s="24">
        <v>2.7308460000000001</v>
      </c>
      <c r="J436" s="24">
        <v>4.7722160000000002</v>
      </c>
      <c r="K436" s="24">
        <v>0.78332440000000003</v>
      </c>
      <c r="L436" s="24">
        <v>4.8002079999999996</v>
      </c>
      <c r="M436" s="24">
        <v>69.138599999999997</v>
      </c>
      <c r="N436" s="24">
        <v>1.6014695655297357</v>
      </c>
      <c r="O436" s="24">
        <v>0.3</v>
      </c>
      <c r="P436" s="24">
        <v>5.6756756756756745</v>
      </c>
      <c r="Q436" s="24">
        <v>5.9349634794156714</v>
      </c>
      <c r="R436" s="24">
        <v>1.88</v>
      </c>
      <c r="S436" s="24">
        <v>3.5999404104305874</v>
      </c>
      <c r="T436" s="24">
        <v>1.4992496267140782</v>
      </c>
      <c r="U436" s="24" t="s">
        <v>1873</v>
      </c>
      <c r="V436" s="24">
        <v>3329.39</v>
      </c>
      <c r="W436" s="24" t="s">
        <v>1414</v>
      </c>
      <c r="X436" s="64">
        <v>7.508650519031141</v>
      </c>
    </row>
    <row r="437" spans="1:24" ht="14.4" x14ac:dyDescent="0.55000000000000004">
      <c r="A437" s="24" t="s">
        <v>655</v>
      </c>
      <c r="B437" s="24" t="s">
        <v>1100</v>
      </c>
      <c r="C437" s="24" t="s">
        <v>107</v>
      </c>
      <c r="D437" s="24" t="s">
        <v>72</v>
      </c>
      <c r="E437" s="24" t="s">
        <v>86</v>
      </c>
      <c r="F437" s="70">
        <v>3.3997824439521544E-4</v>
      </c>
      <c r="G437" s="24">
        <v>6.7114950000000002</v>
      </c>
      <c r="H437" s="24">
        <v>5.637365</v>
      </c>
      <c r="I437" s="24">
        <v>5.5579150000000004</v>
      </c>
      <c r="J437" s="24">
        <v>5.9317960000000003</v>
      </c>
      <c r="K437" s="24">
        <v>3.5145219999999999</v>
      </c>
      <c r="L437" s="24">
        <v>2.5052189999999999</v>
      </c>
      <c r="M437" s="24">
        <v>2.6731000000000001E-2</v>
      </c>
      <c r="N437" s="24">
        <v>1.807974418330633</v>
      </c>
      <c r="O437" s="24">
        <v>2</v>
      </c>
      <c r="P437" s="24">
        <v>0</v>
      </c>
      <c r="Q437" s="24">
        <v>3.3319250809745111</v>
      </c>
      <c r="R437" s="24">
        <v>3.53</v>
      </c>
      <c r="S437" s="24">
        <v>1.2010948364007896</v>
      </c>
      <c r="T437" s="24">
        <v>1.5338941331936444</v>
      </c>
      <c r="U437" s="24" t="s">
        <v>1716</v>
      </c>
      <c r="V437" s="24">
        <v>3636.6950000000002</v>
      </c>
      <c r="W437" s="24" t="s">
        <v>1414</v>
      </c>
      <c r="X437" s="64">
        <v>7.4017094017094021</v>
      </c>
    </row>
    <row r="438" spans="1:24" ht="14.4" x14ac:dyDescent="0.55000000000000004">
      <c r="A438" s="24" t="s">
        <v>684</v>
      </c>
      <c r="B438" s="24" t="s">
        <v>1394</v>
      </c>
      <c r="C438" s="24" t="s">
        <v>106</v>
      </c>
      <c r="D438" s="24" t="s">
        <v>72</v>
      </c>
      <c r="E438" s="24" t="s">
        <v>91</v>
      </c>
      <c r="F438" s="70">
        <v>3.3870960649197256E-4</v>
      </c>
      <c r="G438" s="24">
        <v>7.8260040000000002</v>
      </c>
      <c r="H438" s="24">
        <v>6.8945290000000004</v>
      </c>
      <c r="I438" s="24">
        <v>6.0968830000000001</v>
      </c>
      <c r="J438" s="24">
        <v>6.7617649999999996</v>
      </c>
      <c r="K438" s="24">
        <v>6.2893720000000002</v>
      </c>
      <c r="L438" s="24">
        <v>15.12697</v>
      </c>
      <c r="M438" s="24">
        <v>2.0767000000000002</v>
      </c>
      <c r="N438" s="24">
        <v>5.8395990496290837</v>
      </c>
      <c r="O438" s="24">
        <v>5.9</v>
      </c>
      <c r="P438" s="24">
        <v>7.4223602484472062</v>
      </c>
      <c r="Q438" s="24">
        <v>6.4135231007415054</v>
      </c>
      <c r="R438" s="24">
        <v>6.85</v>
      </c>
      <c r="S438" s="24">
        <v>7.8530010623844042</v>
      </c>
      <c r="T438" s="24">
        <v>1.2249781714963974</v>
      </c>
      <c r="U438" s="24" t="s">
        <v>1801</v>
      </c>
      <c r="V438" s="24">
        <v>3815.51</v>
      </c>
      <c r="W438" s="24" t="s">
        <v>1414</v>
      </c>
      <c r="X438" s="64">
        <v>7.9416809605488847</v>
      </c>
    </row>
    <row r="439" spans="1:24" ht="14.4" x14ac:dyDescent="0.55000000000000004">
      <c r="A439" s="24" t="s">
        <v>711</v>
      </c>
      <c r="B439" s="24" t="s">
        <v>872</v>
      </c>
      <c r="C439" s="24" t="s">
        <v>125</v>
      </c>
      <c r="D439" s="24" t="s">
        <v>72</v>
      </c>
      <c r="E439" s="24" t="s">
        <v>89</v>
      </c>
      <c r="F439" s="70">
        <v>3.3417129358881322E-4</v>
      </c>
      <c r="G439" s="24">
        <v>5.3502400000000003</v>
      </c>
      <c r="H439" s="24">
        <v>5.0816169999999996</v>
      </c>
      <c r="I439" s="24">
        <v>5.8731330000000002</v>
      </c>
      <c r="J439" s="24">
        <v>5.4265210000000002</v>
      </c>
      <c r="K439" s="24">
        <v>8.049191E-2</v>
      </c>
      <c r="L439" s="24">
        <v>4.8828040000000001</v>
      </c>
      <c r="M439" s="24">
        <v>57.479100000000003</v>
      </c>
      <c r="N439" s="24">
        <v>7.85173944881178</v>
      </c>
      <c r="O439" s="24">
        <v>9.1</v>
      </c>
      <c r="P439" s="24">
        <v>8.048048048048047</v>
      </c>
      <c r="Q439" s="24">
        <v>2.0811199645861</v>
      </c>
      <c r="R439" s="24">
        <v>0</v>
      </c>
      <c r="S439" s="24">
        <v>4.4282268614667943</v>
      </c>
      <c r="T439" s="24">
        <v>0.93432305510398328</v>
      </c>
      <c r="U439" s="24" t="s">
        <v>1900</v>
      </c>
      <c r="V439" s="24">
        <v>4035.098</v>
      </c>
      <c r="W439" s="24" t="s">
        <v>1414</v>
      </c>
      <c r="X439" s="64">
        <v>8.4083044982698958</v>
      </c>
    </row>
    <row r="440" spans="1:24" ht="14.4" x14ac:dyDescent="0.55000000000000004">
      <c r="A440" s="24" t="s">
        <v>680</v>
      </c>
      <c r="B440" s="24" t="s">
        <v>871</v>
      </c>
      <c r="C440" s="24" t="s">
        <v>109</v>
      </c>
      <c r="D440" s="24" t="s">
        <v>72</v>
      </c>
      <c r="E440" s="24" t="s">
        <v>86</v>
      </c>
      <c r="F440" s="70">
        <v>3.3326875520040645E-4</v>
      </c>
      <c r="G440" s="24">
        <v>6.0589719999999998</v>
      </c>
      <c r="H440" s="24">
        <v>4.3859560000000002</v>
      </c>
      <c r="I440" s="24">
        <v>4.0810149999999998</v>
      </c>
      <c r="J440" s="24">
        <v>4.7811310000000002</v>
      </c>
      <c r="K440" s="24">
        <v>1.3426659999999999</v>
      </c>
      <c r="L440" s="24">
        <v>-1.3862019999999999</v>
      </c>
      <c r="M440" s="24">
        <v>0.37534000000000001</v>
      </c>
      <c r="N440" s="24">
        <v>0.53620534079767812</v>
      </c>
      <c r="O440" s="24">
        <v>2.2999999999999998</v>
      </c>
      <c r="P440" s="24">
        <v>4.4623660712221582</v>
      </c>
      <c r="Q440" s="24">
        <v>4.6852555978031276</v>
      </c>
      <c r="R440" s="24">
        <v>1.2</v>
      </c>
      <c r="S440" s="24">
        <v>1.6974779158975228</v>
      </c>
      <c r="T440" s="24">
        <v>1.3350209710677157</v>
      </c>
      <c r="U440" s="24" t="s">
        <v>1511</v>
      </c>
      <c r="V440" s="24">
        <v>4331.3410000000003</v>
      </c>
      <c r="W440" s="24" t="s">
        <v>1414</v>
      </c>
      <c r="X440" s="64">
        <v>7.8290598290598288</v>
      </c>
    </row>
    <row r="441" spans="1:24" ht="14.4" x14ac:dyDescent="0.55000000000000004">
      <c r="A441" s="24" t="s">
        <v>619</v>
      </c>
      <c r="B441" s="24" t="s">
        <v>910</v>
      </c>
      <c r="C441" s="24" t="s">
        <v>125</v>
      </c>
      <c r="D441" s="24" t="s">
        <v>72</v>
      </c>
      <c r="E441" s="24" t="s">
        <v>84</v>
      </c>
      <c r="F441" s="70">
        <v>3.3303116081871676E-4</v>
      </c>
      <c r="G441" s="24">
        <v>3.6108340000000001</v>
      </c>
      <c r="H441" s="24">
        <v>6.5429719999999998</v>
      </c>
      <c r="I441" s="24">
        <v>4.6373620000000004</v>
      </c>
      <c r="J441" s="24">
        <v>4.9303889999999999</v>
      </c>
      <c r="K441" s="24">
        <v>14.997</v>
      </c>
      <c r="L441" s="24">
        <v>20.281549999999999</v>
      </c>
      <c r="M441" s="24">
        <v>2673.2249999999999</v>
      </c>
      <c r="N441" s="24">
        <v>0</v>
      </c>
      <c r="O441" s="24">
        <v>9.3000000000000007</v>
      </c>
      <c r="P441" s="24">
        <v>0</v>
      </c>
      <c r="Q441" s="24">
        <v>2.9547353420484828</v>
      </c>
      <c r="R441" s="24">
        <v>7.91</v>
      </c>
      <c r="S441" s="24">
        <v>4.7954735342048487</v>
      </c>
      <c r="T441" s="24">
        <v>0.46577750028823128</v>
      </c>
      <c r="U441" s="24" t="s">
        <v>1913</v>
      </c>
      <c r="V441" s="24">
        <v>2475.04</v>
      </c>
      <c r="W441" s="24" t="s">
        <v>1414</v>
      </c>
      <c r="X441" s="64">
        <v>6.7708333333333339</v>
      </c>
    </row>
    <row r="442" spans="1:24" ht="14.4" x14ac:dyDescent="0.55000000000000004">
      <c r="A442" s="24" t="s">
        <v>654</v>
      </c>
      <c r="B442" s="24" t="s">
        <v>880</v>
      </c>
      <c r="C442" s="24" t="s">
        <v>108</v>
      </c>
      <c r="D442" s="24" t="s">
        <v>72</v>
      </c>
      <c r="E442" s="24" t="s">
        <v>87</v>
      </c>
      <c r="F442" s="70">
        <v>3.3172839499459941E-4</v>
      </c>
      <c r="G442" s="24">
        <v>5.9094559999999996</v>
      </c>
      <c r="H442" s="24">
        <v>6.1422910000000002</v>
      </c>
      <c r="I442" s="24">
        <v>4.7733829999999999</v>
      </c>
      <c r="J442" s="24">
        <v>5.6384840000000001</v>
      </c>
      <c r="K442" s="24">
        <v>5.4733510000000001</v>
      </c>
      <c r="L442" s="24">
        <v>4.8751579999999999</v>
      </c>
      <c r="M442" s="24">
        <v>13.350199999999999</v>
      </c>
      <c r="N442" s="24">
        <v>0.76667356049559232</v>
      </c>
      <c r="O442" s="24">
        <v>2.1</v>
      </c>
      <c r="P442" s="24">
        <v>6.2343096234309625</v>
      </c>
      <c r="Q442" s="24">
        <v>3.9411074126908652</v>
      </c>
      <c r="R442" s="24">
        <v>7.4200010000000001</v>
      </c>
      <c r="S442" s="24">
        <v>2.9014011014856234</v>
      </c>
      <c r="T442" s="24">
        <v>1.0177168110710577</v>
      </c>
      <c r="U442" s="24" t="s">
        <v>1940</v>
      </c>
      <c r="V442" s="24">
        <v>2987.308</v>
      </c>
      <c r="W442" s="24" t="s">
        <v>1414</v>
      </c>
      <c r="X442" s="64">
        <v>7.7975133214920067</v>
      </c>
    </row>
    <row r="443" spans="1:24" ht="14.4" x14ac:dyDescent="0.55000000000000004">
      <c r="A443" s="24" t="s">
        <v>639</v>
      </c>
      <c r="B443" s="24" t="s">
        <v>1386</v>
      </c>
      <c r="C443" s="24" t="s">
        <v>177</v>
      </c>
      <c r="D443" s="24" t="s">
        <v>72</v>
      </c>
      <c r="E443" s="24" t="s">
        <v>89</v>
      </c>
      <c r="F443" s="70">
        <v>3.269505861540417E-4</v>
      </c>
      <c r="G443" s="24">
        <v>7.457128</v>
      </c>
      <c r="H443" s="24">
        <v>5.8275050000000004</v>
      </c>
      <c r="I443" s="24">
        <v>6.520715</v>
      </c>
      <c r="J443" s="24">
        <v>6.6017830000000002</v>
      </c>
      <c r="K443" s="24">
        <v>3.1782439999999998</v>
      </c>
      <c r="L443" s="24">
        <v>6.5877489999999996</v>
      </c>
      <c r="M443" s="24">
        <v>197.488</v>
      </c>
      <c r="N443" s="24">
        <v>5.4743896488269002</v>
      </c>
      <c r="O443" s="24">
        <v>4.9000000000000004</v>
      </c>
      <c r="P443" s="24">
        <v>6.5765765765765751</v>
      </c>
      <c r="Q443" s="24">
        <v>4.8089132359451092</v>
      </c>
      <c r="R443" s="24">
        <v>6.25</v>
      </c>
      <c r="S443" s="24">
        <v>6.348855119170512</v>
      </c>
      <c r="T443" s="24">
        <v>0.91744108690060355</v>
      </c>
      <c r="U443" s="24" t="s">
        <v>1685</v>
      </c>
      <c r="V443" s="24">
        <v>3246.9920000000002</v>
      </c>
      <c r="W443" s="24" t="s">
        <v>1414</v>
      </c>
      <c r="X443" s="64">
        <v>7.1626297577854672</v>
      </c>
    </row>
    <row r="444" spans="1:24" ht="14.4" x14ac:dyDescent="0.55000000000000004">
      <c r="A444" s="24" t="s">
        <v>650</v>
      </c>
      <c r="B444" s="24" t="s">
        <v>1379</v>
      </c>
      <c r="C444" s="24" t="s">
        <v>106</v>
      </c>
      <c r="D444" s="24" t="s">
        <v>72</v>
      </c>
      <c r="E444" s="24" t="s">
        <v>88</v>
      </c>
      <c r="F444" s="70">
        <v>3.246815297843414E-4</v>
      </c>
      <c r="G444" s="24">
        <v>3.7354259999999999</v>
      </c>
      <c r="H444" s="24">
        <v>4.847753</v>
      </c>
      <c r="I444" s="24">
        <v>6.5220789999999997</v>
      </c>
      <c r="J444" s="24">
        <v>5.2950179999999998</v>
      </c>
      <c r="K444" s="24">
        <v>2.9010199999999999</v>
      </c>
      <c r="L444" s="24">
        <v>9.3946579999999997</v>
      </c>
      <c r="M444" s="24">
        <v>55.8553</v>
      </c>
      <c r="N444" s="24">
        <v>1.8360802928804949E-2</v>
      </c>
      <c r="O444" s="24">
        <v>4.5999999999999996</v>
      </c>
      <c r="P444" s="24">
        <v>6.5205479452054789</v>
      </c>
      <c r="Q444" s="24">
        <v>8.4452985884907719</v>
      </c>
      <c r="R444" s="24">
        <v>6.88</v>
      </c>
      <c r="S444" s="24">
        <v>7.171024519013141</v>
      </c>
      <c r="T444" s="24">
        <v>0.59927781046137685</v>
      </c>
      <c r="U444" s="24" t="s">
        <v>1467</v>
      </c>
      <c r="V444" s="24">
        <v>3715.53</v>
      </c>
      <c r="W444" s="24" t="s">
        <v>1414</v>
      </c>
      <c r="X444" s="64">
        <v>7.5868055555555554</v>
      </c>
    </row>
    <row r="445" spans="1:24" ht="14.4" x14ac:dyDescent="0.55000000000000004">
      <c r="A445" s="24" t="s">
        <v>632</v>
      </c>
      <c r="B445" s="24" t="s">
        <v>1371</v>
      </c>
      <c r="C445" s="24" t="s">
        <v>113</v>
      </c>
      <c r="D445" s="24" t="s">
        <v>72</v>
      </c>
      <c r="E445" s="24" t="s">
        <v>88</v>
      </c>
      <c r="F445" s="70">
        <v>3.2458314929689367E-4</v>
      </c>
      <c r="G445" s="24">
        <v>5.6955739999999997</v>
      </c>
      <c r="H445" s="24">
        <v>7.5361019999999996</v>
      </c>
      <c r="I445" s="24">
        <v>4.4658360000000004</v>
      </c>
      <c r="J445" s="24">
        <v>5.9398900000000001</v>
      </c>
      <c r="K445" s="24">
        <v>1.22373</v>
      </c>
      <c r="L445" s="24">
        <v>2.9131999999999998</v>
      </c>
      <c r="M445" s="24">
        <v>6.9926000000000004</v>
      </c>
      <c r="N445" s="24">
        <v>4.149644744008433</v>
      </c>
      <c r="O445" s="24">
        <v>1.4</v>
      </c>
      <c r="P445" s="24">
        <v>5.1506849315068495</v>
      </c>
      <c r="Q445" s="24">
        <v>4.3997149141123089</v>
      </c>
      <c r="R445" s="24">
        <v>5.23</v>
      </c>
      <c r="S445" s="24">
        <v>3.4236331173817049</v>
      </c>
      <c r="T445" s="24">
        <v>1.1771735404728139</v>
      </c>
      <c r="U445" s="24" t="s">
        <v>1884</v>
      </c>
      <c r="V445" s="24">
        <v>3345.0369999999998</v>
      </c>
      <c r="W445" s="24" t="s">
        <v>1414</v>
      </c>
      <c r="X445" s="64">
        <v>7.2743055555555554</v>
      </c>
    </row>
    <row r="446" spans="1:24" ht="14.4" x14ac:dyDescent="0.55000000000000004">
      <c r="A446" s="24" t="s">
        <v>664</v>
      </c>
      <c r="B446" s="24" t="s">
        <v>1395</v>
      </c>
      <c r="C446" s="24" t="s">
        <v>125</v>
      </c>
      <c r="D446" s="24" t="s">
        <v>72</v>
      </c>
      <c r="E446" s="24" t="s">
        <v>89</v>
      </c>
      <c r="F446" s="70">
        <v>3.2346673593221448E-4</v>
      </c>
      <c r="G446" s="24">
        <v>4.589188</v>
      </c>
      <c r="H446" s="24">
        <v>5.1070120000000001</v>
      </c>
      <c r="I446" s="24">
        <v>5.6820789999999999</v>
      </c>
      <c r="J446" s="24">
        <v>5.0724020000000003</v>
      </c>
      <c r="K446" s="24">
        <v>3.053944</v>
      </c>
      <c r="L446" s="24">
        <v>7.9061409999999999</v>
      </c>
      <c r="M446" s="24">
        <v>72.757900000000006</v>
      </c>
      <c r="N446" s="24">
        <v>1.1757081834576102</v>
      </c>
      <c r="O446" s="24">
        <v>1.7</v>
      </c>
      <c r="P446" s="24">
        <v>5.4654654654654644</v>
      </c>
      <c r="Q446" s="24">
        <v>7.9780876494023909</v>
      </c>
      <c r="R446" s="24">
        <v>5.18</v>
      </c>
      <c r="S446" s="24">
        <v>5.3353197411896929</v>
      </c>
      <c r="T446" s="24">
        <v>1.746356858165679</v>
      </c>
      <c r="U446" s="24" t="s">
        <v>1910</v>
      </c>
      <c r="V446" s="24">
        <v>3500.46</v>
      </c>
      <c r="W446" s="24" t="s">
        <v>1414</v>
      </c>
      <c r="X446" s="64">
        <v>7.5951557093425599</v>
      </c>
    </row>
    <row r="447" spans="1:24" ht="14.4" x14ac:dyDescent="0.55000000000000004">
      <c r="A447" s="24" t="s">
        <v>660</v>
      </c>
      <c r="B447" s="24" t="s">
        <v>1103</v>
      </c>
      <c r="C447" s="24" t="s">
        <v>110</v>
      </c>
      <c r="D447" s="24" t="s">
        <v>72</v>
      </c>
      <c r="E447" s="24" t="s">
        <v>86</v>
      </c>
      <c r="F447" s="70">
        <v>3.2283872213899513E-4</v>
      </c>
      <c r="G447" s="24">
        <v>4.0126749999999998</v>
      </c>
      <c r="H447" s="24">
        <v>6.611459</v>
      </c>
      <c r="I447" s="24">
        <v>5.9863369999999998</v>
      </c>
      <c r="J447" s="24">
        <v>5.6130310000000003</v>
      </c>
      <c r="K447" s="24">
        <v>1.845909</v>
      </c>
      <c r="L447" s="24">
        <v>9.0761430000000001</v>
      </c>
      <c r="M447" s="24" t="e">
        <v>#N/A</v>
      </c>
      <c r="N447" s="24">
        <v>10</v>
      </c>
      <c r="O447" s="24">
        <v>9.3000000000000007</v>
      </c>
      <c r="P447" s="24">
        <v>8.243728843411704</v>
      </c>
      <c r="Q447" s="24">
        <v>4.3337558090409809</v>
      </c>
      <c r="R447" s="24">
        <v>6.29</v>
      </c>
      <c r="S447" s="24">
        <v>5.490599370549889</v>
      </c>
      <c r="T447" s="24">
        <v>1.3016385528996581</v>
      </c>
      <c r="U447" s="24" t="s">
        <v>1533</v>
      </c>
      <c r="V447" s="24">
        <v>2800.1460000000002</v>
      </c>
      <c r="W447" s="24" t="s">
        <v>1414</v>
      </c>
      <c r="X447" s="64">
        <v>7.4871794871794872</v>
      </c>
    </row>
    <row r="448" spans="1:24" ht="14.4" x14ac:dyDescent="0.55000000000000004">
      <c r="A448" s="24" t="s">
        <v>646</v>
      </c>
      <c r="B448" s="24" t="s">
        <v>1122</v>
      </c>
      <c r="C448" s="24" t="s">
        <v>178</v>
      </c>
      <c r="D448" s="24" t="s">
        <v>72</v>
      </c>
      <c r="E448" s="24" t="s">
        <v>82</v>
      </c>
      <c r="F448" s="70">
        <v>3.2231329227215815E-4</v>
      </c>
      <c r="G448" s="24">
        <v>6.9990730000000001</v>
      </c>
      <c r="H448" s="24">
        <v>5.8164239999999996</v>
      </c>
      <c r="I448" s="24">
        <v>4.95472</v>
      </c>
      <c r="J448" s="24">
        <v>5.8696219999999997</v>
      </c>
      <c r="K448" s="24">
        <v>7.3335499999999998</v>
      </c>
      <c r="L448" s="24">
        <v>21.651219999999999</v>
      </c>
      <c r="M448" s="24">
        <v>38.469700000000003</v>
      </c>
      <c r="N448" s="24">
        <v>4.8178283601204566</v>
      </c>
      <c r="O448" s="24">
        <v>9.4</v>
      </c>
      <c r="P448" s="24">
        <v>5.1720435668864049</v>
      </c>
      <c r="Q448" s="24">
        <v>8.5424588086185054</v>
      </c>
      <c r="R448" s="24">
        <v>8.17</v>
      </c>
      <c r="S448" s="24">
        <v>7.2482784698700637</v>
      </c>
      <c r="T448" s="24">
        <v>1.1276056415392006</v>
      </c>
      <c r="U448" s="24" t="s">
        <v>1954</v>
      </c>
      <c r="V448" s="24">
        <v>3097.9180000000001</v>
      </c>
      <c r="W448" s="24" t="s">
        <v>1414</v>
      </c>
      <c r="X448" s="64">
        <v>7.2478632478632479</v>
      </c>
    </row>
    <row r="449" spans="1:24" ht="14.4" x14ac:dyDescent="0.55000000000000004">
      <c r="A449" s="24" t="s">
        <v>675</v>
      </c>
      <c r="B449" s="24" t="s">
        <v>917</v>
      </c>
      <c r="C449" s="24" t="s">
        <v>106</v>
      </c>
      <c r="D449" s="24" t="s">
        <v>72</v>
      </c>
      <c r="E449" s="24" t="s">
        <v>86</v>
      </c>
      <c r="F449" s="70">
        <v>3.2018014709467969E-4</v>
      </c>
      <c r="G449" s="24">
        <v>5.7826709999999997</v>
      </c>
      <c r="H449" s="24">
        <v>4.9139559999999998</v>
      </c>
      <c r="I449" s="24">
        <v>7.7356379999999998</v>
      </c>
      <c r="J449" s="24">
        <v>6.1621589999999999</v>
      </c>
      <c r="K449" s="24">
        <v>8.9378620000000009</v>
      </c>
      <c r="L449" s="24">
        <v>7.6335559999999996</v>
      </c>
      <c r="M449" s="24">
        <v>1.7232000000000001</v>
      </c>
      <c r="N449" s="24">
        <v>1.2626027159762931</v>
      </c>
      <c r="O449" s="24">
        <v>6.5</v>
      </c>
      <c r="P449" s="24">
        <v>4.9641585982966232</v>
      </c>
      <c r="Q449" s="24">
        <v>6.7816735671032271</v>
      </c>
      <c r="R449" s="24">
        <v>7.4</v>
      </c>
      <c r="S449" s="24">
        <v>3.4296083481118287</v>
      </c>
      <c r="T449" s="24">
        <v>1.536481551788226</v>
      </c>
      <c r="U449" s="24" t="s">
        <v>1830</v>
      </c>
      <c r="V449" s="24">
        <v>3545.6019999999999</v>
      </c>
      <c r="W449" s="24" t="s">
        <v>1414</v>
      </c>
      <c r="X449" s="64">
        <v>7.7435897435897436</v>
      </c>
    </row>
    <row r="450" spans="1:24" ht="14.4" x14ac:dyDescent="0.55000000000000004">
      <c r="A450" s="24" t="s">
        <v>666</v>
      </c>
      <c r="B450" s="24" t="s">
        <v>861</v>
      </c>
      <c r="C450" s="24" t="s">
        <v>112</v>
      </c>
      <c r="D450" s="24" t="s">
        <v>72</v>
      </c>
      <c r="E450" s="24" t="s">
        <v>96</v>
      </c>
      <c r="F450" s="70">
        <v>3.1968083859836553E-4</v>
      </c>
      <c r="G450" s="24">
        <v>6.0445539999999998</v>
      </c>
      <c r="H450" s="24">
        <v>6.7198840000000004</v>
      </c>
      <c r="I450" s="24">
        <v>4.833367</v>
      </c>
      <c r="J450" s="24">
        <v>5.8659350000000003</v>
      </c>
      <c r="K450" s="24">
        <v>1.776375</v>
      </c>
      <c r="L450" s="24">
        <v>4.6393050000000002</v>
      </c>
      <c r="M450" s="24">
        <v>5.0636999999999999</v>
      </c>
      <c r="N450" s="24">
        <v>3.7729584230527409</v>
      </c>
      <c r="O450" s="24">
        <v>0.6</v>
      </c>
      <c r="P450" s="24">
        <v>1.945701357466064</v>
      </c>
      <c r="Q450" s="24">
        <v>9.6614725324801434</v>
      </c>
      <c r="R450" s="24">
        <v>5.62</v>
      </c>
      <c r="S450" s="24">
        <v>5.9131046938941658</v>
      </c>
      <c r="T450" s="24">
        <v>1.2514594941470856</v>
      </c>
      <c r="U450" s="24" t="s">
        <v>1585</v>
      </c>
      <c r="V450" s="24">
        <v>3284.817</v>
      </c>
      <c r="W450" s="24" t="s">
        <v>1414</v>
      </c>
      <c r="X450" s="64">
        <v>7.8336221837088393</v>
      </c>
    </row>
    <row r="451" spans="1:24" ht="14.4" x14ac:dyDescent="0.55000000000000004">
      <c r="A451" s="24" t="s">
        <v>665</v>
      </c>
      <c r="B451" s="24" t="s">
        <v>1086</v>
      </c>
      <c r="C451" s="24" t="s">
        <v>105</v>
      </c>
      <c r="D451" s="24" t="s">
        <v>72</v>
      </c>
      <c r="E451" s="24" t="s">
        <v>86</v>
      </c>
      <c r="F451" s="70">
        <v>3.1870263830913431E-4</v>
      </c>
      <c r="G451" s="24">
        <v>5.237806</v>
      </c>
      <c r="H451" s="24">
        <v>2.883683</v>
      </c>
      <c r="I451" s="24">
        <v>3.3313999999999999</v>
      </c>
      <c r="J451" s="24">
        <v>3.7466210000000002</v>
      </c>
      <c r="K451" s="24">
        <v>0.77452659999999995</v>
      </c>
      <c r="L451" s="24">
        <v>5.1761439999999999</v>
      </c>
      <c r="M451" s="24">
        <v>7.9032</v>
      </c>
      <c r="N451" s="24">
        <v>0</v>
      </c>
      <c r="O451" s="24">
        <v>7.3</v>
      </c>
      <c r="P451" s="24">
        <v>3.0107530119089261</v>
      </c>
      <c r="Q451" s="24">
        <v>3.5755527390508384</v>
      </c>
      <c r="R451" s="24">
        <v>1.22</v>
      </c>
      <c r="S451" s="24">
        <v>2.488363127271231</v>
      </c>
      <c r="T451" s="24">
        <v>1.3766874299713021</v>
      </c>
      <c r="U451" s="24" t="s">
        <v>1961</v>
      </c>
      <c r="V451" s="24">
        <v>3782.92</v>
      </c>
      <c r="W451" s="24" t="s">
        <v>1414</v>
      </c>
      <c r="X451" s="64">
        <v>7.5726495726495724</v>
      </c>
    </row>
    <row r="452" spans="1:24" ht="14.4" x14ac:dyDescent="0.55000000000000004">
      <c r="A452" s="24" t="s">
        <v>652</v>
      </c>
      <c r="B452" s="24" t="s">
        <v>967</v>
      </c>
      <c r="C452" s="24" t="s">
        <v>110</v>
      </c>
      <c r="D452" s="24" t="s">
        <v>72</v>
      </c>
      <c r="E452" s="24" t="s">
        <v>99</v>
      </c>
      <c r="F452" s="70">
        <v>3.1643568365890136E-4</v>
      </c>
      <c r="G452" s="24">
        <v>5.3315299999999999</v>
      </c>
      <c r="H452" s="24">
        <v>3.9535149999999999</v>
      </c>
      <c r="I452" s="24">
        <v>5.1096050000000002</v>
      </c>
      <c r="J452" s="24">
        <v>5.0115420000000004</v>
      </c>
      <c r="K452" s="24">
        <v>2.3822589999999999</v>
      </c>
      <c r="L452" s="24">
        <v>6.7333619999999996</v>
      </c>
      <c r="M452" s="24">
        <v>412.41390000000001</v>
      </c>
      <c r="N452" s="24">
        <v>6.2369645148360933</v>
      </c>
      <c r="O452" s="24">
        <v>4.3</v>
      </c>
      <c r="P452" s="24">
        <v>4.8909657320872277</v>
      </c>
      <c r="Q452" s="24">
        <v>4.2292995774908686</v>
      </c>
      <c r="R452" s="24">
        <v>3.65</v>
      </c>
      <c r="S452" s="24">
        <v>4.7335584723021435</v>
      </c>
      <c r="T452" s="24">
        <v>0.44782971784050746</v>
      </c>
      <c r="U452" s="24" t="s">
        <v>1559</v>
      </c>
      <c r="V452" s="24">
        <v>2935.2660000000001</v>
      </c>
      <c r="W452" s="24" t="s">
        <v>1414</v>
      </c>
      <c r="X452" s="64">
        <v>7.3788150807899466</v>
      </c>
    </row>
    <row r="453" spans="1:24" ht="14.4" x14ac:dyDescent="0.55000000000000004">
      <c r="A453" s="24" t="s">
        <v>667</v>
      </c>
      <c r="B453" s="24" t="s">
        <v>885</v>
      </c>
      <c r="C453" s="24" t="s">
        <v>105</v>
      </c>
      <c r="D453" s="24" t="s">
        <v>72</v>
      </c>
      <c r="E453" s="24" t="s">
        <v>85</v>
      </c>
      <c r="F453" s="70">
        <v>3.1208272239638608E-4</v>
      </c>
      <c r="G453" s="24">
        <v>8.2128669999999993</v>
      </c>
      <c r="H453" s="24">
        <v>6.3421900000000004</v>
      </c>
      <c r="I453" s="24">
        <v>4.1562159999999997</v>
      </c>
      <c r="J453" s="24">
        <v>6.4346690000000004</v>
      </c>
      <c r="K453" s="24">
        <v>1.8635360000000001</v>
      </c>
      <c r="L453" s="24">
        <v>4.2945279999999997</v>
      </c>
      <c r="M453" s="24">
        <v>19.598600000000001</v>
      </c>
      <c r="N453" s="24">
        <v>4.5990925178693516</v>
      </c>
      <c r="O453" s="24">
        <v>8</v>
      </c>
      <c r="P453" s="24">
        <v>6.2162162162162149</v>
      </c>
      <c r="Q453" s="24">
        <v>3.7771137671536081</v>
      </c>
      <c r="R453" s="24">
        <v>5.15</v>
      </c>
      <c r="S453" s="24">
        <v>3.5053841292947419</v>
      </c>
      <c r="T453" s="24">
        <v>1.2790662470243477</v>
      </c>
      <c r="U453" s="24" t="s">
        <v>1994</v>
      </c>
      <c r="V453" s="24">
        <v>3059.3539999999998</v>
      </c>
      <c r="W453" s="24" t="s">
        <v>1414</v>
      </c>
      <c r="X453" s="64">
        <v>7.6470588235294112</v>
      </c>
    </row>
    <row r="454" spans="1:24" ht="14.4" x14ac:dyDescent="0.55000000000000004">
      <c r="A454" s="24" t="s">
        <v>647</v>
      </c>
      <c r="B454" s="24" t="s">
        <v>1136</v>
      </c>
      <c r="C454" s="24" t="s">
        <v>106</v>
      </c>
      <c r="D454" s="24" t="s">
        <v>72</v>
      </c>
      <c r="E454" s="24" t="s">
        <v>89</v>
      </c>
      <c r="F454" s="70">
        <v>3.107960697548517E-4</v>
      </c>
      <c r="G454" s="24">
        <v>5.6184269999999996</v>
      </c>
      <c r="H454" s="24">
        <v>6.1865670000000001</v>
      </c>
      <c r="I454" s="24">
        <v>7.9036590000000002</v>
      </c>
      <c r="J454" s="24">
        <v>6.4744390000000003</v>
      </c>
      <c r="K454" s="24">
        <v>3.0120200000000001</v>
      </c>
      <c r="L454" s="24">
        <v>4.7368490000000003</v>
      </c>
      <c r="M454" s="24">
        <v>3.9483000000000001</v>
      </c>
      <c r="N454" s="24">
        <v>1.4264101393382258</v>
      </c>
      <c r="O454" s="24">
        <v>2.8</v>
      </c>
      <c r="P454" s="24">
        <v>7.1471471471471464</v>
      </c>
      <c r="Q454" s="24">
        <v>3.7027810978308988</v>
      </c>
      <c r="R454" s="24">
        <v>6.18</v>
      </c>
      <c r="S454" s="24">
        <v>3.7786777520999975</v>
      </c>
      <c r="T454" s="24">
        <v>1.3297999407703083</v>
      </c>
      <c r="U454" s="24" t="s">
        <v>1773</v>
      </c>
      <c r="V454" s="24">
        <v>3298.0030000000002</v>
      </c>
      <c r="W454" s="24" t="s">
        <v>1414</v>
      </c>
      <c r="X454" s="64">
        <v>7.3010380622837365</v>
      </c>
    </row>
    <row r="455" spans="1:24" ht="14.4" x14ac:dyDescent="0.55000000000000004">
      <c r="A455" s="24" t="s">
        <v>633</v>
      </c>
      <c r="B455" s="24" t="s">
        <v>1409</v>
      </c>
      <c r="C455" s="24" t="s">
        <v>1898</v>
      </c>
      <c r="D455" s="24" t="s">
        <v>72</v>
      </c>
      <c r="E455" s="24" t="s">
        <v>82</v>
      </c>
      <c r="F455" s="70">
        <v>3.0628938272558192E-4</v>
      </c>
      <c r="G455" s="24">
        <v>6.8551820000000001</v>
      </c>
      <c r="H455" s="24">
        <v>6.3371919999999999</v>
      </c>
      <c r="I455" s="24">
        <v>6.3678410000000003</v>
      </c>
      <c r="J455" s="24">
        <v>6.5033159999999999</v>
      </c>
      <c r="K455" s="24">
        <v>8.0175260000000002</v>
      </c>
      <c r="L455" s="24">
        <v>11.80278</v>
      </c>
      <c r="M455" s="24">
        <v>7.5701000000000001</v>
      </c>
      <c r="N455" s="24">
        <v>5.9945007330201969</v>
      </c>
      <c r="O455" s="24">
        <v>5.6</v>
      </c>
      <c r="P455" s="24">
        <v>5.2150543241993894</v>
      </c>
      <c r="Q455" s="24">
        <v>1.0435149978876217</v>
      </c>
      <c r="R455" s="24">
        <v>7.09</v>
      </c>
      <c r="S455" s="24">
        <v>4.8626429839928367</v>
      </c>
      <c r="T455" s="24">
        <v>1.1277413487455952</v>
      </c>
      <c r="U455" s="24" t="s">
        <v>1945</v>
      </c>
      <c r="V455" s="24">
        <v>4098.7820000000002</v>
      </c>
      <c r="W455" s="24" t="s">
        <v>1414</v>
      </c>
      <c r="X455" s="64">
        <v>7.0256410256410255</v>
      </c>
    </row>
    <row r="456" spans="1:24" ht="14.4" x14ac:dyDescent="0.55000000000000004">
      <c r="A456" s="24" t="s">
        <v>673</v>
      </c>
      <c r="B456" s="24" t="s">
        <v>1023</v>
      </c>
      <c r="C456" s="24" t="s">
        <v>105</v>
      </c>
      <c r="D456" s="24" t="s">
        <v>72</v>
      </c>
      <c r="E456" s="24" t="s">
        <v>83</v>
      </c>
      <c r="F456" s="70">
        <v>3.0576255171243345E-4</v>
      </c>
      <c r="G456" s="24">
        <v>7.3364750000000001</v>
      </c>
      <c r="H456" s="24">
        <v>6.9355770000000003</v>
      </c>
      <c r="I456" s="24">
        <v>4.5446540000000004</v>
      </c>
      <c r="J456" s="24">
        <v>6.2722360000000004</v>
      </c>
      <c r="K456" s="24">
        <v>2.2705199999999999</v>
      </c>
      <c r="L456" s="24">
        <v>4.2257179999999996</v>
      </c>
      <c r="M456" s="24">
        <v>79.779700000000005</v>
      </c>
      <c r="N456" s="24">
        <v>1.5841934376371039</v>
      </c>
      <c r="O456" s="24">
        <v>7.6</v>
      </c>
      <c r="P456" s="24">
        <v>5.2537313432835822</v>
      </c>
      <c r="Q456" s="24">
        <v>3.4238892915660828</v>
      </c>
      <c r="R456" s="24">
        <v>2.73</v>
      </c>
      <c r="S456" s="24">
        <v>4.2164531528046352</v>
      </c>
      <c r="T456" s="24">
        <v>0.99192299275207507</v>
      </c>
      <c r="U456" s="24" t="s">
        <v>1988</v>
      </c>
      <c r="V456" s="24">
        <v>3002.7930000000001</v>
      </c>
      <c r="W456" s="24" t="s">
        <v>1414</v>
      </c>
      <c r="X456" s="64">
        <v>7.7083333333333339</v>
      </c>
    </row>
    <row r="457" spans="1:24" ht="14.4" x14ac:dyDescent="0.55000000000000004">
      <c r="A457" s="24" t="s">
        <v>703</v>
      </c>
      <c r="B457" s="24" t="s">
        <v>1186</v>
      </c>
      <c r="C457" s="24" t="s">
        <v>113</v>
      </c>
      <c r="D457" s="24" t="s">
        <v>72</v>
      </c>
      <c r="E457" s="24" t="s">
        <v>96</v>
      </c>
      <c r="F457" s="70">
        <v>3.0545269821381874E-4</v>
      </c>
      <c r="G457" s="24">
        <v>5.4526029999999999</v>
      </c>
      <c r="H457" s="24">
        <v>3.361103</v>
      </c>
      <c r="I457" s="24">
        <v>4.1213410000000001</v>
      </c>
      <c r="J457" s="24">
        <v>4.3116830000000004</v>
      </c>
      <c r="K457" s="24">
        <v>0.81848390000000004</v>
      </c>
      <c r="L457" s="24">
        <v>4.7681649999999998</v>
      </c>
      <c r="M457" s="24">
        <v>6.7881999999999998</v>
      </c>
      <c r="N457" s="24">
        <v>6.7602044408580495</v>
      </c>
      <c r="O457" s="24">
        <v>7.9</v>
      </c>
      <c r="P457" s="24">
        <v>4.4343891402714943</v>
      </c>
      <c r="Q457" s="24">
        <v>7.5850829383231977</v>
      </c>
      <c r="R457" s="24">
        <v>4.0199999999999996</v>
      </c>
      <c r="S457" s="24">
        <v>6.7521991303077371</v>
      </c>
      <c r="T457" s="24">
        <v>1.2175295322696773</v>
      </c>
      <c r="U457" s="24" t="s">
        <v>1890</v>
      </c>
      <c r="V457" s="24">
        <v>3035.9259999999999</v>
      </c>
      <c r="W457" s="24" t="s">
        <v>1414</v>
      </c>
      <c r="X457" s="64">
        <v>8.4748700173310212</v>
      </c>
    </row>
    <row r="458" spans="1:24" ht="14.4" x14ac:dyDescent="0.55000000000000004">
      <c r="A458" s="24" t="s">
        <v>658</v>
      </c>
      <c r="B458" s="24" t="s">
        <v>1155</v>
      </c>
      <c r="C458" s="24" t="s">
        <v>107</v>
      </c>
      <c r="D458" s="24" t="s">
        <v>72</v>
      </c>
      <c r="E458" s="24" t="s">
        <v>89</v>
      </c>
      <c r="F458" s="70">
        <v>3.0528886417724503E-4</v>
      </c>
      <c r="G458" s="24">
        <v>5.875121</v>
      </c>
      <c r="H458" s="24">
        <v>5.6949290000000001</v>
      </c>
      <c r="I458" s="24">
        <v>4.1262280000000002</v>
      </c>
      <c r="J458" s="24">
        <v>5.2963950000000004</v>
      </c>
      <c r="K458" s="24">
        <v>1.9846429999999999</v>
      </c>
      <c r="L458" s="24">
        <v>6.8392410000000003</v>
      </c>
      <c r="M458" s="24">
        <v>36.9422</v>
      </c>
      <c r="N458" s="24">
        <v>5.3987471191377949</v>
      </c>
      <c r="O458" s="24">
        <v>5.5</v>
      </c>
      <c r="P458" s="24">
        <v>4.4444444444444446</v>
      </c>
      <c r="Q458" s="24">
        <v>6.8603364320495794</v>
      </c>
      <c r="R458" s="24">
        <v>5.24</v>
      </c>
      <c r="S458" s="24">
        <v>5.6843767415190474</v>
      </c>
      <c r="T458" s="24">
        <v>0.64839551202135415</v>
      </c>
      <c r="U458" s="24" t="s">
        <v>1759</v>
      </c>
      <c r="V458" s="24">
        <v>3335.0659999999998</v>
      </c>
      <c r="W458" s="24" t="s">
        <v>1414</v>
      </c>
      <c r="X458" s="64">
        <v>7.491349480968859</v>
      </c>
    </row>
    <row r="459" spans="1:24" ht="14.4" x14ac:dyDescent="0.55000000000000004">
      <c r="A459" s="24" t="s">
        <v>653</v>
      </c>
      <c r="B459" s="24" t="s">
        <v>1216</v>
      </c>
      <c r="C459" s="24" t="s">
        <v>127</v>
      </c>
      <c r="D459" s="24" t="s">
        <v>72</v>
      </c>
      <c r="E459" s="24" t="s">
        <v>88</v>
      </c>
      <c r="F459" s="70">
        <v>3.0435389925991349E-4</v>
      </c>
      <c r="G459" s="24">
        <v>6.8987249999999998</v>
      </c>
      <c r="H459" s="24">
        <v>4.6564680000000003</v>
      </c>
      <c r="I459" s="24">
        <v>4.2763710000000001</v>
      </c>
      <c r="J459" s="24">
        <v>4.9528800000000004</v>
      </c>
      <c r="K459" s="24">
        <v>0</v>
      </c>
      <c r="L459" s="24">
        <v>4.213082</v>
      </c>
      <c r="M459" s="24">
        <v>34.244399999999999</v>
      </c>
      <c r="N459" s="24">
        <v>5.2306640419242694</v>
      </c>
      <c r="O459" s="24">
        <v>0.8</v>
      </c>
      <c r="P459" s="24">
        <v>7.4246575342465757</v>
      </c>
      <c r="Q459" s="24">
        <v>5.2824410479133608</v>
      </c>
      <c r="R459" s="24">
        <v>0</v>
      </c>
      <c r="S459" s="24">
        <v>4.906827099306402</v>
      </c>
      <c r="T459" s="24">
        <v>1.1471597395631792</v>
      </c>
      <c r="U459" s="24" t="s">
        <v>1657</v>
      </c>
      <c r="V459" s="24">
        <v>3361.4520000000002</v>
      </c>
      <c r="W459" s="24" t="s">
        <v>1414</v>
      </c>
      <c r="X459" s="64">
        <v>7.6388888888888884</v>
      </c>
    </row>
    <row r="460" spans="1:24" ht="14.4" x14ac:dyDescent="0.55000000000000004">
      <c r="A460" s="24" t="s">
        <v>630</v>
      </c>
      <c r="B460" s="24" t="s">
        <v>1311</v>
      </c>
      <c r="C460" s="24" t="s">
        <v>107</v>
      </c>
      <c r="D460" s="24" t="s">
        <v>72</v>
      </c>
      <c r="E460" s="24" t="s">
        <v>91</v>
      </c>
      <c r="F460" s="70">
        <v>3.0433658509477774E-4</v>
      </c>
      <c r="G460" s="24">
        <v>5.8681890000000001</v>
      </c>
      <c r="H460" s="24">
        <v>5.2002240000000004</v>
      </c>
      <c r="I460" s="24">
        <v>4.8244790000000002</v>
      </c>
      <c r="J460" s="24">
        <v>5.3546860000000001</v>
      </c>
      <c r="K460" s="24">
        <v>2.6258050000000002</v>
      </c>
      <c r="L460" s="24">
        <v>9.3745010000000004</v>
      </c>
      <c r="M460" s="24">
        <v>153.57810000000001</v>
      </c>
      <c r="N460" s="24">
        <v>7.6587306057803186</v>
      </c>
      <c r="O460" s="24">
        <v>6.6</v>
      </c>
      <c r="P460" s="24">
        <v>5.1242236024844718</v>
      </c>
      <c r="Q460" s="24">
        <v>5.9018029714534048</v>
      </c>
      <c r="R460" s="24">
        <v>6.03</v>
      </c>
      <c r="S460" s="24">
        <v>6.6403665746651557</v>
      </c>
      <c r="T460" s="24">
        <v>1.2549488691359667</v>
      </c>
      <c r="U460" s="24" t="s">
        <v>1749</v>
      </c>
      <c r="V460" s="24">
        <v>3268.5259999999998</v>
      </c>
      <c r="W460" s="24" t="s">
        <v>1414</v>
      </c>
      <c r="X460" s="64">
        <v>7.0154373927958833</v>
      </c>
    </row>
    <row r="461" spans="1:24" ht="14.4" x14ac:dyDescent="0.55000000000000004">
      <c r="A461" s="24" t="s">
        <v>662</v>
      </c>
      <c r="B461" s="24" t="s">
        <v>975</v>
      </c>
      <c r="C461" s="24" t="s">
        <v>113</v>
      </c>
      <c r="D461" s="24" t="s">
        <v>72</v>
      </c>
      <c r="E461" s="24" t="s">
        <v>89</v>
      </c>
      <c r="F461" s="70">
        <v>3.031625245675656E-4</v>
      </c>
      <c r="G461" s="24">
        <v>8.2431099999999997</v>
      </c>
      <c r="H461" s="24">
        <v>6.4229250000000002</v>
      </c>
      <c r="I461" s="24">
        <v>6.5797819999999998</v>
      </c>
      <c r="J461" s="24">
        <v>7.0238800000000001</v>
      </c>
      <c r="K461" s="24">
        <v>0</v>
      </c>
      <c r="L461" s="24">
        <v>8.1749170000000007</v>
      </c>
      <c r="M461" s="24">
        <v>2.1583000000000001</v>
      </c>
      <c r="N461" s="24">
        <v>4.566674105611666</v>
      </c>
      <c r="O461" s="24">
        <v>3.4</v>
      </c>
      <c r="P461" s="24">
        <v>0</v>
      </c>
      <c r="Q461" s="24">
        <v>7.9791024789729974</v>
      </c>
      <c r="R461" s="24">
        <v>0</v>
      </c>
      <c r="S461" s="24">
        <v>5.4156540938941085</v>
      </c>
      <c r="T461" s="24">
        <v>1.2694907546712348</v>
      </c>
      <c r="U461" s="24" t="s">
        <v>1891</v>
      </c>
      <c r="V461" s="24">
        <v>4836.6409999999996</v>
      </c>
      <c r="W461" s="24" t="s">
        <v>1414</v>
      </c>
      <c r="X461" s="64">
        <v>7.5605536332179932</v>
      </c>
    </row>
    <row r="462" spans="1:24" ht="14.4" x14ac:dyDescent="0.55000000000000004">
      <c r="A462" s="24" t="s">
        <v>674</v>
      </c>
      <c r="B462" s="24" t="s">
        <v>883</v>
      </c>
      <c r="C462" s="24" t="s">
        <v>109</v>
      </c>
      <c r="D462" s="24" t="s">
        <v>72</v>
      </c>
      <c r="E462" s="24" t="s">
        <v>99</v>
      </c>
      <c r="F462" s="70">
        <v>3.0300109249609738E-4</v>
      </c>
      <c r="G462" s="24">
        <v>5.0333769999999998</v>
      </c>
      <c r="H462" s="24">
        <v>6.1629820000000004</v>
      </c>
      <c r="I462" s="24">
        <v>5.6584479999999999</v>
      </c>
      <c r="J462" s="24">
        <v>5.3843120000000004</v>
      </c>
      <c r="K462" s="24">
        <v>1.9916199999999999</v>
      </c>
      <c r="L462" s="24">
        <v>4.4753540000000003</v>
      </c>
      <c r="M462" s="24">
        <v>74.719499999999996</v>
      </c>
      <c r="N462" s="24">
        <v>10</v>
      </c>
      <c r="O462" s="24">
        <v>5.9</v>
      </c>
      <c r="P462" s="24">
        <v>0.87227414330218089</v>
      </c>
      <c r="Q462" s="24">
        <v>3.1107567229060744</v>
      </c>
      <c r="R462" s="24">
        <v>2.62</v>
      </c>
      <c r="S462" s="24">
        <v>2.9566795657216716</v>
      </c>
      <c r="T462" s="24">
        <v>0.7018663455001054</v>
      </c>
      <c r="U462" s="24" t="s">
        <v>1515</v>
      </c>
      <c r="V462" s="24">
        <v>3859.509</v>
      </c>
      <c r="W462" s="24" t="s">
        <v>1414</v>
      </c>
      <c r="X462" s="64">
        <v>7.7737881508079001</v>
      </c>
    </row>
    <row r="463" spans="1:24" ht="14.4" x14ac:dyDescent="0.55000000000000004">
      <c r="A463" s="24" t="s">
        <v>661</v>
      </c>
      <c r="B463" s="24" t="s">
        <v>1276</v>
      </c>
      <c r="C463" s="24" t="s">
        <v>110</v>
      </c>
      <c r="D463" s="24" t="s">
        <v>72</v>
      </c>
      <c r="E463" s="24" t="s">
        <v>84</v>
      </c>
      <c r="F463" s="70">
        <v>3.0283045289172464E-4</v>
      </c>
      <c r="G463" s="24">
        <v>7.1198269999999999</v>
      </c>
      <c r="H463" s="24">
        <v>7.7205579999999996</v>
      </c>
      <c r="I463" s="24">
        <v>7.2196470000000001</v>
      </c>
      <c r="J463" s="24">
        <v>7.3533439999999999</v>
      </c>
      <c r="K463" s="24">
        <v>3.529271</v>
      </c>
      <c r="L463" s="24">
        <v>6.7992549999999996</v>
      </c>
      <c r="M463" s="24">
        <v>375.43759999999997</v>
      </c>
      <c r="N463" s="24">
        <v>5.545270837270083</v>
      </c>
      <c r="O463" s="24">
        <v>7</v>
      </c>
      <c r="P463" s="24">
        <v>4.8656716417910451</v>
      </c>
      <c r="Q463" s="24">
        <v>3.8629436224612554</v>
      </c>
      <c r="R463" s="24">
        <v>5.93</v>
      </c>
      <c r="S463" s="24">
        <v>5.0512403251394744</v>
      </c>
      <c r="T463" s="24">
        <v>1.0138594782541301</v>
      </c>
      <c r="U463" s="24" t="s">
        <v>1538</v>
      </c>
      <c r="V463" s="24">
        <v>3062.6819999999998</v>
      </c>
      <c r="W463" s="24" t="s">
        <v>1414</v>
      </c>
      <c r="X463" s="64">
        <v>7.5</v>
      </c>
    </row>
    <row r="464" spans="1:24" ht="14.4" x14ac:dyDescent="0.55000000000000004">
      <c r="A464" s="24" t="s">
        <v>678</v>
      </c>
      <c r="B464" s="24" t="s">
        <v>1152</v>
      </c>
      <c r="C464" s="24" t="s">
        <v>105</v>
      </c>
      <c r="D464" s="24" t="s">
        <v>72</v>
      </c>
      <c r="E464" s="24" t="s">
        <v>86</v>
      </c>
      <c r="F464" s="70">
        <v>3.0162606755505502E-4</v>
      </c>
      <c r="G464" s="24" t="e">
        <v>#N/A</v>
      </c>
      <c r="H464" s="24" t="e">
        <v>#N/A</v>
      </c>
      <c r="I464" s="24" t="e">
        <v>#N/A</v>
      </c>
      <c r="J464" s="24" t="e">
        <v>#N/A</v>
      </c>
      <c r="K464" s="24">
        <v>3.214842</v>
      </c>
      <c r="L464" s="24">
        <v>6.3524510000000003</v>
      </c>
      <c r="M464" s="24" t="e">
        <v>#N/A</v>
      </c>
      <c r="N464" s="24">
        <v>6.0288728702508179</v>
      </c>
      <c r="O464" s="24">
        <v>9.1</v>
      </c>
      <c r="P464" s="24">
        <v>8.0286750568467813</v>
      </c>
      <c r="Q464" s="24">
        <v>2.1391353330516831</v>
      </c>
      <c r="R464" s="24">
        <v>7.02</v>
      </c>
      <c r="S464" s="24">
        <v>3.9956877181028529</v>
      </c>
      <c r="T464" s="24">
        <v>1.8750807406090586</v>
      </c>
      <c r="U464" s="24" t="s">
        <v>1996</v>
      </c>
      <c r="V464" s="24">
        <v>3696.9250000000002</v>
      </c>
      <c r="W464" s="24" t="s">
        <v>1414</v>
      </c>
      <c r="X464" s="64">
        <v>7.7948717948717947</v>
      </c>
    </row>
    <row r="465" spans="1:24" ht="14.4" x14ac:dyDescent="0.55000000000000004">
      <c r="A465" s="24" t="s">
        <v>677</v>
      </c>
      <c r="B465" s="24" t="s">
        <v>1338</v>
      </c>
      <c r="C465" s="24" t="s">
        <v>105</v>
      </c>
      <c r="D465" s="24" t="s">
        <v>72</v>
      </c>
      <c r="E465" s="24" t="s">
        <v>96</v>
      </c>
      <c r="F465" s="70">
        <v>2.9636126028934908E-4</v>
      </c>
      <c r="G465" s="24">
        <v>2.2637510000000001</v>
      </c>
      <c r="H465" s="24">
        <v>3.8752819999999999</v>
      </c>
      <c r="I465" s="24">
        <v>1.2703880000000001</v>
      </c>
      <c r="J465" s="24">
        <v>2.449201</v>
      </c>
      <c r="K465" s="24">
        <v>1.0762799999999999</v>
      </c>
      <c r="L465" s="24">
        <v>3.2655699999999999</v>
      </c>
      <c r="M465" s="24" t="e">
        <v>#N/A</v>
      </c>
      <c r="N465" s="24">
        <v>8.8954104888592838</v>
      </c>
      <c r="O465" s="24">
        <v>8.6999999999999993</v>
      </c>
      <c r="P465" s="24">
        <v>7.3303167420814486</v>
      </c>
      <c r="Q465" s="24">
        <v>1.1882512305276989</v>
      </c>
      <c r="R465" s="24">
        <v>5.29</v>
      </c>
      <c r="S465" s="24">
        <v>5.0512861612260931</v>
      </c>
      <c r="T465" s="24">
        <v>1.5869314832452104</v>
      </c>
      <c r="U465" s="24" t="s">
        <v>1995</v>
      </c>
      <c r="V465" s="24">
        <v>3216.8809999999999</v>
      </c>
      <c r="W465" s="24" t="s">
        <v>1414</v>
      </c>
      <c r="X465" s="64">
        <v>8.0242634315424617</v>
      </c>
    </row>
    <row r="466" spans="1:24" ht="14.4" x14ac:dyDescent="0.55000000000000004">
      <c r="A466" s="24" t="s">
        <v>725</v>
      </c>
      <c r="B466" s="24" t="s">
        <v>1238</v>
      </c>
      <c r="C466" s="24" t="s">
        <v>111</v>
      </c>
      <c r="D466" s="24" t="s">
        <v>72</v>
      </c>
      <c r="E466" s="24" t="s">
        <v>92</v>
      </c>
      <c r="F466" s="70">
        <v>2.948265046687883E-4</v>
      </c>
      <c r="G466" s="24">
        <v>6.2903229999999999</v>
      </c>
      <c r="H466" s="24">
        <v>8.0354779999999995</v>
      </c>
      <c r="I466" s="24">
        <v>6.662045</v>
      </c>
      <c r="J466" s="24">
        <v>6.7136979999999999</v>
      </c>
      <c r="K466" s="24">
        <v>8.1484550000000002</v>
      </c>
      <c r="L466" s="24">
        <v>6.7027609999999997</v>
      </c>
      <c r="M466" s="24">
        <v>317.66230000000002</v>
      </c>
      <c r="N466" s="24">
        <v>2.4159299964756644</v>
      </c>
      <c r="O466" s="24">
        <v>7.5</v>
      </c>
      <c r="P466" s="24">
        <v>0</v>
      </c>
      <c r="Q466" s="24">
        <v>2.4987318528562512</v>
      </c>
      <c r="R466" s="24">
        <v>6.12</v>
      </c>
      <c r="S466" s="24">
        <v>2.786875740484529</v>
      </c>
      <c r="T466" s="24">
        <v>0.62627582247110758</v>
      </c>
      <c r="U466" s="24" t="s">
        <v>1673</v>
      </c>
      <c r="V466" s="24">
        <v>3420.24</v>
      </c>
      <c r="W466" s="24" t="s">
        <v>1414</v>
      </c>
      <c r="X466" s="64">
        <v>10</v>
      </c>
    </row>
    <row r="467" spans="1:24" ht="14.4" x14ac:dyDescent="0.55000000000000004">
      <c r="A467" s="24" t="s">
        <v>682</v>
      </c>
      <c r="B467" s="24" t="s">
        <v>1372</v>
      </c>
      <c r="C467" s="24" t="s">
        <v>106</v>
      </c>
      <c r="D467" s="24" t="s">
        <v>72</v>
      </c>
      <c r="E467" s="24" t="s">
        <v>89</v>
      </c>
      <c r="F467" s="70">
        <v>2.9283717715200401E-4</v>
      </c>
      <c r="G467" s="24">
        <v>7.4846909999999998</v>
      </c>
      <c r="H467" s="24">
        <v>6.331537</v>
      </c>
      <c r="I467" s="24">
        <v>5.5921919999999998</v>
      </c>
      <c r="J467" s="24">
        <v>6.5709949999999999</v>
      </c>
      <c r="K467" s="24">
        <v>2.3052000000000001</v>
      </c>
      <c r="L467" s="24">
        <v>5.0699149999999999</v>
      </c>
      <c r="M467" s="24">
        <v>1.2781</v>
      </c>
      <c r="N467" s="24">
        <v>5.5003243786330502</v>
      </c>
      <c r="O467" s="24">
        <v>6.7</v>
      </c>
      <c r="P467" s="24">
        <v>8.8888888888888875</v>
      </c>
      <c r="Q467" s="24">
        <v>2.3131551571491813</v>
      </c>
      <c r="R467" s="24">
        <v>6.23</v>
      </c>
      <c r="S467" s="24">
        <v>5.3379296277797401</v>
      </c>
      <c r="T467" s="24">
        <v>1.1144747212044404</v>
      </c>
      <c r="U467" s="24" t="s">
        <v>1853</v>
      </c>
      <c r="V467" s="24">
        <v>3431.7089999999998</v>
      </c>
      <c r="W467" s="24" t="s">
        <v>1414</v>
      </c>
      <c r="X467" s="64">
        <v>7.9065743944636679</v>
      </c>
    </row>
    <row r="468" spans="1:24" ht="14.4" x14ac:dyDescent="0.55000000000000004">
      <c r="A468" s="24" t="s">
        <v>692</v>
      </c>
      <c r="B468" s="24" t="s">
        <v>1218</v>
      </c>
      <c r="C468" s="24" t="s">
        <v>107</v>
      </c>
      <c r="D468" s="24" t="s">
        <v>72</v>
      </c>
      <c r="E468" s="24" t="s">
        <v>90</v>
      </c>
      <c r="F468" s="70">
        <v>2.9212799695459325E-4</v>
      </c>
      <c r="G468" s="24">
        <v>0</v>
      </c>
      <c r="H468" s="24">
        <v>5.4016359999999999</v>
      </c>
      <c r="I468" s="24">
        <v>0</v>
      </c>
      <c r="J468" s="24">
        <v>1.8905730000000001</v>
      </c>
      <c r="K468" s="24">
        <v>9.0353940000000001</v>
      </c>
      <c r="L468" s="24">
        <v>4.1534979999999999</v>
      </c>
      <c r="M468" s="24">
        <v>2.2755000000000001</v>
      </c>
      <c r="N468" s="24">
        <v>1.1514665972257834</v>
      </c>
      <c r="O468" s="24">
        <v>0</v>
      </c>
      <c r="P468" s="24">
        <v>2.5627239314756918</v>
      </c>
      <c r="Q468" s="24">
        <v>5.7344036051260403</v>
      </c>
      <c r="R468" s="24">
        <v>5.78</v>
      </c>
      <c r="S468" s="24">
        <v>1.4143527236016091</v>
      </c>
      <c r="T468" s="24">
        <v>1.0448228190419064</v>
      </c>
      <c r="U468" s="24" t="s">
        <v>1742</v>
      </c>
      <c r="V468" s="24">
        <v>3029.5650000000001</v>
      </c>
      <c r="W468" s="24" t="s">
        <v>1414</v>
      </c>
      <c r="X468" s="64">
        <v>8.0341880341880341</v>
      </c>
    </row>
    <row r="469" spans="1:24" ht="14.4" x14ac:dyDescent="0.55000000000000004">
      <c r="A469" s="24" t="s">
        <v>695</v>
      </c>
      <c r="B469" s="24" t="s">
        <v>1329</v>
      </c>
      <c r="C469" s="24" t="s">
        <v>106</v>
      </c>
      <c r="D469" s="24" t="s">
        <v>72</v>
      </c>
      <c r="E469" s="24" t="s">
        <v>87</v>
      </c>
      <c r="F469" s="70">
        <v>2.9033993409727736E-4</v>
      </c>
      <c r="G469" s="24">
        <v>6.4496570000000002</v>
      </c>
      <c r="H469" s="24">
        <v>6.1633870000000002</v>
      </c>
      <c r="I469" s="24">
        <v>6.5687100000000003</v>
      </c>
      <c r="J469" s="24">
        <v>6.3994920000000004</v>
      </c>
      <c r="K469" s="24">
        <v>1.9167959999999999</v>
      </c>
      <c r="L469" s="24">
        <v>6.4652229999999999</v>
      </c>
      <c r="M469" s="24">
        <v>51.829300000000003</v>
      </c>
      <c r="N469" s="24">
        <v>4.8742985716061256</v>
      </c>
      <c r="O469" s="24">
        <v>9</v>
      </c>
      <c r="P469" s="24">
        <v>8.7029288702928866</v>
      </c>
      <c r="Q469" s="24">
        <v>3.6781666402493798</v>
      </c>
      <c r="R469" s="24">
        <v>5.8</v>
      </c>
      <c r="S469" s="24">
        <v>6.4651152672613428</v>
      </c>
      <c r="T469" s="24">
        <v>0.72327253868952268</v>
      </c>
      <c r="U469" s="24" t="s">
        <v>1766</v>
      </c>
      <c r="V469" s="24">
        <v>3212.1759999999999</v>
      </c>
      <c r="W469" s="24" t="s">
        <v>1414</v>
      </c>
      <c r="X469" s="64">
        <v>8.5257548845470694</v>
      </c>
    </row>
    <row r="470" spans="1:24" ht="14.4" x14ac:dyDescent="0.55000000000000004">
      <c r="A470" s="24" t="s">
        <v>668</v>
      </c>
      <c r="B470" s="24" t="s">
        <v>1159</v>
      </c>
      <c r="C470" s="24" t="s">
        <v>106</v>
      </c>
      <c r="D470" s="24" t="s">
        <v>72</v>
      </c>
      <c r="E470" s="24" t="s">
        <v>86</v>
      </c>
      <c r="F470" s="70">
        <v>2.8972653225845007E-4</v>
      </c>
      <c r="G470" s="24">
        <v>6.3072429999999997</v>
      </c>
      <c r="H470" s="24">
        <v>7.2635940000000003</v>
      </c>
      <c r="I470" s="24">
        <v>7.5932079999999997</v>
      </c>
      <c r="J470" s="24">
        <v>7.0920540000000001</v>
      </c>
      <c r="K470" s="24">
        <v>6.0220729999999998</v>
      </c>
      <c r="L470" s="24">
        <v>12.1464</v>
      </c>
      <c r="M470" s="24">
        <v>0.36797999999999997</v>
      </c>
      <c r="N470" s="24">
        <v>9.0467465190992886</v>
      </c>
      <c r="O470" s="24">
        <v>1.7</v>
      </c>
      <c r="P470" s="24">
        <v>6.90860289339816</v>
      </c>
      <c r="Q470" s="24">
        <v>6.1618555133079855</v>
      </c>
      <c r="R470" s="24">
        <v>7.23</v>
      </c>
      <c r="S470" s="24">
        <v>6.0766331822061508</v>
      </c>
      <c r="T470" s="24">
        <v>1.2746970571517333</v>
      </c>
      <c r="U470" s="24" t="s">
        <v>1895</v>
      </c>
      <c r="V470" s="24">
        <v>2959.2150000000001</v>
      </c>
      <c r="W470" s="24" t="s">
        <v>1414</v>
      </c>
      <c r="X470" s="64">
        <v>7.6239316239316235</v>
      </c>
    </row>
    <row r="471" spans="1:24" ht="14.4" x14ac:dyDescent="0.55000000000000004">
      <c r="A471" s="24" t="s">
        <v>686</v>
      </c>
      <c r="B471" s="24" t="s">
        <v>978</v>
      </c>
      <c r="C471" s="24" t="s">
        <v>111</v>
      </c>
      <c r="D471" s="24" t="s">
        <v>72</v>
      </c>
      <c r="E471" s="24" t="s">
        <v>85</v>
      </c>
      <c r="F471" s="70">
        <v>2.8937654592619698E-4</v>
      </c>
      <c r="G471" s="24">
        <v>7.1346270000000001</v>
      </c>
      <c r="H471" s="24">
        <v>5.3910689999999999</v>
      </c>
      <c r="I471" s="24">
        <v>7.5736840000000001</v>
      </c>
      <c r="J471" s="24">
        <v>6.8737269999999997</v>
      </c>
      <c r="K471" s="24">
        <v>3.9147059999999998</v>
      </c>
      <c r="L471" s="24">
        <v>4.9199130000000002</v>
      </c>
      <c r="M471" s="24">
        <v>35.132599999999996</v>
      </c>
      <c r="N471" s="24">
        <v>4.7503788739840553</v>
      </c>
      <c r="O471" s="24">
        <v>1.6</v>
      </c>
      <c r="P471" s="24">
        <v>1.5315315315315314</v>
      </c>
      <c r="Q471" s="24">
        <v>7.3470008853474988</v>
      </c>
      <c r="R471" s="24">
        <v>5.85</v>
      </c>
      <c r="S471" s="24">
        <v>3.9932518300309137</v>
      </c>
      <c r="T471" s="24">
        <v>1.2892101147360575</v>
      </c>
      <c r="U471" s="24" t="s">
        <v>1670</v>
      </c>
      <c r="V471" s="24">
        <v>2915.165</v>
      </c>
      <c r="W471" s="24" t="s">
        <v>1414</v>
      </c>
      <c r="X471" s="64">
        <v>7.9757785467128031</v>
      </c>
    </row>
    <row r="472" spans="1:24" ht="14.4" x14ac:dyDescent="0.55000000000000004">
      <c r="A472" s="24" t="s">
        <v>671</v>
      </c>
      <c r="B472" s="24" t="s">
        <v>915</v>
      </c>
      <c r="C472" s="24" t="s">
        <v>106</v>
      </c>
      <c r="D472" s="24" t="s">
        <v>72</v>
      </c>
      <c r="E472" s="24" t="s">
        <v>90</v>
      </c>
      <c r="F472" s="70">
        <v>2.8686298952512854E-4</v>
      </c>
      <c r="G472" s="24">
        <v>5.6620169999999996</v>
      </c>
      <c r="H472" s="24">
        <v>3.272656</v>
      </c>
      <c r="I472" s="24">
        <v>4.9340869999999999</v>
      </c>
      <c r="J472" s="24">
        <v>4.5709650000000002</v>
      </c>
      <c r="K472" s="24">
        <v>4.5696529999999997</v>
      </c>
      <c r="L472" s="24">
        <v>6.603745</v>
      </c>
      <c r="M472" s="24">
        <v>2.9159000000000002</v>
      </c>
      <c r="N472" s="24">
        <v>5.767644627298103</v>
      </c>
      <c r="O472" s="24">
        <v>5.6</v>
      </c>
      <c r="P472" s="24">
        <v>3.623656303618958</v>
      </c>
      <c r="Q472" s="24">
        <v>6.9621180115476715</v>
      </c>
      <c r="R472" s="24">
        <v>7.16</v>
      </c>
      <c r="S472" s="24">
        <v>3.8185894770659123</v>
      </c>
      <c r="T472" s="24">
        <v>0.9434307891340582</v>
      </c>
      <c r="U472" s="24" t="s">
        <v>1855</v>
      </c>
      <c r="V472" s="24">
        <v>2945.585</v>
      </c>
      <c r="W472" s="24" t="s">
        <v>1414</v>
      </c>
      <c r="X472" s="64">
        <v>7.6752136752136755</v>
      </c>
    </row>
    <row r="473" spans="1:24" ht="14.4" x14ac:dyDescent="0.55000000000000004">
      <c r="A473" s="24" t="s">
        <v>670</v>
      </c>
      <c r="B473" s="24" t="s">
        <v>1084</v>
      </c>
      <c r="C473" s="24" t="s">
        <v>106</v>
      </c>
      <c r="D473" s="24" t="s">
        <v>72</v>
      </c>
      <c r="E473" s="24" t="s">
        <v>84</v>
      </c>
      <c r="F473" s="70">
        <v>2.866309997286851E-4</v>
      </c>
      <c r="G473" s="24">
        <v>6.3362499999999997</v>
      </c>
      <c r="H473" s="24">
        <v>5.1642419999999998</v>
      </c>
      <c r="I473" s="24">
        <v>4.0316910000000004</v>
      </c>
      <c r="J473" s="24">
        <v>5.1773939999999996</v>
      </c>
      <c r="K473" s="24">
        <v>5.205654</v>
      </c>
      <c r="L473" s="24">
        <v>8.3189600000000006</v>
      </c>
      <c r="M473" s="24">
        <v>25.431799999999999</v>
      </c>
      <c r="N473" s="24">
        <v>2.899014183123648</v>
      </c>
      <c r="O473" s="24">
        <v>1.9</v>
      </c>
      <c r="P473" s="24">
        <v>5.8507462686567155</v>
      </c>
      <c r="Q473" s="24">
        <v>5.9776299969951658</v>
      </c>
      <c r="R473" s="24">
        <v>7.27</v>
      </c>
      <c r="S473" s="24">
        <v>5.9516045209306601</v>
      </c>
      <c r="T473" s="24">
        <v>1.3555720766414741</v>
      </c>
      <c r="U473" s="24" t="s">
        <v>1859</v>
      </c>
      <c r="V473" s="24">
        <v>3352.0430000000001</v>
      </c>
      <c r="W473" s="24" t="s">
        <v>1414</v>
      </c>
      <c r="X473" s="64">
        <v>7.65625</v>
      </c>
    </row>
    <row r="474" spans="1:24" ht="14.4" x14ac:dyDescent="0.55000000000000004">
      <c r="A474" s="24" t="s">
        <v>760</v>
      </c>
      <c r="B474" s="24" t="s">
        <v>1383</v>
      </c>
      <c r="C474" s="24" t="s">
        <v>109</v>
      </c>
      <c r="D474" s="24" t="s">
        <v>72</v>
      </c>
      <c r="E474" s="24" t="s">
        <v>89</v>
      </c>
      <c r="F474" s="70">
        <v>2.8591501396347537E-4</v>
      </c>
      <c r="G474" s="24">
        <v>0</v>
      </c>
      <c r="H474" s="24">
        <v>0</v>
      </c>
      <c r="I474" s="24">
        <v>0</v>
      </c>
      <c r="J474" s="24">
        <v>0</v>
      </c>
      <c r="K474" s="24">
        <v>1.3444860000000001</v>
      </c>
      <c r="L474" s="24">
        <v>4.5163950000000002</v>
      </c>
      <c r="M474" s="24">
        <v>11.487</v>
      </c>
      <c r="N474" s="24">
        <v>6.4123619445704794</v>
      </c>
      <c r="O474" s="24">
        <v>2.8</v>
      </c>
      <c r="P474" s="24">
        <v>5.2852852852852834</v>
      </c>
      <c r="Q474" s="24">
        <v>4.1054305002213374</v>
      </c>
      <c r="R474" s="24">
        <v>5.29</v>
      </c>
      <c r="S474" s="24">
        <v>3.8904645647739367</v>
      </c>
      <c r="T474" s="24">
        <v>1.386194174969956</v>
      </c>
      <c r="U474" s="24" t="s">
        <v>1522</v>
      </c>
      <c r="V474" s="24">
        <v>2951.098</v>
      </c>
      <c r="W474" s="24" t="s">
        <v>1414</v>
      </c>
      <c r="X474" s="64">
        <v>9.2560553633217992</v>
      </c>
    </row>
    <row r="475" spans="1:24" ht="14.4" x14ac:dyDescent="0.55000000000000004">
      <c r="A475" s="24" t="s">
        <v>657</v>
      </c>
      <c r="B475" s="24" t="s">
        <v>1286</v>
      </c>
      <c r="C475" s="24" t="s">
        <v>108</v>
      </c>
      <c r="D475" s="24" t="s">
        <v>72</v>
      </c>
      <c r="E475" s="24" t="s">
        <v>92</v>
      </c>
      <c r="F475" s="70">
        <v>2.8546774804444791E-4</v>
      </c>
      <c r="G475" s="24">
        <v>6.7866960000000001</v>
      </c>
      <c r="H475" s="24">
        <v>5.595345</v>
      </c>
      <c r="I475" s="24">
        <v>5.3529730000000004</v>
      </c>
      <c r="J475" s="24">
        <v>6.118309</v>
      </c>
      <c r="K475" s="24">
        <v>3.5386730000000002</v>
      </c>
      <c r="L475" s="24">
        <v>5.3577380000000003</v>
      </c>
      <c r="M475" s="24">
        <v>117.5369</v>
      </c>
      <c r="N475" s="24">
        <v>10</v>
      </c>
      <c r="O475" s="24">
        <v>7.6</v>
      </c>
      <c r="P475" s="24">
        <v>5.0731707317073162</v>
      </c>
      <c r="Q475" s="24">
        <v>5.5927672287935417</v>
      </c>
      <c r="R475" s="24">
        <v>6.44</v>
      </c>
      <c r="S475" s="24">
        <v>4.4827910323258537</v>
      </c>
      <c r="T475" s="24">
        <v>0.93840156572815536</v>
      </c>
      <c r="U475" s="24" t="s">
        <v>1489</v>
      </c>
      <c r="V475" s="24">
        <v>3414.578</v>
      </c>
      <c r="W475" s="24" t="s">
        <v>1414</v>
      </c>
      <c r="X475" s="64">
        <v>8.6561264822134394</v>
      </c>
    </row>
    <row r="476" spans="1:24" ht="14.4" x14ac:dyDescent="0.55000000000000004">
      <c r="A476" s="24" t="s">
        <v>690</v>
      </c>
      <c r="B476" s="24" t="s">
        <v>1368</v>
      </c>
      <c r="C476" s="24" t="s">
        <v>111</v>
      </c>
      <c r="D476" s="24" t="s">
        <v>72</v>
      </c>
      <c r="E476" s="24" t="s">
        <v>88</v>
      </c>
      <c r="F476" s="70">
        <v>2.8511275761822495E-4</v>
      </c>
      <c r="G476" s="24">
        <v>5.2016910000000003</v>
      </c>
      <c r="H476" s="24">
        <v>4.1253760000000002</v>
      </c>
      <c r="I476" s="24">
        <v>5.7781820000000002</v>
      </c>
      <c r="J476" s="24">
        <v>5.0017610000000001</v>
      </c>
      <c r="K476" s="24">
        <v>0.195599</v>
      </c>
      <c r="L476" s="24">
        <v>4.2242309999999996</v>
      </c>
      <c r="M476" s="24">
        <v>53.682299999999998</v>
      </c>
      <c r="N476" s="24">
        <v>5.5795289372340919</v>
      </c>
      <c r="O476" s="24">
        <v>1.2</v>
      </c>
      <c r="P476" s="24">
        <v>0.93150684931506844</v>
      </c>
      <c r="Q476" s="24">
        <v>6.9143539630836051</v>
      </c>
      <c r="R476" s="24">
        <v>0</v>
      </c>
      <c r="S476" s="24">
        <v>3.9180907642907346</v>
      </c>
      <c r="T476" s="24">
        <v>2.1880220631979563</v>
      </c>
      <c r="U476" s="24" t="s">
        <v>1678</v>
      </c>
      <c r="V476" s="24">
        <v>2673.8539999999998</v>
      </c>
      <c r="W476" s="24" t="s">
        <v>1414</v>
      </c>
      <c r="X476" s="64">
        <v>8.28125</v>
      </c>
    </row>
    <row r="477" spans="1:24" ht="14.4" x14ac:dyDescent="0.55000000000000004">
      <c r="A477" s="24" t="s">
        <v>685</v>
      </c>
      <c r="B477" s="24" t="s">
        <v>1335</v>
      </c>
      <c r="C477" s="24" t="s">
        <v>106</v>
      </c>
      <c r="D477" s="24" t="s">
        <v>72</v>
      </c>
      <c r="E477" s="24" t="s">
        <v>94</v>
      </c>
      <c r="F477" s="70">
        <v>2.8511105622627516E-4</v>
      </c>
      <c r="G477" s="24">
        <v>9.6280359999999998</v>
      </c>
      <c r="H477" s="24">
        <v>6.7937969999999996</v>
      </c>
      <c r="I477" s="24">
        <v>5.1222880000000002</v>
      </c>
      <c r="J477" s="24">
        <v>7.2588889999999999</v>
      </c>
      <c r="K477" s="24">
        <v>3.6532420000000001</v>
      </c>
      <c r="L477" s="24">
        <v>5.5951969999999998</v>
      </c>
      <c r="M477" s="24">
        <v>0.70313999999999999</v>
      </c>
      <c r="N477" s="24">
        <v>3.5358206362377445</v>
      </c>
      <c r="O477" s="24">
        <v>6.9</v>
      </c>
      <c r="P477" s="24">
        <v>4.7222222222222223</v>
      </c>
      <c r="Q477" s="24">
        <v>3.5565628286014723</v>
      </c>
      <c r="R477" s="24">
        <v>6.49</v>
      </c>
      <c r="S477" s="24">
        <v>4.9065398876888366</v>
      </c>
      <c r="T477" s="24">
        <v>1.1566123587791823</v>
      </c>
      <c r="U477" s="24" t="s">
        <v>1770</v>
      </c>
      <c r="V477" s="24">
        <v>2856.5749999999998</v>
      </c>
      <c r="W477" s="24" t="s">
        <v>1414</v>
      </c>
      <c r="X477" s="64">
        <v>7.7777777777777777</v>
      </c>
    </row>
    <row r="478" spans="1:24" ht="14.4" x14ac:dyDescent="0.55000000000000004">
      <c r="A478" s="24" t="s">
        <v>691</v>
      </c>
      <c r="B478" s="24" t="s">
        <v>1312</v>
      </c>
      <c r="C478" s="24" t="s">
        <v>113</v>
      </c>
      <c r="D478" s="24" t="s">
        <v>72</v>
      </c>
      <c r="E478" s="24" t="s">
        <v>99</v>
      </c>
      <c r="F478" s="70">
        <v>2.8439056677649253E-4</v>
      </c>
      <c r="G478" s="24">
        <v>7.8635729999999997</v>
      </c>
      <c r="H478" s="24">
        <v>6.6699200000000003</v>
      </c>
      <c r="I478" s="24">
        <v>6.0617789999999996</v>
      </c>
      <c r="J478" s="24">
        <v>7.2644830000000002</v>
      </c>
      <c r="K478" s="24">
        <v>4.1178109999999997</v>
      </c>
      <c r="L478" s="24">
        <v>9.5581230000000001</v>
      </c>
      <c r="M478" s="24">
        <v>104.04389999999999</v>
      </c>
      <c r="N478" s="24">
        <v>3.8586322295907034</v>
      </c>
      <c r="O478" s="24">
        <v>7.9</v>
      </c>
      <c r="P478" s="24">
        <v>5.2959501557632391</v>
      </c>
      <c r="Q478" s="24">
        <v>7.6059694326755531</v>
      </c>
      <c r="R478" s="24">
        <v>4.32</v>
      </c>
      <c r="S478" s="24">
        <v>6.4510226022344845</v>
      </c>
      <c r="T478" s="24">
        <v>0.84435696903870716</v>
      </c>
      <c r="U478" s="24" t="s">
        <v>1874</v>
      </c>
      <c r="V478" s="24">
        <v>2753.9520000000002</v>
      </c>
      <c r="W478" s="24" t="s">
        <v>1414</v>
      </c>
      <c r="X478" s="64">
        <v>8.0789946140035909</v>
      </c>
    </row>
    <row r="479" spans="1:24" ht="14.4" x14ac:dyDescent="0.55000000000000004">
      <c r="A479" s="24" t="s">
        <v>688</v>
      </c>
      <c r="B479" s="24" t="s">
        <v>1305</v>
      </c>
      <c r="C479" s="24" t="s">
        <v>113</v>
      </c>
      <c r="D479" s="24" t="s">
        <v>72</v>
      </c>
      <c r="E479" s="24" t="s">
        <v>85</v>
      </c>
      <c r="F479" s="70">
        <v>2.843067982434368E-4</v>
      </c>
      <c r="G479" s="24">
        <v>4.55579</v>
      </c>
      <c r="H479" s="24">
        <v>4.1933740000000004</v>
      </c>
      <c r="I479" s="24">
        <v>3.2103519999999999</v>
      </c>
      <c r="J479" s="24">
        <v>3.9865059999999999</v>
      </c>
      <c r="K479" s="24">
        <v>2.0102380000000002</v>
      </c>
      <c r="L479" s="24">
        <v>17.39209</v>
      </c>
      <c r="M479" s="24">
        <v>968.07209999999998</v>
      </c>
      <c r="N479" s="24">
        <v>2.6604714648596732</v>
      </c>
      <c r="O479" s="24">
        <v>6.2</v>
      </c>
      <c r="P479" s="24">
        <v>7.0570570570570554</v>
      </c>
      <c r="Q479" s="24">
        <v>9.4473948649845081</v>
      </c>
      <c r="R479" s="24">
        <v>4.82</v>
      </c>
      <c r="S479" s="24">
        <v>7.5429381645339362</v>
      </c>
      <c r="T479" s="24">
        <v>1.0980451054086899</v>
      </c>
      <c r="U479" s="24" t="s">
        <v>1875</v>
      </c>
      <c r="V479" s="24">
        <v>3041.4250000000002</v>
      </c>
      <c r="W479" s="24" t="s">
        <v>1414</v>
      </c>
      <c r="X479" s="64">
        <v>8.0103806228373706</v>
      </c>
    </row>
    <row r="480" spans="1:24" ht="14.4" x14ac:dyDescent="0.55000000000000004">
      <c r="A480" s="24" t="s">
        <v>683</v>
      </c>
      <c r="B480" s="24" t="s">
        <v>1083</v>
      </c>
      <c r="C480" s="24" t="s">
        <v>161</v>
      </c>
      <c r="D480" s="24" t="s">
        <v>72</v>
      </c>
      <c r="E480" s="24" t="s">
        <v>85</v>
      </c>
      <c r="F480" s="70">
        <v>2.8348512601358324E-4</v>
      </c>
      <c r="G480" s="24">
        <v>7.2954040000000004</v>
      </c>
      <c r="H480" s="24">
        <v>5.899381</v>
      </c>
      <c r="I480" s="24">
        <v>5.8215859999999999</v>
      </c>
      <c r="J480" s="24">
        <v>6.3387900000000004</v>
      </c>
      <c r="K480" s="24">
        <v>3.4511780000000001</v>
      </c>
      <c r="L480" s="24">
        <v>9.1916069999999994</v>
      </c>
      <c r="M480" s="24">
        <v>560.25310000000002</v>
      </c>
      <c r="N480" s="24">
        <v>6.0146956552973556</v>
      </c>
      <c r="O480" s="24">
        <v>3.6</v>
      </c>
      <c r="P480" s="24">
        <v>6.7267267267267252</v>
      </c>
      <c r="Q480" s="24">
        <v>6.6430577689243027</v>
      </c>
      <c r="R480" s="24">
        <v>7.04</v>
      </c>
      <c r="S480" s="24">
        <v>7.2330499826294643</v>
      </c>
      <c r="T480" s="24">
        <v>1.5062429932347325</v>
      </c>
      <c r="U480" s="24" t="s">
        <v>1506</v>
      </c>
      <c r="V480" s="24">
        <v>3308.3719999999998</v>
      </c>
      <c r="W480" s="24" t="s">
        <v>1414</v>
      </c>
      <c r="X480" s="64">
        <v>7.9238754325259517</v>
      </c>
    </row>
    <row r="481" spans="1:24" ht="14.4" x14ac:dyDescent="0.55000000000000004">
      <c r="A481" s="24" t="s">
        <v>699</v>
      </c>
      <c r="B481" s="24" t="s">
        <v>1145</v>
      </c>
      <c r="C481" s="24" t="s">
        <v>106</v>
      </c>
      <c r="D481" s="24" t="s">
        <v>72</v>
      </c>
      <c r="E481" s="24" t="s">
        <v>85</v>
      </c>
      <c r="F481" s="70">
        <v>2.8244497504100493E-4</v>
      </c>
      <c r="G481" s="24">
        <v>5.3126290000000003</v>
      </c>
      <c r="H481" s="24">
        <v>4.3287599999999999</v>
      </c>
      <c r="I481" s="24">
        <v>5.7617060000000002</v>
      </c>
      <c r="J481" s="24">
        <v>5.1521920000000003</v>
      </c>
      <c r="K481" s="24">
        <v>2.8987729999999998</v>
      </c>
      <c r="L481" s="24">
        <v>12.170450000000001</v>
      </c>
      <c r="M481" s="24">
        <v>28.1463</v>
      </c>
      <c r="N481" s="24">
        <v>5.9325694431567131</v>
      </c>
      <c r="O481" s="24">
        <v>8.4</v>
      </c>
      <c r="P481" s="24">
        <v>7.8978978978978978</v>
      </c>
      <c r="Q481" s="24">
        <v>6.6354946879150063</v>
      </c>
      <c r="R481" s="24">
        <v>6.3</v>
      </c>
      <c r="S481" s="24">
        <v>8.1858780043686465</v>
      </c>
      <c r="T481" s="24">
        <v>1.2368516831692944</v>
      </c>
      <c r="U481" s="24" t="s">
        <v>1460</v>
      </c>
      <c r="V481" s="24">
        <v>2675.9490000000001</v>
      </c>
      <c r="W481" s="24" t="s">
        <v>1414</v>
      </c>
      <c r="X481" s="64">
        <v>8.2006920415224922</v>
      </c>
    </row>
    <row r="482" spans="1:24" ht="14.4" x14ac:dyDescent="0.55000000000000004">
      <c r="A482" s="24" t="s">
        <v>706</v>
      </c>
      <c r="B482" s="24" t="s">
        <v>1357</v>
      </c>
      <c r="C482" s="24" t="s">
        <v>106</v>
      </c>
      <c r="D482" s="24" t="s">
        <v>72</v>
      </c>
      <c r="E482" s="24" t="s">
        <v>93</v>
      </c>
      <c r="F482" s="70">
        <v>2.8158246940435724E-4</v>
      </c>
      <c r="G482" s="24">
        <v>6.9054840000000004</v>
      </c>
      <c r="H482" s="24">
        <v>4.8407220000000004</v>
      </c>
      <c r="I482" s="24">
        <v>6.8096769999999998</v>
      </c>
      <c r="J482" s="24">
        <v>6.1852939999999998</v>
      </c>
      <c r="K482" s="24">
        <v>1.431883</v>
      </c>
      <c r="L482" s="24">
        <v>0.62075380000000002</v>
      </c>
      <c r="M482" s="24">
        <v>10.105399999999999</v>
      </c>
      <c r="N482" s="24">
        <v>0.77276577978990246</v>
      </c>
      <c r="O482" s="24">
        <v>0</v>
      </c>
      <c r="P482" s="24">
        <v>6.3354037267080763</v>
      </c>
      <c r="Q482" s="24">
        <v>5.4592541488986068</v>
      </c>
      <c r="R482" s="24">
        <v>3.2</v>
      </c>
      <c r="S482" s="24">
        <v>1.8781704569987003</v>
      </c>
      <c r="T482" s="24">
        <v>1.9899984119427772</v>
      </c>
      <c r="U482" s="24" t="s">
        <v>1798</v>
      </c>
      <c r="V482" s="24">
        <v>3000.3409999999999</v>
      </c>
      <c r="W482" s="24" t="s">
        <v>1414</v>
      </c>
      <c r="X482" s="64">
        <v>8.3190394511149215</v>
      </c>
    </row>
    <row r="483" spans="1:24" ht="14.4" x14ac:dyDescent="0.55000000000000004">
      <c r="A483" s="24" t="s">
        <v>721</v>
      </c>
      <c r="B483" s="24" t="s">
        <v>992</v>
      </c>
      <c r="C483" s="24" t="s">
        <v>107</v>
      </c>
      <c r="D483" s="24" t="s">
        <v>72</v>
      </c>
      <c r="E483" s="24" t="s">
        <v>93</v>
      </c>
      <c r="F483" s="70">
        <v>2.8015600237730451E-4</v>
      </c>
      <c r="G483" s="24">
        <v>5.7742430000000002</v>
      </c>
      <c r="H483" s="24">
        <v>6.5451689999999996</v>
      </c>
      <c r="I483" s="24">
        <v>6.0865359999999997</v>
      </c>
      <c r="J483" s="24">
        <v>6.1353160000000004</v>
      </c>
      <c r="K483" s="24">
        <v>2.8138079999999999</v>
      </c>
      <c r="L483" s="24">
        <v>7.4670800000000002</v>
      </c>
      <c r="M483" s="24">
        <v>30.030999999999999</v>
      </c>
      <c r="N483" s="24">
        <v>3.7406015821979754</v>
      </c>
      <c r="O483" s="24">
        <v>3.8</v>
      </c>
      <c r="P483" s="24">
        <v>4.6894409937888213</v>
      </c>
      <c r="Q483" s="24">
        <v>7.1514061439009158</v>
      </c>
      <c r="R483" s="24">
        <v>5.35</v>
      </c>
      <c r="S483" s="24">
        <v>5.3296896445579875</v>
      </c>
      <c r="T483" s="24">
        <v>1.2996317474299086</v>
      </c>
      <c r="U483" s="24" t="s">
        <v>1722</v>
      </c>
      <c r="V483" s="24">
        <v>2561.0419999999999</v>
      </c>
      <c r="W483" s="24" t="s">
        <v>1414</v>
      </c>
      <c r="X483" s="64">
        <v>8.5763293310463116</v>
      </c>
    </row>
    <row r="484" spans="1:24" ht="14.4" x14ac:dyDescent="0.55000000000000004">
      <c r="A484" s="24" t="s">
        <v>697</v>
      </c>
      <c r="B484" s="24" t="s">
        <v>1107</v>
      </c>
      <c r="C484" s="24" t="s">
        <v>109</v>
      </c>
      <c r="D484" s="24" t="s">
        <v>72</v>
      </c>
      <c r="E484" s="24" t="s">
        <v>94</v>
      </c>
      <c r="F484" s="70">
        <v>2.7854468411900465E-4</v>
      </c>
      <c r="G484" s="24">
        <v>4.0939889999999997</v>
      </c>
      <c r="H484" s="24">
        <v>5.4867049999999997</v>
      </c>
      <c r="I484" s="24">
        <v>6.4254930000000003</v>
      </c>
      <c r="J484" s="24">
        <v>5.3051339999999998</v>
      </c>
      <c r="K484" s="24">
        <v>6.1870690000000002</v>
      </c>
      <c r="L484" s="24">
        <v>7.5676839999999999</v>
      </c>
      <c r="M484" s="24">
        <v>0.89398999999999995</v>
      </c>
      <c r="N484" s="24">
        <v>2.485969130800207</v>
      </c>
      <c r="O484" s="24">
        <v>7</v>
      </c>
      <c r="P484" s="24">
        <v>2.9861111111111112</v>
      </c>
      <c r="Q484" s="24">
        <v>4.3292152996845426</v>
      </c>
      <c r="R484" s="24">
        <v>7.96</v>
      </c>
      <c r="S484" s="24">
        <v>6.260191074581563</v>
      </c>
      <c r="T484" s="24">
        <v>0.87736972542933644</v>
      </c>
      <c r="U484" s="24" t="s">
        <v>1516</v>
      </c>
      <c r="V484" s="24">
        <v>2990.9029999999998</v>
      </c>
      <c r="W484" s="24" t="s">
        <v>1414</v>
      </c>
      <c r="X484" s="64">
        <v>8.0392156862745097</v>
      </c>
    </row>
    <row r="485" spans="1:24" ht="14.4" x14ac:dyDescent="0.55000000000000004">
      <c r="A485" s="24" t="s">
        <v>724</v>
      </c>
      <c r="B485" s="24" t="s">
        <v>1101</v>
      </c>
      <c r="C485" s="24" t="s">
        <v>113</v>
      </c>
      <c r="D485" s="24" t="s">
        <v>72</v>
      </c>
      <c r="E485" s="24" t="s">
        <v>93</v>
      </c>
      <c r="F485" s="70">
        <v>2.7787533650959408E-4</v>
      </c>
      <c r="G485" s="24">
        <v>7.4217170000000001</v>
      </c>
      <c r="H485" s="24">
        <v>5.256081</v>
      </c>
      <c r="I485" s="24">
        <v>4.3996769999999996</v>
      </c>
      <c r="J485" s="24">
        <v>5.6924919999999997</v>
      </c>
      <c r="K485" s="24">
        <v>1.0176419999999999</v>
      </c>
      <c r="L485" s="24">
        <v>2.063968</v>
      </c>
      <c r="M485" s="24">
        <v>7.8253000000000004</v>
      </c>
      <c r="N485" s="24">
        <v>6.1131992968270765</v>
      </c>
      <c r="O485" s="24">
        <v>5.0999999999999996</v>
      </c>
      <c r="P485" s="24">
        <v>6.6770186335403734</v>
      </c>
      <c r="Q485" s="24">
        <v>0.43440073878914631</v>
      </c>
      <c r="R485" s="24">
        <v>3.76</v>
      </c>
      <c r="S485" s="24">
        <v>2.6937346422561519</v>
      </c>
      <c r="T485" s="24">
        <v>1.3535605091055327</v>
      </c>
      <c r="U485" s="24" t="s">
        <v>1886</v>
      </c>
      <c r="V485" s="24">
        <v>3281.6390000000001</v>
      </c>
      <c r="W485" s="24" t="s">
        <v>1414</v>
      </c>
      <c r="X485" s="64">
        <v>8.627787307032591</v>
      </c>
    </row>
    <row r="486" spans="1:24" ht="14.4" x14ac:dyDescent="0.55000000000000004">
      <c r="A486" s="24" t="s">
        <v>698</v>
      </c>
      <c r="B486" s="24" t="s">
        <v>857</v>
      </c>
      <c r="C486" s="24" t="s">
        <v>106</v>
      </c>
      <c r="D486" s="24" t="s">
        <v>72</v>
      </c>
      <c r="E486" s="24" t="s">
        <v>87</v>
      </c>
      <c r="F486" s="70">
        <v>2.7511888138722794E-4</v>
      </c>
      <c r="G486" s="24">
        <v>3.2310500000000002</v>
      </c>
      <c r="H486" s="24">
        <v>5.976985</v>
      </c>
      <c r="I486" s="24">
        <v>5.5283980000000001</v>
      </c>
      <c r="J486" s="24">
        <v>4.7440350000000002</v>
      </c>
      <c r="K486" s="24">
        <v>2.97865</v>
      </c>
      <c r="L486" s="24">
        <v>9.1210109999999993</v>
      </c>
      <c r="M486" s="24">
        <v>209.583</v>
      </c>
      <c r="N486" s="24">
        <v>1.9011011052939493</v>
      </c>
      <c r="O486" s="24">
        <v>2.9</v>
      </c>
      <c r="P486" s="24">
        <v>7.9916317991631818</v>
      </c>
      <c r="Q486" s="24">
        <v>4.4867121044011204</v>
      </c>
      <c r="R486" s="24">
        <v>5.65</v>
      </c>
      <c r="S486" s="24">
        <v>6.9307955765232379</v>
      </c>
      <c r="T486" s="24">
        <v>0.67525363100847768</v>
      </c>
      <c r="U486" s="24" t="s">
        <v>1476</v>
      </c>
      <c r="V486" s="24">
        <v>3216.3539999999998</v>
      </c>
      <c r="W486" s="24" t="s">
        <v>1414</v>
      </c>
      <c r="X486" s="64">
        <v>8.5790408525754884</v>
      </c>
    </row>
    <row r="487" spans="1:24" ht="14.4" x14ac:dyDescent="0.55000000000000004">
      <c r="A487" s="24" t="s">
        <v>718</v>
      </c>
      <c r="B487" s="24" t="s">
        <v>1012</v>
      </c>
      <c r="C487" s="24" t="s">
        <v>105</v>
      </c>
      <c r="D487" s="24" t="s">
        <v>72</v>
      </c>
      <c r="E487" s="24" t="s">
        <v>83</v>
      </c>
      <c r="F487" s="70">
        <v>2.7311714371739835E-4</v>
      </c>
      <c r="G487" s="24">
        <v>4.8508170000000002</v>
      </c>
      <c r="H487" s="24">
        <v>6.388865</v>
      </c>
      <c r="I487" s="24">
        <v>6.8193999999999999</v>
      </c>
      <c r="J487" s="24">
        <v>6.0196940000000003</v>
      </c>
      <c r="K487" s="24">
        <v>5.8288310000000001</v>
      </c>
      <c r="L487" s="24">
        <v>8.9281640000000007</v>
      </c>
      <c r="M487" s="24">
        <v>671.04359999999997</v>
      </c>
      <c r="N487" s="24">
        <v>1.8666184597196922</v>
      </c>
      <c r="O487" s="24">
        <v>0.4</v>
      </c>
      <c r="P487" s="24">
        <v>8.8059701492537314</v>
      </c>
      <c r="Q487" s="24">
        <v>10</v>
      </c>
      <c r="R487" s="24">
        <v>6.04</v>
      </c>
      <c r="S487" s="24">
        <v>6.3169393431046004</v>
      </c>
      <c r="T487" s="24">
        <v>1.4831735415283598</v>
      </c>
      <c r="U487" s="24" t="s">
        <v>1965</v>
      </c>
      <c r="V487" s="24">
        <v>2700.0720000000001</v>
      </c>
      <c r="W487" s="24" t="s">
        <v>1414</v>
      </c>
      <c r="X487" s="64">
        <v>8.4895833333333339</v>
      </c>
    </row>
    <row r="488" spans="1:24" ht="14.4" x14ac:dyDescent="0.55000000000000004">
      <c r="A488" s="24" t="s">
        <v>689</v>
      </c>
      <c r="B488" s="24" t="s">
        <v>1245</v>
      </c>
      <c r="C488" s="24" t="s">
        <v>107</v>
      </c>
      <c r="D488" s="24" t="s">
        <v>72</v>
      </c>
      <c r="E488" s="24" t="s">
        <v>85</v>
      </c>
      <c r="F488" s="70">
        <v>2.7307360809986043E-4</v>
      </c>
      <c r="G488" s="24">
        <v>6.5969249999999997</v>
      </c>
      <c r="H488" s="24">
        <v>4.2660920000000004</v>
      </c>
      <c r="I488" s="24">
        <v>4.0179460000000002</v>
      </c>
      <c r="J488" s="24">
        <v>4.9603210000000004</v>
      </c>
      <c r="K488" s="24">
        <v>1.6042350000000001</v>
      </c>
      <c r="L488" s="24">
        <v>5.6014840000000001</v>
      </c>
      <c r="M488" s="24">
        <v>3.8540999999999999</v>
      </c>
      <c r="N488" s="24">
        <v>6.1811097393079866</v>
      </c>
      <c r="O488" s="24">
        <v>0.8</v>
      </c>
      <c r="P488" s="24">
        <v>7.5675675675675667</v>
      </c>
      <c r="Q488" s="24">
        <v>5.7326250553342195</v>
      </c>
      <c r="R488" s="24">
        <v>5.41</v>
      </c>
      <c r="S488" s="24">
        <v>5.1595150007236086</v>
      </c>
      <c r="T488" s="24">
        <v>1.7194764679311365</v>
      </c>
      <c r="U488" s="24" t="s">
        <v>1704</v>
      </c>
      <c r="V488" s="24">
        <v>2947.1</v>
      </c>
      <c r="W488" s="24" t="s">
        <v>1414</v>
      </c>
      <c r="X488" s="64">
        <v>8.0276816608996544</v>
      </c>
    </row>
    <row r="489" spans="1:24" ht="14.4" x14ac:dyDescent="0.55000000000000004">
      <c r="A489" s="24" t="s">
        <v>726</v>
      </c>
      <c r="B489" s="24" t="s">
        <v>1330</v>
      </c>
      <c r="C489" s="24" t="s">
        <v>105</v>
      </c>
      <c r="D489" s="24" t="s">
        <v>72</v>
      </c>
      <c r="E489" s="24" t="s">
        <v>96</v>
      </c>
      <c r="F489" s="70">
        <v>2.7292939011164865E-4</v>
      </c>
      <c r="G489" s="24">
        <v>3.7773439999999998</v>
      </c>
      <c r="H489" s="24">
        <v>4.1021799999999997</v>
      </c>
      <c r="I489" s="24">
        <v>4.6731100000000003</v>
      </c>
      <c r="J489" s="24">
        <v>4.1842110000000003</v>
      </c>
      <c r="K489" s="24">
        <v>0.38328109999999999</v>
      </c>
      <c r="L489" s="24">
        <v>1.8600939999999999</v>
      </c>
      <c r="M489" s="24">
        <v>19.653400000000001</v>
      </c>
      <c r="N489" s="24">
        <v>8.9897972428157651</v>
      </c>
      <c r="O489" s="24">
        <v>3.7</v>
      </c>
      <c r="P489" s="24">
        <v>8.8687782805429887</v>
      </c>
      <c r="Q489" s="24">
        <v>0.19647459606447218</v>
      </c>
      <c r="R489" s="24">
        <v>4.84</v>
      </c>
      <c r="S489" s="24">
        <v>3.3561612799552396</v>
      </c>
      <c r="T489" s="24">
        <v>1.7896103988791876</v>
      </c>
      <c r="U489" s="24" t="s">
        <v>2005</v>
      </c>
      <c r="V489" s="24">
        <v>2752.3</v>
      </c>
      <c r="W489" s="24" t="s">
        <v>1414</v>
      </c>
      <c r="X489" s="64">
        <v>8.8734835355285959</v>
      </c>
    </row>
    <row r="490" spans="1:24" ht="14.4" x14ac:dyDescent="0.55000000000000004">
      <c r="A490" s="24" t="s">
        <v>679</v>
      </c>
      <c r="B490" s="24" t="s">
        <v>1278</v>
      </c>
      <c r="C490" s="24" t="s">
        <v>127</v>
      </c>
      <c r="D490" s="24" t="s">
        <v>72</v>
      </c>
      <c r="E490" s="24" t="s">
        <v>88</v>
      </c>
      <c r="F490" s="70">
        <v>2.7230367820165542E-4</v>
      </c>
      <c r="G490" s="24">
        <v>4.7210859999999997</v>
      </c>
      <c r="H490" s="24">
        <v>5.6043419999999999</v>
      </c>
      <c r="I490" s="24">
        <v>3.8877320000000002</v>
      </c>
      <c r="J490" s="24">
        <v>4.7410459999999999</v>
      </c>
      <c r="K490" s="24">
        <v>0</v>
      </c>
      <c r="L490" s="24">
        <v>3.9047610000000001</v>
      </c>
      <c r="M490" s="24">
        <v>27.4998</v>
      </c>
      <c r="N490" s="24">
        <v>8.7881580877112899</v>
      </c>
      <c r="O490" s="24">
        <v>9.6999999999999993</v>
      </c>
      <c r="P490" s="24">
        <v>7.4520547945205475</v>
      </c>
      <c r="Q490" s="24">
        <v>0.38364096996018826</v>
      </c>
      <c r="R490" s="24">
        <v>0</v>
      </c>
      <c r="S490" s="24">
        <v>4.5427946714389265</v>
      </c>
      <c r="T490" s="24">
        <v>1.15656861054356</v>
      </c>
      <c r="U490" s="24" t="s">
        <v>1661</v>
      </c>
      <c r="V490" s="24">
        <v>3044.5259999999998</v>
      </c>
      <c r="W490" s="24" t="s">
        <v>1414</v>
      </c>
      <c r="X490" s="64">
        <v>8.0902777777777786</v>
      </c>
    </row>
    <row r="491" spans="1:24" ht="14.4" x14ac:dyDescent="0.55000000000000004">
      <c r="A491" s="24" t="s">
        <v>681</v>
      </c>
      <c r="B491" s="24" t="s">
        <v>1284</v>
      </c>
      <c r="C491" s="24" t="s">
        <v>127</v>
      </c>
      <c r="D491" s="24" t="s">
        <v>72</v>
      </c>
      <c r="E491" s="24" t="s">
        <v>82</v>
      </c>
      <c r="F491" s="70">
        <v>2.7199042191914123E-4</v>
      </c>
      <c r="G491" s="24">
        <v>6.2549710000000003</v>
      </c>
      <c r="H491" s="24">
        <v>3.9085930000000002</v>
      </c>
      <c r="I491" s="24">
        <v>5.4889729999999997</v>
      </c>
      <c r="J491" s="24">
        <v>5.1656389999999996</v>
      </c>
      <c r="K491" s="24">
        <v>4.7103169999999999</v>
      </c>
      <c r="L491" s="24">
        <v>16.411169999999998</v>
      </c>
      <c r="M491" s="24">
        <v>2.2827000000000002</v>
      </c>
      <c r="N491" s="24">
        <v>6.5146652848150914</v>
      </c>
      <c r="O491" s="24">
        <v>2.6</v>
      </c>
      <c r="P491" s="24">
        <v>5.8064522372529295</v>
      </c>
      <c r="Q491" s="24">
        <v>7.8707224334600765</v>
      </c>
      <c r="R491" s="24">
        <v>7.33</v>
      </c>
      <c r="S491" s="24">
        <v>7.1857748195978068</v>
      </c>
      <c r="T491" s="24">
        <v>0.95642821420778579</v>
      </c>
      <c r="U491" s="24" t="s">
        <v>1648</v>
      </c>
      <c r="V491" s="24">
        <v>3147.0030000000002</v>
      </c>
      <c r="W491" s="24" t="s">
        <v>1414</v>
      </c>
      <c r="X491" s="64">
        <v>7.8461538461538458</v>
      </c>
    </row>
    <row r="492" spans="1:24" ht="14.4" x14ac:dyDescent="0.55000000000000004">
      <c r="A492" s="24" t="s">
        <v>720</v>
      </c>
      <c r="B492" s="24" t="s">
        <v>1334</v>
      </c>
      <c r="C492" s="24" t="s">
        <v>107</v>
      </c>
      <c r="D492" s="24" t="s">
        <v>72</v>
      </c>
      <c r="E492" s="24" t="s">
        <v>94</v>
      </c>
      <c r="F492" s="70">
        <v>2.6939720034207235E-4</v>
      </c>
      <c r="G492" s="24">
        <v>7.3932979999999997</v>
      </c>
      <c r="H492" s="24">
        <v>7.1637029999999999</v>
      </c>
      <c r="I492" s="24">
        <v>6.5864710000000004</v>
      </c>
      <c r="J492" s="24">
        <v>7.024648</v>
      </c>
      <c r="K492" s="24">
        <v>6.2454869999999998</v>
      </c>
      <c r="L492" s="24">
        <v>8.9823120000000003</v>
      </c>
      <c r="M492" s="24">
        <v>20.834399999999999</v>
      </c>
      <c r="N492" s="24">
        <v>1.9016178211698795</v>
      </c>
      <c r="O492" s="24">
        <v>5</v>
      </c>
      <c r="P492" s="24">
        <v>0.55555555555555547</v>
      </c>
      <c r="Q492" s="24">
        <v>8.5705835962145098</v>
      </c>
      <c r="R492" s="24">
        <v>5.73</v>
      </c>
      <c r="S492" s="24">
        <v>5.7239739009949879</v>
      </c>
      <c r="T492" s="24">
        <v>1.2541987984015239</v>
      </c>
      <c r="U492" s="24" t="s">
        <v>1703</v>
      </c>
      <c r="V492" s="24">
        <v>2942.2750000000001</v>
      </c>
      <c r="W492" s="24" t="s">
        <v>1414</v>
      </c>
      <c r="X492" s="64">
        <v>8.5403050108932472</v>
      </c>
    </row>
    <row r="493" spans="1:24" ht="14.4" x14ac:dyDescent="0.55000000000000004">
      <c r="A493" s="24" t="s">
        <v>700</v>
      </c>
      <c r="B493" s="24" t="s">
        <v>1048</v>
      </c>
      <c r="C493" s="24" t="s">
        <v>113</v>
      </c>
      <c r="D493" s="24" t="s">
        <v>72</v>
      </c>
      <c r="E493" s="24" t="s">
        <v>99</v>
      </c>
      <c r="F493" s="70">
        <v>2.6888348005512497E-4</v>
      </c>
      <c r="G493" s="24">
        <v>6.2220300000000002</v>
      </c>
      <c r="H493" s="24">
        <v>7.428134</v>
      </c>
      <c r="I493" s="24">
        <v>6.8441689999999999</v>
      </c>
      <c r="J493" s="24">
        <v>6.5876780000000004</v>
      </c>
      <c r="K493" s="24">
        <v>4.7948729999999999</v>
      </c>
      <c r="L493" s="24">
        <v>12.36477</v>
      </c>
      <c r="M493" s="24">
        <v>635.30780000000004</v>
      </c>
      <c r="N493" s="24">
        <v>7.4362673886132802</v>
      </c>
      <c r="O493" s="24">
        <v>9.5</v>
      </c>
      <c r="P493" s="24">
        <v>6.4485981308411224</v>
      </c>
      <c r="Q493" s="24">
        <v>9.184371236200878</v>
      </c>
      <c r="R493" s="24">
        <v>5.13</v>
      </c>
      <c r="S493" s="24">
        <v>8.1399627630213374</v>
      </c>
      <c r="T493" s="24">
        <v>0.73314777519094543</v>
      </c>
      <c r="U493" s="24" t="s">
        <v>1482</v>
      </c>
      <c r="V493" s="24">
        <v>3182.75</v>
      </c>
      <c r="W493" s="24" t="s">
        <v>1414</v>
      </c>
      <c r="X493" s="64">
        <v>8.2405745062836626</v>
      </c>
    </row>
    <row r="494" spans="1:24" ht="14.4" x14ac:dyDescent="0.55000000000000004">
      <c r="A494" s="24" t="s">
        <v>693</v>
      </c>
      <c r="B494" s="24" t="s">
        <v>1037</v>
      </c>
      <c r="C494" s="24" t="s">
        <v>108</v>
      </c>
      <c r="D494" s="24" t="s">
        <v>72</v>
      </c>
      <c r="E494" s="24" t="s">
        <v>89</v>
      </c>
      <c r="F494" s="70">
        <v>2.6880051217710441E-4</v>
      </c>
      <c r="G494" s="24">
        <v>5.14222</v>
      </c>
      <c r="H494" s="24">
        <v>5.4965130000000002</v>
      </c>
      <c r="I494" s="24">
        <v>4.6384350000000003</v>
      </c>
      <c r="J494" s="24">
        <v>5.097372</v>
      </c>
      <c r="K494" s="24">
        <v>1.2246330000000001</v>
      </c>
      <c r="L494" s="24">
        <v>2.7946270000000002</v>
      </c>
      <c r="M494" s="24">
        <v>72.491799999999998</v>
      </c>
      <c r="N494" s="24">
        <v>5.5089697208139299</v>
      </c>
      <c r="O494" s="24">
        <v>8.5</v>
      </c>
      <c r="P494" s="24">
        <v>5.9459459459459456</v>
      </c>
      <c r="Q494" s="24">
        <v>1.1564851704293935</v>
      </c>
      <c r="R494" s="24">
        <v>4.8</v>
      </c>
      <c r="S494" s="24">
        <v>2.3437682768446919</v>
      </c>
      <c r="T494" s="24">
        <v>2.2020650506367434</v>
      </c>
      <c r="U494" s="24" t="s">
        <v>1944</v>
      </c>
      <c r="V494" s="24">
        <v>3095.0259999999998</v>
      </c>
      <c r="W494" s="24" t="s">
        <v>1414</v>
      </c>
      <c r="X494" s="64">
        <v>8.0968858131487877</v>
      </c>
    </row>
    <row r="495" spans="1:24" ht="14.4" x14ac:dyDescent="0.55000000000000004">
      <c r="A495" s="24" t="s">
        <v>707</v>
      </c>
      <c r="B495" s="24" t="s">
        <v>1160</v>
      </c>
      <c r="C495" s="24" t="s">
        <v>127</v>
      </c>
      <c r="D495" s="24" t="s">
        <v>72</v>
      </c>
      <c r="E495" s="24" t="s">
        <v>88</v>
      </c>
      <c r="F495" s="70">
        <v>2.6853029110273117E-4</v>
      </c>
      <c r="G495" s="24">
        <v>7.0714969999999999</v>
      </c>
      <c r="H495" s="24">
        <v>6.0911790000000003</v>
      </c>
      <c r="I495" s="24">
        <v>7.1583389999999998</v>
      </c>
      <c r="J495" s="24">
        <v>6.7141060000000001</v>
      </c>
      <c r="K495" s="24">
        <v>0.11723219999999999</v>
      </c>
      <c r="L495" s="24">
        <v>2.5755460000000001</v>
      </c>
      <c r="M495" s="24">
        <v>5.0499000000000001</v>
      </c>
      <c r="N495" s="24">
        <v>7.8448496315927532</v>
      </c>
      <c r="O495" s="24">
        <v>9.4</v>
      </c>
      <c r="P495" s="24">
        <v>6.5205479452054789</v>
      </c>
      <c r="Q495" s="24">
        <v>0.25186302513989822</v>
      </c>
      <c r="R495" s="24">
        <v>0</v>
      </c>
      <c r="S495" s="24">
        <v>3.6145511716675598</v>
      </c>
      <c r="T495" s="24">
        <v>1.2768547127454564</v>
      </c>
      <c r="U495" s="24" t="s">
        <v>1659</v>
      </c>
      <c r="V495" s="24">
        <v>3199.23</v>
      </c>
      <c r="W495" s="24" t="s">
        <v>1414</v>
      </c>
      <c r="X495" s="64">
        <v>8.5763888888888893</v>
      </c>
    </row>
    <row r="496" spans="1:24" ht="14.4" x14ac:dyDescent="0.55000000000000004">
      <c r="A496" s="24" t="s">
        <v>705</v>
      </c>
      <c r="B496" s="24" t="s">
        <v>1251</v>
      </c>
      <c r="C496" s="24" t="s">
        <v>112</v>
      </c>
      <c r="D496" s="24" t="s">
        <v>72</v>
      </c>
      <c r="E496" s="24" t="s">
        <v>97</v>
      </c>
      <c r="F496" s="70">
        <v>2.6691256760414983E-4</v>
      </c>
      <c r="G496" s="24">
        <v>5.8306579999999997</v>
      </c>
      <c r="H496" s="24">
        <v>6.8869899999999999</v>
      </c>
      <c r="I496" s="24">
        <v>5.0747790000000004</v>
      </c>
      <c r="J496" s="24">
        <v>5.930809</v>
      </c>
      <c r="K496" s="24">
        <v>6.8803289999999997</v>
      </c>
      <c r="L496" s="24">
        <v>8.8327530000000003</v>
      </c>
      <c r="M496" s="24">
        <v>10.917899999999999</v>
      </c>
      <c r="N496" s="24">
        <v>1.4018119998905139</v>
      </c>
      <c r="O496" s="24">
        <v>6</v>
      </c>
      <c r="P496" s="24">
        <v>8.3458646616541348</v>
      </c>
      <c r="Q496" s="24">
        <v>6.2342399393129799</v>
      </c>
      <c r="R496" s="24">
        <v>8.1199999999999992</v>
      </c>
      <c r="S496" s="24">
        <v>6.5445230749658743</v>
      </c>
      <c r="T496" s="24">
        <v>0.47342237915491242</v>
      </c>
      <c r="U496" s="24" t="s">
        <v>1618</v>
      </c>
      <c r="V496" s="24">
        <v>3175.6880000000001</v>
      </c>
      <c r="W496" s="24" t="s">
        <v>1414</v>
      </c>
      <c r="X496" s="64">
        <v>8.3012259194395792</v>
      </c>
    </row>
    <row r="497" spans="1:24" ht="14.4" x14ac:dyDescent="0.55000000000000004">
      <c r="A497" s="24" t="s">
        <v>687</v>
      </c>
      <c r="B497" s="24" t="s">
        <v>1403</v>
      </c>
      <c r="C497" s="24" t="s">
        <v>106</v>
      </c>
      <c r="D497" s="24" t="s">
        <v>72</v>
      </c>
      <c r="E497" s="24" t="s">
        <v>89</v>
      </c>
      <c r="F497" s="70">
        <v>2.662909590512119E-4</v>
      </c>
      <c r="G497" s="24">
        <v>5.1471410000000004</v>
      </c>
      <c r="H497" s="24">
        <v>6.4972700000000003</v>
      </c>
      <c r="I497" s="24">
        <v>4.8924370000000001</v>
      </c>
      <c r="J497" s="24">
        <v>5.4757689999999997</v>
      </c>
      <c r="K497" s="24">
        <v>1.948709</v>
      </c>
      <c r="L497" s="24">
        <v>8.9483149999999991</v>
      </c>
      <c r="M497" s="24">
        <v>2.4990999999999999</v>
      </c>
      <c r="N497" s="24">
        <v>6.5787773253175992</v>
      </c>
      <c r="O497" s="24">
        <v>8.9</v>
      </c>
      <c r="P497" s="24">
        <v>7.2672672672672656</v>
      </c>
      <c r="Q497" s="24">
        <v>4.6102622841965477</v>
      </c>
      <c r="R497" s="24">
        <v>5.43</v>
      </c>
      <c r="S497" s="24">
        <v>7.2211173093734908</v>
      </c>
      <c r="T497" s="24">
        <v>0.93825705083989397</v>
      </c>
      <c r="U497" s="24" t="s">
        <v>1469</v>
      </c>
      <c r="V497" s="24">
        <v>2707.1779999999999</v>
      </c>
      <c r="W497" s="24" t="s">
        <v>1414</v>
      </c>
      <c r="X497" s="64">
        <v>7.9930795847750868</v>
      </c>
    </row>
    <row r="498" spans="1:24" ht="14.4" x14ac:dyDescent="0.55000000000000004">
      <c r="A498" s="24" t="s">
        <v>719</v>
      </c>
      <c r="B498" s="24" t="s">
        <v>959</v>
      </c>
      <c r="C498" s="24" t="s">
        <v>108</v>
      </c>
      <c r="D498" s="24" t="s">
        <v>72</v>
      </c>
      <c r="E498" s="24" t="s">
        <v>90</v>
      </c>
      <c r="F498" s="70">
        <v>2.6558368040950972E-4</v>
      </c>
      <c r="G498" s="24">
        <v>7.1645750000000001</v>
      </c>
      <c r="H498" s="24">
        <v>6.3571119999999999</v>
      </c>
      <c r="I498" s="24">
        <v>5.9058909999999996</v>
      </c>
      <c r="J498" s="24">
        <v>6.4414230000000003</v>
      </c>
      <c r="K498" s="24">
        <v>4.6394799999999998</v>
      </c>
      <c r="L498" s="24">
        <v>4.9154859999999996</v>
      </c>
      <c r="M498" s="24">
        <v>0.31291999999999998</v>
      </c>
      <c r="N498" s="24">
        <v>4.4706683992057004</v>
      </c>
      <c r="O498" s="24">
        <v>1.1000000000000001</v>
      </c>
      <c r="P498" s="24">
        <v>7.1236566799630836</v>
      </c>
      <c r="Q498" s="24">
        <v>1.0237994648641038</v>
      </c>
      <c r="R498" s="24">
        <v>4.29</v>
      </c>
      <c r="S498" s="24">
        <v>3.1271425060739948</v>
      </c>
      <c r="T498" s="24">
        <v>0.65738164601466975</v>
      </c>
      <c r="U498" s="24" t="s">
        <v>1942</v>
      </c>
      <c r="V498" s="24">
        <v>2843.866</v>
      </c>
      <c r="W498" s="24" t="s">
        <v>1414</v>
      </c>
      <c r="X498" s="64">
        <v>8.4957264957264957</v>
      </c>
    </row>
    <row r="499" spans="1:24" ht="14.4" x14ac:dyDescent="0.55000000000000004">
      <c r="A499" s="24" t="s">
        <v>704</v>
      </c>
      <c r="B499" s="24" t="s">
        <v>1188</v>
      </c>
      <c r="C499" s="24" t="s">
        <v>107</v>
      </c>
      <c r="D499" s="24" t="s">
        <v>72</v>
      </c>
      <c r="E499" s="24" t="s">
        <v>99</v>
      </c>
      <c r="F499" s="70">
        <v>2.6538671927085538E-4</v>
      </c>
      <c r="G499" s="24">
        <v>8.9028349999999996</v>
      </c>
      <c r="H499" s="24">
        <v>7.8387969999999996</v>
      </c>
      <c r="I499" s="24">
        <v>4.6503550000000002</v>
      </c>
      <c r="J499" s="24">
        <v>7.839531</v>
      </c>
      <c r="K499" s="24">
        <v>0.45512819999999998</v>
      </c>
      <c r="L499" s="24">
        <v>1.951092</v>
      </c>
      <c r="M499" s="24">
        <v>32.715800000000002</v>
      </c>
      <c r="N499" s="24">
        <v>5.0347624525188355</v>
      </c>
      <c r="O499" s="24">
        <v>8.5</v>
      </c>
      <c r="P499" s="24">
        <v>1.9314641744548289</v>
      </c>
      <c r="Q499" s="24">
        <v>0</v>
      </c>
      <c r="R499" s="24">
        <v>2.98</v>
      </c>
      <c r="S499" s="24">
        <v>1.6460170482367733</v>
      </c>
      <c r="T499" s="24">
        <v>0.65927189527864294</v>
      </c>
      <c r="U499" s="24" t="s">
        <v>1746</v>
      </c>
      <c r="V499" s="24">
        <v>2674.85</v>
      </c>
      <c r="W499" s="24" t="s">
        <v>1414</v>
      </c>
      <c r="X499" s="64">
        <v>8.3123877917414717</v>
      </c>
    </row>
    <row r="500" spans="1:24" ht="14.4" x14ac:dyDescent="0.55000000000000004">
      <c r="A500" s="24" t="s">
        <v>702</v>
      </c>
      <c r="B500" s="24" t="s">
        <v>913</v>
      </c>
      <c r="C500" s="24" t="s">
        <v>126</v>
      </c>
      <c r="D500" s="24" t="s">
        <v>72</v>
      </c>
      <c r="E500" s="24" t="s">
        <v>87</v>
      </c>
      <c r="F500" s="70">
        <v>2.6442213011722222E-4</v>
      </c>
      <c r="G500" s="24">
        <v>5.0516449999999997</v>
      </c>
      <c r="H500" s="24">
        <v>5.4645970000000004</v>
      </c>
      <c r="I500" s="24">
        <v>5.0481579999999999</v>
      </c>
      <c r="J500" s="24">
        <v>5.1744849999999998</v>
      </c>
      <c r="K500" s="24">
        <v>2.3315269999999999</v>
      </c>
      <c r="L500" s="24">
        <v>8.4559739999999994</v>
      </c>
      <c r="M500" s="24">
        <v>67.165099999999995</v>
      </c>
      <c r="N500" s="24">
        <v>2.2792444513091845</v>
      </c>
      <c r="O500" s="24">
        <v>3.6</v>
      </c>
      <c r="P500" s="24">
        <v>5.98326359832636</v>
      </c>
      <c r="Q500" s="24">
        <v>7.0023426850530992</v>
      </c>
      <c r="R500" s="24">
        <v>4.13</v>
      </c>
      <c r="S500" s="24">
        <v>5.8342533674748802</v>
      </c>
      <c r="T500" s="24">
        <v>0.59447717115139953</v>
      </c>
      <c r="U500" s="24" t="s">
        <v>1860</v>
      </c>
      <c r="V500" s="24">
        <v>2767.01</v>
      </c>
      <c r="W500" s="24" t="s">
        <v>1414</v>
      </c>
      <c r="X500" s="64">
        <v>8.6500888099467144</v>
      </c>
    </row>
    <row r="501" spans="1:24" ht="14.4" x14ac:dyDescent="0.55000000000000004">
      <c r="A501" s="24" t="s">
        <v>712</v>
      </c>
      <c r="B501" s="24" t="s">
        <v>1390</v>
      </c>
      <c r="C501" s="24" t="s">
        <v>106</v>
      </c>
      <c r="D501" s="24" t="s">
        <v>72</v>
      </c>
      <c r="E501" s="24" t="s">
        <v>99</v>
      </c>
      <c r="F501" s="70">
        <v>2.6339418913393043E-4</v>
      </c>
      <c r="G501" s="24">
        <v>7.495673</v>
      </c>
      <c r="H501" s="24">
        <v>5.6061940000000003</v>
      </c>
      <c r="I501" s="24">
        <v>6.529979</v>
      </c>
      <c r="J501" s="24">
        <v>6.9246379999999998</v>
      </c>
      <c r="K501" s="24">
        <v>4.0347739999999996</v>
      </c>
      <c r="L501" s="24">
        <v>25.68094</v>
      </c>
      <c r="M501" s="24">
        <v>286.00639999999999</v>
      </c>
      <c r="N501" s="24">
        <v>7.0770547998777751</v>
      </c>
      <c r="O501" s="24">
        <v>8.3000000000000007</v>
      </c>
      <c r="P501" s="24">
        <v>7.7881619937694699</v>
      </c>
      <c r="Q501" s="24">
        <v>8.950376218290776</v>
      </c>
      <c r="R501" s="24">
        <v>7.04</v>
      </c>
      <c r="S501" s="24">
        <v>8.1284302673602831</v>
      </c>
      <c r="T501" s="24">
        <v>0.95495156899669764</v>
      </c>
      <c r="U501" s="24" t="s">
        <v>1472</v>
      </c>
      <c r="V501" s="24">
        <v>2982.7570000000001</v>
      </c>
      <c r="W501" s="24" t="s">
        <v>1414</v>
      </c>
      <c r="X501" s="64">
        <v>8.4560143626570916</v>
      </c>
    </row>
    <row r="502" spans="1:24" ht="14.4" x14ac:dyDescent="0.55000000000000004">
      <c r="A502" s="24" t="s">
        <v>710</v>
      </c>
      <c r="B502" s="24" t="s">
        <v>1349</v>
      </c>
      <c r="C502" s="24" t="s">
        <v>127</v>
      </c>
      <c r="D502" s="24" t="s">
        <v>72</v>
      </c>
      <c r="E502" s="24" t="s">
        <v>87</v>
      </c>
      <c r="F502" s="70">
        <v>2.6148132417300581E-4</v>
      </c>
      <c r="G502" s="24">
        <v>5.3062829999999996</v>
      </c>
      <c r="H502" s="24">
        <v>4.568149</v>
      </c>
      <c r="I502" s="24">
        <v>6.997865</v>
      </c>
      <c r="J502" s="24">
        <v>5.5923170000000004</v>
      </c>
      <c r="K502" s="24">
        <v>3.0995689999999998</v>
      </c>
      <c r="L502" s="24">
        <v>5.9840350000000004</v>
      </c>
      <c r="M502" s="24">
        <v>4.3426999999999998</v>
      </c>
      <c r="N502" s="24">
        <v>6.1687103191892643</v>
      </c>
      <c r="O502" s="24">
        <v>6.5</v>
      </c>
      <c r="P502" s="24">
        <v>7.8661087866108792</v>
      </c>
      <c r="Q502" s="24">
        <v>2.6033359750620804</v>
      </c>
      <c r="R502" s="24">
        <v>5.74</v>
      </c>
      <c r="S502" s="24">
        <v>5.279842216003785</v>
      </c>
      <c r="T502" s="24">
        <v>0.65048739603883854</v>
      </c>
      <c r="U502" s="24" t="s">
        <v>1655</v>
      </c>
      <c r="V502" s="24">
        <v>3776.8130000000001</v>
      </c>
      <c r="W502" s="24" t="s">
        <v>1414</v>
      </c>
      <c r="X502" s="64">
        <v>8.7921847246891645</v>
      </c>
    </row>
    <row r="503" spans="1:24" ht="14.4" x14ac:dyDescent="0.55000000000000004">
      <c r="A503" s="24" t="s">
        <v>701</v>
      </c>
      <c r="B503" s="24" t="s">
        <v>1308</v>
      </c>
      <c r="C503" s="24" t="s">
        <v>125</v>
      </c>
      <c r="D503" s="24" t="s">
        <v>72</v>
      </c>
      <c r="E503" s="24" t="s">
        <v>89</v>
      </c>
      <c r="F503" s="70">
        <v>2.6112353145415975E-4</v>
      </c>
      <c r="G503" s="24">
        <v>7.5370189999999999</v>
      </c>
      <c r="H503" s="24">
        <v>5.7077239999999998</v>
      </c>
      <c r="I503" s="24">
        <v>7.384169</v>
      </c>
      <c r="J503" s="24">
        <v>6.9423760000000003</v>
      </c>
      <c r="K503" s="24">
        <v>7.4054820000000001</v>
      </c>
      <c r="L503" s="24">
        <v>9.2599540000000005</v>
      </c>
      <c r="M503" s="24">
        <v>48.833799999999997</v>
      </c>
      <c r="N503" s="24">
        <v>3.4104169695086677</v>
      </c>
      <c r="O503" s="24">
        <v>1.8</v>
      </c>
      <c r="P503" s="24">
        <v>6.1261261261261248</v>
      </c>
      <c r="Q503" s="24">
        <v>8.2934926958831348</v>
      </c>
      <c r="R503" s="24">
        <v>8.0700009999999995</v>
      </c>
      <c r="S503" s="24">
        <v>6.816283788195225</v>
      </c>
      <c r="T503" s="24">
        <v>1.1227487760873494</v>
      </c>
      <c r="U503" s="24" t="s">
        <v>1919</v>
      </c>
      <c r="V503" s="24">
        <v>2671.4189999999999</v>
      </c>
      <c r="W503" s="24" t="s">
        <v>1414</v>
      </c>
      <c r="X503" s="64">
        <v>8.235294117647058</v>
      </c>
    </row>
    <row r="504" spans="1:24" ht="14.4" x14ac:dyDescent="0.55000000000000004">
      <c r="A504" s="24" t="s">
        <v>717</v>
      </c>
      <c r="B504" s="24" t="s">
        <v>1400</v>
      </c>
      <c r="C504" s="24" t="s">
        <v>106</v>
      </c>
      <c r="D504" s="24" t="s">
        <v>72</v>
      </c>
      <c r="E504" s="24" t="s">
        <v>89</v>
      </c>
      <c r="F504" s="70">
        <v>2.6085871480127393E-4</v>
      </c>
      <c r="G504" s="24">
        <v>7.4914389999999997</v>
      </c>
      <c r="H504" s="24">
        <v>5.5499520000000002</v>
      </c>
      <c r="I504" s="24">
        <v>6.9272499999999999</v>
      </c>
      <c r="J504" s="24">
        <v>6.7397359999999997</v>
      </c>
      <c r="K504" s="24">
        <v>2.957068</v>
      </c>
      <c r="L504" s="24">
        <v>9.5451329999999999</v>
      </c>
      <c r="M504" s="24">
        <v>38.642299999999999</v>
      </c>
      <c r="N504" s="24">
        <v>4.6444782950301136</v>
      </c>
      <c r="O504" s="24">
        <v>8.1999999999999993</v>
      </c>
      <c r="P504" s="24">
        <v>4.9849849849849832</v>
      </c>
      <c r="Q504" s="24">
        <v>6.5139442231075702</v>
      </c>
      <c r="R504" s="24">
        <v>6.55</v>
      </c>
      <c r="S504" s="24">
        <v>6.8515039643071995</v>
      </c>
      <c r="T504" s="24">
        <v>0.83066259751776916</v>
      </c>
      <c r="U504" s="24" t="s">
        <v>1829</v>
      </c>
      <c r="V504" s="24">
        <v>2730.7840000000001</v>
      </c>
      <c r="W504" s="24" t="s">
        <v>1414</v>
      </c>
      <c r="X504" s="64">
        <v>8.5121107266435985</v>
      </c>
    </row>
    <row r="505" spans="1:24" ht="14.4" x14ac:dyDescent="0.55000000000000004">
      <c r="A505" s="24" t="s">
        <v>709</v>
      </c>
      <c r="B505" s="24" t="s">
        <v>955</v>
      </c>
      <c r="C505" s="24" t="s">
        <v>127</v>
      </c>
      <c r="D505" s="24" t="s">
        <v>72</v>
      </c>
      <c r="E505" s="24" t="s">
        <v>97</v>
      </c>
      <c r="F505" s="70">
        <v>2.5878391735948417E-4</v>
      </c>
      <c r="G505" s="24">
        <v>5.6035209999999998</v>
      </c>
      <c r="H505" s="24">
        <v>4.5096759999999998</v>
      </c>
      <c r="I505" s="24">
        <v>6.8177649999999996</v>
      </c>
      <c r="J505" s="24">
        <v>5.6436539999999997</v>
      </c>
      <c r="K505" s="24">
        <v>3.8814689999999999E-2</v>
      </c>
      <c r="L505" s="24">
        <v>4.5547019999999998</v>
      </c>
      <c r="M505" s="24">
        <v>2.6093999999999999</v>
      </c>
      <c r="N505" s="24">
        <v>3.2658596213982101</v>
      </c>
      <c r="O505" s="24">
        <v>3.1</v>
      </c>
      <c r="P505" s="24">
        <v>3.9849624060150375</v>
      </c>
      <c r="Q505" s="24">
        <v>3.3716688915453554</v>
      </c>
      <c r="R505" s="24">
        <v>0</v>
      </c>
      <c r="S505" s="24">
        <v>2.8521586280646094</v>
      </c>
      <c r="T505" s="24">
        <v>1.2857302367941283</v>
      </c>
      <c r="U505" s="24" t="s">
        <v>1645</v>
      </c>
      <c r="V505" s="24">
        <v>2925.0819999999999</v>
      </c>
      <c r="W505" s="24" t="s">
        <v>1414</v>
      </c>
      <c r="X505" s="64">
        <v>8.3712784588441345</v>
      </c>
    </row>
    <row r="506" spans="1:24" ht="14.4" x14ac:dyDescent="0.55000000000000004">
      <c r="A506" s="24" t="s">
        <v>2017</v>
      </c>
      <c r="B506" s="24" t="s">
        <v>2018</v>
      </c>
      <c r="C506" s="24" t="s">
        <v>109</v>
      </c>
      <c r="D506" s="24" t="s">
        <v>72</v>
      </c>
      <c r="E506" s="24" t="s">
        <v>86</v>
      </c>
      <c r="F506" s="70">
        <v>2.5835216413176335E-4</v>
      </c>
      <c r="G506" s="24">
        <v>1.731303</v>
      </c>
      <c r="H506" s="24">
        <v>0.74348610000000004</v>
      </c>
      <c r="I506" s="24">
        <v>3.9305189999999999</v>
      </c>
      <c r="J506" s="24">
        <v>2.2158630000000001</v>
      </c>
      <c r="K506" s="24">
        <v>0.80792679999999995</v>
      </c>
      <c r="L506" s="24">
        <v>2.7620640000000001</v>
      </c>
      <c r="M506" s="24">
        <v>27.4998</v>
      </c>
      <c r="N506" s="24">
        <v>2.4266728884818005</v>
      </c>
      <c r="O506" s="24">
        <v>9.9</v>
      </c>
      <c r="P506" s="24">
        <v>2.0967744190080024</v>
      </c>
      <c r="Q506" s="24">
        <v>1.7814392339107168</v>
      </c>
      <c r="R506" s="24">
        <v>0</v>
      </c>
      <c r="S506" s="24" t="e">
        <v>#N/A</v>
      </c>
      <c r="T506" s="24">
        <v>-3.1423454576460811E-3</v>
      </c>
      <c r="U506" s="24" t="s">
        <v>2019</v>
      </c>
      <c r="V506" s="24">
        <v>0</v>
      </c>
      <c r="W506" s="24" t="s">
        <v>1414</v>
      </c>
      <c r="X506" s="64" t="e">
        <v>#N/A</v>
      </c>
    </row>
    <row r="507" spans="1:24" ht="14.4" x14ac:dyDescent="0.55000000000000004">
      <c r="A507" s="24" t="s">
        <v>730</v>
      </c>
      <c r="B507" s="24" t="s">
        <v>1226</v>
      </c>
      <c r="C507" s="24" t="s">
        <v>113</v>
      </c>
      <c r="D507" s="24" t="s">
        <v>72</v>
      </c>
      <c r="E507" s="24" t="s">
        <v>99</v>
      </c>
      <c r="F507" s="70">
        <v>2.581172719608174E-4</v>
      </c>
      <c r="G507" s="24">
        <v>7.9884849999999998</v>
      </c>
      <c r="H507" s="24">
        <v>7.3562289999999999</v>
      </c>
      <c r="I507" s="24">
        <v>7.6134259999999996</v>
      </c>
      <c r="J507" s="24">
        <v>7.7870220000000003</v>
      </c>
      <c r="K507" s="24">
        <v>7.0304089999999997</v>
      </c>
      <c r="L507" s="24">
        <v>11.338469999999999</v>
      </c>
      <c r="M507" s="24">
        <v>78.1892</v>
      </c>
      <c r="N507" s="24">
        <v>6.9206255016656426</v>
      </c>
      <c r="O507" s="24">
        <v>3.3</v>
      </c>
      <c r="P507" s="24">
        <v>5.8566978193146397</v>
      </c>
      <c r="Q507" s="24">
        <v>5.2066523171158057</v>
      </c>
      <c r="R507" s="24">
        <v>7.66</v>
      </c>
      <c r="S507" s="24">
        <v>7.6915185507961361</v>
      </c>
      <c r="T507" s="24">
        <v>0.67205160684673704</v>
      </c>
      <c r="U507" s="24" t="s">
        <v>1486</v>
      </c>
      <c r="V507" s="24">
        <v>2663.07</v>
      </c>
      <c r="W507" s="24" t="s">
        <v>1414</v>
      </c>
      <c r="X507" s="64">
        <v>8.7791741472172351</v>
      </c>
    </row>
    <row r="508" spans="1:24" ht="14.4" x14ac:dyDescent="0.55000000000000004">
      <c r="A508" s="24" t="s">
        <v>715</v>
      </c>
      <c r="B508" s="24" t="s">
        <v>899</v>
      </c>
      <c r="C508" s="24" t="s">
        <v>107</v>
      </c>
      <c r="D508" s="24" t="s">
        <v>72</v>
      </c>
      <c r="E508" s="24" t="s">
        <v>85</v>
      </c>
      <c r="F508" s="70">
        <v>2.568519367595947E-4</v>
      </c>
      <c r="G508" s="24">
        <v>6.5085620000000004</v>
      </c>
      <c r="H508" s="24">
        <v>3.6304970000000001</v>
      </c>
      <c r="I508" s="24">
        <v>7.1208479999999996</v>
      </c>
      <c r="J508" s="24">
        <v>6.1166340000000003</v>
      </c>
      <c r="K508" s="24">
        <v>2.8798140000000001</v>
      </c>
      <c r="L508" s="24">
        <v>9.9520900000000001</v>
      </c>
      <c r="M508" s="24">
        <v>2.9279999999999999</v>
      </c>
      <c r="N508" s="24">
        <v>5.3771344120538398</v>
      </c>
      <c r="O508" s="24">
        <v>5.4</v>
      </c>
      <c r="P508" s="24">
        <v>7.6876876876876867</v>
      </c>
      <c r="Q508" s="24">
        <v>7.2572675962815412</v>
      </c>
      <c r="R508" s="24">
        <v>6.62</v>
      </c>
      <c r="S508" s="24">
        <v>7.383458113365613</v>
      </c>
      <c r="T508" s="24">
        <v>1.4319801749881487</v>
      </c>
      <c r="U508" s="24" t="s">
        <v>1496</v>
      </c>
      <c r="V508" s="24">
        <v>2972.4409999999998</v>
      </c>
      <c r="W508" s="24" t="s">
        <v>1414</v>
      </c>
      <c r="X508" s="64">
        <v>8.4775086505190309</v>
      </c>
    </row>
    <row r="509" spans="1:24" ht="14.4" x14ac:dyDescent="0.55000000000000004">
      <c r="A509" s="24" t="s">
        <v>741</v>
      </c>
      <c r="B509" s="24" t="s">
        <v>1178</v>
      </c>
      <c r="C509" s="24" t="s">
        <v>112</v>
      </c>
      <c r="D509" s="24" t="s">
        <v>72</v>
      </c>
      <c r="E509" s="24" t="s">
        <v>94</v>
      </c>
      <c r="F509" s="70">
        <v>2.5680990237024774E-4</v>
      </c>
      <c r="G509" s="24">
        <v>6.0832230000000003</v>
      </c>
      <c r="H509" s="24">
        <v>7.1292499999999999</v>
      </c>
      <c r="I509" s="24">
        <v>6.408785</v>
      </c>
      <c r="J509" s="24">
        <v>6.4226530000000004</v>
      </c>
      <c r="K509" s="24">
        <v>2.6792820000000002</v>
      </c>
      <c r="L509" s="24">
        <v>7.253476</v>
      </c>
      <c r="M509" s="24">
        <v>21.7563</v>
      </c>
      <c r="N509" s="24">
        <v>0</v>
      </c>
      <c r="O509" s="24">
        <v>7.6</v>
      </c>
      <c r="P509" s="24">
        <v>2.1875000000000004</v>
      </c>
      <c r="Q509" s="24">
        <v>4.4855191903259728</v>
      </c>
      <c r="R509" s="24">
        <v>0</v>
      </c>
      <c r="S509" s="24">
        <v>4.8133927828212162</v>
      </c>
      <c r="T509" s="24">
        <v>1.2618053312148403</v>
      </c>
      <c r="U509" s="24" t="s">
        <v>1611</v>
      </c>
      <c r="V509" s="24">
        <v>2512.527</v>
      </c>
      <c r="W509" s="24" t="s">
        <v>1414</v>
      </c>
      <c r="X509" s="64">
        <v>8.9978213507625266</v>
      </c>
    </row>
    <row r="510" spans="1:24" ht="14.4" x14ac:dyDescent="0.55000000000000004">
      <c r="A510" s="24" t="s">
        <v>2033</v>
      </c>
      <c r="B510" s="24" t="s">
        <v>2034</v>
      </c>
      <c r="C510" s="24" t="s">
        <v>125</v>
      </c>
      <c r="D510" s="24" t="s">
        <v>72</v>
      </c>
      <c r="E510" s="24" t="s">
        <v>87</v>
      </c>
      <c r="F510" s="70">
        <v>2.5477703923592557E-4</v>
      </c>
      <c r="G510" s="24">
        <v>0</v>
      </c>
      <c r="H510" s="24">
        <v>0</v>
      </c>
      <c r="I510" s="24">
        <v>0</v>
      </c>
      <c r="J510" s="24">
        <v>0</v>
      </c>
      <c r="K510" s="24">
        <v>1.0654330000000001</v>
      </c>
      <c r="L510" s="24" t="e">
        <v>#N/A</v>
      </c>
      <c r="M510" s="24" t="e">
        <v>#N/A</v>
      </c>
      <c r="N510" s="24">
        <v>10</v>
      </c>
      <c r="O510" s="24">
        <v>7.9</v>
      </c>
      <c r="P510" s="24" t="e">
        <v>#N/A</v>
      </c>
      <c r="Q510" s="24">
        <v>0.508797062397633</v>
      </c>
      <c r="R510" s="24">
        <v>0</v>
      </c>
      <c r="S510" s="24" t="e">
        <v>#N/A</v>
      </c>
      <c r="T510" s="24">
        <v>3.7112576949632783E-2</v>
      </c>
      <c r="U510" s="24" t="s">
        <v>2035</v>
      </c>
      <c r="V510" s="24">
        <v>0</v>
      </c>
      <c r="W510" s="24" t="s">
        <v>1414</v>
      </c>
      <c r="X510" s="64" t="e">
        <v>#N/A</v>
      </c>
    </row>
    <row r="511" spans="1:24" ht="14.4" x14ac:dyDescent="0.55000000000000004">
      <c r="A511" s="24" t="s">
        <v>713</v>
      </c>
      <c r="B511" s="24" t="s">
        <v>1396</v>
      </c>
      <c r="C511" s="24" t="s">
        <v>105</v>
      </c>
      <c r="D511" s="24" t="s">
        <v>72</v>
      </c>
      <c r="E511" s="24" t="s">
        <v>94</v>
      </c>
      <c r="F511" s="70">
        <v>2.5420276941194261E-4</v>
      </c>
      <c r="G511" s="24" t="e">
        <v>#N/A</v>
      </c>
      <c r="H511" s="24" t="e">
        <v>#N/A</v>
      </c>
      <c r="I511" s="24" t="e">
        <v>#N/A</v>
      </c>
      <c r="J511" s="24" t="e">
        <v>#N/A</v>
      </c>
      <c r="K511" s="24">
        <v>0.43197760000000002</v>
      </c>
      <c r="L511" s="24">
        <v>2.3386589999999998</v>
      </c>
      <c r="M511" s="24" t="e">
        <v>#N/A</v>
      </c>
      <c r="N511" s="24">
        <v>9.8646424473187508</v>
      </c>
      <c r="O511" s="24">
        <v>9.3000000000000007</v>
      </c>
      <c r="P511" s="24">
        <v>7.5347222222222241</v>
      </c>
      <c r="Q511" s="24">
        <v>0</v>
      </c>
      <c r="R511" s="24">
        <v>5.35</v>
      </c>
      <c r="S511" s="24">
        <v>3.385365896466058</v>
      </c>
      <c r="T511" s="24">
        <v>1.1617143592360168</v>
      </c>
      <c r="U511" s="24" t="s">
        <v>1998</v>
      </c>
      <c r="V511" s="24">
        <v>2629.6660000000002</v>
      </c>
      <c r="W511" s="24" t="s">
        <v>1414</v>
      </c>
      <c r="X511" s="64">
        <v>8.3877995642701535</v>
      </c>
    </row>
    <row r="512" spans="1:24" ht="14.4" x14ac:dyDescent="0.55000000000000004">
      <c r="A512" s="24" t="s">
        <v>737</v>
      </c>
      <c r="B512" s="24" t="s">
        <v>971</v>
      </c>
      <c r="C512" s="24" t="s">
        <v>107</v>
      </c>
      <c r="D512" s="24" t="s">
        <v>72</v>
      </c>
      <c r="E512" s="24" t="s">
        <v>96</v>
      </c>
      <c r="F512" s="70">
        <v>2.5388931296566964E-4</v>
      </c>
      <c r="G512" s="24">
        <v>8.4869970000000006</v>
      </c>
      <c r="H512" s="24">
        <v>5.8930930000000004</v>
      </c>
      <c r="I512" s="24">
        <v>4.4775780000000003</v>
      </c>
      <c r="J512" s="24">
        <v>6.2858890000000001</v>
      </c>
      <c r="K512" s="24">
        <v>2.724815</v>
      </c>
      <c r="L512" s="24">
        <v>8.9911110000000001</v>
      </c>
      <c r="M512" s="24">
        <v>2.9056999999999999</v>
      </c>
      <c r="N512" s="24">
        <v>7.7295918835901816</v>
      </c>
      <c r="O512" s="24">
        <v>1.3</v>
      </c>
      <c r="P512" s="24">
        <v>5.7013574660633495</v>
      </c>
      <c r="Q512" s="24">
        <v>6.7061484729115843</v>
      </c>
      <c r="R512" s="24">
        <v>6.7100010000000001</v>
      </c>
      <c r="S512" s="24">
        <v>7.5209842274967436</v>
      </c>
      <c r="T512" s="24">
        <v>1.7448279636835695</v>
      </c>
      <c r="U512" s="24" t="s">
        <v>1448</v>
      </c>
      <c r="V512" s="24">
        <v>2678.91</v>
      </c>
      <c r="W512" s="24" t="s">
        <v>1414</v>
      </c>
      <c r="X512" s="64">
        <v>9.0641247833622192</v>
      </c>
    </row>
    <row r="513" spans="1:24" ht="14.4" x14ac:dyDescent="0.55000000000000004">
      <c r="A513" s="24" t="s">
        <v>694</v>
      </c>
      <c r="B513" s="24" t="s">
        <v>961</v>
      </c>
      <c r="C513" s="24" t="s">
        <v>1582</v>
      </c>
      <c r="D513" s="24" t="s">
        <v>72</v>
      </c>
      <c r="E513" s="24" t="s">
        <v>89</v>
      </c>
      <c r="F513" s="70">
        <v>2.5302780814781588E-4</v>
      </c>
      <c r="G513" s="24" t="e">
        <v>#N/A</v>
      </c>
      <c r="H513" s="24" t="e">
        <v>#N/A</v>
      </c>
      <c r="I513" s="24" t="e">
        <v>#N/A</v>
      </c>
      <c r="J513" s="24" t="e">
        <v>#N/A</v>
      </c>
      <c r="K513" s="24">
        <v>10.884309999999999</v>
      </c>
      <c r="L513" s="24">
        <v>14.702070000000001</v>
      </c>
      <c r="M513" s="24" t="e">
        <v>#N/A</v>
      </c>
      <c r="N513" s="24">
        <v>5.1329161386247613</v>
      </c>
      <c r="O513" s="24">
        <v>3.6</v>
      </c>
      <c r="P513" s="24">
        <v>7.1771771771771755</v>
      </c>
      <c r="Q513" s="24">
        <v>5.9308145196989823</v>
      </c>
      <c r="R513" s="24">
        <v>9.15</v>
      </c>
      <c r="S513" s="24">
        <v>7.9584771692929106</v>
      </c>
      <c r="T513" s="24">
        <v>0.8626095669602849</v>
      </c>
      <c r="U513" s="24" t="s">
        <v>1583</v>
      </c>
      <c r="V513" s="24">
        <v>0</v>
      </c>
      <c r="W513" s="24" t="s">
        <v>1414</v>
      </c>
      <c r="X513" s="64">
        <v>8.1141868512110733</v>
      </c>
    </row>
    <row r="514" spans="1:24" ht="14.4" x14ac:dyDescent="0.55000000000000004">
      <c r="A514" s="24" t="s">
        <v>729</v>
      </c>
      <c r="B514" s="24" t="s">
        <v>1051</v>
      </c>
      <c r="C514" s="24" t="s">
        <v>106</v>
      </c>
      <c r="D514" s="24" t="s">
        <v>72</v>
      </c>
      <c r="E514" s="24" t="s">
        <v>94</v>
      </c>
      <c r="F514" s="70">
        <v>2.5164247477319558E-4</v>
      </c>
      <c r="G514" s="24">
        <v>8.3990290000000005</v>
      </c>
      <c r="H514" s="24">
        <v>7.5885059999999998</v>
      </c>
      <c r="I514" s="24">
        <v>6.4778900000000004</v>
      </c>
      <c r="J514" s="24">
        <v>7.4684689999999998</v>
      </c>
      <c r="K514" s="24">
        <v>3.4278369999999998</v>
      </c>
      <c r="L514" s="24">
        <v>4.6164949999999996</v>
      </c>
      <c r="M514" s="24">
        <v>17.936499999999999</v>
      </c>
      <c r="N514" s="24">
        <v>2.6048202446233244</v>
      </c>
      <c r="O514" s="24">
        <v>7.1</v>
      </c>
      <c r="P514" s="24">
        <v>2.1180555555555554</v>
      </c>
      <c r="Q514" s="24">
        <v>3.0829390115667716</v>
      </c>
      <c r="R514" s="24">
        <v>5.63</v>
      </c>
      <c r="S514" s="24">
        <v>3.5069466167193806</v>
      </c>
      <c r="T514" s="24">
        <v>1.3609618105876209</v>
      </c>
      <c r="U514" s="24" t="s">
        <v>1769</v>
      </c>
      <c r="V514" s="24">
        <v>3233.5410000000002</v>
      </c>
      <c r="W514" s="24" t="s">
        <v>1414</v>
      </c>
      <c r="X514" s="64">
        <v>8.7363834422657956</v>
      </c>
    </row>
    <row r="515" spans="1:24" ht="14.4" x14ac:dyDescent="0.55000000000000004">
      <c r="A515" s="24" t="s">
        <v>757</v>
      </c>
      <c r="B515" s="24" t="s">
        <v>1113</v>
      </c>
      <c r="C515" s="24" t="s">
        <v>112</v>
      </c>
      <c r="D515" s="24" t="s">
        <v>72</v>
      </c>
      <c r="E515" s="24" t="s">
        <v>84</v>
      </c>
      <c r="F515" s="70">
        <v>2.4998722056984019E-4</v>
      </c>
      <c r="G515" s="24">
        <v>6.4622609999999998</v>
      </c>
      <c r="H515" s="24">
        <v>5.4044639999999999</v>
      </c>
      <c r="I515" s="24">
        <v>4.4246239999999997</v>
      </c>
      <c r="J515" s="24">
        <v>5.4304490000000003</v>
      </c>
      <c r="K515" s="24">
        <v>2.6574689999999999</v>
      </c>
      <c r="L515" s="24">
        <v>5.7212839999999998</v>
      </c>
      <c r="M515" s="24">
        <v>28.3475</v>
      </c>
      <c r="N515" s="24">
        <v>6.9668911403501399</v>
      </c>
      <c r="O515" s="24">
        <v>6.8</v>
      </c>
      <c r="P515" s="24">
        <v>9.1641791044776113</v>
      </c>
      <c r="Q515" s="24">
        <v>3.7821626029540605</v>
      </c>
      <c r="R515" s="24">
        <v>4.9400000000000004</v>
      </c>
      <c r="S515" s="24">
        <v>5.809540229592951</v>
      </c>
      <c r="T515" s="24">
        <v>0.85436863145312425</v>
      </c>
      <c r="U515" s="24" t="s">
        <v>1625</v>
      </c>
      <c r="V515" s="24">
        <v>2854.49</v>
      </c>
      <c r="W515" s="24" t="s">
        <v>1414</v>
      </c>
      <c r="X515" s="64">
        <v>9.1666666666666661</v>
      </c>
    </row>
    <row r="516" spans="1:24" ht="14.4" x14ac:dyDescent="0.55000000000000004">
      <c r="A516" s="24" t="s">
        <v>2023</v>
      </c>
      <c r="B516" s="24" t="s">
        <v>2024</v>
      </c>
      <c r="C516" s="24" t="s">
        <v>111</v>
      </c>
      <c r="D516" s="24" t="s">
        <v>72</v>
      </c>
      <c r="E516" s="24" t="s">
        <v>93</v>
      </c>
      <c r="F516" s="70">
        <v>2.494373707244303E-4</v>
      </c>
      <c r="G516" s="24" t="e">
        <v>#N/A</v>
      </c>
      <c r="H516" s="24" t="e">
        <v>#N/A</v>
      </c>
      <c r="I516" s="24" t="e">
        <v>#N/A</v>
      </c>
      <c r="J516" s="24" t="e">
        <v>#N/A</v>
      </c>
      <c r="K516" s="24">
        <v>1.484521</v>
      </c>
      <c r="L516" s="24" t="e">
        <v>#N/A</v>
      </c>
      <c r="M516" s="24" t="e">
        <v>#N/A</v>
      </c>
      <c r="N516" s="24">
        <v>8.7750626719916962</v>
      </c>
      <c r="O516" s="24">
        <v>2</v>
      </c>
      <c r="P516" s="24">
        <v>7.2049689440993792</v>
      </c>
      <c r="Q516" s="24">
        <v>2.2639900046174319</v>
      </c>
      <c r="R516" s="24">
        <v>0</v>
      </c>
      <c r="S516" s="24" t="e">
        <v>#N/A</v>
      </c>
      <c r="T516" s="24">
        <v>1.9612836854971404E-2</v>
      </c>
      <c r="U516" s="24" t="s">
        <v>2025</v>
      </c>
      <c r="V516" s="24">
        <v>0</v>
      </c>
      <c r="W516" s="24" t="s">
        <v>1414</v>
      </c>
      <c r="X516" s="64" t="e">
        <v>#N/A</v>
      </c>
    </row>
    <row r="517" spans="1:24" ht="14.4" x14ac:dyDescent="0.55000000000000004">
      <c r="A517" s="24" t="s">
        <v>728</v>
      </c>
      <c r="B517" s="24" t="s">
        <v>1242</v>
      </c>
      <c r="C517" s="24" t="s">
        <v>177</v>
      </c>
      <c r="D517" s="24" t="s">
        <v>72</v>
      </c>
      <c r="E517" s="24" t="s">
        <v>84</v>
      </c>
      <c r="F517" s="70">
        <v>2.4919357126621796E-4</v>
      </c>
      <c r="G517" s="24">
        <v>6.9420539999999997</v>
      </c>
      <c r="H517" s="24">
        <v>6.8813019999999998</v>
      </c>
      <c r="I517" s="24">
        <v>6.3589779999999996</v>
      </c>
      <c r="J517" s="24">
        <v>6.7274450000000003</v>
      </c>
      <c r="K517" s="24">
        <v>3.1999719999999998</v>
      </c>
      <c r="L517" s="24">
        <v>10.84332</v>
      </c>
      <c r="M517" s="24">
        <v>361.63929999999999</v>
      </c>
      <c r="N517" s="24">
        <v>6.4779855495926588</v>
      </c>
      <c r="O517" s="24">
        <v>6</v>
      </c>
      <c r="P517" s="24">
        <v>7.3731343283582085</v>
      </c>
      <c r="Q517" s="24">
        <v>5.1424360697685723</v>
      </c>
      <c r="R517" s="24">
        <v>6.09</v>
      </c>
      <c r="S517" s="24">
        <v>7.3597539135892598</v>
      </c>
      <c r="T517" s="24">
        <v>1.0238929492893294</v>
      </c>
      <c r="U517" s="24" t="s">
        <v>1445</v>
      </c>
      <c r="V517" s="24">
        <v>2558.4119999999998</v>
      </c>
      <c r="W517" s="24" t="s">
        <v>1414</v>
      </c>
      <c r="X517" s="64">
        <v>8.6631944444444446</v>
      </c>
    </row>
    <row r="518" spans="1:24" ht="14.4" x14ac:dyDescent="0.55000000000000004">
      <c r="A518" s="24" t="s">
        <v>731</v>
      </c>
      <c r="B518" s="24" t="s">
        <v>1263</v>
      </c>
      <c r="C518" s="24" t="s">
        <v>113</v>
      </c>
      <c r="D518" s="24" t="s">
        <v>72</v>
      </c>
      <c r="E518" s="24" t="s">
        <v>97</v>
      </c>
      <c r="F518" s="70">
        <v>2.4814821603591096E-4</v>
      </c>
      <c r="G518" s="24">
        <v>5.4905660000000003</v>
      </c>
      <c r="H518" s="24">
        <v>6.2902279999999999</v>
      </c>
      <c r="I518" s="24">
        <v>4.8056419999999997</v>
      </c>
      <c r="J518" s="24">
        <v>5.5288120000000003</v>
      </c>
      <c r="K518" s="24">
        <v>0.39634819999999998</v>
      </c>
      <c r="L518" s="24">
        <v>-3.4793889999999998</v>
      </c>
      <c r="M518" s="24">
        <v>37.2425</v>
      </c>
      <c r="N518" s="24">
        <v>2.406344265477689</v>
      </c>
      <c r="O518" s="24">
        <v>5.2</v>
      </c>
      <c r="P518" s="24">
        <v>1.0150375939849621</v>
      </c>
      <c r="Q518" s="24">
        <v>9.5058761107218022</v>
      </c>
      <c r="R518" s="24">
        <v>0</v>
      </c>
      <c r="S518" s="24">
        <v>1.6001585263552143</v>
      </c>
      <c r="T518" s="24">
        <v>0.69478959601325907</v>
      </c>
      <c r="U518" s="24" t="s">
        <v>1880</v>
      </c>
      <c r="V518" s="24">
        <v>2523.7159999999999</v>
      </c>
      <c r="W518" s="24" t="s">
        <v>1414</v>
      </c>
      <c r="X518" s="64">
        <v>8.7565674255691768</v>
      </c>
    </row>
    <row r="519" spans="1:24" ht="14.4" x14ac:dyDescent="0.55000000000000004">
      <c r="A519" s="24" t="s">
        <v>755</v>
      </c>
      <c r="B519" s="24" t="s">
        <v>1003</v>
      </c>
      <c r="C519" s="24" t="s">
        <v>112</v>
      </c>
      <c r="D519" s="24" t="s">
        <v>72</v>
      </c>
      <c r="E519" s="24" t="s">
        <v>84</v>
      </c>
      <c r="F519" s="70">
        <v>2.4775709605122549E-4</v>
      </c>
      <c r="G519" s="24">
        <v>5.7409059999999998</v>
      </c>
      <c r="H519" s="24">
        <v>8.1225939999999994</v>
      </c>
      <c r="I519" s="24">
        <v>7.1582460000000001</v>
      </c>
      <c r="J519" s="24">
        <v>7.0072479999999997</v>
      </c>
      <c r="K519" s="24">
        <v>0.47050530000000002</v>
      </c>
      <c r="L519" s="24">
        <v>0.26147550000000003</v>
      </c>
      <c r="M519" s="24">
        <v>376.60449999999997</v>
      </c>
      <c r="N519" s="24">
        <v>2.1371773389565911</v>
      </c>
      <c r="O519" s="24">
        <v>7.4</v>
      </c>
      <c r="P519" s="24">
        <v>2.9253731343283578</v>
      </c>
      <c r="Q519" s="24">
        <v>5.9748150756282925</v>
      </c>
      <c r="R519" s="24">
        <v>5.14</v>
      </c>
      <c r="S519" s="24">
        <v>1.8783859401052609</v>
      </c>
      <c r="T519" s="24">
        <v>1.5483876077923544</v>
      </c>
      <c r="U519" s="24" t="s">
        <v>1590</v>
      </c>
      <c r="V519" s="24">
        <v>2450.5079999999998</v>
      </c>
      <c r="W519" s="24" t="s">
        <v>1414</v>
      </c>
      <c r="X519" s="64">
        <v>9.1319444444444446</v>
      </c>
    </row>
    <row r="520" spans="1:24" ht="14.4" x14ac:dyDescent="0.55000000000000004">
      <c r="A520" s="24" t="s">
        <v>766</v>
      </c>
      <c r="B520" s="24" t="s">
        <v>1097</v>
      </c>
      <c r="C520" s="24" t="s">
        <v>106</v>
      </c>
      <c r="D520" s="24" t="s">
        <v>72</v>
      </c>
      <c r="E520" s="24" t="s">
        <v>95</v>
      </c>
      <c r="F520" s="70">
        <v>2.4602187642623152E-4</v>
      </c>
      <c r="G520" s="24">
        <v>2.9127779999999999</v>
      </c>
      <c r="H520" s="24">
        <v>5.1194689999999996</v>
      </c>
      <c r="I520" s="24">
        <v>6.572012</v>
      </c>
      <c r="J520" s="24">
        <v>5.2591479999999997</v>
      </c>
      <c r="K520" s="24">
        <v>0</v>
      </c>
      <c r="L520" s="24">
        <v>-7.0171570000000001</v>
      </c>
      <c r="M520" s="24">
        <v>39.950800000000001</v>
      </c>
      <c r="N520" s="24">
        <v>3.687343437501962</v>
      </c>
      <c r="O520" s="24">
        <v>3.4</v>
      </c>
      <c r="P520" s="24">
        <v>1.4285714285714288</v>
      </c>
      <c r="Q520" s="24">
        <v>2.557332753890865</v>
      </c>
      <c r="R520" s="24">
        <v>0</v>
      </c>
      <c r="S520" s="24">
        <v>1.2278347152501219</v>
      </c>
      <c r="T520" s="24">
        <v>1.9780860038793275</v>
      </c>
      <c r="U520" s="24" t="s">
        <v>1818</v>
      </c>
      <c r="V520" s="24">
        <v>2749.0740000000001</v>
      </c>
      <c r="W520" s="24" t="s">
        <v>1414</v>
      </c>
      <c r="X520" s="64">
        <v>9.34819897084048</v>
      </c>
    </row>
    <row r="521" spans="1:24" ht="14.4" x14ac:dyDescent="0.55000000000000004">
      <c r="A521" s="24" t="s">
        <v>714</v>
      </c>
      <c r="B521" s="24" t="s">
        <v>914</v>
      </c>
      <c r="C521" s="24" t="s">
        <v>1898</v>
      </c>
      <c r="D521" s="24" t="s">
        <v>72</v>
      </c>
      <c r="E521" s="24" t="s">
        <v>96</v>
      </c>
      <c r="F521" s="70">
        <v>2.4576166353979802E-4</v>
      </c>
      <c r="G521" s="24">
        <v>5.1398700000000002</v>
      </c>
      <c r="H521" s="24">
        <v>5.6431019999999998</v>
      </c>
      <c r="I521" s="24">
        <v>4.7354190000000003</v>
      </c>
      <c r="J521" s="24">
        <v>5.1793820000000004</v>
      </c>
      <c r="K521" s="24">
        <v>0.57455409999999996</v>
      </c>
      <c r="L521" s="24">
        <v>2.5642399999999999</v>
      </c>
      <c r="M521" s="24">
        <v>10.5238</v>
      </c>
      <c r="N521" s="24">
        <v>0</v>
      </c>
      <c r="O521" s="24">
        <v>7.8</v>
      </c>
      <c r="P521" s="24">
        <v>6.9683257918552055</v>
      </c>
      <c r="Q521" s="24">
        <v>0.68426007356876206</v>
      </c>
      <c r="R521" s="24">
        <v>5.0999999999999996</v>
      </c>
      <c r="S521" s="24">
        <v>2.7173860773248957</v>
      </c>
      <c r="T521" s="24">
        <v>1.2341793772569229</v>
      </c>
      <c r="U521" s="24" t="s">
        <v>1949</v>
      </c>
      <c r="V521" s="24">
        <v>2641.5070000000001</v>
      </c>
      <c r="W521" s="24" t="s">
        <v>1414</v>
      </c>
      <c r="X521" s="64">
        <v>8.6655112651646444</v>
      </c>
    </row>
    <row r="522" spans="1:24" ht="14.4" x14ac:dyDescent="0.55000000000000004">
      <c r="A522" s="24" t="s">
        <v>779</v>
      </c>
      <c r="B522" s="24" t="s">
        <v>1061</v>
      </c>
      <c r="C522" s="24" t="s">
        <v>113</v>
      </c>
      <c r="D522" s="24" t="s">
        <v>72</v>
      </c>
      <c r="E522" s="24" t="s">
        <v>85</v>
      </c>
      <c r="F522" s="70">
        <v>2.4553177546282194E-4</v>
      </c>
      <c r="G522" s="24">
        <v>6.6173390000000003</v>
      </c>
      <c r="H522" s="24">
        <v>6.762683</v>
      </c>
      <c r="I522" s="24">
        <v>5.4667440000000003</v>
      </c>
      <c r="J522" s="24">
        <v>6.3012290000000002</v>
      </c>
      <c r="K522" s="24">
        <v>2.259814</v>
      </c>
      <c r="L522" s="24">
        <v>9.9342900000000007</v>
      </c>
      <c r="M522" s="24">
        <v>156.7936</v>
      </c>
      <c r="N522" s="24">
        <v>8.6816508026085675</v>
      </c>
      <c r="O522" s="24">
        <v>5.4</v>
      </c>
      <c r="P522" s="24">
        <v>6.4564564564564551</v>
      </c>
      <c r="Q522" s="24">
        <v>7.1477058432934939</v>
      </c>
      <c r="R522" s="24">
        <v>0</v>
      </c>
      <c r="S522" s="24">
        <v>7.3201598862930748</v>
      </c>
      <c r="T522" s="24">
        <v>1.2553838563096458</v>
      </c>
      <c r="U522" s="24" t="s">
        <v>1892</v>
      </c>
      <c r="V522" s="24">
        <v>2580.0590000000002</v>
      </c>
      <c r="W522" s="24" t="s">
        <v>1414</v>
      </c>
      <c r="X522" s="64">
        <v>9.5847750865051911</v>
      </c>
    </row>
    <row r="523" spans="1:24" ht="14.4" x14ac:dyDescent="0.55000000000000004">
      <c r="A523" s="24" t="s">
        <v>723</v>
      </c>
      <c r="B523" s="24" t="s">
        <v>1040</v>
      </c>
      <c r="C523" s="24" t="s">
        <v>110</v>
      </c>
      <c r="D523" s="24" t="s">
        <v>72</v>
      </c>
      <c r="E523" s="24" t="s">
        <v>88</v>
      </c>
      <c r="F523" s="70">
        <v>2.4467767670404361E-4</v>
      </c>
      <c r="G523" s="24">
        <v>5.4411209999999999</v>
      </c>
      <c r="H523" s="24">
        <v>4.6964459999999999</v>
      </c>
      <c r="I523" s="24">
        <v>7.2354260000000004</v>
      </c>
      <c r="J523" s="24">
        <v>5.7560099999999998</v>
      </c>
      <c r="K523" s="24">
        <v>0.57419200000000004</v>
      </c>
      <c r="L523" s="24">
        <v>1.8335079999999999</v>
      </c>
      <c r="M523" s="24">
        <v>31.229099999999999</v>
      </c>
      <c r="N523" s="24">
        <v>7.2917161560055437</v>
      </c>
      <c r="O523" s="24">
        <v>8.4</v>
      </c>
      <c r="P523" s="24">
        <v>5.5890410958904102</v>
      </c>
      <c r="Q523" s="24">
        <v>0</v>
      </c>
      <c r="R523" s="24">
        <v>5.75</v>
      </c>
      <c r="S523" s="24">
        <v>2.6711171026208294</v>
      </c>
      <c r="T523" s="24">
        <v>1.837659158527494</v>
      </c>
      <c r="U523" s="24" t="s">
        <v>1568</v>
      </c>
      <c r="V523" s="24">
        <v>2624.1790000000001</v>
      </c>
      <c r="W523" s="24" t="s">
        <v>1414</v>
      </c>
      <c r="X523" s="64">
        <v>8.8541666666666661</v>
      </c>
    </row>
    <row r="524" spans="1:24" ht="14.4" x14ac:dyDescent="0.55000000000000004">
      <c r="A524" s="24" t="s">
        <v>742</v>
      </c>
      <c r="B524" s="24" t="s">
        <v>1215</v>
      </c>
      <c r="C524" s="24" t="s">
        <v>161</v>
      </c>
      <c r="D524" s="24" t="s">
        <v>72</v>
      </c>
      <c r="E524" s="24" t="s">
        <v>83</v>
      </c>
      <c r="F524" s="70">
        <v>2.4362581615157576E-4</v>
      </c>
      <c r="G524" s="24">
        <v>4.3087910000000003</v>
      </c>
      <c r="H524" s="24">
        <v>4.6892750000000003</v>
      </c>
      <c r="I524" s="24">
        <v>3.726674</v>
      </c>
      <c r="J524" s="24">
        <v>4.2415799999999999</v>
      </c>
      <c r="K524" s="24">
        <v>3.7972540000000001</v>
      </c>
      <c r="L524" s="24">
        <v>11.307650000000001</v>
      </c>
      <c r="M524" s="24">
        <v>1392.864</v>
      </c>
      <c r="N524" s="24">
        <v>9.5870402866443154</v>
      </c>
      <c r="O524" s="24">
        <v>3.4</v>
      </c>
      <c r="P524" s="24">
        <v>4.8955223880597014</v>
      </c>
      <c r="Q524" s="24">
        <v>8.4713672047446344</v>
      </c>
      <c r="R524" s="24">
        <v>7.35</v>
      </c>
      <c r="S524" s="24">
        <v>7.900665200572111</v>
      </c>
      <c r="T524" s="24">
        <v>1.4031200005059099</v>
      </c>
      <c r="U524" s="24" t="s">
        <v>1424</v>
      </c>
      <c r="V524" s="24">
        <v>2573.4670000000001</v>
      </c>
      <c r="W524" s="24" t="s">
        <v>1414</v>
      </c>
      <c r="X524" s="64">
        <v>8.90625</v>
      </c>
    </row>
    <row r="525" spans="1:24" ht="14.4" x14ac:dyDescent="0.55000000000000004">
      <c r="A525" s="24" t="s">
        <v>749</v>
      </c>
      <c r="B525" s="24" t="s">
        <v>1246</v>
      </c>
      <c r="C525" s="24" t="s">
        <v>105</v>
      </c>
      <c r="D525" s="24" t="s">
        <v>72</v>
      </c>
      <c r="E525" s="24" t="s">
        <v>89</v>
      </c>
      <c r="F525" s="70">
        <v>2.4269065107048544E-4</v>
      </c>
      <c r="G525" s="24">
        <v>7.2501110000000004</v>
      </c>
      <c r="H525" s="24">
        <v>3.7067640000000002</v>
      </c>
      <c r="I525" s="24">
        <v>6.5576840000000001</v>
      </c>
      <c r="J525" s="24">
        <v>5.9793789999999998</v>
      </c>
      <c r="K525" s="24">
        <v>0.93022000000000005</v>
      </c>
      <c r="L525" s="24">
        <v>4.6183439999999996</v>
      </c>
      <c r="M525" s="24">
        <v>31.705200000000001</v>
      </c>
      <c r="N525" s="24">
        <v>8.8696775937031518</v>
      </c>
      <c r="O525" s="24">
        <v>8.9</v>
      </c>
      <c r="P525" s="24">
        <v>7.2072072072072055</v>
      </c>
      <c r="Q525" s="24">
        <v>1.7673749446657814</v>
      </c>
      <c r="R525" s="24">
        <v>5.63</v>
      </c>
      <c r="S525" s="24">
        <v>3.9409161424984207</v>
      </c>
      <c r="T525" s="24">
        <v>1.8708008842613997</v>
      </c>
      <c r="U525" s="24" t="s">
        <v>1985</v>
      </c>
      <c r="V525" s="24">
        <v>2673.3670000000002</v>
      </c>
      <c r="W525" s="24" t="s">
        <v>1414</v>
      </c>
      <c r="X525" s="64">
        <v>9.0657439446366777</v>
      </c>
    </row>
    <row r="526" spans="1:24" ht="14.4" x14ac:dyDescent="0.55000000000000004">
      <c r="A526" s="24" t="s">
        <v>739</v>
      </c>
      <c r="B526" s="24" t="s">
        <v>1401</v>
      </c>
      <c r="C526" s="24" t="s">
        <v>107</v>
      </c>
      <c r="D526" s="24" t="s">
        <v>72</v>
      </c>
      <c r="E526" s="24" t="s">
        <v>93</v>
      </c>
      <c r="F526" s="70">
        <v>2.4114718832641708E-4</v>
      </c>
      <c r="G526" s="24">
        <v>7.2046109999999999</v>
      </c>
      <c r="H526" s="24">
        <v>7.491606</v>
      </c>
      <c r="I526" s="24">
        <v>6.4579079999999998</v>
      </c>
      <c r="J526" s="24">
        <v>7.0513750000000002</v>
      </c>
      <c r="K526" s="24" t="e">
        <v>#N/A</v>
      </c>
      <c r="L526" s="24">
        <v>4.9388690000000004</v>
      </c>
      <c r="M526" s="24">
        <v>8.6640999999999995</v>
      </c>
      <c r="N526" s="24">
        <v>10</v>
      </c>
      <c r="O526" s="24">
        <v>2.7</v>
      </c>
      <c r="P526" s="24">
        <v>7.8260869565217392</v>
      </c>
      <c r="Q526" s="24">
        <v>4.1279843550533721</v>
      </c>
      <c r="R526" s="24">
        <v>0</v>
      </c>
      <c r="S526" s="24">
        <v>5.3270484415574222</v>
      </c>
      <c r="T526" s="24">
        <v>1.659908879303033</v>
      </c>
      <c r="U526" s="24" t="s">
        <v>1729</v>
      </c>
      <c r="V526" s="24">
        <v>0</v>
      </c>
      <c r="W526" s="24" t="s">
        <v>1414</v>
      </c>
      <c r="X526" s="64">
        <v>8.8850771869639793</v>
      </c>
    </row>
    <row r="527" spans="1:24" ht="14.4" x14ac:dyDescent="0.55000000000000004">
      <c r="A527" s="24" t="s">
        <v>2026</v>
      </c>
      <c r="B527" s="24" t="s">
        <v>2027</v>
      </c>
      <c r="C527" s="24" t="s">
        <v>106</v>
      </c>
      <c r="D527" s="24" t="s">
        <v>72</v>
      </c>
      <c r="E527" s="24" t="s">
        <v>94</v>
      </c>
      <c r="F527" s="70">
        <v>2.4070512666511827E-4</v>
      </c>
      <c r="G527" s="24">
        <v>8.4339700000000004</v>
      </c>
      <c r="H527" s="24">
        <v>7.9194940000000003</v>
      </c>
      <c r="I527" s="24">
        <v>4.7842209999999996</v>
      </c>
      <c r="J527" s="24">
        <v>6.871175</v>
      </c>
      <c r="K527" s="24">
        <v>2.4143430000000001</v>
      </c>
      <c r="L527" s="24">
        <v>3.0403859999999998</v>
      </c>
      <c r="M527" s="24">
        <v>1.3529</v>
      </c>
      <c r="N527" s="24">
        <v>7.3390562785775026</v>
      </c>
      <c r="O527" s="24">
        <v>6.1</v>
      </c>
      <c r="P527" s="24">
        <v>2.291666666666667</v>
      </c>
      <c r="Q527" s="24">
        <v>2.395065720294427</v>
      </c>
      <c r="R527" s="24">
        <v>6.54</v>
      </c>
      <c r="S527" s="24" t="e">
        <v>#N/A</v>
      </c>
      <c r="T527" s="24">
        <v>1.4404611455317549</v>
      </c>
      <c r="U527" s="24" t="s">
        <v>2028</v>
      </c>
      <c r="V527" s="24">
        <v>2631.451</v>
      </c>
      <c r="W527" s="24" t="s">
        <v>1414</v>
      </c>
      <c r="X527" s="64" t="e">
        <v>#N/A</v>
      </c>
    </row>
    <row r="528" spans="1:24" ht="14.4" x14ac:dyDescent="0.55000000000000004">
      <c r="A528" s="24" t="s">
        <v>732</v>
      </c>
      <c r="B528" s="24" t="s">
        <v>1176</v>
      </c>
      <c r="C528" s="24" t="s">
        <v>125</v>
      </c>
      <c r="D528" s="24" t="s">
        <v>72</v>
      </c>
      <c r="E528" s="24" t="s">
        <v>89</v>
      </c>
      <c r="F528" s="70">
        <v>2.388762304010082E-4</v>
      </c>
      <c r="G528" s="24">
        <v>5.2250209999999999</v>
      </c>
      <c r="H528" s="24">
        <v>3.034897</v>
      </c>
      <c r="I528" s="24">
        <v>4.0194599999999996</v>
      </c>
      <c r="J528" s="24">
        <v>3.8667470000000002</v>
      </c>
      <c r="K528" s="24">
        <v>0</v>
      </c>
      <c r="L528" s="24">
        <v>-13.39329</v>
      </c>
      <c r="M528" s="24">
        <v>2.7987000000000002</v>
      </c>
      <c r="N528" s="24">
        <v>3.2450830669944648</v>
      </c>
      <c r="O528" s="24">
        <v>3</v>
      </c>
      <c r="P528" s="24">
        <v>1.7417417417417413</v>
      </c>
      <c r="Q528" s="24">
        <v>6.6174181053563528</v>
      </c>
      <c r="R528" s="24">
        <v>0</v>
      </c>
      <c r="S528" s="24">
        <v>1.6820075543635093</v>
      </c>
      <c r="T528" s="24">
        <v>2.2512431070236762</v>
      </c>
      <c r="U528" s="24" t="s">
        <v>1921</v>
      </c>
      <c r="V528" s="24">
        <v>2557.4810000000002</v>
      </c>
      <c r="W528" s="24" t="s">
        <v>1414</v>
      </c>
      <c r="X528" s="64">
        <v>8.7716262975778552</v>
      </c>
    </row>
    <row r="529" spans="1:24" ht="14.4" x14ac:dyDescent="0.55000000000000004">
      <c r="A529" s="24" t="s">
        <v>747</v>
      </c>
      <c r="B529" s="24" t="s">
        <v>1164</v>
      </c>
      <c r="C529" s="24" t="s">
        <v>105</v>
      </c>
      <c r="D529" s="24" t="s">
        <v>72</v>
      </c>
      <c r="E529" s="24" t="s">
        <v>89</v>
      </c>
      <c r="F529" s="70">
        <v>2.37502506524398E-4</v>
      </c>
      <c r="G529" s="24" t="e">
        <v>#N/A</v>
      </c>
      <c r="H529" s="24" t="e">
        <v>#N/A</v>
      </c>
      <c r="I529" s="24" t="e">
        <v>#N/A</v>
      </c>
      <c r="J529" s="24" t="e">
        <v>#N/A</v>
      </c>
      <c r="K529" s="24">
        <v>1.2236290000000001</v>
      </c>
      <c r="L529" s="24">
        <v>5.3265549999999999</v>
      </c>
      <c r="M529" s="24" t="e">
        <v>#N/A</v>
      </c>
      <c r="N529" s="24">
        <v>7.3460122175918645</v>
      </c>
      <c r="O529" s="24">
        <v>8.1999999999999993</v>
      </c>
      <c r="P529" s="24">
        <v>8.9489489489489475</v>
      </c>
      <c r="Q529" s="24">
        <v>1.6362328463922091</v>
      </c>
      <c r="R529" s="24">
        <v>5.08</v>
      </c>
      <c r="S529" s="24">
        <v>5.1955296608155637</v>
      </c>
      <c r="T529" s="24">
        <v>1.3413205703429742</v>
      </c>
      <c r="U529" s="24" t="s">
        <v>1970</v>
      </c>
      <c r="V529" s="24">
        <v>2616.8380000000002</v>
      </c>
      <c r="W529" s="24" t="s">
        <v>1414</v>
      </c>
      <c r="X529" s="64">
        <v>9.0311418685121101</v>
      </c>
    </row>
    <row r="530" spans="1:24" ht="14.4" x14ac:dyDescent="0.55000000000000004">
      <c r="A530" s="24" t="s">
        <v>761</v>
      </c>
      <c r="B530" s="24" t="s">
        <v>862</v>
      </c>
      <c r="C530" s="24" t="s">
        <v>105</v>
      </c>
      <c r="D530" s="24" t="s">
        <v>72</v>
      </c>
      <c r="E530" s="24" t="s">
        <v>94</v>
      </c>
      <c r="F530" s="70">
        <v>2.3687038937412336E-4</v>
      </c>
      <c r="G530" s="24">
        <v>7.8511220000000002</v>
      </c>
      <c r="H530" s="24">
        <v>7.5735330000000003</v>
      </c>
      <c r="I530" s="24">
        <v>7.663017</v>
      </c>
      <c r="J530" s="24">
        <v>7.7203619999999997</v>
      </c>
      <c r="K530" s="24">
        <v>2.7303760000000001</v>
      </c>
      <c r="L530" s="24">
        <v>5.6445059999999998</v>
      </c>
      <c r="M530" s="24">
        <v>2.5030999999999999</v>
      </c>
      <c r="N530" s="24">
        <v>2.9415650671221574</v>
      </c>
      <c r="O530" s="24">
        <v>8.1999999999999993</v>
      </c>
      <c r="P530" s="24">
        <v>2.7430555555555558</v>
      </c>
      <c r="Q530" s="24">
        <v>2.3869610935856986</v>
      </c>
      <c r="R530" s="24">
        <v>4.93</v>
      </c>
      <c r="S530" s="24">
        <v>4.3100238871463326</v>
      </c>
      <c r="T530" s="24">
        <v>1.4006966315925988</v>
      </c>
      <c r="U530" s="24" t="s">
        <v>2009</v>
      </c>
      <c r="V530" s="24">
        <v>2744.7919999999999</v>
      </c>
      <c r="W530" s="24" t="s">
        <v>1414</v>
      </c>
      <c r="X530" s="64">
        <v>9.4335511982570814</v>
      </c>
    </row>
    <row r="531" spans="1:24" ht="14.4" x14ac:dyDescent="0.55000000000000004">
      <c r="A531" s="24" t="s">
        <v>743</v>
      </c>
      <c r="B531" s="24" t="s">
        <v>1058</v>
      </c>
      <c r="C531" s="24" t="s">
        <v>105</v>
      </c>
      <c r="D531" s="24" t="s">
        <v>72</v>
      </c>
      <c r="E531" s="24" t="s">
        <v>100</v>
      </c>
      <c r="F531" s="70">
        <v>2.3558083435808646E-4</v>
      </c>
      <c r="G531" s="24">
        <v>0</v>
      </c>
      <c r="H531" s="24">
        <v>6.291766</v>
      </c>
      <c r="I531" s="24">
        <v>5.9293779999999998</v>
      </c>
      <c r="J531" s="24">
        <v>4.073715</v>
      </c>
      <c r="K531" s="24">
        <v>3.0071059999999998</v>
      </c>
      <c r="L531" s="24">
        <v>4.0331710000000003</v>
      </c>
      <c r="M531" s="24">
        <v>1.5166999999999999</v>
      </c>
      <c r="N531" s="24">
        <v>4.4193810223135213</v>
      </c>
      <c r="O531" s="24">
        <v>2.8</v>
      </c>
      <c r="P531" s="24">
        <v>7.3913043478260887</v>
      </c>
      <c r="Q531" s="24">
        <v>1.9527207539995108</v>
      </c>
      <c r="R531" s="24">
        <v>6.28</v>
      </c>
      <c r="S531" s="24">
        <v>3.4096009696930398</v>
      </c>
      <c r="T531" s="24">
        <v>1.6855965535751403</v>
      </c>
      <c r="U531" s="24" t="s">
        <v>1980</v>
      </c>
      <c r="V531" s="24">
        <v>2652.6439999999998</v>
      </c>
      <c r="W531" s="24" t="s">
        <v>1414</v>
      </c>
      <c r="X531" s="64">
        <v>8.9536878216123501</v>
      </c>
    </row>
    <row r="532" spans="1:24" ht="14.4" x14ac:dyDescent="0.55000000000000004">
      <c r="A532" s="24" t="s">
        <v>767</v>
      </c>
      <c r="B532" s="24" t="s">
        <v>1196</v>
      </c>
      <c r="C532" s="24" t="s">
        <v>127</v>
      </c>
      <c r="D532" s="24" t="s">
        <v>72</v>
      </c>
      <c r="E532" s="24" t="s">
        <v>85</v>
      </c>
      <c r="F532" s="70">
        <v>2.3406689576844033E-4</v>
      </c>
      <c r="G532" s="24">
        <v>6.4735779999999998</v>
      </c>
      <c r="H532" s="24">
        <v>7.2493699999999999</v>
      </c>
      <c r="I532" s="24">
        <v>6.2356239999999996</v>
      </c>
      <c r="J532" s="24">
        <v>6.6349299999999998</v>
      </c>
      <c r="K532" s="24">
        <v>1.717624</v>
      </c>
      <c r="L532" s="24">
        <v>6.5125840000000004</v>
      </c>
      <c r="M532" s="24">
        <v>18.346800000000002</v>
      </c>
      <c r="N532" s="24">
        <v>5.2604281279261667</v>
      </c>
      <c r="O532" s="24">
        <v>5.2</v>
      </c>
      <c r="P532" s="24">
        <v>6.1261261261261248</v>
      </c>
      <c r="Q532" s="24">
        <v>3.4611553784860565</v>
      </c>
      <c r="R532" s="24">
        <v>5.62</v>
      </c>
      <c r="S532" s="24">
        <v>5.4347535282104893</v>
      </c>
      <c r="T532" s="24">
        <v>1.6240121637897802</v>
      </c>
      <c r="U532" s="24" t="s">
        <v>1642</v>
      </c>
      <c r="V532" s="24">
        <v>2880.3330000000001</v>
      </c>
      <c r="W532" s="24" t="s">
        <v>1414</v>
      </c>
      <c r="X532" s="64">
        <v>9.3771626297577857</v>
      </c>
    </row>
    <row r="533" spans="1:24" ht="14.4" x14ac:dyDescent="0.55000000000000004">
      <c r="A533" s="24" t="s">
        <v>752</v>
      </c>
      <c r="B533" s="24" t="s">
        <v>901</v>
      </c>
      <c r="C533" s="24" t="s">
        <v>105</v>
      </c>
      <c r="D533" s="24" t="s">
        <v>72</v>
      </c>
      <c r="E533" s="24" t="s">
        <v>86</v>
      </c>
      <c r="F533" s="70">
        <v>2.3279925868399152E-4</v>
      </c>
      <c r="G533" s="24">
        <v>4.3779180000000002</v>
      </c>
      <c r="H533" s="24">
        <v>5.9931910000000004</v>
      </c>
      <c r="I533" s="24">
        <v>4.4711169999999996</v>
      </c>
      <c r="J533" s="24">
        <v>4.9758829999999996</v>
      </c>
      <c r="K533" s="24">
        <v>4.1850509999999996</v>
      </c>
      <c r="L533" s="24">
        <v>5.7500150000000003</v>
      </c>
      <c r="M533" s="24">
        <v>5.2253999999999996</v>
      </c>
      <c r="N533" s="24">
        <v>7.0646208553905065</v>
      </c>
      <c r="O533" s="24">
        <v>7.5</v>
      </c>
      <c r="P533" s="24">
        <v>8.1182804428258528</v>
      </c>
      <c r="Q533" s="24">
        <v>1.9856358259400084</v>
      </c>
      <c r="R533" s="24">
        <v>6.75</v>
      </c>
      <c r="S533" s="24">
        <v>4.0788985673464557</v>
      </c>
      <c r="T533" s="24">
        <v>1.6715867095191927</v>
      </c>
      <c r="U533" s="24" t="s">
        <v>1990</v>
      </c>
      <c r="V533" s="24">
        <v>2788.058</v>
      </c>
      <c r="W533" s="24" t="s">
        <v>1414</v>
      </c>
      <c r="X533" s="64">
        <v>9.0598290598290596</v>
      </c>
    </row>
    <row r="534" spans="1:24" ht="14.4" x14ac:dyDescent="0.55000000000000004">
      <c r="A534" s="24" t="s">
        <v>756</v>
      </c>
      <c r="B534" s="24" t="s">
        <v>958</v>
      </c>
      <c r="C534" s="24" t="s">
        <v>105</v>
      </c>
      <c r="D534" s="24" t="s">
        <v>72</v>
      </c>
      <c r="E534" s="24" t="s">
        <v>95</v>
      </c>
      <c r="F534" s="70">
        <v>2.3142333300603455E-4</v>
      </c>
      <c r="G534" s="24">
        <v>8.8046659999999992</v>
      </c>
      <c r="H534" s="24">
        <v>6.7131769999999999</v>
      </c>
      <c r="I534" s="24">
        <v>6.7851410000000003</v>
      </c>
      <c r="J534" s="24">
        <v>7.1602600000000001</v>
      </c>
      <c r="K534" s="24">
        <v>2.9107370000000001</v>
      </c>
      <c r="L534" s="24">
        <v>4.2246870000000003</v>
      </c>
      <c r="M534" s="24">
        <v>36.010899999999999</v>
      </c>
      <c r="N534" s="24">
        <v>3.5258681269117744</v>
      </c>
      <c r="O534" s="24">
        <v>2.8</v>
      </c>
      <c r="P534" s="24">
        <v>7.5313807531380759</v>
      </c>
      <c r="Q534" s="24">
        <v>4.1483943572673958</v>
      </c>
      <c r="R534" s="24">
        <v>4.72</v>
      </c>
      <c r="S534" s="24">
        <v>3.7609268661717281</v>
      </c>
      <c r="T534" s="24">
        <v>0.37433897835170121</v>
      </c>
      <c r="U534" s="24" t="s">
        <v>1981</v>
      </c>
      <c r="V534" s="24">
        <v>2723.9589999999998</v>
      </c>
      <c r="W534" s="24" t="s">
        <v>1414</v>
      </c>
      <c r="X534" s="64">
        <v>9.60923623445826</v>
      </c>
    </row>
    <row r="535" spans="1:24" ht="14.4" x14ac:dyDescent="0.55000000000000004">
      <c r="A535" s="24" t="s">
        <v>748</v>
      </c>
      <c r="B535" s="24" t="s">
        <v>1074</v>
      </c>
      <c r="C535" s="24" t="s">
        <v>113</v>
      </c>
      <c r="D535" s="24" t="s">
        <v>72</v>
      </c>
      <c r="E535" s="24" t="s">
        <v>88</v>
      </c>
      <c r="F535" s="70">
        <v>2.3074247598049328E-4</v>
      </c>
      <c r="G535" s="24">
        <v>4.665438</v>
      </c>
      <c r="H535" s="24">
        <v>6.7357430000000003</v>
      </c>
      <c r="I535" s="24">
        <v>2.9446859999999999</v>
      </c>
      <c r="J535" s="24">
        <v>4.8052590000000004</v>
      </c>
      <c r="K535" s="24">
        <v>0.96336759999999999</v>
      </c>
      <c r="L535" s="24">
        <v>3.9748540000000001</v>
      </c>
      <c r="M535" s="24">
        <v>15.5824</v>
      </c>
      <c r="N535" s="24">
        <v>2.9653433475656059</v>
      </c>
      <c r="O535" s="24">
        <v>8.5</v>
      </c>
      <c r="P535" s="24">
        <v>4.9863013698630141</v>
      </c>
      <c r="Q535" s="24">
        <v>4.0242400957710416</v>
      </c>
      <c r="R535" s="24">
        <v>4.62</v>
      </c>
      <c r="S535" s="24">
        <v>4.2973059784849488</v>
      </c>
      <c r="T535" s="24">
        <v>0.89100613769015435</v>
      </c>
      <c r="U535" s="24" t="s">
        <v>1879</v>
      </c>
      <c r="V535" s="24">
        <v>2229.0540000000001</v>
      </c>
      <c r="W535" s="24" t="s">
        <v>1414</v>
      </c>
      <c r="X535" s="64">
        <v>9.2881944444444446</v>
      </c>
    </row>
    <row r="536" spans="1:24" ht="14.4" x14ac:dyDescent="0.55000000000000004">
      <c r="A536" s="24" t="s">
        <v>750</v>
      </c>
      <c r="B536" s="24" t="s">
        <v>1326</v>
      </c>
      <c r="C536" s="24" t="s">
        <v>111</v>
      </c>
      <c r="D536" s="24" t="s">
        <v>72</v>
      </c>
      <c r="E536" s="24" t="s">
        <v>89</v>
      </c>
      <c r="F536" s="70">
        <v>2.3037447490994867E-4</v>
      </c>
      <c r="G536" s="24">
        <v>5.8885550000000002</v>
      </c>
      <c r="H536" s="24">
        <v>6.7400169999999999</v>
      </c>
      <c r="I536" s="24">
        <v>4.7672730000000003</v>
      </c>
      <c r="J536" s="24">
        <v>5.7986149999999999</v>
      </c>
      <c r="K536" s="24">
        <v>1.6102030000000001</v>
      </c>
      <c r="L536" s="24">
        <v>8.5979299999999999</v>
      </c>
      <c r="M536" s="24">
        <v>946.41380000000004</v>
      </c>
      <c r="N536" s="24">
        <v>7.5448447138601802</v>
      </c>
      <c r="O536" s="24">
        <v>5.5</v>
      </c>
      <c r="P536" s="24">
        <v>7.4174174174174166</v>
      </c>
      <c r="Q536" s="24">
        <v>4.4590161575918552</v>
      </c>
      <c r="R536" s="24">
        <v>5.85</v>
      </c>
      <c r="S536" s="24">
        <v>7.3283012187500072</v>
      </c>
      <c r="T536" s="24">
        <v>1.2085139766839876</v>
      </c>
      <c r="U536" s="24" t="s">
        <v>1443</v>
      </c>
      <c r="V536" s="24">
        <v>2314.8760000000002</v>
      </c>
      <c r="W536" s="24" t="s">
        <v>1414</v>
      </c>
      <c r="X536" s="64">
        <v>9.0830449826989614</v>
      </c>
    </row>
    <row r="537" spans="1:24" ht="14.4" x14ac:dyDescent="0.55000000000000004">
      <c r="A537" s="24" t="s">
        <v>722</v>
      </c>
      <c r="B537" s="24" t="s">
        <v>1269</v>
      </c>
      <c r="C537" s="24" t="s">
        <v>108</v>
      </c>
      <c r="D537" s="24" t="s">
        <v>72</v>
      </c>
      <c r="E537" s="24" t="s">
        <v>92</v>
      </c>
      <c r="F537" s="70">
        <v>2.2947103578462738E-4</v>
      </c>
      <c r="G537" s="24" t="e">
        <v>#N/A</v>
      </c>
      <c r="H537" s="24" t="e">
        <v>#N/A</v>
      </c>
      <c r="I537" s="24" t="e">
        <v>#N/A</v>
      </c>
      <c r="J537" s="24" t="e">
        <v>#N/A</v>
      </c>
      <c r="K537" s="24">
        <v>13.966379999999999</v>
      </c>
      <c r="L537" s="24">
        <v>10.061959999999999</v>
      </c>
      <c r="M537" s="24" t="e">
        <v>#N/A</v>
      </c>
      <c r="N537" s="24">
        <v>5.7632735037005522</v>
      </c>
      <c r="O537" s="24">
        <v>6.9</v>
      </c>
      <c r="P537" s="24">
        <v>8.1951219512195124</v>
      </c>
      <c r="Q537" s="24">
        <v>3.5998734213262225</v>
      </c>
      <c r="R537" s="24">
        <v>7.76</v>
      </c>
      <c r="S537" s="24">
        <v>5.0450779297204775</v>
      </c>
      <c r="T537" s="24">
        <v>0.65148274842574017</v>
      </c>
      <c r="U537" s="24" t="s">
        <v>1943</v>
      </c>
      <c r="V537" s="24">
        <v>2473.6129999999998</v>
      </c>
      <c r="W537" s="24" t="s">
        <v>1414</v>
      </c>
      <c r="X537" s="64">
        <v>9.9407114624505937</v>
      </c>
    </row>
    <row r="538" spans="1:24" ht="14.4" x14ac:dyDescent="0.55000000000000004">
      <c r="A538" s="24" t="s">
        <v>2030</v>
      </c>
      <c r="B538" s="24" t="s">
        <v>2031</v>
      </c>
      <c r="C538" s="24" t="s">
        <v>113</v>
      </c>
      <c r="D538" s="24" t="s">
        <v>72</v>
      </c>
      <c r="E538" s="24" t="s">
        <v>86</v>
      </c>
      <c r="F538" s="70">
        <v>2.2944741646108955E-4</v>
      </c>
      <c r="G538" s="24">
        <v>4.8544960000000001</v>
      </c>
      <c r="H538" s="24">
        <v>7.3712609999999996</v>
      </c>
      <c r="I538" s="24">
        <v>7.418164</v>
      </c>
      <c r="J538" s="24">
        <v>6.6326479999999997</v>
      </c>
      <c r="K538" s="24">
        <v>6.5059319999999996</v>
      </c>
      <c r="L538" s="24">
        <v>14.41339</v>
      </c>
      <c r="M538" s="24">
        <v>3.2275</v>
      </c>
      <c r="N538" s="24">
        <v>6.4665442926922223</v>
      </c>
      <c r="O538" s="24">
        <v>7.2</v>
      </c>
      <c r="P538" s="24">
        <v>9.1935493756504716</v>
      </c>
      <c r="Q538" s="24">
        <v>4.0628080552034929</v>
      </c>
      <c r="R538" s="24">
        <v>5.33</v>
      </c>
      <c r="S538" s="24" t="e">
        <v>#N/A</v>
      </c>
      <c r="T538" s="24">
        <v>1.08573498991773</v>
      </c>
      <c r="U538" s="24" t="s">
        <v>2032</v>
      </c>
      <c r="V538" s="24">
        <v>2446.319</v>
      </c>
      <c r="W538" s="24" t="s">
        <v>1414</v>
      </c>
      <c r="X538" s="64" t="e">
        <v>#N/A</v>
      </c>
    </row>
    <row r="539" spans="1:24" ht="14.4" x14ac:dyDescent="0.55000000000000004">
      <c r="A539" s="24" t="s">
        <v>696</v>
      </c>
      <c r="B539" s="24" t="s">
        <v>936</v>
      </c>
      <c r="C539" s="24" t="s">
        <v>105</v>
      </c>
      <c r="D539" s="24" t="s">
        <v>72</v>
      </c>
      <c r="E539" s="24" t="s">
        <v>97</v>
      </c>
      <c r="F539" s="70">
        <v>2.2894760755537839E-4</v>
      </c>
      <c r="G539" s="24">
        <v>5.3228900000000001</v>
      </c>
      <c r="H539" s="24">
        <v>4.5396530000000004</v>
      </c>
      <c r="I539" s="24">
        <v>6.861942</v>
      </c>
      <c r="J539" s="24">
        <v>5.5748280000000001</v>
      </c>
      <c r="K539" s="24">
        <v>0</v>
      </c>
      <c r="L539" s="24">
        <v>14.322290000000001</v>
      </c>
      <c r="M539" s="24">
        <v>44.260599999999997</v>
      </c>
      <c r="N539" s="24">
        <v>6.2537760571736527</v>
      </c>
      <c r="O539" s="24">
        <v>8.5</v>
      </c>
      <c r="P539" s="24">
        <v>5.2631578947368407</v>
      </c>
      <c r="Q539" s="24">
        <v>7.7544851274371567</v>
      </c>
      <c r="R539" s="24">
        <v>1.22</v>
      </c>
      <c r="S539" s="24">
        <v>7.9552373969216763</v>
      </c>
      <c r="T539" s="24">
        <v>0.55235038994280217</v>
      </c>
      <c r="U539" s="24" t="s">
        <v>1502</v>
      </c>
      <c r="V539" s="24">
        <v>0</v>
      </c>
      <c r="W539" s="24" t="s">
        <v>1414</v>
      </c>
      <c r="X539" s="64">
        <v>8.1436077057793348</v>
      </c>
    </row>
    <row r="540" spans="1:24" ht="14.4" x14ac:dyDescent="0.55000000000000004">
      <c r="A540" s="24" t="s">
        <v>751</v>
      </c>
      <c r="B540" s="24" t="s">
        <v>1072</v>
      </c>
      <c r="C540" s="24" t="s">
        <v>113</v>
      </c>
      <c r="D540" s="24" t="s">
        <v>72</v>
      </c>
      <c r="E540" s="24" t="s">
        <v>86</v>
      </c>
      <c r="F540" s="70">
        <v>2.2851985760283342E-4</v>
      </c>
      <c r="G540" s="24">
        <v>3.292049</v>
      </c>
      <c r="H540" s="24">
        <v>5.8466240000000003</v>
      </c>
      <c r="I540" s="24">
        <v>6.348827</v>
      </c>
      <c r="J540" s="24">
        <v>5.2560219999999997</v>
      </c>
      <c r="K540" s="24">
        <v>6.4162489999999996</v>
      </c>
      <c r="L540" s="24">
        <v>12.83352</v>
      </c>
      <c r="M540" s="24">
        <v>1.0163</v>
      </c>
      <c r="N540" s="24">
        <v>6.7713110344322205</v>
      </c>
      <c r="O540" s="24">
        <v>4.9000000000000004</v>
      </c>
      <c r="P540" s="24">
        <v>7.3387104665280081</v>
      </c>
      <c r="Q540" s="24">
        <v>6.8167863681171683</v>
      </c>
      <c r="R540" s="24">
        <v>7.6900009999999996</v>
      </c>
      <c r="S540" s="24">
        <v>6.3273204964002634</v>
      </c>
      <c r="T540" s="24">
        <v>1.3214739106774949</v>
      </c>
      <c r="U540" s="24" t="s">
        <v>1878</v>
      </c>
      <c r="V540" s="24">
        <v>2509.52</v>
      </c>
      <c r="W540" s="24" t="s">
        <v>1414</v>
      </c>
      <c r="X540" s="64">
        <v>9.0427350427350426</v>
      </c>
    </row>
    <row r="541" spans="1:24" ht="14.4" x14ac:dyDescent="0.55000000000000004">
      <c r="A541" s="24" t="s">
        <v>770</v>
      </c>
      <c r="B541" s="24" t="s">
        <v>1021</v>
      </c>
      <c r="C541" s="24" t="s">
        <v>110</v>
      </c>
      <c r="D541" s="24" t="s">
        <v>72</v>
      </c>
      <c r="E541" s="24" t="s">
        <v>89</v>
      </c>
      <c r="F541" s="70">
        <v>2.2841697343081282E-4</v>
      </c>
      <c r="G541" s="24">
        <v>5.9536790000000002</v>
      </c>
      <c r="H541" s="24">
        <v>5.8617169999999996</v>
      </c>
      <c r="I541" s="24">
        <v>5.523682</v>
      </c>
      <c r="J541" s="24">
        <v>5.797091</v>
      </c>
      <c r="K541" s="24">
        <v>3.1942629999999999</v>
      </c>
      <c r="L541" s="24">
        <v>7.1135149999999996</v>
      </c>
      <c r="M541" s="24">
        <v>13.568099999999999</v>
      </c>
      <c r="N541" s="24">
        <v>4.7784739667830571</v>
      </c>
      <c r="O541" s="24">
        <v>3.1</v>
      </c>
      <c r="P541" s="24">
        <v>8.3183183183183171</v>
      </c>
      <c r="Q541" s="24">
        <v>4.9306474103585662</v>
      </c>
      <c r="R541" s="24">
        <v>5.99</v>
      </c>
      <c r="S541" s="24">
        <v>6.7651823028192606</v>
      </c>
      <c r="T541" s="24">
        <v>1.0642175623920869</v>
      </c>
      <c r="U541" s="24" t="s">
        <v>1526</v>
      </c>
      <c r="V541" s="24">
        <v>2634.7860000000001</v>
      </c>
      <c r="W541" s="24" t="s">
        <v>1414</v>
      </c>
      <c r="X541" s="64">
        <v>9.429065743944637</v>
      </c>
    </row>
    <row r="542" spans="1:24" ht="14.4" x14ac:dyDescent="0.55000000000000004">
      <c r="A542" s="24" t="s">
        <v>764</v>
      </c>
      <c r="B542" s="24" t="s">
        <v>990</v>
      </c>
      <c r="C542" s="24" t="s">
        <v>127</v>
      </c>
      <c r="D542" s="24" t="s">
        <v>72</v>
      </c>
      <c r="E542" s="24" t="s">
        <v>91</v>
      </c>
      <c r="F542" s="70">
        <v>2.2827295560635982E-4</v>
      </c>
      <c r="G542" s="24">
        <v>4.6618830000000004</v>
      </c>
      <c r="H542" s="24">
        <v>6.0675140000000001</v>
      </c>
      <c r="I542" s="24">
        <v>6.5483320000000003</v>
      </c>
      <c r="J542" s="24">
        <v>5.6495069999999998</v>
      </c>
      <c r="K542" s="24">
        <v>2.8482069999999999</v>
      </c>
      <c r="L542" s="24">
        <v>11.44157</v>
      </c>
      <c r="M542" s="24">
        <v>8.3191000000000006</v>
      </c>
      <c r="N542" s="24">
        <v>8.3437769631105638</v>
      </c>
      <c r="O542" s="24">
        <v>5.9</v>
      </c>
      <c r="P542" s="24">
        <v>6.7391304347826093</v>
      </c>
      <c r="Q542" s="24">
        <v>6.4738213325366001</v>
      </c>
      <c r="R542" s="24">
        <v>6.79</v>
      </c>
      <c r="S542" s="24">
        <v>7.7741312942836078</v>
      </c>
      <c r="T542" s="24">
        <v>1.04066089995782</v>
      </c>
      <c r="U542" s="24" t="s">
        <v>1439</v>
      </c>
      <c r="V542" s="24">
        <v>2743.3139999999999</v>
      </c>
      <c r="W542" s="24" t="s">
        <v>1414</v>
      </c>
      <c r="X542" s="64">
        <v>9.3138936535162955</v>
      </c>
    </row>
    <row r="543" spans="1:24" ht="14.4" x14ac:dyDescent="0.55000000000000004">
      <c r="A543" s="24" t="s">
        <v>738</v>
      </c>
      <c r="B543" s="24" t="s">
        <v>930</v>
      </c>
      <c r="C543" s="24" t="s">
        <v>106</v>
      </c>
      <c r="D543" s="24" t="s">
        <v>72</v>
      </c>
      <c r="E543" s="24" t="s">
        <v>95</v>
      </c>
      <c r="F543" s="70">
        <v>2.2817717724777639E-4</v>
      </c>
      <c r="G543" s="24">
        <v>5.7071699999999996</v>
      </c>
      <c r="H543" s="24">
        <v>6.0108889999999997</v>
      </c>
      <c r="I543" s="24">
        <v>6.3123670000000001</v>
      </c>
      <c r="J543" s="24">
        <v>5.9798450000000001</v>
      </c>
      <c r="K543" s="24">
        <v>3.6188989999999999</v>
      </c>
      <c r="L543" s="24">
        <v>7.4999599999999997</v>
      </c>
      <c r="M543" s="24">
        <v>3.4605000000000001</v>
      </c>
      <c r="N543" s="24">
        <v>2.5689223988856846</v>
      </c>
      <c r="O543" s="24">
        <v>6.6</v>
      </c>
      <c r="P543" s="24">
        <v>6.1490683229813667</v>
      </c>
      <c r="Q543" s="24">
        <v>5.4179677866203111</v>
      </c>
      <c r="R543" s="24">
        <v>6.91</v>
      </c>
      <c r="S543" s="24">
        <v>5.762613951980704</v>
      </c>
      <c r="T543" s="24">
        <v>1.4543973021844974</v>
      </c>
      <c r="U543" s="24" t="s">
        <v>1863</v>
      </c>
      <c r="V543" s="24">
        <v>2228.6280000000002</v>
      </c>
      <c r="W543" s="24" t="s">
        <v>1414</v>
      </c>
      <c r="X543" s="64">
        <v>8.8679245283018879</v>
      </c>
    </row>
    <row r="544" spans="1:24" ht="14.4" x14ac:dyDescent="0.55000000000000004">
      <c r="A544" s="24" t="s">
        <v>759</v>
      </c>
      <c r="B544" s="24" t="s">
        <v>902</v>
      </c>
      <c r="C544" s="24" t="s">
        <v>106</v>
      </c>
      <c r="D544" s="24" t="s">
        <v>72</v>
      </c>
      <c r="E544" s="24" t="s">
        <v>94</v>
      </c>
      <c r="F544" s="70">
        <v>2.280029346957453E-4</v>
      </c>
      <c r="G544" s="24">
        <v>8.3101050000000001</v>
      </c>
      <c r="H544" s="24">
        <v>7.2842989999999999</v>
      </c>
      <c r="I544" s="24">
        <v>5.7056979999999999</v>
      </c>
      <c r="J544" s="24">
        <v>7.0631810000000002</v>
      </c>
      <c r="K544" s="24">
        <v>3.3653970000000002</v>
      </c>
      <c r="L544" s="24">
        <v>6.6040580000000002</v>
      </c>
      <c r="M544" s="24">
        <v>99.940799999999996</v>
      </c>
      <c r="N544" s="24">
        <v>3.308020687224873</v>
      </c>
      <c r="O544" s="24">
        <v>4.0999999999999996</v>
      </c>
      <c r="P544" s="24">
        <v>4.4097222222222232</v>
      </c>
      <c r="Q544" s="24">
        <v>4.1700617770767607</v>
      </c>
      <c r="R544" s="24">
        <v>6.12</v>
      </c>
      <c r="S544" s="24">
        <v>5.7486527968700738</v>
      </c>
      <c r="T544" s="24">
        <v>1.1639520385904552</v>
      </c>
      <c r="U544" s="24" t="s">
        <v>1811</v>
      </c>
      <c r="V544" s="24">
        <v>2300.7020000000002</v>
      </c>
      <c r="W544" s="24" t="s">
        <v>1414</v>
      </c>
      <c r="X544" s="64">
        <v>9.3899782135076251</v>
      </c>
    </row>
    <row r="545" spans="1:24" ht="14.4" x14ac:dyDescent="0.55000000000000004">
      <c r="A545" s="24" t="s">
        <v>776</v>
      </c>
      <c r="B545" s="24" t="s">
        <v>1328</v>
      </c>
      <c r="C545" s="24" t="s">
        <v>105</v>
      </c>
      <c r="D545" s="24" t="s">
        <v>72</v>
      </c>
      <c r="E545" s="24" t="s">
        <v>94</v>
      </c>
      <c r="F545" s="70">
        <v>2.2779096127518138E-4</v>
      </c>
      <c r="G545" s="24">
        <v>7.5802370000000003</v>
      </c>
      <c r="H545" s="24">
        <v>5.5490490000000001</v>
      </c>
      <c r="I545" s="24">
        <v>7.0131550000000002</v>
      </c>
      <c r="J545" s="24">
        <v>6.9471670000000003</v>
      </c>
      <c r="K545" s="24">
        <v>0.97540289999999996</v>
      </c>
      <c r="L545" s="24">
        <v>2.977846</v>
      </c>
      <c r="M545" s="24">
        <v>0.97036999999999995</v>
      </c>
      <c r="N545" s="24">
        <v>2.2812797808702392</v>
      </c>
      <c r="O545" s="24">
        <v>9</v>
      </c>
      <c r="P545" s="24">
        <v>2.3611111111111116</v>
      </c>
      <c r="Q545" s="24">
        <v>1.878286014721346</v>
      </c>
      <c r="R545" s="24">
        <v>4.22</v>
      </c>
      <c r="S545" s="24">
        <v>2.0421207568853279</v>
      </c>
      <c r="T545" s="24">
        <v>1.5385722148495651</v>
      </c>
      <c r="U545" s="24" t="s">
        <v>2007</v>
      </c>
      <c r="V545" s="24">
        <v>1728.0820000000001</v>
      </c>
      <c r="W545" s="24" t="s">
        <v>1416</v>
      </c>
      <c r="X545" s="64">
        <v>9.7603485838779953</v>
      </c>
    </row>
    <row r="546" spans="1:24" ht="14.4" x14ac:dyDescent="0.55000000000000004">
      <c r="A546" s="24" t="s">
        <v>740</v>
      </c>
      <c r="B546" s="24" t="s">
        <v>1092</v>
      </c>
      <c r="C546" s="24" t="s">
        <v>107</v>
      </c>
      <c r="D546" s="24" t="s">
        <v>72</v>
      </c>
      <c r="E546" s="24" t="s">
        <v>89</v>
      </c>
      <c r="F546" s="70">
        <v>2.2726773320969122E-4</v>
      </c>
      <c r="G546" s="24">
        <v>7.2533339999999997</v>
      </c>
      <c r="H546" s="24">
        <v>5.1643340000000002</v>
      </c>
      <c r="I546" s="24">
        <v>5.6205509999999999</v>
      </c>
      <c r="J546" s="24">
        <v>6.1367989999999999</v>
      </c>
      <c r="K546" s="24">
        <v>2.7324320000000002</v>
      </c>
      <c r="L546" s="24">
        <v>3.8561649999999998</v>
      </c>
      <c r="M546" s="24">
        <v>31.520700000000001</v>
      </c>
      <c r="N546" s="24">
        <v>5.4527769417429459</v>
      </c>
      <c r="O546" s="24">
        <v>4.7</v>
      </c>
      <c r="P546" s="24">
        <v>4.8348348348348331</v>
      </c>
      <c r="Q546" s="24">
        <v>5.2111918990703856</v>
      </c>
      <c r="R546" s="24">
        <v>4.9400000000000004</v>
      </c>
      <c r="S546" s="24">
        <v>3.7864248486020355</v>
      </c>
      <c r="T546" s="24">
        <v>1.3366622885038597</v>
      </c>
      <c r="U546" s="24" t="s">
        <v>1741</v>
      </c>
      <c r="V546" s="24">
        <v>3698.0880000000002</v>
      </c>
      <c r="W546" s="24" t="s">
        <v>1414</v>
      </c>
      <c r="X546" s="64">
        <v>8.9100346020761236</v>
      </c>
    </row>
    <row r="547" spans="1:24" ht="14.4" x14ac:dyDescent="0.55000000000000004">
      <c r="A547" s="24" t="s">
        <v>753</v>
      </c>
      <c r="B547" s="24" t="s">
        <v>1206</v>
      </c>
      <c r="C547" s="24" t="s">
        <v>110</v>
      </c>
      <c r="D547" s="24" t="s">
        <v>72</v>
      </c>
      <c r="E547" s="24" t="s">
        <v>89</v>
      </c>
      <c r="F547" s="70">
        <v>2.2578932368723124E-4</v>
      </c>
      <c r="G547" s="24">
        <v>4.6262249999999998</v>
      </c>
      <c r="H547" s="24">
        <v>5.1160410000000001</v>
      </c>
      <c r="I547" s="24">
        <v>7.0563310000000001</v>
      </c>
      <c r="J547" s="24">
        <v>5.5022019999999996</v>
      </c>
      <c r="K547" s="24">
        <v>1.9848479999999999</v>
      </c>
      <c r="L547" s="24">
        <v>6.6721630000000003</v>
      </c>
      <c r="M547" s="24">
        <v>321.06610000000001</v>
      </c>
      <c r="N547" s="24">
        <v>6.6176781232903341</v>
      </c>
      <c r="O547" s="24">
        <v>7.6</v>
      </c>
      <c r="P547" s="24">
        <v>8.048048048048047</v>
      </c>
      <c r="Q547" s="24">
        <v>3.0371104471004875</v>
      </c>
      <c r="R547" s="24">
        <v>5.73</v>
      </c>
      <c r="S547" s="24">
        <v>6.5695726500028826</v>
      </c>
      <c r="T547" s="24">
        <v>0.97954239697043144</v>
      </c>
      <c r="U547" s="24" t="s">
        <v>1563</v>
      </c>
      <c r="V547" s="24">
        <v>2453.5329999999999</v>
      </c>
      <c r="W547" s="24" t="s">
        <v>1414</v>
      </c>
      <c r="X547" s="64">
        <v>9.1349480968858128</v>
      </c>
    </row>
    <row r="548" spans="1:24" ht="14.4" x14ac:dyDescent="0.55000000000000004">
      <c r="A548" s="24" t="s">
        <v>736</v>
      </c>
      <c r="B548" s="24" t="s">
        <v>974</v>
      </c>
      <c r="C548" s="24" t="s">
        <v>110</v>
      </c>
      <c r="D548" s="24" t="s">
        <v>72</v>
      </c>
      <c r="E548" s="24" t="s">
        <v>82</v>
      </c>
      <c r="F548" s="70">
        <v>2.2503520672597098E-4</v>
      </c>
      <c r="G548" s="24">
        <v>6.5437440000000002</v>
      </c>
      <c r="H548" s="24">
        <v>6.3946189999999996</v>
      </c>
      <c r="I548" s="24">
        <v>6.3330989999999998</v>
      </c>
      <c r="J548" s="24">
        <v>6.4178240000000004</v>
      </c>
      <c r="K548" s="24">
        <v>5.0944469999999997</v>
      </c>
      <c r="L548" s="24">
        <v>4.7178170000000001</v>
      </c>
      <c r="M548" s="24">
        <v>10.077500000000001</v>
      </c>
      <c r="N548" s="24">
        <v>3.4647114328465363</v>
      </c>
      <c r="O548" s="24">
        <v>0.9</v>
      </c>
      <c r="P548" s="24">
        <v>6.1469544244037024</v>
      </c>
      <c r="Q548" s="24">
        <v>2.412336290663287</v>
      </c>
      <c r="R548" s="24">
        <v>4.8499999999999996</v>
      </c>
      <c r="S548" s="24">
        <v>3.5478483725187293</v>
      </c>
      <c r="T548" s="24">
        <v>0.45764003705362855</v>
      </c>
      <c r="U548" s="24" t="s">
        <v>1573</v>
      </c>
      <c r="V548" s="24">
        <v>2610.645</v>
      </c>
      <c r="W548" s="24" t="s">
        <v>1414</v>
      </c>
      <c r="X548" s="64">
        <v>8.7863247863247871</v>
      </c>
    </row>
    <row r="549" spans="1:24" ht="14.4" x14ac:dyDescent="0.55000000000000004">
      <c r="A549" s="24" t="s">
        <v>676</v>
      </c>
      <c r="B549" s="24" t="s">
        <v>968</v>
      </c>
      <c r="C549" s="24" t="s">
        <v>112</v>
      </c>
      <c r="D549" s="24" t="s">
        <v>72</v>
      </c>
      <c r="E549" s="24" t="s">
        <v>89</v>
      </c>
      <c r="F549" s="70">
        <v>2.2414778070135329E-4</v>
      </c>
      <c r="G549" s="24">
        <v>4.8153670000000002</v>
      </c>
      <c r="H549" s="24">
        <v>5.4556990000000001</v>
      </c>
      <c r="I549" s="24">
        <v>7.6382960000000004</v>
      </c>
      <c r="J549" s="24">
        <v>6.200672</v>
      </c>
      <c r="K549" s="24">
        <v>1.6490389999999999</v>
      </c>
      <c r="L549" s="24">
        <v>5.2833069999999998</v>
      </c>
      <c r="M549" s="24">
        <v>368.72789999999998</v>
      </c>
      <c r="N549" s="24">
        <v>6.9980537282016977</v>
      </c>
      <c r="O549" s="24">
        <v>2.6</v>
      </c>
      <c r="P549" s="24">
        <v>5.4054054054054044</v>
      </c>
      <c r="Q549" s="24">
        <v>3.5964475431606906</v>
      </c>
      <c r="R549" s="24">
        <v>5.2</v>
      </c>
      <c r="S549" s="24">
        <v>4.8284868176267635</v>
      </c>
      <c r="T549" s="24">
        <v>1.4188879443141527</v>
      </c>
      <c r="U549" s="24" t="s">
        <v>1616</v>
      </c>
      <c r="V549" s="24">
        <v>2763.2</v>
      </c>
      <c r="W549" s="24" t="s">
        <v>1414</v>
      </c>
      <c r="X549" s="64">
        <v>7.8027681660899653</v>
      </c>
    </row>
    <row r="550" spans="1:24" ht="14.4" x14ac:dyDescent="0.55000000000000004">
      <c r="A550" s="24" t="s">
        <v>733</v>
      </c>
      <c r="B550" s="24" t="s">
        <v>1356</v>
      </c>
      <c r="C550" s="24" t="s">
        <v>127</v>
      </c>
      <c r="D550" s="24" t="s">
        <v>72</v>
      </c>
      <c r="E550" s="24" t="s">
        <v>82</v>
      </c>
      <c r="F550" s="70">
        <v>2.2349404586512875E-4</v>
      </c>
      <c r="G550" s="24">
        <v>5.413551</v>
      </c>
      <c r="H550" s="24">
        <v>4.141845</v>
      </c>
      <c r="I550" s="24">
        <v>6.0431850000000003</v>
      </c>
      <c r="J550" s="24">
        <v>5.1888259999999997</v>
      </c>
      <c r="K550" s="24">
        <v>8.8931819999999995</v>
      </c>
      <c r="L550" s="24">
        <v>19.744910000000001</v>
      </c>
      <c r="M550" s="24">
        <v>9.7594999999999992</v>
      </c>
      <c r="N550" s="24">
        <v>6.1125112792168323</v>
      </c>
      <c r="O550" s="24">
        <v>4.2</v>
      </c>
      <c r="P550" s="24">
        <v>6.666667383512622</v>
      </c>
      <c r="Q550" s="24">
        <v>7.3102379946486433</v>
      </c>
      <c r="R550" s="24">
        <v>7.83</v>
      </c>
      <c r="S550" s="24">
        <v>7.8355414509573293</v>
      </c>
      <c r="T550" s="24">
        <v>0.89459220724788824</v>
      </c>
      <c r="U550" s="24" t="s">
        <v>1438</v>
      </c>
      <c r="V550" s="24">
        <v>2353.027</v>
      </c>
      <c r="W550" s="24" t="s">
        <v>1414</v>
      </c>
      <c r="X550" s="64">
        <v>8.735042735042736</v>
      </c>
    </row>
    <row r="551" spans="1:24" ht="14.4" x14ac:dyDescent="0.55000000000000004">
      <c r="A551" s="24" t="s">
        <v>746</v>
      </c>
      <c r="B551" s="24" t="s">
        <v>1199</v>
      </c>
      <c r="C551" s="24" t="s">
        <v>110</v>
      </c>
      <c r="D551" s="24" t="s">
        <v>72</v>
      </c>
      <c r="E551" s="24" t="s">
        <v>94</v>
      </c>
      <c r="F551" s="70">
        <v>2.2248762248590741E-4</v>
      </c>
      <c r="G551" s="24">
        <v>5.2236969999999996</v>
      </c>
      <c r="H551" s="24">
        <v>2.4937279999999999</v>
      </c>
      <c r="I551" s="24">
        <v>6.4307930000000004</v>
      </c>
      <c r="J551" s="24">
        <v>5.1605420000000004</v>
      </c>
      <c r="K551" s="24">
        <v>4.4710330000000003</v>
      </c>
      <c r="L551" s="24">
        <v>4.773199</v>
      </c>
      <c r="M551" s="24">
        <v>21.7563</v>
      </c>
      <c r="N551" s="24">
        <v>2.5453946877117648</v>
      </c>
      <c r="O551" s="24">
        <v>6.7</v>
      </c>
      <c r="P551" s="24">
        <v>2.7430555555555558</v>
      </c>
      <c r="Q551" s="24">
        <v>2.5354889589905358</v>
      </c>
      <c r="R551" s="24">
        <v>7.36</v>
      </c>
      <c r="S551" s="24">
        <v>4.1968164323891521</v>
      </c>
      <c r="T551" s="24">
        <v>0.38882687477514521</v>
      </c>
      <c r="U551" s="24" t="s">
        <v>1529</v>
      </c>
      <c r="V551" s="24">
        <v>2455.8409999999999</v>
      </c>
      <c r="W551" s="24" t="s">
        <v>1414</v>
      </c>
      <c r="X551" s="64">
        <v>9.1067538126361658</v>
      </c>
    </row>
    <row r="552" spans="1:24" ht="14.4" x14ac:dyDescent="0.55000000000000004">
      <c r="A552" s="24" t="s">
        <v>763</v>
      </c>
      <c r="B552" s="24" t="s">
        <v>928</v>
      </c>
      <c r="C552" s="24" t="s">
        <v>106</v>
      </c>
      <c r="D552" s="24" t="s">
        <v>72</v>
      </c>
      <c r="E552" s="24" t="s">
        <v>91</v>
      </c>
      <c r="F552" s="70">
        <v>2.2237743233669078E-4</v>
      </c>
      <c r="G552" s="24">
        <v>5.8800030000000003</v>
      </c>
      <c r="H552" s="24">
        <v>6.3891840000000002</v>
      </c>
      <c r="I552" s="24">
        <v>6.6701430000000004</v>
      </c>
      <c r="J552" s="24">
        <v>6.2697989999999999</v>
      </c>
      <c r="K552" s="24">
        <v>2.3089930000000001</v>
      </c>
      <c r="L552" s="24">
        <v>10.50788</v>
      </c>
      <c r="M552" s="24">
        <v>54.514699999999998</v>
      </c>
      <c r="N552" s="24">
        <v>5.4970764975303688</v>
      </c>
      <c r="O552" s="24">
        <v>7.5</v>
      </c>
      <c r="P552" s="24">
        <v>7.1428571428571441</v>
      </c>
      <c r="Q552" s="24">
        <v>6.706865850014939</v>
      </c>
      <c r="R552" s="24">
        <v>6.26</v>
      </c>
      <c r="S552" s="24">
        <v>7.3031953636016436</v>
      </c>
      <c r="T552" s="24">
        <v>1.015640396126539</v>
      </c>
      <c r="U552" s="24" t="s">
        <v>1788</v>
      </c>
      <c r="V552" s="24">
        <v>2276.462</v>
      </c>
      <c r="W552" s="24" t="s">
        <v>1414</v>
      </c>
      <c r="X552" s="64">
        <v>9.2967409948542024</v>
      </c>
    </row>
    <row r="553" spans="1:24" ht="14.4" x14ac:dyDescent="0.55000000000000004">
      <c r="A553" s="24" t="s">
        <v>745</v>
      </c>
      <c r="B553" s="24" t="s">
        <v>982</v>
      </c>
      <c r="C553" s="24" t="s">
        <v>113</v>
      </c>
      <c r="D553" s="24" t="s">
        <v>72</v>
      </c>
      <c r="E553" s="24" t="s">
        <v>82</v>
      </c>
      <c r="F553" s="70">
        <v>2.1913327821602052E-4</v>
      </c>
      <c r="G553" s="24">
        <v>4.1314089999999997</v>
      </c>
      <c r="H553" s="24">
        <v>6.412795</v>
      </c>
      <c r="I553" s="24">
        <v>5.2202270000000004</v>
      </c>
      <c r="J553" s="24">
        <v>5.3109799999999998</v>
      </c>
      <c r="K553" s="24">
        <v>8.5964980000000004</v>
      </c>
      <c r="L553" s="24">
        <v>18.281780000000001</v>
      </c>
      <c r="M553" s="24">
        <v>11.163399999999999</v>
      </c>
      <c r="N553" s="24">
        <v>7.2376268211561321</v>
      </c>
      <c r="O553" s="24">
        <v>8.1999999999999993</v>
      </c>
      <c r="P553" s="24">
        <v>4.4193553139091737</v>
      </c>
      <c r="Q553" s="24">
        <v>8.0721025207717236</v>
      </c>
      <c r="R553" s="24">
        <v>8.34</v>
      </c>
      <c r="S553" s="24">
        <v>7.0596990738912613</v>
      </c>
      <c r="T553" s="24">
        <v>1.2673576962797455</v>
      </c>
      <c r="U553" s="24" t="s">
        <v>1872</v>
      </c>
      <c r="V553" s="24">
        <v>2482.9180000000001</v>
      </c>
      <c r="W553" s="24" t="s">
        <v>1414</v>
      </c>
      <c r="X553" s="64">
        <v>8.9401709401709404</v>
      </c>
    </row>
    <row r="554" spans="1:24" ht="14.4" x14ac:dyDescent="0.55000000000000004">
      <c r="A554" s="24" t="s">
        <v>2020</v>
      </c>
      <c r="B554" s="24" t="s">
        <v>2021</v>
      </c>
      <c r="C554" s="24" t="s">
        <v>127</v>
      </c>
      <c r="D554" s="24" t="s">
        <v>72</v>
      </c>
      <c r="E554" s="24" t="s">
        <v>88</v>
      </c>
      <c r="F554" s="70">
        <v>2.1891089627999925E-4</v>
      </c>
      <c r="G554" s="24">
        <v>5.8914220000000004</v>
      </c>
      <c r="H554" s="24">
        <v>7.0079330000000004</v>
      </c>
      <c r="I554" s="24">
        <v>6.3945819999999998</v>
      </c>
      <c r="J554" s="24">
        <v>6.5392900000000003</v>
      </c>
      <c r="K554" s="24">
        <v>0</v>
      </c>
      <c r="L554" s="24">
        <v>7.3805969999999999</v>
      </c>
      <c r="M554" s="24">
        <v>17.7986</v>
      </c>
      <c r="N554" s="24">
        <v>2.3754882661207861</v>
      </c>
      <c r="O554" s="24">
        <v>9.6</v>
      </c>
      <c r="P554" s="24">
        <v>6.5479452054794516</v>
      </c>
      <c r="Q554" s="24">
        <v>3.9277262730031466</v>
      </c>
      <c r="R554" s="24">
        <v>0</v>
      </c>
      <c r="S554" s="24" t="e">
        <v>#N/A</v>
      </c>
      <c r="T554" s="24">
        <v>1.2533890505252421</v>
      </c>
      <c r="U554" s="24" t="s">
        <v>2022</v>
      </c>
      <c r="V554" s="24">
        <v>2178.6170000000002</v>
      </c>
      <c r="W554" s="24" t="s">
        <v>1414</v>
      </c>
      <c r="X554" s="64" t="e">
        <v>#N/A</v>
      </c>
    </row>
    <row r="555" spans="1:24" ht="14.4" x14ac:dyDescent="0.55000000000000004">
      <c r="A555" s="24" t="s">
        <v>772</v>
      </c>
      <c r="B555" s="24" t="s">
        <v>1222</v>
      </c>
      <c r="C555" s="24" t="s">
        <v>105</v>
      </c>
      <c r="D555" s="24" t="s">
        <v>72</v>
      </c>
      <c r="E555" s="24" t="s">
        <v>93</v>
      </c>
      <c r="F555" s="70">
        <v>2.1890929496992889E-4</v>
      </c>
      <c r="G555" s="24">
        <v>6.9383509999999999</v>
      </c>
      <c r="H555" s="24">
        <v>5.2332179999999999</v>
      </c>
      <c r="I555" s="24">
        <v>4.9543160000000004</v>
      </c>
      <c r="J555" s="24">
        <v>5.831601</v>
      </c>
      <c r="K555" s="24">
        <v>4.233803</v>
      </c>
      <c r="L555" s="24">
        <v>4.2642239999999996</v>
      </c>
      <c r="M555" s="24">
        <v>19.360399999999998</v>
      </c>
      <c r="N555" s="24">
        <v>0</v>
      </c>
      <c r="O555" s="24">
        <v>0.6</v>
      </c>
      <c r="P555" s="24">
        <v>3.3229813664596275</v>
      </c>
      <c r="Q555" s="24">
        <v>5.3698019936442396</v>
      </c>
      <c r="R555" s="24">
        <v>6.6799989999999996</v>
      </c>
      <c r="S555" s="24">
        <v>2.5136697130964292</v>
      </c>
      <c r="T555" s="24">
        <v>1.6990244544921183</v>
      </c>
      <c r="U555" s="24" t="s">
        <v>1977</v>
      </c>
      <c r="V555" s="24">
        <v>2136.0419999999999</v>
      </c>
      <c r="W555" s="24" t="s">
        <v>1414</v>
      </c>
      <c r="X555" s="64">
        <v>9.4511149228130371</v>
      </c>
    </row>
    <row r="556" spans="1:24" ht="14.4" x14ac:dyDescent="0.55000000000000004">
      <c r="A556" s="24" t="s">
        <v>778</v>
      </c>
      <c r="B556" s="24" t="s">
        <v>952</v>
      </c>
      <c r="C556" s="24" t="s">
        <v>108</v>
      </c>
      <c r="D556" s="24" t="s">
        <v>72</v>
      </c>
      <c r="E556" s="24" t="s">
        <v>87</v>
      </c>
      <c r="F556" s="70">
        <v>2.1819481043291008E-4</v>
      </c>
      <c r="G556" s="24">
        <v>1.988721</v>
      </c>
      <c r="H556" s="24">
        <v>5.6812930000000001</v>
      </c>
      <c r="I556" s="24">
        <v>4.1248969999999998</v>
      </c>
      <c r="J556" s="24">
        <v>3.7373449999999999</v>
      </c>
      <c r="K556" s="24">
        <v>2.4702220000000001</v>
      </c>
      <c r="L556" s="24">
        <v>5.7893160000000004</v>
      </c>
      <c r="M556" s="24">
        <v>10.238799999999999</v>
      </c>
      <c r="N556" s="24">
        <v>5.9900267612704425</v>
      </c>
      <c r="O556" s="24">
        <v>2</v>
      </c>
      <c r="P556" s="24">
        <v>6.2343096234309625</v>
      </c>
      <c r="Q556" s="24">
        <v>2.914178686532467</v>
      </c>
      <c r="R556" s="24">
        <v>6.42</v>
      </c>
      <c r="S556" s="24">
        <v>5.1625684675000549</v>
      </c>
      <c r="T556" s="24">
        <v>0.68423051576356897</v>
      </c>
      <c r="U556" s="24" t="s">
        <v>1699</v>
      </c>
      <c r="V556" s="24">
        <v>2630.518</v>
      </c>
      <c r="W556" s="24" t="s">
        <v>1414</v>
      </c>
      <c r="X556" s="64">
        <v>10</v>
      </c>
    </row>
    <row r="557" spans="1:24" ht="14.4" x14ac:dyDescent="0.55000000000000004">
      <c r="A557" s="24" t="s">
        <v>781</v>
      </c>
      <c r="B557" s="24" t="s">
        <v>1079</v>
      </c>
      <c r="C557" s="24" t="s">
        <v>109</v>
      </c>
      <c r="D557" s="24" t="s">
        <v>72</v>
      </c>
      <c r="E557" s="24" t="s">
        <v>83</v>
      </c>
      <c r="F557" s="70">
        <v>2.1809773100989451E-4</v>
      </c>
      <c r="G557" s="24">
        <v>7.3960340000000002</v>
      </c>
      <c r="H557" s="24">
        <v>7.1331119999999997</v>
      </c>
      <c r="I557" s="24">
        <v>4.6620189999999999</v>
      </c>
      <c r="J557" s="24">
        <v>6.3970549999999999</v>
      </c>
      <c r="K557" s="24">
        <v>6.8451979999999999</v>
      </c>
      <c r="L557" s="24">
        <v>4.4367530000000004</v>
      </c>
      <c r="M557" s="24">
        <v>32.896900000000002</v>
      </c>
      <c r="N557" s="24">
        <v>0.96950217593418642</v>
      </c>
      <c r="O557" s="24">
        <v>0.7</v>
      </c>
      <c r="P557" s="24">
        <v>4.4477611940298507</v>
      </c>
      <c r="Q557" s="24">
        <v>5.7354803478059067</v>
      </c>
      <c r="R557" s="24">
        <v>7.08</v>
      </c>
      <c r="S557" s="24">
        <v>3.2939409910936108</v>
      </c>
      <c r="T557" s="24">
        <v>1.7052658036994659</v>
      </c>
      <c r="U557" s="24" t="s">
        <v>1520</v>
      </c>
      <c r="V557" s="24">
        <v>2382.614</v>
      </c>
      <c r="W557" s="24" t="s">
        <v>1414</v>
      </c>
      <c r="X557" s="64">
        <v>9.5833333333333339</v>
      </c>
    </row>
    <row r="558" spans="1:24" ht="14.4" x14ac:dyDescent="0.55000000000000004">
      <c r="A558" s="24" t="s">
        <v>762</v>
      </c>
      <c r="B558" s="24" t="s">
        <v>2016</v>
      </c>
      <c r="C558" s="24" t="s">
        <v>110</v>
      </c>
      <c r="D558" s="24" t="s">
        <v>72</v>
      </c>
      <c r="E558" s="24" t="s">
        <v>89</v>
      </c>
      <c r="F558" s="70">
        <v>2.1509587511924562E-4</v>
      </c>
      <c r="G558" s="24">
        <v>8.4485340000000004</v>
      </c>
      <c r="H558" s="24">
        <v>5.9122560000000002</v>
      </c>
      <c r="I558" s="24">
        <v>7.2200730000000002</v>
      </c>
      <c r="J558" s="24">
        <v>7.3191119999999996</v>
      </c>
      <c r="K558" s="24">
        <v>3.4319199999999999</v>
      </c>
      <c r="L558" s="24">
        <v>5.8521570000000001</v>
      </c>
      <c r="M558" s="24">
        <v>11.5619</v>
      </c>
      <c r="N558" s="24">
        <v>3.3909659221540558</v>
      </c>
      <c r="O558" s="24">
        <v>6.7</v>
      </c>
      <c r="P558" s="24">
        <v>5.4054054054054044</v>
      </c>
      <c r="Q558" s="24">
        <v>7.261694333776008</v>
      </c>
      <c r="R558" s="24">
        <v>6.68</v>
      </c>
      <c r="S558" s="24">
        <v>5.4303890043167025</v>
      </c>
      <c r="T558" s="24">
        <v>0.61496219100454796</v>
      </c>
      <c r="U558" s="24" t="s">
        <v>1557</v>
      </c>
      <c r="V558" s="24">
        <v>2543.4580000000001</v>
      </c>
      <c r="W558" s="24" t="s">
        <v>1414</v>
      </c>
      <c r="X558" s="64">
        <v>9.2906574394463668</v>
      </c>
    </row>
    <row r="559" spans="1:24" ht="14.4" x14ac:dyDescent="0.55000000000000004">
      <c r="A559" s="24" t="s">
        <v>782</v>
      </c>
      <c r="B559" s="24" t="s">
        <v>1202</v>
      </c>
      <c r="C559" s="24" t="s">
        <v>112</v>
      </c>
      <c r="D559" s="24" t="s">
        <v>72</v>
      </c>
      <c r="E559" s="24" t="s">
        <v>88</v>
      </c>
      <c r="F559" s="70">
        <v>2.1504443303323531E-4</v>
      </c>
      <c r="G559" s="24">
        <v>4.1628740000000004</v>
      </c>
      <c r="H559" s="24">
        <v>6.1499090000000001</v>
      </c>
      <c r="I559" s="24">
        <v>5.3707779999999996</v>
      </c>
      <c r="J559" s="24">
        <v>5.4408500000000002</v>
      </c>
      <c r="K559" s="24">
        <v>1.290532</v>
      </c>
      <c r="L559" s="24">
        <v>2.2701449999999999</v>
      </c>
      <c r="M559" s="24">
        <v>170.05260000000001</v>
      </c>
      <c r="N559" s="24">
        <v>2.2113840283185744</v>
      </c>
      <c r="O559" s="24">
        <v>1</v>
      </c>
      <c r="P559" s="24">
        <v>6.9315068493150687</v>
      </c>
      <c r="Q559" s="24">
        <v>3.603663799103539</v>
      </c>
      <c r="R559" s="24">
        <v>4.42</v>
      </c>
      <c r="S559" s="24">
        <v>2.192476157880801</v>
      </c>
      <c r="T559" s="24">
        <v>1.2930949757375025</v>
      </c>
      <c r="U559" s="24" t="s">
        <v>1587</v>
      </c>
      <c r="V559" s="24">
        <v>2603.3119999999999</v>
      </c>
      <c r="W559" s="24" t="s">
        <v>1414</v>
      </c>
      <c r="X559" s="64">
        <v>9.8784722222222214</v>
      </c>
    </row>
    <row r="560" spans="1:24" ht="14.4" x14ac:dyDescent="0.55000000000000004">
      <c r="A560" s="24" t="s">
        <v>768</v>
      </c>
      <c r="B560" s="24" t="s">
        <v>1240</v>
      </c>
      <c r="C560" s="24" t="s">
        <v>110</v>
      </c>
      <c r="D560" s="24" t="s">
        <v>72</v>
      </c>
      <c r="E560" s="24" t="s">
        <v>82</v>
      </c>
      <c r="F560" s="70">
        <v>2.1422366154029638E-4</v>
      </c>
      <c r="G560" s="24">
        <v>8.0237739999999995</v>
      </c>
      <c r="H560" s="24">
        <v>7.8788640000000001</v>
      </c>
      <c r="I560" s="24">
        <v>6.705756</v>
      </c>
      <c r="J560" s="24">
        <v>7.511749</v>
      </c>
      <c r="K560" s="24">
        <v>5.269158</v>
      </c>
      <c r="L560" s="24">
        <v>8.6520329999999994</v>
      </c>
      <c r="M560" s="24">
        <v>4.7430000000000003</v>
      </c>
      <c r="N560" s="24">
        <v>7.7314389427790529</v>
      </c>
      <c r="O560" s="24">
        <v>6.4</v>
      </c>
      <c r="P560" s="24">
        <v>5.4516134894208061</v>
      </c>
      <c r="Q560" s="24">
        <v>4.7683424869736672</v>
      </c>
      <c r="R560" s="24">
        <v>7.68</v>
      </c>
      <c r="S560" s="24">
        <v>5.2805872068579838</v>
      </c>
      <c r="T560" s="24">
        <v>0.57749435247877667</v>
      </c>
      <c r="U560" s="24" t="s">
        <v>1562</v>
      </c>
      <c r="V560" s="24">
        <v>2457.69</v>
      </c>
      <c r="W560" s="24" t="s">
        <v>1414</v>
      </c>
      <c r="X560" s="64">
        <v>9.3333333333333339</v>
      </c>
    </row>
    <row r="561" spans="1:24" ht="14.4" x14ac:dyDescent="0.55000000000000004">
      <c r="A561" s="24" t="s">
        <v>734</v>
      </c>
      <c r="B561" s="24" t="s">
        <v>869</v>
      </c>
      <c r="C561" s="24" t="s">
        <v>110</v>
      </c>
      <c r="D561" s="24" t="s">
        <v>72</v>
      </c>
      <c r="E561" s="24" t="s">
        <v>88</v>
      </c>
      <c r="F561" s="70">
        <v>2.1326067369673352E-4</v>
      </c>
      <c r="G561" s="24">
        <v>3.6220189999999999</v>
      </c>
      <c r="H561" s="24">
        <v>4.7336119999999999</v>
      </c>
      <c r="I561" s="24">
        <v>4.887181</v>
      </c>
      <c r="J561" s="24">
        <v>4.5727209999999996</v>
      </c>
      <c r="K561" s="24">
        <v>1.2166429999999999</v>
      </c>
      <c r="L561" s="24">
        <v>2.3229190000000002</v>
      </c>
      <c r="M561" s="24">
        <v>21.438099999999999</v>
      </c>
      <c r="N561" s="24">
        <v>4.5926106478335207</v>
      </c>
      <c r="O561" s="24">
        <v>8.1</v>
      </c>
      <c r="P561" s="24">
        <v>6.4383561643835616</v>
      </c>
      <c r="Q561" s="24">
        <v>0.85442245051365573</v>
      </c>
      <c r="R561" s="24">
        <v>5.56</v>
      </c>
      <c r="S561" s="24">
        <v>2.6796958145910246</v>
      </c>
      <c r="T561" s="24">
        <v>1.3073661838845982</v>
      </c>
      <c r="U561" s="24" t="s">
        <v>1578</v>
      </c>
      <c r="V561" s="24">
        <v>2358.7800000000002</v>
      </c>
      <c r="W561" s="24" t="s">
        <v>1414</v>
      </c>
      <c r="X561" s="64">
        <v>9.0451388888888893</v>
      </c>
    </row>
    <row r="562" spans="1:24" ht="14.4" x14ac:dyDescent="0.55000000000000004">
      <c r="A562" s="24" t="s">
        <v>771</v>
      </c>
      <c r="B562" s="24" t="s">
        <v>1200</v>
      </c>
      <c r="C562" s="24" t="s">
        <v>106</v>
      </c>
      <c r="D562" s="24" t="s">
        <v>72</v>
      </c>
      <c r="E562" s="24" t="s">
        <v>96</v>
      </c>
      <c r="F562" s="70">
        <v>2.1309944178902416E-4</v>
      </c>
      <c r="G562" s="24">
        <v>8.2583369999999992</v>
      </c>
      <c r="H562" s="24">
        <v>6.6801690000000002</v>
      </c>
      <c r="I562" s="24">
        <v>5.9736180000000001</v>
      </c>
      <c r="J562" s="24">
        <v>6.9707080000000001</v>
      </c>
      <c r="K562" s="24">
        <v>2.5758200000000002</v>
      </c>
      <c r="L562" s="24">
        <v>3.9796299999999998</v>
      </c>
      <c r="M562" s="24">
        <v>6.5608E-2</v>
      </c>
      <c r="N562" s="24">
        <v>4.1862253441276218</v>
      </c>
      <c r="O562" s="24">
        <v>5.0999999999999996</v>
      </c>
      <c r="P562" s="24">
        <v>10</v>
      </c>
      <c r="Q562" s="24">
        <v>1.6254177887931645</v>
      </c>
      <c r="R562" s="24">
        <v>6.15</v>
      </c>
      <c r="S562" s="24">
        <v>5.7848197742686205</v>
      </c>
      <c r="T562" s="24">
        <v>1.3021713708021492</v>
      </c>
      <c r="U562" s="24" t="s">
        <v>1858</v>
      </c>
      <c r="V562" s="24">
        <v>2424.0219999999999</v>
      </c>
      <c r="W562" s="24" t="s">
        <v>1414</v>
      </c>
      <c r="X562" s="64">
        <v>9.6533795493934136</v>
      </c>
    </row>
    <row r="563" spans="1:24" ht="14.4" x14ac:dyDescent="0.55000000000000004">
      <c r="A563" s="24" t="s">
        <v>765</v>
      </c>
      <c r="B563" s="24" t="s">
        <v>1138</v>
      </c>
      <c r="C563" s="24" t="s">
        <v>107</v>
      </c>
      <c r="D563" s="24" t="s">
        <v>72</v>
      </c>
      <c r="E563" s="24" t="s">
        <v>86</v>
      </c>
      <c r="F563" s="70">
        <v>2.1295332224510378E-4</v>
      </c>
      <c r="G563" s="24">
        <v>6.8950069999999997</v>
      </c>
      <c r="H563" s="24">
        <v>7.0692839999999997</v>
      </c>
      <c r="I563" s="24">
        <v>4.9434630000000004</v>
      </c>
      <c r="J563" s="24">
        <v>6.272964</v>
      </c>
      <c r="K563" s="24">
        <v>4.4063179999999997</v>
      </c>
      <c r="L563" s="24">
        <v>14.339740000000001</v>
      </c>
      <c r="M563" s="24">
        <v>20.7179</v>
      </c>
      <c r="N563" s="24">
        <v>6.6109072690608262</v>
      </c>
      <c r="O563" s="24">
        <v>4.8</v>
      </c>
      <c r="P563" s="24">
        <v>1.2903227193895397</v>
      </c>
      <c r="Q563" s="24">
        <v>7.5440078862132109</v>
      </c>
      <c r="R563" s="24">
        <v>5.09</v>
      </c>
      <c r="S563" s="24">
        <v>5.7108409833289731</v>
      </c>
      <c r="T563" s="24">
        <v>1.2124453243395565</v>
      </c>
      <c r="U563" s="24" t="s">
        <v>1717</v>
      </c>
      <c r="V563" s="24">
        <v>2468.5529999999999</v>
      </c>
      <c r="W563" s="24" t="s">
        <v>1414</v>
      </c>
      <c r="X563" s="64">
        <v>9.2820512820512828</v>
      </c>
    </row>
    <row r="564" spans="1:24" ht="14.4" x14ac:dyDescent="0.55000000000000004">
      <c r="A564" s="24" t="s">
        <v>786</v>
      </c>
      <c r="B564" s="24" t="s">
        <v>1108</v>
      </c>
      <c r="C564" s="24" t="s">
        <v>106</v>
      </c>
      <c r="D564" s="24" t="s">
        <v>72</v>
      </c>
      <c r="E564" s="24" t="s">
        <v>98</v>
      </c>
      <c r="F564" s="70">
        <v>2.1218489357508971E-4</v>
      </c>
      <c r="G564" s="24">
        <v>7.5130280000000003</v>
      </c>
      <c r="H564" s="24">
        <v>7.6881899999999996</v>
      </c>
      <c r="I564" s="24">
        <v>7.2254290000000001</v>
      </c>
      <c r="J564" s="24">
        <v>7.4792969999999999</v>
      </c>
      <c r="K564" s="24">
        <v>2.3356490000000001</v>
      </c>
      <c r="L564" s="24">
        <v>15.02941</v>
      </c>
      <c r="M564" s="24">
        <v>1245.6890000000001</v>
      </c>
      <c r="N564" s="24">
        <v>9.7389310809657754</v>
      </c>
      <c r="O564" s="24">
        <v>3.1</v>
      </c>
      <c r="P564" s="24">
        <v>6.925465838509318</v>
      </c>
      <c r="Q564" s="24">
        <v>7.2100746937556028</v>
      </c>
      <c r="R564" s="24">
        <v>5.83</v>
      </c>
      <c r="S564" s="24">
        <v>7.9055432635723788</v>
      </c>
      <c r="T564" s="24">
        <v>0.99662409778386185</v>
      </c>
      <c r="U564" s="24" t="s">
        <v>1824</v>
      </c>
      <c r="V564" s="24">
        <v>2321.308</v>
      </c>
      <c r="W564" s="24" t="s">
        <v>1414</v>
      </c>
      <c r="X564" s="64">
        <v>9.6912521440823323</v>
      </c>
    </row>
    <row r="565" spans="1:24" ht="14.4" x14ac:dyDescent="0.55000000000000004">
      <c r="A565" s="24" t="s">
        <v>790</v>
      </c>
      <c r="B565" s="24" t="s">
        <v>1185</v>
      </c>
      <c r="C565" s="24" t="s">
        <v>107</v>
      </c>
      <c r="D565" s="24" t="s">
        <v>72</v>
      </c>
      <c r="E565" s="24" t="s">
        <v>100</v>
      </c>
      <c r="F565" s="70">
        <v>2.1144498824070393E-4</v>
      </c>
      <c r="G565" s="24">
        <v>5.4252520000000004</v>
      </c>
      <c r="H565" s="24">
        <v>8.8819230000000005</v>
      </c>
      <c r="I565" s="24">
        <v>5.210324</v>
      </c>
      <c r="J565" s="24">
        <v>6.3977750000000002</v>
      </c>
      <c r="K565" s="24">
        <v>4.5217859999999996</v>
      </c>
      <c r="L565" s="24">
        <v>9.6108119999999992</v>
      </c>
      <c r="M565" s="24">
        <v>66.198099999999997</v>
      </c>
      <c r="N565" s="24">
        <v>6.9277356274719839</v>
      </c>
      <c r="O565" s="24">
        <v>2.2999999999999998</v>
      </c>
      <c r="P565" s="24">
        <v>5.4347826086956532</v>
      </c>
      <c r="Q565" s="24">
        <v>8.4218344786375852</v>
      </c>
      <c r="R565" s="24">
        <v>7.07</v>
      </c>
      <c r="S565" s="24">
        <v>6.4400978108559137</v>
      </c>
      <c r="T565" s="24">
        <v>2.0617942806991629</v>
      </c>
      <c r="U565" s="24" t="s">
        <v>1752</v>
      </c>
      <c r="V565" s="24">
        <v>2404.8629999999998</v>
      </c>
      <c r="W565" s="24" t="s">
        <v>1414</v>
      </c>
      <c r="X565" s="64">
        <v>9.7598627787307031</v>
      </c>
    </row>
    <row r="566" spans="1:24" ht="14.4" x14ac:dyDescent="0.55000000000000004">
      <c r="A566" s="24" t="s">
        <v>777</v>
      </c>
      <c r="B566" s="24" t="s">
        <v>1153</v>
      </c>
      <c r="C566" s="24" t="s">
        <v>111</v>
      </c>
      <c r="D566" s="24" t="s">
        <v>72</v>
      </c>
      <c r="E566" s="24" t="s">
        <v>89</v>
      </c>
      <c r="F566" s="70">
        <v>2.1125373176917529E-4</v>
      </c>
      <c r="G566" s="24">
        <v>5.2771590000000002</v>
      </c>
      <c r="H566" s="24">
        <v>5.4798280000000004</v>
      </c>
      <c r="I566" s="24">
        <v>5.7404390000000003</v>
      </c>
      <c r="J566" s="24">
        <v>5.4769439999999996</v>
      </c>
      <c r="K566" s="24">
        <v>3.7548089999999998</v>
      </c>
      <c r="L566" s="24">
        <v>6.2981319999999998</v>
      </c>
      <c r="M566" s="24">
        <v>565.37360000000001</v>
      </c>
      <c r="N566" s="24">
        <v>5.6235143452122589</v>
      </c>
      <c r="O566" s="24">
        <v>3.9</v>
      </c>
      <c r="P566" s="24">
        <v>7.7777777777777768</v>
      </c>
      <c r="Q566" s="24">
        <v>3.2219267374944667</v>
      </c>
      <c r="R566" s="24">
        <v>6.14</v>
      </c>
      <c r="S566" s="24">
        <v>6.2177392091846517</v>
      </c>
      <c r="T566" s="24">
        <v>0.72064499464001663</v>
      </c>
      <c r="U566" s="24" t="s">
        <v>1682</v>
      </c>
      <c r="V566" s="24">
        <v>2348.3040000000001</v>
      </c>
      <c r="W566" s="24" t="s">
        <v>1414</v>
      </c>
      <c r="X566" s="64">
        <v>9.5501730103806217</v>
      </c>
    </row>
    <row r="567" spans="1:24" ht="14.4" x14ac:dyDescent="0.55000000000000004">
      <c r="A567" s="24" t="s">
        <v>774</v>
      </c>
      <c r="B567" s="24" t="s">
        <v>1392</v>
      </c>
      <c r="C567" s="24" t="s">
        <v>112</v>
      </c>
      <c r="D567" s="24" t="s">
        <v>72</v>
      </c>
      <c r="E567" s="24" t="s">
        <v>89</v>
      </c>
      <c r="F567" s="70">
        <v>2.1085090220460034E-4</v>
      </c>
      <c r="G567" s="24">
        <v>6.1027279999999999</v>
      </c>
      <c r="H567" s="24">
        <v>6.8447380000000004</v>
      </c>
      <c r="I567" s="24">
        <v>6.464245</v>
      </c>
      <c r="J567" s="24">
        <v>6.4337859999999996</v>
      </c>
      <c r="K567" s="24">
        <v>2.6747429999999999</v>
      </c>
      <c r="L567" s="24">
        <v>8.7791139999999999</v>
      </c>
      <c r="M567" s="24">
        <v>19.523399999999999</v>
      </c>
      <c r="N567" s="24">
        <v>4.0739142392948242</v>
      </c>
      <c r="O567" s="24">
        <v>1</v>
      </c>
      <c r="P567" s="24">
        <v>2.1321321321321323</v>
      </c>
      <c r="Q567" s="24">
        <v>9.8620340858787081</v>
      </c>
      <c r="R567" s="24">
        <v>5.48</v>
      </c>
      <c r="S567" s="24">
        <v>5.4668940159704515</v>
      </c>
      <c r="T567" s="24">
        <v>2.052293367680369</v>
      </c>
      <c r="U567" s="24" t="s">
        <v>1632</v>
      </c>
      <c r="V567" s="24">
        <v>2535.8589999999999</v>
      </c>
      <c r="W567" s="24" t="s">
        <v>1414</v>
      </c>
      <c r="X567" s="64">
        <v>9.4982698961937722</v>
      </c>
    </row>
    <row r="568" spans="1:24" ht="14.4" x14ac:dyDescent="0.55000000000000004">
      <c r="A568" s="24" t="s">
        <v>780</v>
      </c>
      <c r="B568" s="24" t="s">
        <v>864</v>
      </c>
      <c r="C568" s="24" t="s">
        <v>106</v>
      </c>
      <c r="D568" s="24" t="s">
        <v>72</v>
      </c>
      <c r="E568" s="24" t="s">
        <v>95</v>
      </c>
      <c r="F568" s="70">
        <v>2.1057727834632753E-4</v>
      </c>
      <c r="G568" s="24">
        <v>4.687201</v>
      </c>
      <c r="H568" s="24">
        <v>4.1947409999999996</v>
      </c>
      <c r="I568" s="24">
        <v>5.5587619999999998</v>
      </c>
      <c r="J568" s="24">
        <v>4.8009310000000003</v>
      </c>
      <c r="K568" s="24">
        <v>1.5149859999999999</v>
      </c>
      <c r="L568" s="24">
        <v>4.4639550000000003</v>
      </c>
      <c r="M568" s="24">
        <v>14.979900000000001</v>
      </c>
      <c r="N568" s="24">
        <v>1.8734336857965703</v>
      </c>
      <c r="O568" s="24">
        <v>3.6</v>
      </c>
      <c r="P568" s="24">
        <v>4.0683229813664603</v>
      </c>
      <c r="Q568" s="24">
        <v>5.3205497460412312</v>
      </c>
      <c r="R568" s="24">
        <v>4.2</v>
      </c>
      <c r="S568" s="24">
        <v>3.4031392172614874</v>
      </c>
      <c r="T568" s="24">
        <v>1.5459833858546397</v>
      </c>
      <c r="U568" s="24" t="s">
        <v>1838</v>
      </c>
      <c r="V568" s="24">
        <v>2342.0439999999999</v>
      </c>
      <c r="W568" s="24" t="s">
        <v>1414</v>
      </c>
      <c r="X568" s="64">
        <v>9.5883361921097769</v>
      </c>
    </row>
    <row r="569" spans="1:24" ht="14.4" x14ac:dyDescent="0.55000000000000004">
      <c r="A569" s="24" t="s">
        <v>716</v>
      </c>
      <c r="B569" s="24" t="s">
        <v>1035</v>
      </c>
      <c r="C569" s="24" t="s">
        <v>107</v>
      </c>
      <c r="D569" s="24" t="s">
        <v>72</v>
      </c>
      <c r="E569" s="24" t="s">
        <v>96</v>
      </c>
      <c r="F569" s="70">
        <v>2.0955193949190006E-4</v>
      </c>
      <c r="G569" s="24">
        <v>6.4643879999999996</v>
      </c>
      <c r="H569" s="24">
        <v>5.2464839999999997</v>
      </c>
      <c r="I569" s="24">
        <v>5.7683479999999996</v>
      </c>
      <c r="J569" s="24">
        <v>5.8902049999999999</v>
      </c>
      <c r="K569" s="24">
        <v>0</v>
      </c>
      <c r="L569" s="24">
        <v>4.4005890000000001</v>
      </c>
      <c r="M569" s="24">
        <v>60.577500000000001</v>
      </c>
      <c r="N569" s="24">
        <v>2.8520408881716102</v>
      </c>
      <c r="O569" s="24">
        <v>5.2</v>
      </c>
      <c r="P569" s="24">
        <v>0.22624434389140274</v>
      </c>
      <c r="Q569" s="24">
        <v>8.8509640744254074</v>
      </c>
      <c r="R569" s="24">
        <v>0</v>
      </c>
      <c r="S569" s="24">
        <v>4.4532194058022645</v>
      </c>
      <c r="T569" s="24">
        <v>1.7424587891698182</v>
      </c>
      <c r="U569" s="24" t="s">
        <v>1753</v>
      </c>
      <c r="V569" s="24">
        <v>2226.8510000000001</v>
      </c>
      <c r="W569" s="24" t="s">
        <v>1414</v>
      </c>
      <c r="X569" s="64">
        <v>8.7001733102253027</v>
      </c>
    </row>
    <row r="570" spans="1:24" ht="14.4" x14ac:dyDescent="0.55000000000000004">
      <c r="A570" s="24" t="s">
        <v>784</v>
      </c>
      <c r="B570" s="24" t="s">
        <v>879</v>
      </c>
      <c r="C570" s="24" t="s">
        <v>112</v>
      </c>
      <c r="D570" s="24" t="s">
        <v>72</v>
      </c>
      <c r="E570" s="24" t="s">
        <v>84</v>
      </c>
      <c r="F570" s="70">
        <v>2.0840850401978352E-4</v>
      </c>
      <c r="G570" s="24">
        <v>3.5308030000000001</v>
      </c>
      <c r="H570" s="24">
        <v>5.7617979999999998</v>
      </c>
      <c r="I570" s="24">
        <v>5.9347529999999997</v>
      </c>
      <c r="J570" s="24">
        <v>5.0757849999999998</v>
      </c>
      <c r="K570" s="24">
        <v>0.98953310000000005</v>
      </c>
      <c r="L570" s="24">
        <v>1.870662</v>
      </c>
      <c r="M570" s="24">
        <v>621.13469999999995</v>
      </c>
      <c r="N570" s="24">
        <v>4.5176212862055829</v>
      </c>
      <c r="O570" s="24">
        <v>0.5</v>
      </c>
      <c r="P570" s="24">
        <v>4.4179104477611943</v>
      </c>
      <c r="Q570" s="24">
        <v>5.2282655388960739</v>
      </c>
      <c r="R570" s="24">
        <v>4.2300000000000004</v>
      </c>
      <c r="S570" s="24">
        <v>3.0903154400867794</v>
      </c>
      <c r="T570" s="24">
        <v>0.76681819753815894</v>
      </c>
      <c r="U570" s="24" t="s">
        <v>1633</v>
      </c>
      <c r="V570" s="24">
        <v>2061.4409999999998</v>
      </c>
      <c r="W570" s="24" t="s">
        <v>1414</v>
      </c>
      <c r="X570" s="64">
        <v>9.6354166666666661</v>
      </c>
    </row>
    <row r="571" spans="1:24" ht="14.4" x14ac:dyDescent="0.55000000000000004">
      <c r="A571" s="24" t="s">
        <v>744</v>
      </c>
      <c r="B571" s="24" t="s">
        <v>1280</v>
      </c>
      <c r="C571" s="24" t="s">
        <v>125</v>
      </c>
      <c r="D571" s="24" t="s">
        <v>72</v>
      </c>
      <c r="E571" s="24" t="s">
        <v>87</v>
      </c>
      <c r="F571" s="70">
        <v>2.0541335361505428E-4</v>
      </c>
      <c r="G571" s="24">
        <v>8.0585649999999998</v>
      </c>
      <c r="H571" s="24">
        <v>5.990526</v>
      </c>
      <c r="I571" s="24">
        <v>5.1965700000000004</v>
      </c>
      <c r="J571" s="24">
        <v>6.579555</v>
      </c>
      <c r="K571" s="24">
        <v>3.7684630000000001</v>
      </c>
      <c r="L571" s="24">
        <v>6.5158490000000002</v>
      </c>
      <c r="M571" s="24">
        <v>78.311099999999996</v>
      </c>
      <c r="N571" s="24">
        <v>2.9731974663121767</v>
      </c>
      <c r="O571" s="24">
        <v>4.5999999999999996</v>
      </c>
      <c r="P571" s="24">
        <v>0.79497907949790814</v>
      </c>
      <c r="Q571" s="24">
        <v>8.1321213081840753</v>
      </c>
      <c r="R571" s="24">
        <v>6.52</v>
      </c>
      <c r="S571" s="24">
        <v>4.3462957531363493</v>
      </c>
      <c r="T571" s="24">
        <v>0.65580580490513884</v>
      </c>
      <c r="U571" s="24" t="s">
        <v>1495</v>
      </c>
      <c r="V571" s="24">
        <v>1862.4860000000001</v>
      </c>
      <c r="W571" s="24" t="s">
        <v>1416</v>
      </c>
      <c r="X571" s="64">
        <v>9.3960923623445822</v>
      </c>
    </row>
    <row r="572" spans="1:24" ht="14.4" x14ac:dyDescent="0.55000000000000004">
      <c r="A572" s="24" t="s">
        <v>788</v>
      </c>
      <c r="B572" s="24" t="s">
        <v>1230</v>
      </c>
      <c r="C572" s="24" t="s">
        <v>112</v>
      </c>
      <c r="D572" s="24" t="s">
        <v>72</v>
      </c>
      <c r="E572" s="24" t="s">
        <v>93</v>
      </c>
      <c r="F572" s="70">
        <v>2.0391562828987058E-4</v>
      </c>
      <c r="G572" s="24">
        <v>6.6380749999999997</v>
      </c>
      <c r="H572" s="24">
        <v>8.3821180000000002</v>
      </c>
      <c r="I572" s="24">
        <v>4.9538149999999996</v>
      </c>
      <c r="J572" s="24">
        <v>6.6580029999999999</v>
      </c>
      <c r="K572" s="24">
        <v>2.9211469999999999</v>
      </c>
      <c r="L572" s="24">
        <v>4.6694170000000002</v>
      </c>
      <c r="M572" s="24">
        <v>16.157299999999999</v>
      </c>
      <c r="N572" s="24">
        <v>6.558061446640834</v>
      </c>
      <c r="O572" s="24">
        <v>0.3</v>
      </c>
      <c r="P572" s="24">
        <v>7.3602484472049703</v>
      </c>
      <c r="Q572" s="24">
        <v>6.1154727435695468</v>
      </c>
      <c r="R572" s="24">
        <v>4.82</v>
      </c>
      <c r="S572" s="24">
        <v>4.4383721922536736</v>
      </c>
      <c r="T572" s="24">
        <v>1.2801335656138326</v>
      </c>
      <c r="U572" s="24" t="s">
        <v>1623</v>
      </c>
      <c r="V572" s="24">
        <v>1949.6590000000001</v>
      </c>
      <c r="W572" s="24" t="s">
        <v>1416</v>
      </c>
      <c r="X572" s="64">
        <v>9.7255574614065168</v>
      </c>
    </row>
    <row r="573" spans="1:24" ht="14.4" x14ac:dyDescent="0.55000000000000004">
      <c r="A573" s="24" t="s">
        <v>785</v>
      </c>
      <c r="B573" s="24" t="s">
        <v>1344</v>
      </c>
      <c r="C573" s="24" t="s">
        <v>105</v>
      </c>
      <c r="D573" s="24" t="s">
        <v>72</v>
      </c>
      <c r="E573" s="24" t="s">
        <v>93</v>
      </c>
      <c r="F573" s="70">
        <v>2.0174945609219091E-4</v>
      </c>
      <c r="G573" s="24">
        <v>6.1502169999999996</v>
      </c>
      <c r="H573" s="24">
        <v>5.020562</v>
      </c>
      <c r="I573" s="24">
        <v>5.5246069999999996</v>
      </c>
      <c r="J573" s="24">
        <v>5.5651279999999996</v>
      </c>
      <c r="K573" s="24">
        <v>6.3502569999999994E-2</v>
      </c>
      <c r="L573" s="24">
        <v>0.56669190000000003</v>
      </c>
      <c r="M573" s="24">
        <v>24.5289</v>
      </c>
      <c r="N573" s="24">
        <v>4.1948622281345589</v>
      </c>
      <c r="O573" s="24">
        <v>5.2</v>
      </c>
      <c r="P573" s="24">
        <v>2.7639751552795029</v>
      </c>
      <c r="Q573" s="24">
        <v>4.0679577369150115</v>
      </c>
      <c r="R573" s="24">
        <v>0</v>
      </c>
      <c r="S573" s="24">
        <v>2.2337698736729452</v>
      </c>
      <c r="T573" s="24">
        <v>1.9831716180061389</v>
      </c>
      <c r="U573" s="24" t="s">
        <v>2004</v>
      </c>
      <c r="V573" s="24">
        <v>1802.3869999999999</v>
      </c>
      <c r="W573" s="24" t="s">
        <v>1416</v>
      </c>
      <c r="X573" s="64">
        <v>9.6740994854202391</v>
      </c>
    </row>
    <row r="574" spans="1:24" ht="14.4" x14ac:dyDescent="0.55000000000000004">
      <c r="A574" s="24" t="s">
        <v>754</v>
      </c>
      <c r="B574" s="24" t="s">
        <v>1275</v>
      </c>
      <c r="C574" s="24" t="s">
        <v>105</v>
      </c>
      <c r="D574" s="24" t="s">
        <v>72</v>
      </c>
      <c r="E574" s="24" t="s">
        <v>89</v>
      </c>
      <c r="F574" s="70">
        <v>2.012515487421883E-4</v>
      </c>
      <c r="G574" s="24">
        <v>6.5738719999999997</v>
      </c>
      <c r="H574" s="24">
        <v>6.2835539999999996</v>
      </c>
      <c r="I574" s="24">
        <v>4.494453</v>
      </c>
      <c r="J574" s="24">
        <v>5.7839600000000004</v>
      </c>
      <c r="K574" s="24">
        <v>3.8</v>
      </c>
      <c r="L574" s="24">
        <v>6.1001729999999998</v>
      </c>
      <c r="M574" s="24">
        <v>15.014200000000001</v>
      </c>
      <c r="N574" s="24">
        <v>4.8281817666660141</v>
      </c>
      <c r="O574" s="24">
        <v>3.5</v>
      </c>
      <c r="P574" s="24">
        <v>8.048048048048047</v>
      </c>
      <c r="Q574" s="24">
        <v>4.3503762726870301</v>
      </c>
      <c r="R574" s="24">
        <v>6.2</v>
      </c>
      <c r="S574" s="24">
        <v>5.73230314487739</v>
      </c>
      <c r="T574" s="24">
        <v>1.4906466052684644</v>
      </c>
      <c r="U574" s="24" t="s">
        <v>1982</v>
      </c>
      <c r="V574" s="24">
        <v>2294.857</v>
      </c>
      <c r="W574" s="24" t="s">
        <v>1414</v>
      </c>
      <c r="X574" s="64">
        <v>9.1522491349480966</v>
      </c>
    </row>
    <row r="575" spans="1:24" ht="14.4" x14ac:dyDescent="0.55000000000000004">
      <c r="A575" s="24" t="s">
        <v>775</v>
      </c>
      <c r="B575" s="24" t="s">
        <v>1266</v>
      </c>
      <c r="C575" s="24" t="s">
        <v>161</v>
      </c>
      <c r="D575" s="24" t="s">
        <v>72</v>
      </c>
      <c r="E575" s="24" t="s">
        <v>82</v>
      </c>
      <c r="F575" s="70">
        <v>2.0110462854323275E-4</v>
      </c>
      <c r="G575" s="24">
        <v>6.8864369999999999</v>
      </c>
      <c r="H575" s="24">
        <v>6.4798340000000003</v>
      </c>
      <c r="I575" s="24">
        <v>5.9538000000000002</v>
      </c>
      <c r="J575" s="24">
        <v>6.4177030000000004</v>
      </c>
      <c r="K575" s="24">
        <v>6.5152859999999997</v>
      </c>
      <c r="L575" s="24">
        <v>34.33755</v>
      </c>
      <c r="M575" s="24">
        <v>8.6326000000000001</v>
      </c>
      <c r="N575" s="24">
        <v>3.6308429711660386</v>
      </c>
      <c r="O575" s="24">
        <v>7.6</v>
      </c>
      <c r="P575" s="24">
        <v>5.8064522372529295</v>
      </c>
      <c r="Q575" s="24">
        <v>10</v>
      </c>
      <c r="R575" s="24">
        <v>3.72</v>
      </c>
      <c r="S575" s="24">
        <v>7.1968443486456621</v>
      </c>
      <c r="T575" s="24">
        <v>1.1778854914978321</v>
      </c>
      <c r="U575" s="24" t="s">
        <v>1422</v>
      </c>
      <c r="V575" s="24">
        <v>2305.25</v>
      </c>
      <c r="W575" s="24" t="s">
        <v>1414</v>
      </c>
      <c r="X575" s="64">
        <v>9.4529914529914532</v>
      </c>
    </row>
    <row r="576" spans="1:24" ht="14.4" x14ac:dyDescent="0.55000000000000004">
      <c r="A576" s="24" t="s">
        <v>758</v>
      </c>
      <c r="B576" s="24" t="s">
        <v>856</v>
      </c>
      <c r="C576" s="24" t="s">
        <v>106</v>
      </c>
      <c r="D576" s="24" t="s">
        <v>72</v>
      </c>
      <c r="E576" s="24" t="s">
        <v>96</v>
      </c>
      <c r="F576" s="70">
        <v>2.0103997564914196E-4</v>
      </c>
      <c r="G576" s="24">
        <v>7.5865689999999999</v>
      </c>
      <c r="H576" s="24">
        <v>6.8665279999999997</v>
      </c>
      <c r="I576" s="24">
        <v>7.814343</v>
      </c>
      <c r="J576" s="24">
        <v>7.4224800000000002</v>
      </c>
      <c r="K576" s="24">
        <v>2.8488950000000002</v>
      </c>
      <c r="L576" s="24">
        <v>6.4534039999999999</v>
      </c>
      <c r="M576" s="24">
        <v>2.1415999999999999</v>
      </c>
      <c r="N576" s="24">
        <v>6.0076542872763845</v>
      </c>
      <c r="O576" s="24">
        <v>4.7</v>
      </c>
      <c r="P576" s="24">
        <v>7.647058823529413</v>
      </c>
      <c r="Q576" s="24">
        <v>5.8392197706504287</v>
      </c>
      <c r="R576" s="24">
        <v>6.11</v>
      </c>
      <c r="S576" s="24">
        <v>7.8990963623754293</v>
      </c>
      <c r="T576" s="24">
        <v>1.1431499502619684</v>
      </c>
      <c r="U576" s="24" t="s">
        <v>1477</v>
      </c>
      <c r="V576" s="24">
        <v>2076.8440000000001</v>
      </c>
      <c r="W576" s="24" t="s">
        <v>1414</v>
      </c>
      <c r="X576" s="64">
        <v>9.4280762564991338</v>
      </c>
    </row>
    <row r="577" spans="1:24" ht="14.4" x14ac:dyDescent="0.55000000000000004">
      <c r="A577" s="24" t="s">
        <v>787</v>
      </c>
      <c r="B577" s="24" t="s">
        <v>912</v>
      </c>
      <c r="C577" s="24" t="s">
        <v>109</v>
      </c>
      <c r="D577" s="24" t="s">
        <v>72</v>
      </c>
      <c r="E577" s="24" t="s">
        <v>94</v>
      </c>
      <c r="F577" s="70">
        <v>1.9853912964675705E-4</v>
      </c>
      <c r="G577" s="24">
        <v>5.3661969999999997</v>
      </c>
      <c r="H577" s="24">
        <v>5.4016500000000001</v>
      </c>
      <c r="I577" s="24">
        <v>6.8048500000000001</v>
      </c>
      <c r="J577" s="24">
        <v>5.9487490000000003</v>
      </c>
      <c r="K577" s="24">
        <v>9.3430739999999997</v>
      </c>
      <c r="L577" s="24">
        <v>9.0206289999999996</v>
      </c>
      <c r="M577" s="24">
        <v>29.949100000000001</v>
      </c>
      <c r="N577" s="24">
        <v>2.4001308946933571</v>
      </c>
      <c r="O577" s="24">
        <v>2.9</v>
      </c>
      <c r="P577" s="24">
        <v>2.291666666666667</v>
      </c>
      <c r="Q577" s="24">
        <v>5.2736159305993704</v>
      </c>
      <c r="R577" s="24">
        <v>6.95</v>
      </c>
      <c r="S577" s="24">
        <v>6.6322382372311246</v>
      </c>
      <c r="T577" s="24">
        <v>0.81852224079468539</v>
      </c>
      <c r="U577" s="24" t="s">
        <v>1509</v>
      </c>
      <c r="V577" s="24">
        <v>2425.049</v>
      </c>
      <c r="W577" s="24" t="s">
        <v>1414</v>
      </c>
      <c r="X577" s="64">
        <v>10</v>
      </c>
    </row>
    <row r="578" spans="1:24" ht="14.4" x14ac:dyDescent="0.55000000000000004">
      <c r="A578" s="24" t="s">
        <v>783</v>
      </c>
      <c r="B578" s="24" t="s">
        <v>951</v>
      </c>
      <c r="C578" s="24" t="s">
        <v>110</v>
      </c>
      <c r="D578" s="24" t="s">
        <v>72</v>
      </c>
      <c r="E578" s="24" t="s">
        <v>89</v>
      </c>
      <c r="F578" s="70">
        <v>1.9775198566529561E-4</v>
      </c>
      <c r="G578" s="24">
        <v>6.8793540000000002</v>
      </c>
      <c r="H578" s="24">
        <v>7.1577710000000003</v>
      </c>
      <c r="I578" s="24">
        <v>6.6662970000000001</v>
      </c>
      <c r="J578" s="24">
        <v>6.898962</v>
      </c>
      <c r="K578" s="24">
        <v>1.6925349999999999</v>
      </c>
      <c r="L578" s="24">
        <v>3.1665040000000002</v>
      </c>
      <c r="M578" s="24">
        <v>33.104199999999999</v>
      </c>
      <c r="N578" s="24">
        <v>5.3706507296023016</v>
      </c>
      <c r="O578" s="24">
        <v>5.7</v>
      </c>
      <c r="P578" s="24">
        <v>9.5795795795795797</v>
      </c>
      <c r="Q578" s="24">
        <v>1.2269444444444444</v>
      </c>
      <c r="R578" s="24">
        <v>5.380001</v>
      </c>
      <c r="S578" s="24">
        <v>3.6615370221192634</v>
      </c>
      <c r="T578" s="24">
        <v>1.3311570531986898</v>
      </c>
      <c r="U578" s="24" t="s">
        <v>1534</v>
      </c>
      <c r="V578" s="24">
        <v>2500.8939999999998</v>
      </c>
      <c r="W578" s="24" t="s">
        <v>1414</v>
      </c>
      <c r="X578" s="64">
        <v>9.6539792387543262</v>
      </c>
    </row>
    <row r="579" spans="1:24" ht="14.4" x14ac:dyDescent="0.55000000000000004">
      <c r="A579" s="24" t="s">
        <v>735</v>
      </c>
      <c r="B579" s="24" t="s">
        <v>1291</v>
      </c>
      <c r="C579" s="24" t="s">
        <v>107</v>
      </c>
      <c r="D579" s="24" t="s">
        <v>72</v>
      </c>
      <c r="E579" s="24" t="s">
        <v>89</v>
      </c>
      <c r="F579" s="70">
        <v>1.9721254433534304E-4</v>
      </c>
      <c r="G579" s="24">
        <v>5.0148770000000003</v>
      </c>
      <c r="H579" s="24">
        <v>4.1129600000000002</v>
      </c>
      <c r="I579" s="24">
        <v>4.602989</v>
      </c>
      <c r="J579" s="24">
        <v>4.752116</v>
      </c>
      <c r="K579" s="24">
        <v>8.5840069999999997</v>
      </c>
      <c r="L579" s="24">
        <v>14.76859</v>
      </c>
      <c r="M579" s="24">
        <v>43.643599999999999</v>
      </c>
      <c r="N579" s="24">
        <v>5.1004964296305841</v>
      </c>
      <c r="O579" s="24">
        <v>5.0999999999999996</v>
      </c>
      <c r="P579" s="24">
        <v>6.426426426426425</v>
      </c>
      <c r="Q579" s="24">
        <v>7.960934041611333</v>
      </c>
      <c r="R579" s="24">
        <v>7.85</v>
      </c>
      <c r="S579" s="24">
        <v>7.4731847936719191</v>
      </c>
      <c r="T579" s="24">
        <v>1.2405643571493035</v>
      </c>
      <c r="U579" s="24" t="s">
        <v>1456</v>
      </c>
      <c r="V579" s="24">
        <v>2309.4290000000001</v>
      </c>
      <c r="W579" s="24" t="s">
        <v>1414</v>
      </c>
      <c r="X579" s="64">
        <v>8.8235294117647065</v>
      </c>
    </row>
    <row r="580" spans="1:24" ht="14.4" x14ac:dyDescent="0.55000000000000004">
      <c r="A580" s="24" t="s">
        <v>773</v>
      </c>
      <c r="B580" s="24" t="s">
        <v>911</v>
      </c>
      <c r="C580" s="24" t="s">
        <v>107</v>
      </c>
      <c r="D580" s="24" t="s">
        <v>72</v>
      </c>
      <c r="E580" s="24" t="s">
        <v>83</v>
      </c>
      <c r="F580" s="70">
        <v>1.9479216416399371E-4</v>
      </c>
      <c r="G580" s="24">
        <v>6.9569390000000002</v>
      </c>
      <c r="H580" s="24">
        <v>3.5397669999999999</v>
      </c>
      <c r="I580" s="24">
        <v>5.5572020000000002</v>
      </c>
      <c r="J580" s="24">
        <v>5.8535830000000004</v>
      </c>
      <c r="K580" s="24">
        <v>2.153721</v>
      </c>
      <c r="L580" s="24">
        <v>11.63686</v>
      </c>
      <c r="M580" s="24">
        <v>917.33979999999997</v>
      </c>
      <c r="N580" s="24">
        <v>5.4218575404973244</v>
      </c>
      <c r="O580" s="24">
        <v>4.2</v>
      </c>
      <c r="P580" s="24">
        <v>8.08955223880597</v>
      </c>
      <c r="Q580" s="24">
        <v>7.3462538534770516</v>
      </c>
      <c r="R580" s="24">
        <v>0</v>
      </c>
      <c r="S580" s="24">
        <v>7.8986598234816334</v>
      </c>
      <c r="T580" s="24">
        <v>1.0774597692745567</v>
      </c>
      <c r="U580" s="24" t="s">
        <v>1458</v>
      </c>
      <c r="V580" s="24">
        <v>2223.6979999999999</v>
      </c>
      <c r="W580" s="24" t="s">
        <v>1414</v>
      </c>
      <c r="X580" s="64">
        <v>9.4444444444444446</v>
      </c>
    </row>
    <row r="581" spans="1:24" ht="14.4" x14ac:dyDescent="0.55000000000000004">
      <c r="A581" s="24" t="s">
        <v>789</v>
      </c>
      <c r="B581" s="24" t="s">
        <v>1279</v>
      </c>
      <c r="C581" s="24" t="s">
        <v>105</v>
      </c>
      <c r="D581" s="24" t="s">
        <v>72</v>
      </c>
      <c r="E581" s="24" t="s">
        <v>88</v>
      </c>
      <c r="F581" s="70">
        <v>1.937807366908025E-4</v>
      </c>
      <c r="G581" s="24">
        <v>8.6200019999999995</v>
      </c>
      <c r="H581" s="24">
        <v>5.7860849999999999</v>
      </c>
      <c r="I581" s="24">
        <v>5.609108</v>
      </c>
      <c r="J581" s="24">
        <v>6.2820770000000001</v>
      </c>
      <c r="K581" s="24">
        <v>3.4513440000000002</v>
      </c>
      <c r="L581" s="24">
        <v>5.5931509999999998</v>
      </c>
      <c r="M581" s="24">
        <v>2.3944000000000001</v>
      </c>
      <c r="N581" s="24">
        <v>4.4480157098957331</v>
      </c>
      <c r="O581" s="24">
        <v>4.2</v>
      </c>
      <c r="P581" s="24">
        <v>5.9726027397260273</v>
      </c>
      <c r="Q581" s="24">
        <v>3.5106768005790805</v>
      </c>
      <c r="R581" s="24">
        <v>5.49</v>
      </c>
      <c r="S581" s="24">
        <v>5.455334788365648</v>
      </c>
      <c r="T581" s="24">
        <v>1.224529240788037</v>
      </c>
      <c r="U581" s="24" t="s">
        <v>1967</v>
      </c>
      <c r="V581" s="24">
        <v>2200.9169999999999</v>
      </c>
      <c r="W581" s="24" t="s">
        <v>1414</v>
      </c>
      <c r="X581" s="64">
        <v>10</v>
      </c>
    </row>
    <row r="582" spans="1:24" ht="14.4" x14ac:dyDescent="0.55000000000000004">
      <c r="A582" s="24" t="s">
        <v>769</v>
      </c>
      <c r="B582" s="24" t="s">
        <v>1001</v>
      </c>
      <c r="C582" s="24" t="s">
        <v>125</v>
      </c>
      <c r="D582" s="24" t="s">
        <v>72</v>
      </c>
      <c r="E582" s="24" t="s">
        <v>85</v>
      </c>
      <c r="F582" s="70">
        <v>1.9179331072972678E-4</v>
      </c>
      <c r="G582" s="24">
        <v>4.6430819999999997</v>
      </c>
      <c r="H582" s="24">
        <v>3.6112190000000002</v>
      </c>
      <c r="I582" s="24">
        <v>7.352125</v>
      </c>
      <c r="J582" s="24">
        <v>5.146236</v>
      </c>
      <c r="K582" s="24">
        <v>3.32681</v>
      </c>
      <c r="L582" s="24">
        <v>12.275499999999999</v>
      </c>
      <c r="M582" s="24">
        <v>150.41470000000001</v>
      </c>
      <c r="N582" s="24">
        <v>7.9317052979595717</v>
      </c>
      <c r="O582" s="24">
        <v>9.4</v>
      </c>
      <c r="P582" s="24">
        <v>8.078078078078077</v>
      </c>
      <c r="Q582" s="24">
        <v>5.8571270473660917</v>
      </c>
      <c r="R582" s="24">
        <v>7.2</v>
      </c>
      <c r="S582" s="24">
        <v>7.9765551563933066</v>
      </c>
      <c r="T582" s="24">
        <v>1.0988192033357018</v>
      </c>
      <c r="U582" s="24" t="s">
        <v>1498</v>
      </c>
      <c r="V582" s="24">
        <v>2291.3029999999999</v>
      </c>
      <c r="W582" s="24" t="s">
        <v>1414</v>
      </c>
      <c r="X582" s="64">
        <v>9.4117647058823533</v>
      </c>
    </row>
    <row r="583" spans="1:24" ht="14.4" x14ac:dyDescent="0.55000000000000004">
      <c r="A583" s="24" t="s">
        <v>792</v>
      </c>
      <c r="B583" s="24" t="s">
        <v>953</v>
      </c>
      <c r="C583" s="24" t="s">
        <v>107</v>
      </c>
      <c r="D583" s="24" t="s">
        <v>72</v>
      </c>
      <c r="E583" s="24" t="s">
        <v>91</v>
      </c>
      <c r="F583" s="70">
        <v>1.9097163849987324E-4</v>
      </c>
      <c r="G583" s="24">
        <v>5.1630079999999996</v>
      </c>
      <c r="H583" s="24">
        <v>5.8725399999999999</v>
      </c>
      <c r="I583" s="24">
        <v>5.361834</v>
      </c>
      <c r="J583" s="24">
        <v>5.526351</v>
      </c>
      <c r="K583" s="24">
        <v>3.0465010000000001</v>
      </c>
      <c r="L583" s="24">
        <v>9.0581669999999992</v>
      </c>
      <c r="M583" s="24">
        <v>6.6985999999999999</v>
      </c>
      <c r="N583" s="24">
        <v>6.9152042993082166</v>
      </c>
      <c r="O583" s="24">
        <v>4.2</v>
      </c>
      <c r="P583" s="24">
        <v>7.267080745341616</v>
      </c>
      <c r="Q583" s="24">
        <v>6.1746834342830761</v>
      </c>
      <c r="R583" s="24">
        <v>6.6900009999999996</v>
      </c>
      <c r="S583" s="24">
        <v>7.0721574289706179</v>
      </c>
      <c r="T583" s="24">
        <v>1.0205187230933985</v>
      </c>
      <c r="U583" s="24" t="s">
        <v>1706</v>
      </c>
      <c r="V583" s="24">
        <v>2124.1219999999998</v>
      </c>
      <c r="W583" s="24" t="s">
        <v>1414</v>
      </c>
      <c r="X583" s="64">
        <v>9.7941680960548876</v>
      </c>
    </row>
    <row r="584" spans="1:24" ht="14.4" x14ac:dyDescent="0.55000000000000004">
      <c r="A584" s="24" t="s">
        <v>799</v>
      </c>
      <c r="B584" s="24" t="s">
        <v>1225</v>
      </c>
      <c r="C584" s="24" t="s">
        <v>177</v>
      </c>
      <c r="D584" s="24" t="s">
        <v>72</v>
      </c>
      <c r="E584" s="24" t="s">
        <v>89</v>
      </c>
      <c r="F584" s="70">
        <v>1.8489856997615304E-4</v>
      </c>
      <c r="G584" s="24">
        <v>7.558141</v>
      </c>
      <c r="H584" s="24">
        <v>6.1278030000000001</v>
      </c>
      <c r="I584" s="24">
        <v>7.2440829999999998</v>
      </c>
      <c r="J584" s="24">
        <v>7.0348220000000001</v>
      </c>
      <c r="K584" s="24">
        <v>2.4409890000000001</v>
      </c>
      <c r="L584" s="24">
        <v>5.7051360000000004</v>
      </c>
      <c r="M584" s="24">
        <v>13.876300000000001</v>
      </c>
      <c r="N584" s="24">
        <v>3.557380006164685</v>
      </c>
      <c r="O584" s="24">
        <v>6.9</v>
      </c>
      <c r="P584" s="24">
        <v>8.078078078078077</v>
      </c>
      <c r="Q584" s="24">
        <v>4.6604327135900849</v>
      </c>
      <c r="R584" s="24">
        <v>5.37</v>
      </c>
      <c r="S584" s="24">
        <v>4.7516727500810703</v>
      </c>
      <c r="T584" s="24">
        <v>1.3283458989606474</v>
      </c>
      <c r="U584" s="24" t="s">
        <v>1698</v>
      </c>
      <c r="V584" s="24">
        <v>1990.7850000000001</v>
      </c>
      <c r="W584" s="24" t="s">
        <v>1416</v>
      </c>
      <c r="X584" s="64">
        <v>9.9307958477508649</v>
      </c>
    </row>
    <row r="585" spans="1:24" ht="14.4" x14ac:dyDescent="0.55000000000000004">
      <c r="A585" s="24" t="s">
        <v>796</v>
      </c>
      <c r="B585" s="24" t="s">
        <v>1294</v>
      </c>
      <c r="C585" s="24" t="s">
        <v>125</v>
      </c>
      <c r="D585" s="24" t="s">
        <v>72</v>
      </c>
      <c r="E585" s="24" t="s">
        <v>86</v>
      </c>
      <c r="F585" s="70">
        <v>1.845384753740808E-4</v>
      </c>
      <c r="G585" s="24">
        <v>8.2874130000000008</v>
      </c>
      <c r="H585" s="24">
        <v>7.8907109999999996</v>
      </c>
      <c r="I585" s="24">
        <v>6.864725</v>
      </c>
      <c r="J585" s="24">
        <v>7.6506259999999999</v>
      </c>
      <c r="K585" s="24">
        <v>2.1626479999999999</v>
      </c>
      <c r="L585" s="24">
        <v>6.162973</v>
      </c>
      <c r="M585" s="24">
        <v>0.98914000000000002</v>
      </c>
      <c r="N585" s="24">
        <v>8.7946846377032379</v>
      </c>
      <c r="O585" s="24">
        <v>4.2</v>
      </c>
      <c r="P585" s="24">
        <v>6.1290329171003144</v>
      </c>
      <c r="Q585" s="24">
        <v>5.2585078158005931</v>
      </c>
      <c r="R585" s="24">
        <v>6.6</v>
      </c>
      <c r="S585" s="24">
        <v>4.580427627032849</v>
      </c>
      <c r="T585" s="24">
        <v>1.6499937050685918</v>
      </c>
      <c r="U585" s="24" t="s">
        <v>1849</v>
      </c>
      <c r="V585" s="24">
        <v>1830.2449999999999</v>
      </c>
      <c r="W585" s="24" t="s">
        <v>1416</v>
      </c>
      <c r="X585" s="64">
        <v>9.8119658119658109</v>
      </c>
    </row>
    <row r="586" spans="1:24" ht="14.4" x14ac:dyDescent="0.55000000000000004">
      <c r="A586" s="24" t="s">
        <v>793</v>
      </c>
      <c r="B586" s="24" t="s">
        <v>1049</v>
      </c>
      <c r="C586" s="24" t="s">
        <v>112</v>
      </c>
      <c r="D586" s="24" t="s">
        <v>72</v>
      </c>
      <c r="E586" s="24" t="s">
        <v>85</v>
      </c>
      <c r="F586" s="70">
        <v>1.8374202377783542E-4</v>
      </c>
      <c r="G586" s="24">
        <v>5.7607699999999999</v>
      </c>
      <c r="H586" s="24">
        <v>6.9115989999999998</v>
      </c>
      <c r="I586" s="24">
        <v>4.3581050000000001</v>
      </c>
      <c r="J586" s="24">
        <v>5.685219</v>
      </c>
      <c r="K586" s="24">
        <v>4.4516309999999999</v>
      </c>
      <c r="L586" s="24">
        <v>8.0204319999999996</v>
      </c>
      <c r="M586" s="24">
        <v>30.5776</v>
      </c>
      <c r="N586" s="24">
        <v>8.6297813429962673</v>
      </c>
      <c r="O586" s="24">
        <v>7.2</v>
      </c>
      <c r="P586" s="24">
        <v>6.6966966966966961</v>
      </c>
      <c r="Q586" s="24">
        <v>7.4723328906595841</v>
      </c>
      <c r="R586" s="24">
        <v>7.3</v>
      </c>
      <c r="S586" s="24">
        <v>7.6295020198544492</v>
      </c>
      <c r="T586" s="24">
        <v>0.90265078296218471</v>
      </c>
      <c r="U586" s="24" t="s">
        <v>1596</v>
      </c>
      <c r="V586" s="24">
        <v>2348.1089999999999</v>
      </c>
      <c r="W586" s="24" t="s">
        <v>1414</v>
      </c>
      <c r="X586" s="64">
        <v>9.8269896193771622</v>
      </c>
    </row>
    <row r="587" spans="1:24" ht="14.4" x14ac:dyDescent="0.55000000000000004">
      <c r="A587" s="24" t="s">
        <v>791</v>
      </c>
      <c r="B587" s="24" t="s">
        <v>1020</v>
      </c>
      <c r="C587" s="24" t="s">
        <v>177</v>
      </c>
      <c r="D587" s="24" t="s">
        <v>72</v>
      </c>
      <c r="E587" s="24" t="s">
        <v>96</v>
      </c>
      <c r="F587" s="70">
        <v>1.8283918514379051E-4</v>
      </c>
      <c r="G587" s="24">
        <v>7.4015909999999998</v>
      </c>
      <c r="H587" s="24">
        <v>1.8568880000000001</v>
      </c>
      <c r="I587" s="24">
        <v>5.871931</v>
      </c>
      <c r="J587" s="24">
        <v>5.0434700000000001</v>
      </c>
      <c r="K587" s="24">
        <v>7.867591</v>
      </c>
      <c r="L587" s="24">
        <v>8.8960740000000005</v>
      </c>
      <c r="M587" s="24">
        <v>6.4273999999999996</v>
      </c>
      <c r="N587" s="24">
        <v>4.7704081164098202</v>
      </c>
      <c r="O587" s="24">
        <v>2.2999999999999998</v>
      </c>
      <c r="P587" s="24">
        <v>5.0226244343891411</v>
      </c>
      <c r="Q587" s="24">
        <v>7.0648856217271057</v>
      </c>
      <c r="R587" s="24">
        <v>7.35</v>
      </c>
      <c r="S587" s="24">
        <v>7.6938725303085498</v>
      </c>
      <c r="T587" s="24">
        <v>1.3575354724317192</v>
      </c>
      <c r="U587" s="24" t="s">
        <v>1684</v>
      </c>
      <c r="V587" s="24">
        <v>1956.8340000000001</v>
      </c>
      <c r="W587" s="24" t="s">
        <v>1416</v>
      </c>
      <c r="X587" s="64">
        <v>10</v>
      </c>
    </row>
    <row r="588" spans="1:24" ht="14.4" x14ac:dyDescent="0.55000000000000004">
      <c r="A588" s="24" t="s">
        <v>797</v>
      </c>
      <c r="B588" s="24" t="s">
        <v>1128</v>
      </c>
      <c r="C588" s="24" t="s">
        <v>107</v>
      </c>
      <c r="D588" s="24" t="s">
        <v>72</v>
      </c>
      <c r="E588" s="24" t="s">
        <v>89</v>
      </c>
      <c r="F588" s="70">
        <v>1.7672868599717562E-4</v>
      </c>
      <c r="G588" s="24">
        <v>8.1853259999999999</v>
      </c>
      <c r="H588" s="24">
        <v>5.6453749999999996</v>
      </c>
      <c r="I588" s="24">
        <v>5.9606599999999998</v>
      </c>
      <c r="J588" s="24">
        <v>6.5971200000000003</v>
      </c>
      <c r="K588" s="24">
        <v>6.6404019999999999</v>
      </c>
      <c r="L588" s="24">
        <v>8.0163290000000007</v>
      </c>
      <c r="M588" s="24">
        <v>1038.626</v>
      </c>
      <c r="N588" s="24">
        <v>4.5969308581400101</v>
      </c>
      <c r="O588" s="24">
        <v>0.4</v>
      </c>
      <c r="P588" s="24">
        <v>7.8378378378378368</v>
      </c>
      <c r="Q588" s="24">
        <v>5.3989597166888004</v>
      </c>
      <c r="R588" s="24">
        <v>7.36</v>
      </c>
      <c r="S588" s="24">
        <v>6.2727601716476062</v>
      </c>
      <c r="T588" s="24">
        <v>1.4235191775254148</v>
      </c>
      <c r="U588" s="24" t="s">
        <v>1755</v>
      </c>
      <c r="V588" s="24">
        <v>1797.2760000000001</v>
      </c>
      <c r="W588" s="24" t="s">
        <v>1416</v>
      </c>
      <c r="X588" s="64">
        <v>9.8961937716262973</v>
      </c>
    </row>
    <row r="589" spans="1:24" ht="14.4" x14ac:dyDescent="0.55000000000000004">
      <c r="A589" s="24" t="s">
        <v>795</v>
      </c>
      <c r="B589" s="24" t="s">
        <v>1029</v>
      </c>
      <c r="C589" s="24" t="s">
        <v>112</v>
      </c>
      <c r="D589" s="24" t="s">
        <v>72</v>
      </c>
      <c r="E589" s="24" t="s">
        <v>83</v>
      </c>
      <c r="F589" s="70">
        <v>1.7404869343066914E-4</v>
      </c>
      <c r="G589" s="24">
        <v>7.0004210000000002</v>
      </c>
      <c r="H589" s="24">
        <v>7.3758369999999998</v>
      </c>
      <c r="I589" s="24">
        <v>4.2893879999999998</v>
      </c>
      <c r="J589" s="24">
        <v>6.2218819999999999</v>
      </c>
      <c r="K589" s="24">
        <v>2.0818620000000001</v>
      </c>
      <c r="L589" s="24">
        <v>11.204330000000001</v>
      </c>
      <c r="M589" s="24">
        <v>92.0929</v>
      </c>
      <c r="N589" s="24">
        <v>7.6302345845162565</v>
      </c>
      <c r="O589" s="24">
        <v>1.9</v>
      </c>
      <c r="P589" s="24">
        <v>6.5671641791044779</v>
      </c>
      <c r="Q589" s="24">
        <v>8.249898372716796</v>
      </c>
      <c r="R589" s="24">
        <v>5.14</v>
      </c>
      <c r="S589" s="24">
        <v>7.660792437051942</v>
      </c>
      <c r="T589" s="24">
        <v>1.4210274229731907</v>
      </c>
      <c r="U589" s="24" t="s">
        <v>1601</v>
      </c>
      <c r="V589" s="24">
        <v>1987.1089999999999</v>
      </c>
      <c r="W589" s="24" t="s">
        <v>1416</v>
      </c>
      <c r="X589" s="64">
        <v>9.8263888888888893</v>
      </c>
    </row>
    <row r="590" spans="1:24" ht="14.4" x14ac:dyDescent="0.55000000000000004">
      <c r="A590" s="24" t="s">
        <v>794</v>
      </c>
      <c r="B590" s="24" t="s">
        <v>1332</v>
      </c>
      <c r="C590" s="24" t="s">
        <v>112</v>
      </c>
      <c r="D590" s="24" t="s">
        <v>72</v>
      </c>
      <c r="E590" s="24" t="s">
        <v>89</v>
      </c>
      <c r="F590" s="70">
        <v>1.7024968537061912E-4</v>
      </c>
      <c r="G590" s="24">
        <v>4.8245079999999998</v>
      </c>
      <c r="H590" s="24">
        <v>5.1819290000000002</v>
      </c>
      <c r="I590" s="24">
        <v>5.7582449999999996</v>
      </c>
      <c r="J590" s="24">
        <v>5.2118549999999999</v>
      </c>
      <c r="K590" s="24">
        <v>2.4364240000000001</v>
      </c>
      <c r="L590" s="24">
        <v>2.741927</v>
      </c>
      <c r="M590" s="24">
        <v>1.8720000000000001</v>
      </c>
      <c r="N590" s="24">
        <v>4.9881134649615966</v>
      </c>
      <c r="O590" s="24">
        <v>0.3</v>
      </c>
      <c r="P590" s="24">
        <v>8.0180180180180169</v>
      </c>
      <c r="Q590" s="24">
        <v>3.5076361221779551</v>
      </c>
      <c r="R590" s="24">
        <v>5.79</v>
      </c>
      <c r="S590" s="24">
        <v>2.7204728932549926</v>
      </c>
      <c r="T590" s="24">
        <v>1.7015964721532397</v>
      </c>
      <c r="U590" s="24" t="s">
        <v>1617</v>
      </c>
      <c r="V590" s="24">
        <v>1697.2829999999999</v>
      </c>
      <c r="W590" s="24" t="s">
        <v>1416</v>
      </c>
      <c r="X590" s="64">
        <v>9.844290657439446</v>
      </c>
    </row>
    <row r="591" spans="1:24" ht="14.4" x14ac:dyDescent="0.55000000000000004">
      <c r="A591" s="24" t="s">
        <v>798</v>
      </c>
      <c r="B591" s="24" t="s">
        <v>925</v>
      </c>
      <c r="C591" s="24" t="s">
        <v>106</v>
      </c>
      <c r="D591" s="24" t="s">
        <v>72</v>
      </c>
      <c r="E591" s="24" t="s">
        <v>99</v>
      </c>
      <c r="F591" s="70">
        <v>1.6813795771533169E-4</v>
      </c>
      <c r="G591" s="24">
        <v>7.3932820000000001</v>
      </c>
      <c r="H591" s="24">
        <v>6.3744230000000002</v>
      </c>
      <c r="I591" s="24">
        <v>5.539936</v>
      </c>
      <c r="J591" s="24">
        <v>6.8188409999999999</v>
      </c>
      <c r="K591" s="24">
        <v>7.9018949999999997</v>
      </c>
      <c r="L591" s="24">
        <v>2.0695260000000002</v>
      </c>
      <c r="M591" s="24">
        <v>13.739699999999999</v>
      </c>
      <c r="N591" s="24">
        <v>8.3458860549378837</v>
      </c>
      <c r="O591" s="24">
        <v>5.7</v>
      </c>
      <c r="P591" s="24">
        <v>2.3052959501557631</v>
      </c>
      <c r="Q591" s="24">
        <v>2.4487184084830682</v>
      </c>
      <c r="R591" s="24">
        <v>6.38</v>
      </c>
      <c r="S591" s="24">
        <v>2.8571185864395128</v>
      </c>
      <c r="T591" s="24">
        <v>0.85789440443487264</v>
      </c>
      <c r="U591" s="24" t="s">
        <v>1848</v>
      </c>
      <c r="V591" s="24">
        <v>1858.1089999999999</v>
      </c>
      <c r="W591" s="24" t="s">
        <v>1416</v>
      </c>
      <c r="X591" s="64">
        <v>10</v>
      </c>
    </row>
    <row r="592" spans="1:24" ht="14.4" x14ac:dyDescent="0.55000000000000004">
      <c r="A592" s="24" t="s">
        <v>800</v>
      </c>
      <c r="B592" s="24" t="s">
        <v>1337</v>
      </c>
      <c r="C592" s="24" t="s">
        <v>113</v>
      </c>
      <c r="D592" s="24" t="s">
        <v>72</v>
      </c>
      <c r="E592" s="24" t="s">
        <v>100</v>
      </c>
      <c r="F592" s="70">
        <v>1.6002762245459582E-4</v>
      </c>
      <c r="G592" s="24">
        <v>8.1</v>
      </c>
      <c r="H592" s="24">
        <v>5.2535790000000002</v>
      </c>
      <c r="I592" s="24">
        <v>5.8</v>
      </c>
      <c r="J592" s="24">
        <v>6.5560739999999997</v>
      </c>
      <c r="K592" s="24">
        <v>3.0969199999999999</v>
      </c>
      <c r="L592" s="24">
        <v>20.096350000000001</v>
      </c>
      <c r="M592" s="24">
        <v>50.427700000000002</v>
      </c>
      <c r="N592" s="24">
        <v>7.1031742217647338</v>
      </c>
      <c r="O592" s="24">
        <v>6.7</v>
      </c>
      <c r="P592" s="24">
        <v>5.9937888198757774</v>
      </c>
      <c r="Q592" s="24">
        <v>8.0173104815710126</v>
      </c>
      <c r="R592" s="24">
        <v>7.26</v>
      </c>
      <c r="S592" s="24">
        <v>7.3433233268588838</v>
      </c>
      <c r="T592" s="24">
        <v>1.5808971888963772</v>
      </c>
      <c r="U592" s="24" t="s">
        <v>1928</v>
      </c>
      <c r="V592" s="24">
        <v>1743.999</v>
      </c>
      <c r="W592" s="24" t="s">
        <v>1416</v>
      </c>
      <c r="X592" s="64">
        <v>9.9313893653516292</v>
      </c>
    </row>
    <row r="593" spans="1:24" ht="14.4" x14ac:dyDescent="0.55000000000000004">
      <c r="A593" s="24" t="s">
        <v>805</v>
      </c>
      <c r="B593" s="24" t="s">
        <v>932</v>
      </c>
      <c r="C593" s="24" t="s">
        <v>112</v>
      </c>
      <c r="D593" s="24" t="s">
        <v>72</v>
      </c>
      <c r="E593" s="24" t="s">
        <v>84</v>
      </c>
      <c r="F593" s="70">
        <v>1.5678196710573462E-4</v>
      </c>
      <c r="G593" s="24">
        <v>6.6693350000000002</v>
      </c>
      <c r="H593" s="24">
        <v>5.3583290000000003</v>
      </c>
      <c r="I593" s="24">
        <v>4.6471590000000003</v>
      </c>
      <c r="J593" s="24">
        <v>5.5582739999999999</v>
      </c>
      <c r="K593" s="24">
        <v>2.6317140000000001</v>
      </c>
      <c r="L593" s="24">
        <v>3.8312949999999999</v>
      </c>
      <c r="M593" s="24">
        <v>433.74369999999999</v>
      </c>
      <c r="N593" s="24">
        <v>2.0897113435797303</v>
      </c>
      <c r="O593" s="24">
        <v>3.7</v>
      </c>
      <c r="P593" s="24">
        <v>3.9104477611940296</v>
      </c>
      <c r="Q593" s="24">
        <v>5.3813816486933872</v>
      </c>
      <c r="R593" s="24">
        <v>4.29</v>
      </c>
      <c r="S593" s="24">
        <v>3.0089756471249318</v>
      </c>
      <c r="T593" s="24">
        <v>1.6285433006499417</v>
      </c>
      <c r="U593" s="24" t="s">
        <v>1639</v>
      </c>
      <c r="V593" s="24">
        <v>1329.2439999999999</v>
      </c>
      <c r="W593" s="24" t="s">
        <v>1416</v>
      </c>
      <c r="X593" s="64">
        <v>10</v>
      </c>
    </row>
    <row r="594" spans="1:24" ht="14.4" x14ac:dyDescent="0.55000000000000004">
      <c r="A594" s="24" t="s">
        <v>803</v>
      </c>
      <c r="B594" s="24" t="s">
        <v>1301</v>
      </c>
      <c r="C594" s="24" t="s">
        <v>106</v>
      </c>
      <c r="D594" s="24" t="s">
        <v>72</v>
      </c>
      <c r="E594" s="24" t="s">
        <v>89</v>
      </c>
      <c r="F594" s="70">
        <v>1.5372366503510555E-4</v>
      </c>
      <c r="G594" s="24">
        <v>7.1405760000000003</v>
      </c>
      <c r="H594" s="24">
        <v>1.176647</v>
      </c>
      <c r="I594" s="24">
        <v>6.3683860000000001</v>
      </c>
      <c r="J594" s="24">
        <v>5.1197400000000002</v>
      </c>
      <c r="K594" s="24">
        <v>3.4116379999999999</v>
      </c>
      <c r="L594" s="24">
        <v>4.1736719999999998</v>
      </c>
      <c r="M594" s="24">
        <v>2.0777000000000001</v>
      </c>
      <c r="N594" s="24">
        <v>3.3693532150701011</v>
      </c>
      <c r="O594" s="24">
        <v>0.7</v>
      </c>
      <c r="P594" s="24">
        <v>5.7357357357357337</v>
      </c>
      <c r="Q594" s="24">
        <v>4.720562195661798</v>
      </c>
      <c r="R594" s="24">
        <v>5.09</v>
      </c>
      <c r="S594" s="24">
        <v>3.9457075979551925</v>
      </c>
      <c r="T594" s="24">
        <v>1.3835764735140521</v>
      </c>
      <c r="U594" s="24" t="s">
        <v>1777</v>
      </c>
      <c r="V594" s="24">
        <v>1767.1479999999999</v>
      </c>
      <c r="W594" s="24" t="s">
        <v>1416</v>
      </c>
      <c r="X594" s="64">
        <v>10</v>
      </c>
    </row>
    <row r="595" spans="1:24" ht="14.4" x14ac:dyDescent="0.55000000000000004">
      <c r="A595" s="24" t="s">
        <v>807</v>
      </c>
      <c r="B595" s="24" t="s">
        <v>1062</v>
      </c>
      <c r="C595" s="24" t="s">
        <v>105</v>
      </c>
      <c r="D595" s="24" t="s">
        <v>72</v>
      </c>
      <c r="E595" s="24" t="s">
        <v>86</v>
      </c>
      <c r="F595" s="70">
        <v>1.4760565974753585E-4</v>
      </c>
      <c r="G595" s="24" t="e">
        <v>#N/A</v>
      </c>
      <c r="H595" s="24" t="e">
        <v>#N/A</v>
      </c>
      <c r="I595" s="24" t="e">
        <v>#N/A</v>
      </c>
      <c r="J595" s="24" t="e">
        <v>#N/A</v>
      </c>
      <c r="K595" s="24">
        <v>5.5703550000000002</v>
      </c>
      <c r="L595" s="24">
        <v>2.0251190000000001</v>
      </c>
      <c r="M595" s="24" t="e">
        <v>#N/A</v>
      </c>
      <c r="N595" s="24">
        <v>4.1349681088436343</v>
      </c>
      <c r="O595" s="24">
        <v>2.8</v>
      </c>
      <c r="P595" s="24">
        <v>0.34050186457009296</v>
      </c>
      <c r="Q595" s="24">
        <v>2.6247007463737502</v>
      </c>
      <c r="R595" s="24">
        <v>0</v>
      </c>
      <c r="S595" s="24">
        <v>1.5889144841283456</v>
      </c>
      <c r="T595" s="24">
        <v>2.3657524498409916</v>
      </c>
      <c r="U595" s="24" t="s">
        <v>2014</v>
      </c>
      <c r="V595" s="24">
        <v>1767.2149999999999</v>
      </c>
      <c r="W595" s="24" t="s">
        <v>1416</v>
      </c>
      <c r="X595" s="64">
        <v>10</v>
      </c>
    </row>
    <row r="596" spans="1:24" ht="14.4" x14ac:dyDescent="0.55000000000000004">
      <c r="A596" s="24" t="s">
        <v>802</v>
      </c>
      <c r="B596" s="24" t="s">
        <v>980</v>
      </c>
      <c r="C596" s="24" t="s">
        <v>107</v>
      </c>
      <c r="D596" s="24" t="s">
        <v>72</v>
      </c>
      <c r="E596" s="24" t="s">
        <v>97</v>
      </c>
      <c r="F596" s="70">
        <v>1.457798660216871E-4</v>
      </c>
      <c r="G596" s="24">
        <v>5.6675750000000003</v>
      </c>
      <c r="H596" s="24">
        <v>6.5922150000000004</v>
      </c>
      <c r="I596" s="24">
        <v>8.1570339999999995</v>
      </c>
      <c r="J596" s="24">
        <v>7.0332150000000002</v>
      </c>
      <c r="K596" s="24">
        <v>13.021660000000001</v>
      </c>
      <c r="L596" s="24">
        <v>6.5620229999999999</v>
      </c>
      <c r="M596" s="24">
        <v>14.507300000000001</v>
      </c>
      <c r="N596" s="24">
        <v>0.82779511614531009</v>
      </c>
      <c r="O596" s="24">
        <v>1.6</v>
      </c>
      <c r="P596" s="24">
        <v>3.4210526315789469</v>
      </c>
      <c r="Q596" s="24">
        <v>9.3020358508209409</v>
      </c>
      <c r="R596" s="24">
        <v>7.23</v>
      </c>
      <c r="S596" s="24">
        <v>4.402746135481884</v>
      </c>
      <c r="T596" s="24">
        <v>1.1759305789185199</v>
      </c>
      <c r="U596" s="24" t="s">
        <v>1896</v>
      </c>
      <c r="V596" s="24">
        <v>1593.432</v>
      </c>
      <c r="W596" s="24" t="s">
        <v>1416</v>
      </c>
      <c r="X596" s="64">
        <v>10</v>
      </c>
    </row>
    <row r="597" spans="1:24" ht="14.4" x14ac:dyDescent="0.55000000000000004">
      <c r="A597" s="24" t="s">
        <v>804</v>
      </c>
      <c r="B597" s="24" t="s">
        <v>1267</v>
      </c>
      <c r="C597" s="24" t="s">
        <v>105</v>
      </c>
      <c r="D597" s="24" t="s">
        <v>72</v>
      </c>
      <c r="E597" s="24" t="s">
        <v>100</v>
      </c>
      <c r="F597" s="70">
        <v>1.42233364543357E-4</v>
      </c>
      <c r="G597" s="24" t="e">
        <v>#N/A</v>
      </c>
      <c r="H597" s="24" t="e">
        <v>#N/A</v>
      </c>
      <c r="I597" s="24" t="e">
        <v>#N/A</v>
      </c>
      <c r="J597" s="24" t="e">
        <v>#N/A</v>
      </c>
      <c r="K597" s="24">
        <v>0</v>
      </c>
      <c r="L597" s="24">
        <v>18.005520000000001</v>
      </c>
      <c r="M597" s="24" t="e">
        <v>#N/A</v>
      </c>
      <c r="N597" s="24">
        <v>6.136174233882528</v>
      </c>
      <c r="O597" s="24">
        <v>2.1</v>
      </c>
      <c r="P597" s="24">
        <v>5.6832298136645978</v>
      </c>
      <c r="Q597" s="24">
        <v>9.2611195914930615</v>
      </c>
      <c r="R597" s="24">
        <v>0</v>
      </c>
      <c r="S597" s="24">
        <v>6.9587282014023426</v>
      </c>
      <c r="T597" s="24">
        <v>1.7826625652365859</v>
      </c>
      <c r="U597" s="24" t="s">
        <v>2012</v>
      </c>
      <c r="V597" s="24">
        <v>1566.768</v>
      </c>
      <c r="W597" s="24" t="s">
        <v>1416</v>
      </c>
      <c r="X597" s="64">
        <v>10</v>
      </c>
    </row>
    <row r="598" spans="1:24" ht="14.4" x14ac:dyDescent="0.55000000000000004">
      <c r="A598" s="24" t="s">
        <v>801</v>
      </c>
      <c r="B598" s="24" t="s">
        <v>875</v>
      </c>
      <c r="C598" s="24" t="s">
        <v>107</v>
      </c>
      <c r="D598" s="24" t="s">
        <v>72</v>
      </c>
      <c r="E598" s="24" t="s">
        <v>82</v>
      </c>
      <c r="F598" s="70">
        <v>1.3465216217899574E-4</v>
      </c>
      <c r="G598" s="24">
        <v>7.8961079999999999</v>
      </c>
      <c r="H598" s="24">
        <v>6.6909289999999997</v>
      </c>
      <c r="I598" s="24">
        <v>5.3767990000000001</v>
      </c>
      <c r="J598" s="24">
        <v>6.5925370000000001</v>
      </c>
      <c r="K598" s="24">
        <v>0</v>
      </c>
      <c r="L598" s="24">
        <v>11.52102</v>
      </c>
      <c r="M598" s="24">
        <v>5.3540000000000001</v>
      </c>
      <c r="N598" s="24">
        <v>3.2630611027983996</v>
      </c>
      <c r="O598" s="24">
        <v>0.4</v>
      </c>
      <c r="P598" s="24">
        <v>3.6559143716036955</v>
      </c>
      <c r="Q598" s="24">
        <v>8.8391302633431916</v>
      </c>
      <c r="R598" s="24">
        <v>0</v>
      </c>
      <c r="S598" s="24">
        <v>4.0581613824969214</v>
      </c>
      <c r="T598" s="24">
        <v>2.234481263514172</v>
      </c>
      <c r="U598" s="24" t="s">
        <v>1748</v>
      </c>
      <c r="V598" s="24">
        <v>1606.5889999999999</v>
      </c>
      <c r="W598" s="24" t="s">
        <v>1416</v>
      </c>
      <c r="X598" s="64">
        <v>9.8974358974358978</v>
      </c>
    </row>
    <row r="599" spans="1:24" ht="14.4" x14ac:dyDescent="0.55000000000000004">
      <c r="A599" s="24"/>
      <c r="B599" s="24"/>
      <c r="C599" s="24"/>
      <c r="D599" s="24"/>
      <c r="E599" s="24"/>
      <c r="F599" s="70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64"/>
    </row>
    <row r="600" spans="1:24" ht="14.4" x14ac:dyDescent="0.55000000000000004">
      <c r="A600" s="24"/>
      <c r="B600" s="24"/>
      <c r="C600" s="24"/>
      <c r="D600" s="24"/>
      <c r="E600" s="24"/>
      <c r="F600" s="70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64"/>
    </row>
    <row r="601" spans="1:24" ht="14.4" x14ac:dyDescent="0.55000000000000004">
      <c r="A601" s="24"/>
      <c r="B601" s="24"/>
      <c r="C601" s="24"/>
      <c r="D601" s="24"/>
      <c r="E601" s="24"/>
      <c r="F601" s="70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64"/>
    </row>
    <row r="602" spans="1:24" ht="14.4" x14ac:dyDescent="0.55000000000000004">
      <c r="A602" s="24"/>
      <c r="B602" s="24"/>
      <c r="C602" s="24"/>
      <c r="D602" s="24"/>
      <c r="E602" s="24"/>
      <c r="F602" s="70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64"/>
    </row>
    <row r="603" spans="1:24" ht="14.4" x14ac:dyDescent="0.55000000000000004">
      <c r="A603" s="24"/>
      <c r="B603" s="24"/>
      <c r="C603" s="24"/>
      <c r="D603" s="24"/>
      <c r="E603" s="24"/>
      <c r="F603" s="70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64"/>
    </row>
    <row r="604" spans="1:24" ht="14.4" x14ac:dyDescent="0.55000000000000004">
      <c r="A604" s="24"/>
      <c r="B604" s="24"/>
      <c r="C604" s="24"/>
      <c r="D604" s="24"/>
      <c r="E604" s="24"/>
      <c r="F604" s="70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64"/>
    </row>
    <row r="605" spans="1:24" ht="14.4" x14ac:dyDescent="0.55000000000000004">
      <c r="A605" s="24"/>
      <c r="B605" s="24"/>
      <c r="C605" s="24"/>
      <c r="D605" s="24"/>
      <c r="E605" s="24"/>
      <c r="F605" s="70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64"/>
    </row>
    <row r="606" spans="1:24" ht="14.4" x14ac:dyDescent="0.55000000000000004">
      <c r="A606" s="24"/>
      <c r="B606" s="24"/>
      <c r="C606" s="24"/>
      <c r="D606" s="24"/>
      <c r="E606" s="24"/>
      <c r="F606" s="70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64"/>
    </row>
    <row r="607" spans="1:24" ht="14.4" x14ac:dyDescent="0.55000000000000004">
      <c r="A607" s="24"/>
      <c r="B607" s="24"/>
      <c r="C607" s="24"/>
      <c r="D607" s="24"/>
      <c r="E607" s="24"/>
      <c r="F607" s="70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64"/>
    </row>
    <row r="608" spans="1:24" ht="14.4" x14ac:dyDescent="0.55000000000000004">
      <c r="A608" s="24"/>
      <c r="B608" s="24"/>
      <c r="C608" s="24"/>
      <c r="D608" s="24"/>
      <c r="E608" s="24"/>
      <c r="F608" s="70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64"/>
    </row>
    <row r="609" spans="1:24" ht="14.4" x14ac:dyDescent="0.55000000000000004">
      <c r="A609" s="24"/>
      <c r="B609" s="24"/>
      <c r="C609" s="24"/>
      <c r="D609" s="24"/>
      <c r="E609" s="24"/>
      <c r="F609" s="70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64"/>
    </row>
    <row r="610" spans="1:24" ht="14.4" x14ac:dyDescent="0.55000000000000004">
      <c r="A610" s="24"/>
      <c r="B610" s="24"/>
      <c r="C610" s="24"/>
      <c r="D610" s="24"/>
      <c r="E610" s="24"/>
      <c r="F610" s="70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64"/>
    </row>
    <row r="611" spans="1:24" ht="14.4" x14ac:dyDescent="0.55000000000000004">
      <c r="A611" s="24"/>
      <c r="B611" s="24"/>
      <c r="C611" s="24"/>
      <c r="D611" s="24"/>
      <c r="E611" s="24"/>
      <c r="F611" s="70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64"/>
    </row>
    <row r="612" spans="1:24" ht="14.4" x14ac:dyDescent="0.55000000000000004">
      <c r="A612" s="24"/>
      <c r="B612" s="24"/>
      <c r="C612" s="24"/>
      <c r="D612" s="24"/>
      <c r="E612" s="24"/>
      <c r="F612" s="70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64"/>
    </row>
    <row r="613" spans="1:24" ht="14.4" x14ac:dyDescent="0.55000000000000004">
      <c r="A613" s="24"/>
      <c r="B613" s="24"/>
      <c r="C613" s="24"/>
      <c r="D613" s="24"/>
      <c r="E613" s="24"/>
      <c r="F613" s="70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64"/>
    </row>
    <row r="614" spans="1:24" ht="14.4" x14ac:dyDescent="0.55000000000000004">
      <c r="A614" s="24"/>
      <c r="B614" s="24"/>
      <c r="C614" s="24"/>
      <c r="D614" s="24"/>
      <c r="E614" s="24"/>
      <c r="F614" s="70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64"/>
    </row>
    <row r="615" spans="1:24" ht="14.4" x14ac:dyDescent="0.55000000000000004">
      <c r="A615" s="24"/>
      <c r="B615" s="24"/>
      <c r="C615" s="24"/>
      <c r="D615" s="24"/>
      <c r="E615" s="24"/>
      <c r="F615" s="70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64"/>
    </row>
    <row r="616" spans="1:24" ht="14.4" x14ac:dyDescent="0.55000000000000004">
      <c r="A616" s="24"/>
      <c r="B616" s="24"/>
      <c r="C616" s="24"/>
      <c r="D616" s="24"/>
      <c r="E616" s="24"/>
      <c r="F616" s="70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64"/>
    </row>
    <row r="617" spans="1:24" ht="14.4" x14ac:dyDescent="0.55000000000000004">
      <c r="A617" s="24"/>
      <c r="B617" s="24"/>
      <c r="C617" s="24"/>
      <c r="D617" s="24"/>
      <c r="E617" s="24"/>
      <c r="F617" s="70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64"/>
    </row>
    <row r="618" spans="1:24" ht="14.4" x14ac:dyDescent="0.55000000000000004">
      <c r="A618" s="24"/>
      <c r="B618" s="24"/>
      <c r="C618" s="24"/>
      <c r="D618" s="24"/>
      <c r="E618" s="24"/>
      <c r="F618" s="70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64"/>
    </row>
    <row r="619" spans="1:24" ht="14.4" x14ac:dyDescent="0.55000000000000004">
      <c r="A619" s="24"/>
      <c r="B619" s="24"/>
      <c r="C619" s="24"/>
      <c r="D619" s="24"/>
      <c r="E619" s="24"/>
      <c r="F619" s="70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64"/>
    </row>
    <row r="620" spans="1:24" ht="14.4" x14ac:dyDescent="0.55000000000000004">
      <c r="A620" s="24"/>
      <c r="B620" s="24"/>
      <c r="C620" s="24"/>
      <c r="D620" s="24"/>
      <c r="E620" s="24"/>
      <c r="F620" s="70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64"/>
    </row>
    <row r="621" spans="1:24" ht="14.4" x14ac:dyDescent="0.55000000000000004">
      <c r="A621" s="24"/>
      <c r="B621" s="24"/>
      <c r="C621" s="24"/>
      <c r="D621" s="24"/>
      <c r="E621" s="24"/>
      <c r="F621" s="70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64"/>
    </row>
    <row r="622" spans="1:24" ht="14.4" x14ac:dyDescent="0.55000000000000004">
      <c r="A622" s="24"/>
      <c r="B622" s="24"/>
      <c r="C622" s="24"/>
      <c r="D622" s="24"/>
      <c r="E622" s="24"/>
      <c r="F622" s="70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64"/>
    </row>
    <row r="623" spans="1:24" ht="14.4" x14ac:dyDescent="0.55000000000000004">
      <c r="A623" s="24"/>
      <c r="B623" s="24"/>
      <c r="C623" s="24"/>
      <c r="D623" s="24"/>
      <c r="E623" s="24"/>
      <c r="F623" s="70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64"/>
    </row>
    <row r="624" spans="1:24" ht="14.4" x14ac:dyDescent="0.55000000000000004">
      <c r="A624" s="24"/>
      <c r="B624" s="24"/>
      <c r="C624" s="24"/>
      <c r="D624" s="24"/>
      <c r="E624" s="24"/>
      <c r="F624" s="70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64"/>
    </row>
    <row r="625" spans="1:24" ht="14.4" x14ac:dyDescent="0.55000000000000004">
      <c r="A625" s="24"/>
      <c r="B625" s="24"/>
      <c r="C625" s="24"/>
      <c r="D625" s="24"/>
      <c r="E625" s="24"/>
      <c r="F625" s="70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64"/>
    </row>
    <row r="626" spans="1:24" ht="14.4" x14ac:dyDescent="0.55000000000000004">
      <c r="A626" s="24"/>
      <c r="B626" s="24"/>
      <c r="C626" s="24"/>
      <c r="D626" s="24"/>
      <c r="E626" s="24"/>
      <c r="F626" s="70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64"/>
    </row>
    <row r="627" spans="1:24" ht="14.4" x14ac:dyDescent="0.55000000000000004">
      <c r="A627" s="24"/>
      <c r="B627" s="24"/>
      <c r="C627" s="24"/>
      <c r="D627" s="24"/>
      <c r="E627" s="24"/>
      <c r="F627" s="70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64"/>
    </row>
    <row r="628" spans="1:24" ht="14.4" x14ac:dyDescent="0.55000000000000004">
      <c r="A628" s="24"/>
      <c r="B628" s="24"/>
      <c r="C628" s="24"/>
      <c r="D628" s="24"/>
      <c r="E628" s="24"/>
      <c r="F628" s="70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64"/>
    </row>
    <row r="629" spans="1:24" ht="14.4" x14ac:dyDescent="0.55000000000000004">
      <c r="A629" s="24"/>
      <c r="B629" s="24"/>
      <c r="C629" s="24"/>
      <c r="D629" s="24"/>
      <c r="E629" s="24"/>
      <c r="F629" s="70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64"/>
    </row>
    <row r="630" spans="1:24" ht="14.4" x14ac:dyDescent="0.55000000000000004">
      <c r="A630" s="24"/>
      <c r="B630" s="24"/>
      <c r="C630" s="24"/>
      <c r="D630" s="24"/>
      <c r="E630" s="24"/>
      <c r="F630" s="70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64"/>
    </row>
    <row r="631" spans="1:24" ht="14.4" x14ac:dyDescent="0.55000000000000004">
      <c r="A631" s="24"/>
      <c r="B631" s="24"/>
      <c r="C631" s="24"/>
      <c r="D631" s="24"/>
      <c r="E631" s="24"/>
      <c r="F631" s="70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64"/>
    </row>
    <row r="632" spans="1:24" ht="14.4" x14ac:dyDescent="0.55000000000000004">
      <c r="A632" s="24"/>
      <c r="B632" s="24"/>
      <c r="C632" s="24"/>
      <c r="D632" s="24"/>
      <c r="E632" s="24"/>
      <c r="F632" s="70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64"/>
    </row>
    <row r="633" spans="1:24" ht="14.4" x14ac:dyDescent="0.55000000000000004">
      <c r="A633" s="24"/>
      <c r="B633" s="24"/>
      <c r="C633" s="24"/>
      <c r="D633" s="24"/>
      <c r="E633" s="24"/>
      <c r="F633" s="70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64"/>
    </row>
    <row r="634" spans="1:24" ht="14.4" x14ac:dyDescent="0.55000000000000004">
      <c r="A634" s="24"/>
      <c r="B634" s="24"/>
      <c r="C634" s="24"/>
      <c r="D634" s="24"/>
      <c r="E634" s="24"/>
      <c r="F634" s="70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64"/>
    </row>
    <row r="635" spans="1:24" ht="14.4" x14ac:dyDescent="0.55000000000000004">
      <c r="A635" s="24"/>
      <c r="B635" s="24"/>
      <c r="C635" s="24"/>
      <c r="D635" s="24"/>
      <c r="E635" s="24"/>
      <c r="F635" s="70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64"/>
    </row>
    <row r="636" spans="1:24" ht="14.4" x14ac:dyDescent="0.55000000000000004">
      <c r="A636" s="24"/>
      <c r="B636" s="24"/>
      <c r="C636" s="24"/>
      <c r="D636" s="24"/>
      <c r="E636" s="24"/>
      <c r="F636" s="70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64"/>
    </row>
    <row r="637" spans="1:24" ht="14.4" x14ac:dyDescent="0.55000000000000004">
      <c r="A637" s="24"/>
      <c r="B637" s="24"/>
      <c r="C637" s="24"/>
      <c r="D637" s="24"/>
      <c r="E637" s="24"/>
      <c r="F637" s="70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64"/>
    </row>
    <row r="638" spans="1:24" ht="14.4" x14ac:dyDescent="0.55000000000000004">
      <c r="A638" s="24"/>
      <c r="B638" s="24"/>
      <c r="C638" s="24"/>
      <c r="D638" s="24"/>
      <c r="E638" s="24"/>
      <c r="F638" s="70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64"/>
    </row>
    <row r="639" spans="1:24" ht="14.4" x14ac:dyDescent="0.55000000000000004">
      <c r="A639" s="24"/>
      <c r="B639" s="24"/>
      <c r="C639" s="24"/>
      <c r="D639" s="24"/>
      <c r="E639" s="24"/>
      <c r="F639" s="70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64"/>
    </row>
    <row r="640" spans="1:24" ht="14.4" x14ac:dyDescent="0.55000000000000004">
      <c r="A640" s="24"/>
      <c r="B640" s="24"/>
      <c r="C640" s="24"/>
      <c r="D640" s="24"/>
      <c r="E640" s="24"/>
      <c r="F640" s="70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64"/>
    </row>
    <row r="641" spans="1:24" ht="14.4" x14ac:dyDescent="0.55000000000000004">
      <c r="A641" s="24"/>
      <c r="B641" s="24"/>
      <c r="C641" s="24"/>
      <c r="D641" s="24"/>
      <c r="E641" s="24"/>
      <c r="F641" s="70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64"/>
    </row>
    <row r="642" spans="1:24" ht="14.4" x14ac:dyDescent="0.55000000000000004">
      <c r="A642" s="24"/>
      <c r="B642" s="24"/>
      <c r="C642" s="24"/>
      <c r="D642" s="24"/>
      <c r="E642" s="24"/>
      <c r="F642" s="70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64"/>
    </row>
    <row r="643" spans="1:24" ht="14.4" x14ac:dyDescent="0.55000000000000004">
      <c r="A643" s="24"/>
      <c r="B643" s="24"/>
      <c r="C643" s="24"/>
      <c r="D643" s="24"/>
      <c r="E643" s="24"/>
      <c r="F643" s="70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64"/>
    </row>
    <row r="644" spans="1:24" ht="14.4" x14ac:dyDescent="0.55000000000000004">
      <c r="A644" s="24"/>
      <c r="B644" s="24"/>
      <c r="C644" s="24"/>
      <c r="D644" s="24"/>
      <c r="E644" s="24"/>
      <c r="F644" s="70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64"/>
    </row>
    <row r="645" spans="1:24" ht="14.4" x14ac:dyDescent="0.55000000000000004">
      <c r="A645" s="24"/>
      <c r="B645" s="24"/>
      <c r="C645" s="24"/>
      <c r="D645" s="24"/>
      <c r="E645" s="24"/>
      <c r="F645" s="70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64"/>
    </row>
    <row r="646" spans="1:24" ht="14.4" x14ac:dyDescent="0.55000000000000004">
      <c r="A646" s="24"/>
      <c r="B646" s="24"/>
      <c r="C646" s="24"/>
      <c r="D646" s="24"/>
      <c r="E646" s="24"/>
      <c r="F646" s="70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64"/>
    </row>
    <row r="647" spans="1:24" ht="14.4" x14ac:dyDescent="0.55000000000000004">
      <c r="A647" s="24"/>
      <c r="B647" s="24"/>
      <c r="C647" s="24"/>
      <c r="D647" s="24"/>
      <c r="E647" s="24"/>
      <c r="F647" s="70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64"/>
    </row>
    <row r="648" spans="1:24" ht="14.4" x14ac:dyDescent="0.55000000000000004">
      <c r="A648" s="24"/>
      <c r="B648" s="24"/>
      <c r="C648" s="24"/>
      <c r="D648" s="24"/>
      <c r="E648" s="24"/>
      <c r="F648" s="70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64"/>
    </row>
    <row r="649" spans="1:24" ht="14.4" x14ac:dyDescent="0.55000000000000004">
      <c r="A649" s="24"/>
      <c r="B649" s="24"/>
      <c r="C649" s="24"/>
      <c r="D649" s="24"/>
      <c r="E649" s="24"/>
      <c r="F649" s="70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64"/>
    </row>
    <row r="650" spans="1:24" ht="14.4" x14ac:dyDescent="0.55000000000000004">
      <c r="A650" s="24"/>
      <c r="B650" s="24"/>
      <c r="C650" s="24"/>
      <c r="D650" s="24"/>
      <c r="E650" s="24"/>
      <c r="F650" s="70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64"/>
    </row>
    <row r="651" spans="1:24" ht="14.4" x14ac:dyDescent="0.55000000000000004">
      <c r="A651" s="24"/>
      <c r="B651" s="24"/>
      <c r="C651" s="24"/>
      <c r="D651" s="24"/>
      <c r="E651" s="24"/>
      <c r="F651" s="70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64"/>
    </row>
    <row r="652" spans="1:24" ht="14.4" x14ac:dyDescent="0.55000000000000004">
      <c r="A652" s="24"/>
      <c r="B652" s="24"/>
      <c r="C652" s="24"/>
      <c r="D652" s="24"/>
      <c r="E652" s="24"/>
      <c r="F652" s="70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64"/>
    </row>
    <row r="653" spans="1:24" ht="14.4" x14ac:dyDescent="0.55000000000000004">
      <c r="A653" s="24"/>
      <c r="B653" s="24"/>
      <c r="C653" s="24"/>
      <c r="D653" s="24"/>
      <c r="E653" s="24"/>
      <c r="F653" s="70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64"/>
    </row>
    <row r="654" spans="1:24" ht="14.4" x14ac:dyDescent="0.55000000000000004">
      <c r="A654" s="24"/>
      <c r="B654" s="24"/>
      <c r="C654" s="24"/>
      <c r="D654" s="24"/>
      <c r="E654" s="24"/>
      <c r="F654" s="70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64"/>
    </row>
    <row r="655" spans="1:24" ht="14.4" x14ac:dyDescent="0.55000000000000004">
      <c r="A655" s="24"/>
      <c r="B655" s="24"/>
      <c r="C655" s="24"/>
      <c r="D655" s="24"/>
      <c r="E655" s="24"/>
      <c r="F655" s="70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64"/>
    </row>
    <row r="656" spans="1:24" ht="14.4" x14ac:dyDescent="0.55000000000000004">
      <c r="A656" s="24"/>
      <c r="B656" s="24"/>
      <c r="C656" s="24"/>
      <c r="D656" s="24"/>
      <c r="E656" s="24"/>
      <c r="F656" s="70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64"/>
    </row>
    <row r="657" spans="1:24" ht="14.4" x14ac:dyDescent="0.55000000000000004">
      <c r="A657" s="24"/>
      <c r="B657" s="24"/>
      <c r="C657" s="24"/>
      <c r="D657" s="24"/>
      <c r="E657" s="24"/>
      <c r="F657" s="70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64"/>
    </row>
    <row r="658" spans="1:24" ht="14.4" x14ac:dyDescent="0.55000000000000004">
      <c r="A658" s="24"/>
      <c r="B658" s="24"/>
      <c r="C658" s="24"/>
      <c r="D658" s="24"/>
      <c r="E658" s="24"/>
      <c r="F658" s="70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64"/>
    </row>
    <row r="659" spans="1:24" ht="14.4" x14ac:dyDescent="0.55000000000000004">
      <c r="A659" s="24"/>
      <c r="B659" s="24"/>
      <c r="C659" s="24"/>
      <c r="D659" s="24"/>
      <c r="E659" s="24"/>
      <c r="F659" s="70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64"/>
    </row>
    <row r="660" spans="1:24" ht="14.4" x14ac:dyDescent="0.55000000000000004">
      <c r="A660" s="24"/>
      <c r="B660" s="24"/>
      <c r="C660" s="24"/>
      <c r="D660" s="24"/>
      <c r="E660" s="24"/>
      <c r="F660" s="70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64"/>
    </row>
    <row r="661" spans="1:24" ht="14.4" x14ac:dyDescent="0.55000000000000004">
      <c r="A661" s="24"/>
      <c r="B661" s="24"/>
      <c r="C661" s="24"/>
      <c r="D661" s="24"/>
      <c r="E661" s="24"/>
      <c r="F661" s="70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64"/>
    </row>
    <row r="662" spans="1:24" ht="14.4" x14ac:dyDescent="0.55000000000000004">
      <c r="A662" s="24"/>
      <c r="B662" s="24"/>
      <c r="C662" s="24"/>
      <c r="D662" s="24"/>
      <c r="E662" s="24"/>
      <c r="F662" s="70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64"/>
    </row>
    <row r="663" spans="1:24" ht="14.4" x14ac:dyDescent="0.55000000000000004">
      <c r="A663" s="24"/>
      <c r="B663" s="24"/>
      <c r="C663" s="24"/>
      <c r="D663" s="24"/>
      <c r="E663" s="24"/>
      <c r="F663" s="70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64"/>
    </row>
    <row r="664" spans="1:24" ht="14.4" x14ac:dyDescent="0.55000000000000004">
      <c r="A664" s="24"/>
      <c r="B664" s="24"/>
      <c r="C664" s="24"/>
      <c r="D664" s="24"/>
      <c r="E664" s="24"/>
      <c r="F664" s="70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64"/>
    </row>
    <row r="665" spans="1:24" ht="14.4" x14ac:dyDescent="0.55000000000000004">
      <c r="A665" s="24"/>
      <c r="B665" s="24"/>
      <c r="C665" s="24"/>
      <c r="D665" s="24"/>
      <c r="E665" s="24"/>
      <c r="F665" s="70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64"/>
    </row>
    <row r="666" spans="1:24" ht="14.4" x14ac:dyDescent="0.55000000000000004">
      <c r="A666" s="24"/>
      <c r="B666" s="24"/>
      <c r="C666" s="24"/>
      <c r="D666" s="24"/>
      <c r="E666" s="24"/>
      <c r="F666" s="70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64"/>
    </row>
    <row r="667" spans="1:24" ht="14.4" x14ac:dyDescent="0.55000000000000004">
      <c r="A667" s="24"/>
      <c r="B667" s="24"/>
      <c r="C667" s="24"/>
      <c r="D667" s="24"/>
      <c r="E667" s="24"/>
      <c r="F667" s="70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64"/>
    </row>
    <row r="668" spans="1:24" ht="14.4" x14ac:dyDescent="0.55000000000000004">
      <c r="A668" s="24"/>
      <c r="B668" s="24"/>
      <c r="C668" s="24"/>
      <c r="D668" s="24"/>
      <c r="E668" s="24"/>
      <c r="F668" s="70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64"/>
    </row>
    <row r="669" spans="1:24" ht="14.4" x14ac:dyDescent="0.55000000000000004">
      <c r="A669" s="24"/>
      <c r="B669" s="24"/>
      <c r="C669" s="24"/>
      <c r="D669" s="24"/>
      <c r="E669" s="24"/>
      <c r="F669" s="70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64"/>
    </row>
    <row r="670" spans="1:24" ht="14.4" x14ac:dyDescent="0.55000000000000004">
      <c r="A670" s="24"/>
      <c r="B670" s="24"/>
      <c r="C670" s="24"/>
      <c r="D670" s="24"/>
      <c r="E670" s="24"/>
      <c r="F670" s="70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64"/>
    </row>
    <row r="671" spans="1:24" ht="14.4" x14ac:dyDescent="0.55000000000000004">
      <c r="A671" s="24"/>
      <c r="B671" s="24"/>
      <c r="C671" s="24"/>
      <c r="D671" s="24"/>
      <c r="E671" s="24"/>
      <c r="F671" s="70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64"/>
    </row>
    <row r="672" spans="1:24" ht="14.4" x14ac:dyDescent="0.55000000000000004">
      <c r="A672" s="24"/>
      <c r="B672" s="24"/>
      <c r="C672" s="24"/>
      <c r="D672" s="24"/>
      <c r="E672" s="24"/>
      <c r="F672" s="70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64"/>
    </row>
    <row r="673" spans="1:24" ht="14.4" x14ac:dyDescent="0.55000000000000004">
      <c r="A673" s="24"/>
      <c r="B673" s="24"/>
      <c r="C673" s="24"/>
      <c r="D673" s="24"/>
      <c r="E673" s="24"/>
      <c r="F673" s="70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64"/>
    </row>
    <row r="674" spans="1:24" ht="14.4" x14ac:dyDescent="0.55000000000000004">
      <c r="A674" s="24"/>
      <c r="B674" s="24"/>
      <c r="C674" s="24"/>
      <c r="D674" s="24"/>
      <c r="E674" s="24"/>
      <c r="F674" s="70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64"/>
    </row>
    <row r="675" spans="1:24" ht="14.4" x14ac:dyDescent="0.55000000000000004">
      <c r="A675" s="24"/>
      <c r="B675" s="24"/>
      <c r="C675" s="24"/>
      <c r="D675" s="24"/>
      <c r="E675" s="24"/>
      <c r="F675" s="70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64"/>
    </row>
    <row r="676" spans="1:24" ht="14.4" x14ac:dyDescent="0.55000000000000004">
      <c r="A676" s="24"/>
      <c r="B676" s="24"/>
      <c r="C676" s="24"/>
      <c r="D676" s="24"/>
      <c r="E676" s="24"/>
      <c r="F676" s="70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64"/>
    </row>
    <row r="677" spans="1:24" ht="14.4" x14ac:dyDescent="0.55000000000000004">
      <c r="A677" s="24"/>
      <c r="B677" s="24"/>
      <c r="C677" s="24"/>
      <c r="D677" s="24"/>
      <c r="E677" s="24"/>
      <c r="F677" s="70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64"/>
    </row>
    <row r="678" spans="1:24" ht="14.4" x14ac:dyDescent="0.55000000000000004">
      <c r="A678" s="24"/>
      <c r="B678" s="24"/>
      <c r="C678" s="24"/>
      <c r="D678" s="24"/>
      <c r="E678" s="24"/>
      <c r="F678" s="70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64"/>
    </row>
    <row r="679" spans="1:24" ht="14.4" x14ac:dyDescent="0.55000000000000004">
      <c r="A679" s="24"/>
      <c r="B679" s="24"/>
      <c r="C679" s="24"/>
      <c r="D679" s="24"/>
      <c r="E679" s="24"/>
      <c r="F679" s="70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64"/>
    </row>
    <row r="680" spans="1:24" ht="14.4" x14ac:dyDescent="0.55000000000000004">
      <c r="A680" s="24"/>
      <c r="B680" s="24"/>
      <c r="C680" s="24"/>
      <c r="D680" s="24"/>
      <c r="E680" s="24"/>
      <c r="F680" s="70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64"/>
    </row>
    <row r="681" spans="1:24" ht="14.4" x14ac:dyDescent="0.55000000000000004">
      <c r="A681" s="24"/>
      <c r="B681" s="24"/>
      <c r="C681" s="24"/>
      <c r="D681" s="24"/>
      <c r="E681" s="24"/>
      <c r="F681" s="70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64"/>
    </row>
    <row r="682" spans="1:24" ht="14.4" x14ac:dyDescent="0.55000000000000004">
      <c r="A682" s="24"/>
      <c r="B682" s="24"/>
      <c r="C682" s="24"/>
      <c r="D682" s="24"/>
      <c r="E682" s="24"/>
      <c r="F682" s="70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64"/>
    </row>
    <row r="683" spans="1:24" ht="14.4" x14ac:dyDescent="0.55000000000000004">
      <c r="A683" s="24"/>
      <c r="B683" s="24"/>
      <c r="C683" s="24"/>
      <c r="D683" s="24"/>
      <c r="E683" s="24"/>
      <c r="F683" s="70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64"/>
    </row>
    <row r="684" spans="1:24" ht="14.4" x14ac:dyDescent="0.55000000000000004">
      <c r="A684" s="24"/>
      <c r="B684" s="24"/>
      <c r="C684" s="24"/>
      <c r="D684" s="24"/>
      <c r="E684" s="24"/>
      <c r="F684" s="70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64"/>
    </row>
    <row r="685" spans="1:24" ht="14.4" x14ac:dyDescent="0.55000000000000004">
      <c r="A685" s="24"/>
      <c r="B685" s="24"/>
      <c r="C685" s="24"/>
      <c r="D685" s="24"/>
      <c r="E685" s="24"/>
      <c r="F685" s="70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64"/>
    </row>
    <row r="686" spans="1:24" ht="14.4" x14ac:dyDescent="0.55000000000000004">
      <c r="A686" s="24"/>
      <c r="B686" s="24"/>
      <c r="C686" s="24"/>
      <c r="D686" s="24"/>
      <c r="E686" s="24"/>
      <c r="F686" s="70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64"/>
    </row>
    <row r="687" spans="1:24" ht="14.4" x14ac:dyDescent="0.55000000000000004">
      <c r="A687" s="24"/>
      <c r="B687" s="24"/>
      <c r="C687" s="24"/>
      <c r="D687" s="24"/>
      <c r="E687" s="24"/>
      <c r="F687" s="70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64"/>
    </row>
    <row r="688" spans="1:24" ht="14.4" x14ac:dyDescent="0.55000000000000004">
      <c r="A688" s="24"/>
      <c r="B688" s="24"/>
      <c r="C688" s="24"/>
      <c r="D688" s="24"/>
      <c r="E688" s="24"/>
      <c r="F688" s="70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64"/>
    </row>
    <row r="689" spans="1:24" ht="14.4" x14ac:dyDescent="0.55000000000000004">
      <c r="A689" s="24"/>
      <c r="B689" s="24"/>
      <c r="C689" s="24"/>
      <c r="D689" s="24"/>
      <c r="E689" s="24"/>
      <c r="F689" s="70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64"/>
    </row>
    <row r="690" spans="1:24" ht="14.4" x14ac:dyDescent="0.55000000000000004">
      <c r="A690" s="24"/>
      <c r="B690" s="24"/>
      <c r="C690" s="24"/>
      <c r="D690" s="24"/>
      <c r="E690" s="24"/>
      <c r="F690" s="70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64"/>
    </row>
    <row r="691" spans="1:24" ht="14.4" x14ac:dyDescent="0.55000000000000004">
      <c r="A691" s="24"/>
      <c r="B691" s="24"/>
      <c r="C691" s="24"/>
      <c r="D691" s="24"/>
      <c r="E691" s="24"/>
      <c r="F691" s="70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64"/>
    </row>
    <row r="692" spans="1:24" ht="14.4" x14ac:dyDescent="0.55000000000000004">
      <c r="A692" s="24"/>
      <c r="B692" s="24"/>
      <c r="C692" s="24"/>
      <c r="D692" s="24"/>
      <c r="E692" s="24"/>
      <c r="F692" s="70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64"/>
    </row>
    <row r="693" spans="1:24" ht="14.4" x14ac:dyDescent="0.55000000000000004">
      <c r="A693" s="24"/>
      <c r="B693" s="24"/>
      <c r="C693" s="24"/>
      <c r="D693" s="24"/>
      <c r="E693" s="24"/>
      <c r="F693" s="70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64"/>
    </row>
    <row r="694" spans="1:24" ht="14.4" x14ac:dyDescent="0.55000000000000004">
      <c r="A694" s="24"/>
      <c r="B694" s="24"/>
      <c r="C694" s="24"/>
      <c r="D694" s="24"/>
      <c r="E694" s="24"/>
      <c r="F694" s="70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64"/>
    </row>
    <row r="695" spans="1:24" ht="14.4" x14ac:dyDescent="0.55000000000000004">
      <c r="A695" s="24"/>
      <c r="B695" s="24"/>
      <c r="C695" s="24"/>
      <c r="D695" s="24"/>
      <c r="E695" s="24"/>
      <c r="F695" s="70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64"/>
    </row>
    <row r="696" spans="1:24" ht="14.4" x14ac:dyDescent="0.55000000000000004">
      <c r="A696" s="24"/>
      <c r="B696" s="24"/>
      <c r="C696" s="24"/>
      <c r="D696" s="24"/>
      <c r="E696" s="24"/>
      <c r="F696" s="70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64"/>
    </row>
    <row r="697" spans="1:24" ht="14.4" x14ac:dyDescent="0.55000000000000004">
      <c r="A697" s="24"/>
      <c r="B697" s="24"/>
      <c r="C697" s="24"/>
      <c r="D697" s="24"/>
      <c r="E697" s="24"/>
      <c r="F697" s="70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64"/>
    </row>
    <row r="698" spans="1:24" ht="14.4" x14ac:dyDescent="0.55000000000000004">
      <c r="A698" s="24"/>
      <c r="B698" s="24"/>
      <c r="C698" s="24"/>
      <c r="D698" s="24"/>
      <c r="E698" s="24"/>
      <c r="F698" s="70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64"/>
    </row>
    <row r="699" spans="1:24" ht="14.4" x14ac:dyDescent="0.55000000000000004">
      <c r="A699" s="24"/>
      <c r="B699" s="24"/>
      <c r="C699" s="24"/>
      <c r="D699" s="24"/>
      <c r="E699" s="24"/>
      <c r="F699" s="70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64"/>
    </row>
    <row r="700" spans="1:24" ht="14.4" x14ac:dyDescent="0.55000000000000004">
      <c r="A700" s="24"/>
      <c r="B700" s="24"/>
      <c r="C700" s="24"/>
      <c r="D700" s="24"/>
      <c r="E700" s="24"/>
      <c r="F700" s="70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64"/>
    </row>
    <row r="701" spans="1:24" ht="14.4" x14ac:dyDescent="0.55000000000000004">
      <c r="A701" s="24"/>
      <c r="B701" s="24"/>
      <c r="C701" s="24"/>
      <c r="D701" s="24"/>
      <c r="E701" s="24"/>
      <c r="F701" s="70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64"/>
    </row>
    <row r="702" spans="1:24" ht="14.4" x14ac:dyDescent="0.55000000000000004">
      <c r="A702" s="24"/>
      <c r="B702" s="24"/>
      <c r="C702" s="24"/>
      <c r="D702" s="24"/>
      <c r="E702" s="24"/>
      <c r="F702" s="70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64"/>
    </row>
    <row r="703" spans="1:24" ht="14.4" x14ac:dyDescent="0.55000000000000004">
      <c r="A703" s="24"/>
      <c r="B703" s="24"/>
      <c r="C703" s="24"/>
      <c r="D703" s="24"/>
      <c r="E703" s="24"/>
      <c r="F703" s="70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64"/>
    </row>
    <row r="704" spans="1:24" ht="14.4" x14ac:dyDescent="0.55000000000000004">
      <c r="A704" s="24"/>
      <c r="B704" s="24"/>
      <c r="C704" s="24"/>
      <c r="D704" s="24"/>
      <c r="E704" s="24"/>
      <c r="F704" s="70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64"/>
    </row>
    <row r="705" spans="1:24" ht="14.4" x14ac:dyDescent="0.55000000000000004">
      <c r="A705" s="24"/>
      <c r="B705" s="24"/>
      <c r="C705" s="24"/>
      <c r="D705" s="24"/>
      <c r="E705" s="24"/>
      <c r="F705" s="70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64"/>
    </row>
    <row r="706" spans="1:24" ht="14.4" x14ac:dyDescent="0.55000000000000004">
      <c r="A706" s="24"/>
      <c r="B706" s="24"/>
      <c r="C706" s="24"/>
      <c r="D706" s="24"/>
      <c r="E706" s="24"/>
      <c r="F706" s="70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64"/>
    </row>
    <row r="707" spans="1:24" ht="14.4" x14ac:dyDescent="0.55000000000000004">
      <c r="A707" s="24"/>
      <c r="B707" s="24"/>
      <c r="C707" s="24"/>
      <c r="D707" s="24"/>
      <c r="E707" s="24"/>
      <c r="F707" s="70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64"/>
    </row>
    <row r="708" spans="1:24" ht="14.4" x14ac:dyDescent="0.55000000000000004">
      <c r="A708" s="24"/>
      <c r="B708" s="24"/>
      <c r="C708" s="24"/>
      <c r="D708" s="24"/>
      <c r="E708" s="24"/>
      <c r="F708" s="70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64"/>
    </row>
    <row r="709" spans="1:24" ht="14.4" x14ac:dyDescent="0.55000000000000004">
      <c r="A709" s="24"/>
      <c r="B709" s="24"/>
      <c r="C709" s="24"/>
      <c r="D709" s="24"/>
      <c r="E709" s="24"/>
      <c r="F709" s="70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64"/>
    </row>
    <row r="710" spans="1:24" ht="14.4" x14ac:dyDescent="0.55000000000000004">
      <c r="A710" s="24"/>
      <c r="B710" s="24"/>
      <c r="C710" s="24"/>
      <c r="D710" s="24"/>
      <c r="E710" s="24"/>
      <c r="F710" s="70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64"/>
    </row>
    <row r="711" spans="1:24" ht="14.4" x14ac:dyDescent="0.55000000000000004">
      <c r="A711" s="24"/>
      <c r="B711" s="24"/>
      <c r="C711" s="24"/>
      <c r="D711" s="24"/>
      <c r="E711" s="24"/>
      <c r="F711" s="70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64"/>
    </row>
    <row r="712" spans="1:24" ht="14.4" x14ac:dyDescent="0.55000000000000004">
      <c r="A712" s="24"/>
      <c r="B712" s="24"/>
      <c r="C712" s="24"/>
      <c r="D712" s="24"/>
      <c r="E712" s="24"/>
      <c r="F712" s="70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64"/>
    </row>
    <row r="713" spans="1:24" ht="14.4" x14ac:dyDescent="0.55000000000000004">
      <c r="A713" s="24"/>
      <c r="B713" s="24"/>
      <c r="C713" s="24"/>
      <c r="D713" s="24"/>
      <c r="E713" s="24"/>
      <c r="F713" s="70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64"/>
    </row>
    <row r="714" spans="1:24" ht="14.4" x14ac:dyDescent="0.55000000000000004">
      <c r="A714" s="24"/>
      <c r="B714" s="24"/>
      <c r="C714" s="24"/>
      <c r="D714" s="24"/>
      <c r="E714" s="24"/>
      <c r="F714" s="70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64"/>
    </row>
    <row r="715" spans="1:24" ht="14.4" x14ac:dyDescent="0.55000000000000004">
      <c r="A715" s="24"/>
      <c r="B715" s="24"/>
      <c r="C715" s="24"/>
      <c r="D715" s="24"/>
      <c r="E715" s="24"/>
      <c r="F715" s="70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64"/>
    </row>
    <row r="716" spans="1:24" ht="14.4" x14ac:dyDescent="0.55000000000000004">
      <c r="A716" s="24"/>
      <c r="B716" s="24"/>
      <c r="C716" s="24"/>
      <c r="D716" s="24"/>
      <c r="E716" s="24"/>
      <c r="F716" s="70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64"/>
    </row>
    <row r="717" spans="1:24" ht="14.4" x14ac:dyDescent="0.55000000000000004">
      <c r="A717" s="24"/>
      <c r="B717" s="24"/>
      <c r="C717" s="24"/>
      <c r="D717" s="24"/>
      <c r="E717" s="24"/>
      <c r="F717" s="70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64"/>
    </row>
    <row r="718" spans="1:24" ht="14.4" x14ac:dyDescent="0.55000000000000004">
      <c r="A718" s="24"/>
      <c r="B718" s="24"/>
      <c r="C718" s="24"/>
      <c r="D718" s="24"/>
      <c r="E718" s="24"/>
      <c r="F718" s="70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64"/>
    </row>
    <row r="719" spans="1:24" ht="14.4" x14ac:dyDescent="0.55000000000000004">
      <c r="A719" s="24"/>
      <c r="B719" s="24"/>
      <c r="C719" s="24"/>
      <c r="D719" s="24"/>
      <c r="E719" s="24"/>
      <c r="F719" s="70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64"/>
    </row>
    <row r="720" spans="1:24" ht="14.4" x14ac:dyDescent="0.55000000000000004">
      <c r="A720" s="24"/>
      <c r="B720" s="24"/>
      <c r="C720" s="24"/>
      <c r="D720" s="24"/>
      <c r="E720" s="24"/>
      <c r="F720" s="70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64"/>
    </row>
    <row r="721" spans="1:24" ht="14.4" x14ac:dyDescent="0.55000000000000004">
      <c r="A721" s="24"/>
      <c r="B721" s="24"/>
      <c r="C721" s="24"/>
      <c r="D721" s="24"/>
      <c r="E721" s="24"/>
      <c r="F721" s="70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64"/>
    </row>
    <row r="722" spans="1:24" ht="14.4" x14ac:dyDescent="0.55000000000000004">
      <c r="A722" s="24"/>
      <c r="B722" s="24"/>
      <c r="C722" s="24"/>
      <c r="D722" s="24"/>
      <c r="E722" s="24"/>
      <c r="F722" s="70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64"/>
    </row>
    <row r="723" spans="1:24" ht="14.4" x14ac:dyDescent="0.55000000000000004">
      <c r="A723" s="24"/>
      <c r="B723" s="24"/>
      <c r="C723" s="24"/>
      <c r="D723" s="24"/>
      <c r="E723" s="24"/>
      <c r="F723" s="70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64"/>
    </row>
    <row r="724" spans="1:24" ht="14.4" x14ac:dyDescent="0.55000000000000004">
      <c r="A724" s="24"/>
      <c r="B724" s="24"/>
      <c r="C724" s="24"/>
      <c r="D724" s="24"/>
      <c r="E724" s="24"/>
      <c r="F724" s="70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64"/>
    </row>
    <row r="725" spans="1:24" ht="14.4" x14ac:dyDescent="0.55000000000000004">
      <c r="A725" s="24"/>
      <c r="B725" s="24"/>
      <c r="C725" s="24"/>
      <c r="D725" s="24"/>
      <c r="E725" s="24"/>
      <c r="F725" s="70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64"/>
    </row>
    <row r="726" spans="1:24" ht="14.4" x14ac:dyDescent="0.55000000000000004">
      <c r="A726" s="24"/>
      <c r="B726" s="24"/>
      <c r="C726" s="24"/>
      <c r="D726" s="24"/>
      <c r="E726" s="24"/>
      <c r="F726" s="70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64"/>
    </row>
    <row r="727" spans="1:24" ht="14.4" x14ac:dyDescent="0.55000000000000004">
      <c r="A727" s="24"/>
      <c r="B727" s="24"/>
      <c r="C727" s="24"/>
      <c r="D727" s="24"/>
      <c r="E727" s="24"/>
      <c r="F727" s="70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64"/>
    </row>
    <row r="728" spans="1:24" ht="14.4" x14ac:dyDescent="0.55000000000000004">
      <c r="A728" s="24"/>
      <c r="B728" s="24"/>
      <c r="C728" s="24"/>
      <c r="D728" s="24"/>
      <c r="E728" s="24"/>
      <c r="F728" s="70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64"/>
    </row>
    <row r="729" spans="1:24" ht="14.4" x14ac:dyDescent="0.55000000000000004">
      <c r="A729" s="24"/>
      <c r="B729" s="24"/>
      <c r="C729" s="24"/>
      <c r="D729" s="24"/>
      <c r="E729" s="24"/>
      <c r="F729" s="70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64"/>
    </row>
    <row r="730" spans="1:24" ht="14.4" x14ac:dyDescent="0.55000000000000004">
      <c r="A730" s="24"/>
      <c r="B730" s="24"/>
      <c r="C730" s="24"/>
      <c r="D730" s="24"/>
      <c r="E730" s="24"/>
      <c r="F730" s="70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64"/>
    </row>
    <row r="731" spans="1:24" ht="14.4" x14ac:dyDescent="0.55000000000000004">
      <c r="A731" s="24"/>
      <c r="B731" s="24"/>
      <c r="C731" s="24"/>
      <c r="D731" s="24"/>
      <c r="E731" s="24"/>
      <c r="F731" s="70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64"/>
    </row>
    <row r="732" spans="1:24" ht="14.4" x14ac:dyDescent="0.55000000000000004">
      <c r="A732" s="24"/>
      <c r="B732" s="24"/>
      <c r="C732" s="24"/>
      <c r="D732" s="24"/>
      <c r="E732" s="24"/>
      <c r="F732" s="70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64"/>
    </row>
    <row r="733" spans="1:24" ht="14.4" x14ac:dyDescent="0.55000000000000004">
      <c r="A733" s="24"/>
      <c r="B733" s="24"/>
      <c r="C733" s="24"/>
      <c r="D733" s="24"/>
      <c r="E733" s="24"/>
      <c r="F733" s="70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64"/>
    </row>
    <row r="734" spans="1:24" ht="14.4" x14ac:dyDescent="0.55000000000000004">
      <c r="A734" s="24"/>
      <c r="B734" s="24"/>
      <c r="C734" s="24"/>
      <c r="D734" s="24"/>
      <c r="E734" s="24"/>
      <c r="F734" s="70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64"/>
    </row>
    <row r="735" spans="1:24" ht="14.4" x14ac:dyDescent="0.55000000000000004">
      <c r="A735" s="24"/>
      <c r="B735" s="24"/>
      <c r="C735" s="24"/>
      <c r="D735" s="24"/>
      <c r="E735" s="24"/>
      <c r="F735" s="70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64"/>
    </row>
    <row r="736" spans="1:24" ht="14.4" x14ac:dyDescent="0.55000000000000004">
      <c r="A736" s="24"/>
      <c r="B736" s="24"/>
      <c r="C736" s="24"/>
      <c r="D736" s="24"/>
      <c r="E736" s="24"/>
      <c r="F736" s="70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64"/>
    </row>
    <row r="737" spans="1:24" ht="14.4" x14ac:dyDescent="0.55000000000000004">
      <c r="A737" s="24"/>
      <c r="B737" s="24"/>
      <c r="C737" s="24"/>
      <c r="D737" s="24"/>
      <c r="E737" s="24"/>
      <c r="F737" s="70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64"/>
    </row>
    <row r="738" spans="1:24" ht="14.4" x14ac:dyDescent="0.55000000000000004">
      <c r="A738" s="24"/>
      <c r="B738" s="24"/>
      <c r="C738" s="24"/>
      <c r="D738" s="24"/>
      <c r="E738" s="24"/>
      <c r="F738" s="70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64"/>
    </row>
    <row r="739" spans="1:24" ht="14.4" x14ac:dyDescent="0.55000000000000004">
      <c r="A739" s="24"/>
      <c r="B739" s="24"/>
      <c r="C739" s="24"/>
      <c r="D739" s="24"/>
      <c r="E739" s="24"/>
      <c r="F739" s="70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64"/>
    </row>
    <row r="740" spans="1:24" ht="14.4" x14ac:dyDescent="0.55000000000000004">
      <c r="A740" s="24"/>
      <c r="B740" s="24"/>
      <c r="C740" s="24"/>
      <c r="D740" s="24"/>
      <c r="E740" s="24"/>
      <c r="F740" s="70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64"/>
    </row>
    <row r="741" spans="1:24" ht="14.4" x14ac:dyDescent="0.55000000000000004">
      <c r="A741" s="24"/>
      <c r="B741" s="24"/>
      <c r="C741" s="24"/>
      <c r="D741" s="24"/>
      <c r="E741" s="24"/>
      <c r="F741" s="70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64"/>
    </row>
    <row r="742" spans="1:24" ht="14.4" x14ac:dyDescent="0.55000000000000004">
      <c r="A742" s="24"/>
      <c r="B742" s="24"/>
      <c r="C742" s="24"/>
      <c r="D742" s="24"/>
      <c r="E742" s="24"/>
      <c r="F742" s="70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64"/>
    </row>
    <row r="743" spans="1:24" ht="14.4" x14ac:dyDescent="0.55000000000000004">
      <c r="A743" s="24"/>
      <c r="B743" s="24"/>
      <c r="C743" s="24"/>
      <c r="D743" s="24"/>
      <c r="E743" s="24"/>
      <c r="F743" s="70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64"/>
    </row>
    <row r="744" spans="1:24" ht="14.4" x14ac:dyDescent="0.55000000000000004">
      <c r="A744" s="24"/>
      <c r="B744" s="24"/>
      <c r="C744" s="24"/>
      <c r="D744" s="24"/>
      <c r="E744" s="24"/>
      <c r="F744" s="70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64"/>
    </row>
    <row r="745" spans="1:24" ht="14.4" x14ac:dyDescent="0.55000000000000004">
      <c r="A745" s="24"/>
      <c r="B745" s="24"/>
      <c r="C745" s="24"/>
      <c r="D745" s="24"/>
      <c r="E745" s="24"/>
      <c r="F745" s="70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64"/>
    </row>
    <row r="746" spans="1:24" ht="14.4" x14ac:dyDescent="0.55000000000000004">
      <c r="A746" s="24"/>
      <c r="B746" s="24"/>
      <c r="C746" s="24"/>
      <c r="D746" s="24"/>
      <c r="E746" s="24"/>
      <c r="F746" s="70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64"/>
    </row>
    <row r="747" spans="1:24" ht="14.4" x14ac:dyDescent="0.55000000000000004">
      <c r="A747" s="24"/>
      <c r="B747" s="24"/>
      <c r="C747" s="24"/>
      <c r="D747" s="24"/>
      <c r="E747" s="24"/>
      <c r="F747" s="70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64"/>
    </row>
    <row r="748" spans="1:24" ht="14.4" x14ac:dyDescent="0.55000000000000004">
      <c r="A748" s="24"/>
      <c r="B748" s="24"/>
      <c r="C748" s="24"/>
      <c r="D748" s="24"/>
      <c r="E748" s="24"/>
      <c r="F748" s="70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64"/>
    </row>
    <row r="749" spans="1:24" ht="14.4" x14ac:dyDescent="0.55000000000000004">
      <c r="A749" s="24"/>
      <c r="B749" s="24"/>
      <c r="C749" s="24"/>
      <c r="D749" s="24"/>
      <c r="E749" s="24"/>
      <c r="F749" s="70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64"/>
    </row>
    <row r="750" spans="1:24" ht="14.4" x14ac:dyDescent="0.55000000000000004">
      <c r="A750" s="24"/>
      <c r="B750" s="24"/>
      <c r="C750" s="24"/>
      <c r="D750" s="24"/>
      <c r="E750" s="24"/>
      <c r="F750" s="70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64"/>
    </row>
    <row r="751" spans="1:24" ht="14.4" x14ac:dyDescent="0.55000000000000004">
      <c r="A751" s="24"/>
      <c r="B751" s="24"/>
      <c r="C751" s="24"/>
      <c r="D751" s="24"/>
      <c r="E751" s="24"/>
      <c r="F751" s="70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64"/>
    </row>
    <row r="752" spans="1:24" ht="14.4" x14ac:dyDescent="0.55000000000000004">
      <c r="A752" s="24"/>
      <c r="B752" s="24"/>
      <c r="C752" s="24"/>
      <c r="D752" s="24"/>
      <c r="E752" s="24"/>
      <c r="F752" s="70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64"/>
    </row>
    <row r="753" spans="1:24" ht="14.4" x14ac:dyDescent="0.55000000000000004">
      <c r="A753" s="24"/>
      <c r="B753" s="24"/>
      <c r="C753" s="24"/>
      <c r="D753" s="24"/>
      <c r="E753" s="24"/>
      <c r="F753" s="70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64"/>
    </row>
    <row r="754" spans="1:24" ht="14.4" x14ac:dyDescent="0.55000000000000004">
      <c r="A754" s="24"/>
      <c r="B754" s="24"/>
      <c r="C754" s="24"/>
      <c r="D754" s="24"/>
      <c r="E754" s="24"/>
      <c r="F754" s="70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64"/>
    </row>
    <row r="755" spans="1:24" ht="14.4" x14ac:dyDescent="0.55000000000000004">
      <c r="A755" s="24"/>
      <c r="B755" s="24"/>
      <c r="C755" s="24"/>
      <c r="D755" s="24"/>
      <c r="E755" s="24"/>
      <c r="F755" s="70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64"/>
    </row>
    <row r="756" spans="1:24" ht="14.4" x14ac:dyDescent="0.55000000000000004">
      <c r="A756" s="24"/>
      <c r="B756" s="24"/>
      <c r="C756" s="24"/>
      <c r="D756" s="24"/>
      <c r="E756" s="24"/>
      <c r="F756" s="70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64"/>
    </row>
    <row r="757" spans="1:24" ht="14.4" x14ac:dyDescent="0.55000000000000004">
      <c r="A757" s="24"/>
      <c r="B757" s="24"/>
      <c r="C757" s="24"/>
      <c r="D757" s="24"/>
      <c r="E757" s="24"/>
      <c r="F757" s="70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64"/>
    </row>
    <row r="758" spans="1:24" ht="14.4" x14ac:dyDescent="0.55000000000000004">
      <c r="A758" s="24"/>
      <c r="B758" s="24"/>
      <c r="C758" s="24"/>
      <c r="D758" s="24"/>
      <c r="E758" s="24"/>
      <c r="F758" s="70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64"/>
    </row>
    <row r="759" spans="1:24" ht="14.4" x14ac:dyDescent="0.55000000000000004">
      <c r="A759" s="24"/>
      <c r="B759" s="24"/>
      <c r="C759" s="24"/>
      <c r="D759" s="24"/>
      <c r="E759" s="24"/>
      <c r="F759" s="70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64"/>
    </row>
    <row r="760" spans="1:24" ht="14.4" x14ac:dyDescent="0.55000000000000004">
      <c r="A760" s="24"/>
      <c r="B760" s="24"/>
      <c r="C760" s="24"/>
      <c r="D760" s="24"/>
      <c r="E760" s="24"/>
      <c r="F760" s="70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64"/>
    </row>
    <row r="761" spans="1:24" ht="14.4" x14ac:dyDescent="0.55000000000000004">
      <c r="A761" s="24"/>
      <c r="B761" s="24"/>
      <c r="C761" s="24"/>
      <c r="D761" s="24"/>
      <c r="E761" s="24"/>
      <c r="F761" s="70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64"/>
    </row>
    <row r="762" spans="1:24" ht="14.4" x14ac:dyDescent="0.55000000000000004">
      <c r="A762" s="24"/>
      <c r="B762" s="24"/>
      <c r="C762" s="24"/>
      <c r="D762" s="24"/>
      <c r="E762" s="24"/>
      <c r="F762" s="70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64"/>
    </row>
    <row r="763" spans="1:24" ht="14.4" x14ac:dyDescent="0.55000000000000004">
      <c r="A763" s="24"/>
      <c r="B763" s="24"/>
      <c r="C763" s="24"/>
      <c r="D763" s="24"/>
      <c r="E763" s="24"/>
      <c r="F763" s="70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64"/>
    </row>
    <row r="764" spans="1:24" ht="14.4" x14ac:dyDescent="0.55000000000000004">
      <c r="A764" s="24"/>
      <c r="B764" s="24"/>
      <c r="C764" s="24"/>
      <c r="D764" s="24"/>
      <c r="E764" s="24"/>
      <c r="F764" s="70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64"/>
    </row>
    <row r="765" spans="1:24" ht="14.4" x14ac:dyDescent="0.55000000000000004">
      <c r="A765" s="24"/>
      <c r="B765" s="24"/>
      <c r="C765" s="24"/>
      <c r="D765" s="24"/>
      <c r="E765" s="24"/>
      <c r="F765" s="70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64"/>
    </row>
    <row r="766" spans="1:24" ht="14.4" x14ac:dyDescent="0.55000000000000004">
      <c r="A766" s="24"/>
      <c r="B766" s="24"/>
      <c r="C766" s="24"/>
      <c r="D766" s="24"/>
      <c r="E766" s="24"/>
      <c r="F766" s="70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64"/>
    </row>
    <row r="767" spans="1:24" ht="14.4" x14ac:dyDescent="0.55000000000000004">
      <c r="A767" s="24"/>
      <c r="B767" s="24"/>
      <c r="C767" s="24"/>
      <c r="D767" s="24"/>
      <c r="E767" s="24"/>
      <c r="F767" s="70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64"/>
    </row>
    <row r="768" spans="1:24" ht="14.4" x14ac:dyDescent="0.55000000000000004">
      <c r="A768" s="24"/>
      <c r="B768" s="24"/>
      <c r="C768" s="24"/>
      <c r="D768" s="24"/>
      <c r="E768" s="24"/>
      <c r="F768" s="70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64"/>
    </row>
    <row r="769" spans="1:24" ht="14.4" x14ac:dyDescent="0.55000000000000004">
      <c r="A769" s="24"/>
      <c r="B769" s="24"/>
      <c r="C769" s="24"/>
      <c r="D769" s="24"/>
      <c r="E769" s="24"/>
      <c r="F769" s="70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64"/>
    </row>
    <row r="770" spans="1:24" ht="14.4" x14ac:dyDescent="0.55000000000000004">
      <c r="A770" s="24"/>
      <c r="B770" s="24"/>
      <c r="C770" s="24"/>
      <c r="D770" s="24"/>
      <c r="E770" s="24"/>
      <c r="F770" s="70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64"/>
    </row>
    <row r="771" spans="1:24" ht="14.4" x14ac:dyDescent="0.55000000000000004">
      <c r="A771" s="24"/>
      <c r="B771" s="24"/>
      <c r="C771" s="24"/>
      <c r="D771" s="24"/>
      <c r="E771" s="24"/>
      <c r="F771" s="70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64"/>
    </row>
    <row r="772" spans="1:24" ht="14.4" x14ac:dyDescent="0.55000000000000004">
      <c r="A772" s="24"/>
      <c r="B772" s="24"/>
      <c r="C772" s="24"/>
      <c r="D772" s="24"/>
      <c r="E772" s="24"/>
      <c r="F772" s="70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64"/>
    </row>
    <row r="773" spans="1:24" ht="14.4" x14ac:dyDescent="0.55000000000000004">
      <c r="A773" s="24"/>
      <c r="B773" s="24"/>
      <c r="C773" s="24"/>
      <c r="D773" s="24"/>
      <c r="E773" s="24"/>
      <c r="F773" s="70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64"/>
    </row>
    <row r="774" spans="1:24" ht="14.4" x14ac:dyDescent="0.55000000000000004">
      <c r="A774" s="24"/>
      <c r="B774" s="24"/>
      <c r="C774" s="24"/>
      <c r="D774" s="24"/>
      <c r="E774" s="24"/>
      <c r="F774" s="70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64"/>
    </row>
    <row r="775" spans="1:24" ht="14.4" x14ac:dyDescent="0.55000000000000004">
      <c r="A775" s="24"/>
      <c r="B775" s="24"/>
      <c r="C775" s="24"/>
      <c r="D775" s="24"/>
      <c r="E775" s="24"/>
      <c r="F775" s="70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64"/>
    </row>
    <row r="776" spans="1:24" ht="14.4" x14ac:dyDescent="0.55000000000000004">
      <c r="A776" s="24"/>
      <c r="B776" s="24"/>
      <c r="C776" s="24"/>
      <c r="D776" s="24"/>
      <c r="E776" s="24"/>
      <c r="F776" s="70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64"/>
    </row>
    <row r="777" spans="1:24" ht="14.4" x14ac:dyDescent="0.55000000000000004">
      <c r="A777" s="24"/>
      <c r="B777" s="24"/>
      <c r="C777" s="24"/>
      <c r="D777" s="24"/>
      <c r="E777" s="24"/>
      <c r="F777" s="70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64"/>
    </row>
    <row r="778" spans="1:24" ht="14.4" x14ac:dyDescent="0.55000000000000004">
      <c r="A778" s="24"/>
      <c r="B778" s="24"/>
      <c r="C778" s="24"/>
      <c r="D778" s="24"/>
      <c r="E778" s="24"/>
      <c r="F778" s="70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64"/>
    </row>
    <row r="779" spans="1:24" ht="14.4" x14ac:dyDescent="0.55000000000000004">
      <c r="A779" s="24"/>
      <c r="B779" s="24"/>
      <c r="C779" s="24"/>
      <c r="D779" s="24"/>
      <c r="E779" s="24"/>
      <c r="F779" s="70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64"/>
    </row>
    <row r="780" spans="1:24" ht="14.4" x14ac:dyDescent="0.55000000000000004">
      <c r="A780" s="24"/>
      <c r="B780" s="24"/>
      <c r="C780" s="24"/>
      <c r="D780" s="24"/>
      <c r="E780" s="24"/>
      <c r="F780" s="70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64"/>
    </row>
    <row r="781" spans="1:24" ht="14.4" x14ac:dyDescent="0.55000000000000004">
      <c r="A781" s="24"/>
      <c r="B781" s="24"/>
      <c r="C781" s="24"/>
      <c r="D781" s="24"/>
      <c r="E781" s="24"/>
      <c r="F781" s="70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64"/>
    </row>
    <row r="782" spans="1:24" ht="14.4" x14ac:dyDescent="0.55000000000000004">
      <c r="A782" s="24"/>
      <c r="B782" s="24"/>
      <c r="C782" s="24"/>
      <c r="D782" s="24"/>
      <c r="E782" s="24"/>
      <c r="F782" s="70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64"/>
    </row>
    <row r="783" spans="1:24" ht="14.4" x14ac:dyDescent="0.55000000000000004">
      <c r="A783" s="24"/>
      <c r="B783" s="24"/>
      <c r="C783" s="24"/>
      <c r="D783" s="24"/>
      <c r="E783" s="24"/>
      <c r="F783" s="70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64"/>
    </row>
    <row r="784" spans="1:24" ht="14.4" x14ac:dyDescent="0.55000000000000004">
      <c r="A784" s="24"/>
      <c r="B784" s="24"/>
      <c r="C784" s="24"/>
      <c r="D784" s="24"/>
      <c r="E784" s="24"/>
      <c r="F784" s="70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64"/>
    </row>
    <row r="785" spans="1:24" ht="14.4" x14ac:dyDescent="0.55000000000000004">
      <c r="A785" s="24"/>
      <c r="B785" s="24"/>
      <c r="C785" s="24"/>
      <c r="D785" s="24"/>
      <c r="E785" s="24"/>
      <c r="F785" s="70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64"/>
    </row>
    <row r="786" spans="1:24" ht="14.4" x14ac:dyDescent="0.55000000000000004">
      <c r="A786" s="24"/>
      <c r="B786" s="24"/>
      <c r="C786" s="24"/>
      <c r="D786" s="24"/>
      <c r="E786" s="24"/>
      <c r="F786" s="70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64"/>
    </row>
    <row r="787" spans="1:24" ht="14.4" x14ac:dyDescent="0.55000000000000004">
      <c r="A787" s="24"/>
      <c r="B787" s="24"/>
      <c r="C787" s="24"/>
      <c r="D787" s="24"/>
      <c r="E787" s="24"/>
      <c r="F787" s="70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64"/>
    </row>
    <row r="788" spans="1:24" ht="14.4" x14ac:dyDescent="0.55000000000000004">
      <c r="A788" s="24"/>
      <c r="B788" s="24"/>
      <c r="C788" s="24"/>
      <c r="D788" s="24"/>
      <c r="E788" s="24"/>
      <c r="F788" s="70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64"/>
    </row>
    <row r="789" spans="1:24" ht="14.4" x14ac:dyDescent="0.55000000000000004">
      <c r="A789" s="24"/>
      <c r="B789" s="24"/>
      <c r="C789" s="24"/>
      <c r="D789" s="24"/>
      <c r="E789" s="24"/>
      <c r="F789" s="70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64"/>
    </row>
    <row r="790" spans="1:24" ht="14.4" x14ac:dyDescent="0.55000000000000004">
      <c r="A790" s="24"/>
      <c r="B790" s="24"/>
      <c r="C790" s="24"/>
      <c r="D790" s="24"/>
      <c r="E790" s="24"/>
      <c r="F790" s="70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64"/>
    </row>
    <row r="791" spans="1:24" ht="14.4" x14ac:dyDescent="0.55000000000000004">
      <c r="A791" s="24"/>
      <c r="B791" s="24"/>
      <c r="C791" s="24"/>
      <c r="D791" s="24"/>
      <c r="E791" s="24"/>
      <c r="F791" s="70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64"/>
    </row>
    <row r="792" spans="1:24" ht="14.4" x14ac:dyDescent="0.55000000000000004">
      <c r="A792" s="24"/>
      <c r="B792" s="24"/>
      <c r="C792" s="24"/>
      <c r="D792" s="24"/>
      <c r="E792" s="24"/>
      <c r="F792" s="70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64"/>
    </row>
    <row r="793" spans="1:24" ht="14.4" x14ac:dyDescent="0.55000000000000004">
      <c r="A793" s="24"/>
      <c r="B793" s="24"/>
      <c r="C793" s="24"/>
      <c r="D793" s="24"/>
      <c r="E793" s="24"/>
      <c r="F793" s="70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64"/>
    </row>
    <row r="794" spans="1:24" ht="14.4" x14ac:dyDescent="0.55000000000000004">
      <c r="A794" s="24"/>
      <c r="B794" s="24"/>
      <c r="C794" s="24"/>
      <c r="D794" s="24"/>
      <c r="E794" s="24"/>
      <c r="F794" s="70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64"/>
    </row>
    <row r="795" spans="1:24" ht="14.4" x14ac:dyDescent="0.55000000000000004">
      <c r="A795" s="24"/>
      <c r="B795" s="24"/>
      <c r="C795" s="24"/>
      <c r="D795" s="24"/>
      <c r="E795" s="24"/>
      <c r="F795" s="70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64"/>
    </row>
    <row r="796" spans="1:24" ht="14.4" x14ac:dyDescent="0.55000000000000004">
      <c r="A796" s="24"/>
      <c r="B796" s="24"/>
      <c r="C796" s="24"/>
      <c r="D796" s="24"/>
      <c r="E796" s="24"/>
      <c r="F796" s="70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64"/>
    </row>
    <row r="797" spans="1:24" ht="14.4" x14ac:dyDescent="0.55000000000000004">
      <c r="A797" s="24"/>
      <c r="B797" s="24"/>
      <c r="C797" s="24"/>
      <c r="D797" s="24"/>
      <c r="E797" s="24"/>
      <c r="F797" s="70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64"/>
    </row>
    <row r="798" spans="1:24" ht="14.4" x14ac:dyDescent="0.55000000000000004">
      <c r="A798" s="24"/>
      <c r="B798" s="24"/>
      <c r="C798" s="24"/>
      <c r="D798" s="24"/>
      <c r="E798" s="24"/>
      <c r="F798" s="70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64"/>
    </row>
    <row r="799" spans="1:24" ht="14.4" x14ac:dyDescent="0.55000000000000004">
      <c r="A799" s="24"/>
      <c r="B799" s="24"/>
      <c r="C799" s="24"/>
      <c r="D799" s="24"/>
      <c r="E799" s="24"/>
      <c r="F799" s="70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64"/>
    </row>
    <row r="800" spans="1:24" ht="14.4" x14ac:dyDescent="0.55000000000000004">
      <c r="A800" s="24"/>
      <c r="B800" s="24"/>
      <c r="C800" s="24"/>
      <c r="D800" s="24"/>
      <c r="E800" s="24"/>
      <c r="F800" s="70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64"/>
    </row>
    <row r="801" spans="1:24" ht="14.4" x14ac:dyDescent="0.55000000000000004">
      <c r="A801" s="24"/>
      <c r="B801" s="24"/>
      <c r="C801" s="24"/>
      <c r="D801" s="24"/>
      <c r="E801" s="24"/>
      <c r="F801" s="70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64"/>
    </row>
    <row r="802" spans="1:24" ht="14.4" x14ac:dyDescent="0.55000000000000004">
      <c r="A802" s="24"/>
      <c r="B802" s="24"/>
      <c r="C802" s="24"/>
      <c r="D802" s="24"/>
      <c r="E802" s="24"/>
      <c r="F802" s="70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64"/>
    </row>
    <row r="803" spans="1:24" ht="14.4" x14ac:dyDescent="0.55000000000000004">
      <c r="A803" s="24"/>
      <c r="B803" s="24"/>
      <c r="C803" s="24"/>
      <c r="D803" s="24"/>
      <c r="E803" s="24"/>
      <c r="F803" s="70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64"/>
    </row>
    <row r="804" spans="1:24" ht="14.4" x14ac:dyDescent="0.55000000000000004">
      <c r="A804" s="24"/>
      <c r="B804" s="24"/>
      <c r="C804" s="24"/>
      <c r="D804" s="24"/>
      <c r="E804" s="24"/>
      <c r="F804" s="70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64"/>
    </row>
    <row r="805" spans="1:24" ht="14.4" x14ac:dyDescent="0.55000000000000004">
      <c r="A805" s="24"/>
      <c r="B805" s="24"/>
      <c r="C805" s="24"/>
      <c r="D805" s="24"/>
      <c r="E805" s="24"/>
      <c r="F805" s="70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64"/>
    </row>
    <row r="806" spans="1:24" ht="14.4" x14ac:dyDescent="0.55000000000000004">
      <c r="A806" s="24"/>
      <c r="B806" s="24"/>
      <c r="C806" s="24"/>
      <c r="D806" s="24"/>
      <c r="E806" s="24"/>
      <c r="F806" s="70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64"/>
    </row>
    <row r="807" spans="1:24" ht="14.4" x14ac:dyDescent="0.55000000000000004">
      <c r="A807" s="24"/>
      <c r="B807" s="24"/>
      <c r="C807" s="24"/>
      <c r="D807" s="24"/>
      <c r="E807" s="24"/>
      <c r="F807" s="70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64"/>
    </row>
    <row r="808" spans="1:24" ht="14.4" x14ac:dyDescent="0.55000000000000004">
      <c r="A808" s="24"/>
      <c r="B808" s="24"/>
      <c r="C808" s="24"/>
      <c r="D808" s="24"/>
      <c r="E808" s="24"/>
      <c r="F808" s="70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64"/>
    </row>
    <row r="809" spans="1:24" ht="14.4" x14ac:dyDescent="0.55000000000000004">
      <c r="A809" s="24"/>
      <c r="B809" s="24"/>
      <c r="C809" s="24"/>
      <c r="D809" s="24"/>
      <c r="E809" s="24"/>
      <c r="F809" s="70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64"/>
    </row>
    <row r="810" spans="1:24" ht="14.4" x14ac:dyDescent="0.55000000000000004">
      <c r="A810" s="24"/>
      <c r="B810" s="24"/>
      <c r="C810" s="24"/>
      <c r="D810" s="24"/>
      <c r="E810" s="24"/>
      <c r="F810" s="70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64"/>
    </row>
    <row r="811" spans="1:24" ht="14.4" x14ac:dyDescent="0.55000000000000004">
      <c r="A811" s="24"/>
      <c r="B811" s="24"/>
      <c r="C811" s="24"/>
      <c r="D811" s="24"/>
      <c r="E811" s="24"/>
      <c r="F811" s="70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64"/>
    </row>
    <row r="812" spans="1:24" ht="14.4" x14ac:dyDescent="0.55000000000000004">
      <c r="A812" s="24"/>
      <c r="B812" s="24"/>
      <c r="C812" s="24"/>
      <c r="D812" s="24"/>
      <c r="E812" s="24"/>
      <c r="F812" s="70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64"/>
    </row>
    <row r="813" spans="1:24" ht="14.4" x14ac:dyDescent="0.55000000000000004">
      <c r="A813" s="24"/>
      <c r="B813" s="24"/>
      <c r="C813" s="24"/>
      <c r="D813" s="24"/>
      <c r="E813" s="24"/>
      <c r="F813" s="70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64"/>
    </row>
    <row r="814" spans="1:24" ht="14.4" x14ac:dyDescent="0.55000000000000004">
      <c r="A814" s="24"/>
      <c r="B814" s="24"/>
      <c r="C814" s="24"/>
      <c r="D814" s="24"/>
      <c r="E814" s="24"/>
      <c r="F814" s="70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64"/>
    </row>
    <row r="815" spans="1:24" ht="14.4" x14ac:dyDescent="0.55000000000000004">
      <c r="A815" s="24"/>
      <c r="B815" s="24"/>
      <c r="C815" s="24"/>
      <c r="D815" s="24"/>
      <c r="E815" s="24"/>
      <c r="F815" s="70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64"/>
    </row>
    <row r="816" spans="1:24" ht="14.4" x14ac:dyDescent="0.55000000000000004">
      <c r="A816" s="24"/>
      <c r="B816" s="24"/>
      <c r="C816" s="24"/>
      <c r="D816" s="24"/>
      <c r="E816" s="24"/>
      <c r="F816" s="70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64"/>
    </row>
    <row r="817" spans="1:24" ht="14.4" x14ac:dyDescent="0.55000000000000004">
      <c r="A817" s="24"/>
      <c r="B817" s="24"/>
      <c r="C817" s="24"/>
      <c r="D817" s="24"/>
      <c r="E817" s="24"/>
      <c r="F817" s="70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64"/>
    </row>
    <row r="818" spans="1:24" ht="14.4" x14ac:dyDescent="0.55000000000000004">
      <c r="A818" s="24"/>
      <c r="B818" s="24"/>
      <c r="C818" s="24"/>
      <c r="D818" s="24"/>
      <c r="E818" s="24"/>
      <c r="F818" s="70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64"/>
    </row>
    <row r="819" spans="1:24" ht="14.4" x14ac:dyDescent="0.55000000000000004">
      <c r="A819" s="24"/>
      <c r="B819" s="24"/>
      <c r="C819" s="24"/>
      <c r="D819" s="24"/>
      <c r="E819" s="24"/>
      <c r="F819" s="70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64"/>
    </row>
    <row r="820" spans="1:24" ht="14.4" x14ac:dyDescent="0.55000000000000004">
      <c r="A820" s="24"/>
      <c r="B820" s="24"/>
      <c r="C820" s="24"/>
      <c r="D820" s="24"/>
      <c r="E820" s="24"/>
      <c r="F820" s="70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64"/>
    </row>
    <row r="821" spans="1:24" ht="14.4" x14ac:dyDescent="0.55000000000000004">
      <c r="A821" s="24"/>
      <c r="B821" s="24"/>
      <c r="C821" s="24"/>
      <c r="D821" s="24"/>
      <c r="E821" s="24"/>
      <c r="F821" s="70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64"/>
    </row>
    <row r="822" spans="1:24" ht="14.4" x14ac:dyDescent="0.55000000000000004">
      <c r="A822" s="24"/>
      <c r="B822" s="24"/>
      <c r="C822" s="24"/>
      <c r="D822" s="24"/>
      <c r="E822" s="24"/>
      <c r="F822" s="70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64"/>
    </row>
    <row r="823" spans="1:24" ht="14.4" x14ac:dyDescent="0.55000000000000004">
      <c r="A823" s="24"/>
      <c r="B823" s="24"/>
      <c r="C823" s="24"/>
      <c r="D823" s="24"/>
      <c r="E823" s="24"/>
      <c r="F823" s="70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64"/>
    </row>
    <row r="824" spans="1:24" ht="14.4" x14ac:dyDescent="0.55000000000000004">
      <c r="A824" s="24"/>
      <c r="B824" s="24"/>
      <c r="C824" s="24"/>
      <c r="D824" s="24"/>
      <c r="E824" s="24"/>
      <c r="F824" s="70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64"/>
    </row>
    <row r="825" spans="1:24" ht="14.4" x14ac:dyDescent="0.55000000000000004">
      <c r="A825" s="24"/>
      <c r="B825" s="24"/>
      <c r="C825" s="24"/>
      <c r="D825" s="24"/>
      <c r="E825" s="24"/>
      <c r="F825" s="70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64"/>
    </row>
    <row r="826" spans="1:24" ht="14.4" x14ac:dyDescent="0.55000000000000004">
      <c r="A826" s="24"/>
      <c r="B826" s="24"/>
      <c r="C826" s="24"/>
      <c r="D826" s="24"/>
      <c r="E826" s="24"/>
      <c r="F826" s="70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64"/>
    </row>
    <row r="827" spans="1:24" ht="14.4" x14ac:dyDescent="0.55000000000000004">
      <c r="A827" s="24"/>
      <c r="B827" s="24"/>
      <c r="C827" s="24"/>
      <c r="D827" s="24"/>
      <c r="E827" s="24"/>
      <c r="F827" s="70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64"/>
    </row>
    <row r="828" spans="1:24" ht="14.4" x14ac:dyDescent="0.55000000000000004">
      <c r="A828" s="24"/>
      <c r="B828" s="24"/>
      <c r="C828" s="24"/>
      <c r="D828" s="24"/>
      <c r="E828" s="24"/>
      <c r="F828" s="70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64"/>
    </row>
    <row r="829" spans="1:24" ht="14.4" x14ac:dyDescent="0.55000000000000004">
      <c r="A829" s="24"/>
      <c r="B829" s="24"/>
      <c r="C829" s="24"/>
      <c r="D829" s="24"/>
      <c r="E829" s="24"/>
      <c r="F829" s="70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64"/>
    </row>
    <row r="830" spans="1:24" ht="14.4" x14ac:dyDescent="0.55000000000000004">
      <c r="A830" s="24"/>
      <c r="B830" s="24"/>
      <c r="C830" s="24"/>
      <c r="D830" s="24"/>
      <c r="E830" s="24"/>
      <c r="F830" s="70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64"/>
    </row>
    <row r="831" spans="1:24" ht="14.4" x14ac:dyDescent="0.55000000000000004">
      <c r="A831" s="24"/>
      <c r="B831" s="24"/>
      <c r="C831" s="24"/>
      <c r="D831" s="24"/>
      <c r="E831" s="24"/>
      <c r="F831" s="70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64"/>
    </row>
    <row r="832" spans="1:24" ht="14.4" x14ac:dyDescent="0.55000000000000004">
      <c r="A832" s="24"/>
      <c r="B832" s="24"/>
      <c r="C832" s="24"/>
      <c r="D832" s="24"/>
      <c r="E832" s="24"/>
      <c r="F832" s="70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64"/>
    </row>
    <row r="833" spans="1:24" ht="14.4" x14ac:dyDescent="0.55000000000000004">
      <c r="A833" s="24"/>
      <c r="B833" s="24"/>
      <c r="C833" s="24"/>
      <c r="D833" s="24"/>
      <c r="E833" s="24"/>
      <c r="F833" s="70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64"/>
    </row>
    <row r="834" spans="1:24" ht="14.4" x14ac:dyDescent="0.55000000000000004">
      <c r="A834" s="24"/>
      <c r="B834" s="24"/>
      <c r="C834" s="24"/>
      <c r="D834" s="24"/>
      <c r="E834" s="24"/>
      <c r="F834" s="70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64"/>
    </row>
    <row r="835" spans="1:24" ht="14.4" x14ac:dyDescent="0.55000000000000004">
      <c r="A835" s="24"/>
      <c r="B835" s="24"/>
      <c r="C835" s="24"/>
      <c r="D835" s="24"/>
      <c r="E835" s="24"/>
      <c r="F835" s="70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64"/>
    </row>
    <row r="836" spans="1:24" ht="14.4" x14ac:dyDescent="0.55000000000000004">
      <c r="A836" s="24"/>
      <c r="B836" s="24"/>
      <c r="C836" s="24"/>
      <c r="D836" s="24"/>
      <c r="E836" s="24"/>
      <c r="F836" s="70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64"/>
    </row>
    <row r="837" spans="1:24" ht="14.4" x14ac:dyDescent="0.55000000000000004">
      <c r="A837" s="24"/>
      <c r="B837" s="24"/>
      <c r="C837" s="24"/>
      <c r="D837" s="24"/>
      <c r="E837" s="24"/>
      <c r="F837" s="70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64"/>
    </row>
    <row r="838" spans="1:24" ht="14.4" x14ac:dyDescent="0.55000000000000004">
      <c r="A838" s="24"/>
      <c r="B838" s="24"/>
      <c r="C838" s="24"/>
      <c r="D838" s="24"/>
      <c r="E838" s="24"/>
      <c r="F838" s="70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64"/>
    </row>
    <row r="839" spans="1:24" ht="14.4" x14ac:dyDescent="0.55000000000000004">
      <c r="A839" s="24"/>
      <c r="B839" s="24"/>
      <c r="C839" s="24"/>
      <c r="D839" s="24"/>
      <c r="E839" s="24"/>
      <c r="F839" s="70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64"/>
    </row>
    <row r="840" spans="1:24" ht="14.4" x14ac:dyDescent="0.55000000000000004">
      <c r="A840" s="24"/>
      <c r="B840" s="24"/>
      <c r="C840" s="24"/>
      <c r="D840" s="24"/>
      <c r="E840" s="24"/>
      <c r="F840" s="70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64"/>
    </row>
    <row r="841" spans="1:24" ht="14.4" x14ac:dyDescent="0.55000000000000004">
      <c r="A841" s="24"/>
      <c r="B841" s="24"/>
      <c r="C841" s="24"/>
      <c r="D841" s="24"/>
      <c r="E841" s="24"/>
      <c r="F841" s="70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64"/>
    </row>
    <row r="842" spans="1:24" ht="14.4" x14ac:dyDescent="0.55000000000000004">
      <c r="A842" s="24"/>
      <c r="B842" s="24"/>
      <c r="C842" s="24"/>
      <c r="D842" s="24"/>
      <c r="E842" s="24"/>
      <c r="F842" s="70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64"/>
    </row>
    <row r="843" spans="1:24" ht="14.4" x14ac:dyDescent="0.55000000000000004">
      <c r="A843" s="24"/>
      <c r="B843" s="24"/>
      <c r="C843" s="24"/>
      <c r="D843" s="24"/>
      <c r="E843" s="24"/>
      <c r="F843" s="70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64"/>
    </row>
    <row r="844" spans="1:24" ht="14.4" x14ac:dyDescent="0.55000000000000004">
      <c r="A844" s="24"/>
      <c r="B844" s="24"/>
      <c r="C844" s="24"/>
      <c r="D844" s="24"/>
      <c r="E844" s="24"/>
      <c r="F844" s="70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64"/>
    </row>
    <row r="845" spans="1:24" ht="14.4" x14ac:dyDescent="0.55000000000000004">
      <c r="A845" s="24"/>
      <c r="B845" s="24"/>
      <c r="C845" s="24"/>
      <c r="D845" s="24"/>
      <c r="E845" s="24"/>
      <c r="F845" s="70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64"/>
    </row>
    <row r="846" spans="1:24" ht="14.4" x14ac:dyDescent="0.55000000000000004">
      <c r="A846" s="24"/>
      <c r="B846" s="24"/>
      <c r="C846" s="24"/>
      <c r="D846" s="24"/>
      <c r="E846" s="24"/>
      <c r="F846" s="70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64"/>
    </row>
    <row r="847" spans="1:24" ht="14.4" x14ac:dyDescent="0.55000000000000004">
      <c r="A847" s="24"/>
      <c r="B847" s="24"/>
      <c r="C847" s="24"/>
      <c r="D847" s="24"/>
      <c r="E847" s="24"/>
      <c r="F847" s="70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64"/>
    </row>
    <row r="848" spans="1:24" ht="14.4" x14ac:dyDescent="0.55000000000000004">
      <c r="A848" s="24"/>
      <c r="B848" s="24"/>
      <c r="C848" s="24"/>
      <c r="D848" s="24"/>
      <c r="E848" s="24"/>
      <c r="F848" s="70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64"/>
    </row>
    <row r="849" spans="1:24" ht="14.4" x14ac:dyDescent="0.55000000000000004">
      <c r="A849" s="24"/>
      <c r="B849" s="24"/>
      <c r="C849" s="24"/>
      <c r="D849" s="24"/>
      <c r="E849" s="24"/>
      <c r="F849" s="70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64"/>
    </row>
    <row r="850" spans="1:24" ht="14.4" x14ac:dyDescent="0.55000000000000004">
      <c r="A850" s="24"/>
      <c r="B850" s="24"/>
      <c r="C850" s="24"/>
      <c r="D850" s="24"/>
      <c r="E850" s="24"/>
      <c r="F850" s="70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64"/>
    </row>
    <row r="851" spans="1:24" ht="14.4" x14ac:dyDescent="0.55000000000000004">
      <c r="A851" s="24"/>
      <c r="B851" s="24"/>
      <c r="C851" s="24"/>
      <c r="D851" s="24"/>
      <c r="E851" s="24"/>
      <c r="F851" s="70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64"/>
    </row>
    <row r="852" spans="1:24" ht="14.4" x14ac:dyDescent="0.55000000000000004">
      <c r="A852" s="24"/>
      <c r="B852" s="24"/>
      <c r="C852" s="24"/>
      <c r="D852" s="24"/>
      <c r="E852" s="24"/>
      <c r="F852" s="70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64"/>
    </row>
    <row r="853" spans="1:24" ht="14.4" x14ac:dyDescent="0.55000000000000004">
      <c r="A853" s="24"/>
      <c r="B853" s="24"/>
      <c r="C853" s="24"/>
      <c r="D853" s="24"/>
      <c r="E853" s="24"/>
      <c r="F853" s="70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64"/>
    </row>
    <row r="854" spans="1:24" ht="14.4" x14ac:dyDescent="0.55000000000000004">
      <c r="A854" s="24"/>
      <c r="B854" s="24"/>
      <c r="C854" s="24"/>
      <c r="D854" s="24"/>
      <c r="E854" s="24"/>
      <c r="F854" s="70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64"/>
    </row>
    <row r="855" spans="1:24" ht="14.4" x14ac:dyDescent="0.55000000000000004">
      <c r="A855" s="24"/>
      <c r="B855" s="24"/>
      <c r="C855" s="24"/>
      <c r="D855" s="24"/>
      <c r="E855" s="24"/>
      <c r="F855" s="70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64"/>
    </row>
    <row r="856" spans="1:24" ht="14.4" x14ac:dyDescent="0.55000000000000004">
      <c r="A856" s="24"/>
      <c r="B856" s="24"/>
      <c r="C856" s="24"/>
      <c r="D856" s="24"/>
      <c r="E856" s="24"/>
      <c r="F856" s="70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64"/>
    </row>
    <row r="857" spans="1:24" ht="14.4" x14ac:dyDescent="0.55000000000000004">
      <c r="A857" s="24"/>
      <c r="B857" s="24"/>
      <c r="C857" s="24"/>
      <c r="D857" s="24"/>
      <c r="E857" s="24"/>
      <c r="F857" s="70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64"/>
    </row>
    <row r="858" spans="1:24" ht="14.4" x14ac:dyDescent="0.55000000000000004">
      <c r="A858" s="24"/>
      <c r="B858" s="24"/>
      <c r="C858" s="24"/>
      <c r="D858" s="24"/>
      <c r="E858" s="24"/>
      <c r="F858" s="70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64"/>
    </row>
    <row r="859" spans="1:24" ht="14.4" x14ac:dyDescent="0.55000000000000004">
      <c r="A859" s="24"/>
      <c r="B859" s="24"/>
      <c r="C859" s="24"/>
      <c r="D859" s="24"/>
      <c r="E859" s="24"/>
      <c r="F859" s="70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64"/>
    </row>
    <row r="860" spans="1:24" ht="14.4" x14ac:dyDescent="0.55000000000000004">
      <c r="A860" s="24"/>
      <c r="B860" s="24"/>
      <c r="C860" s="24"/>
      <c r="D860" s="24"/>
      <c r="E860" s="24"/>
      <c r="F860" s="70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64"/>
    </row>
    <row r="861" spans="1:24" ht="14.4" x14ac:dyDescent="0.55000000000000004">
      <c r="A861" s="24"/>
      <c r="B861" s="24"/>
      <c r="C861" s="24"/>
      <c r="D861" s="24"/>
      <c r="E861" s="24"/>
      <c r="F861" s="70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64"/>
    </row>
    <row r="862" spans="1:24" ht="14.4" x14ac:dyDescent="0.55000000000000004">
      <c r="A862" s="24"/>
      <c r="B862" s="24"/>
      <c r="C862" s="24"/>
      <c r="D862" s="24"/>
      <c r="E862" s="24"/>
      <c r="F862" s="70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64"/>
    </row>
    <row r="863" spans="1:24" ht="14.4" x14ac:dyDescent="0.55000000000000004">
      <c r="A863" s="24"/>
      <c r="B863" s="24"/>
      <c r="C863" s="24"/>
      <c r="D863" s="24"/>
      <c r="E863" s="24"/>
      <c r="F863" s="70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64"/>
    </row>
    <row r="864" spans="1:24" ht="14.4" x14ac:dyDescent="0.55000000000000004">
      <c r="A864" s="24"/>
      <c r="B864" s="24"/>
      <c r="C864" s="24"/>
      <c r="D864" s="24"/>
      <c r="E864" s="24"/>
      <c r="F864" s="70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64"/>
    </row>
    <row r="865" spans="1:24" ht="14.4" x14ac:dyDescent="0.55000000000000004">
      <c r="A865" s="24"/>
      <c r="B865" s="24"/>
      <c r="C865" s="24"/>
      <c r="D865" s="24"/>
      <c r="E865" s="24"/>
      <c r="F865" s="70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64"/>
    </row>
    <row r="866" spans="1:24" ht="14.4" x14ac:dyDescent="0.55000000000000004">
      <c r="A866" s="24"/>
      <c r="B866" s="24"/>
      <c r="C866" s="24"/>
      <c r="D866" s="24"/>
      <c r="E866" s="24"/>
      <c r="F866" s="70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64"/>
    </row>
    <row r="867" spans="1:24" ht="14.4" x14ac:dyDescent="0.55000000000000004">
      <c r="A867" s="24"/>
      <c r="B867" s="24"/>
      <c r="C867" s="24"/>
      <c r="D867" s="24"/>
      <c r="E867" s="24"/>
      <c r="F867" s="70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64"/>
    </row>
    <row r="868" spans="1:24" ht="14.4" x14ac:dyDescent="0.55000000000000004">
      <c r="A868" s="24"/>
      <c r="B868" s="24"/>
      <c r="C868" s="24"/>
      <c r="D868" s="24"/>
      <c r="E868" s="24"/>
      <c r="F868" s="70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64"/>
    </row>
    <row r="869" spans="1:24" ht="14.4" x14ac:dyDescent="0.55000000000000004">
      <c r="A869" s="24"/>
      <c r="B869" s="24"/>
      <c r="C869" s="24"/>
      <c r="D869" s="24"/>
      <c r="E869" s="24"/>
      <c r="F869" s="70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64"/>
    </row>
    <row r="870" spans="1:24" ht="14.4" x14ac:dyDescent="0.55000000000000004">
      <c r="A870" s="24"/>
      <c r="B870" s="24"/>
      <c r="C870" s="24"/>
      <c r="D870" s="24"/>
      <c r="E870" s="24"/>
      <c r="F870" s="70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64"/>
    </row>
    <row r="871" spans="1:24" ht="14.4" x14ac:dyDescent="0.55000000000000004">
      <c r="A871" s="24"/>
      <c r="B871" s="24"/>
      <c r="C871" s="24"/>
      <c r="D871" s="24"/>
      <c r="E871" s="24"/>
      <c r="F871" s="70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64"/>
    </row>
    <row r="872" spans="1:24" ht="14.4" x14ac:dyDescent="0.55000000000000004">
      <c r="A872" s="24"/>
      <c r="B872" s="24"/>
      <c r="C872" s="24"/>
      <c r="D872" s="24"/>
      <c r="E872" s="24"/>
      <c r="F872" s="70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64"/>
    </row>
    <row r="873" spans="1:24" ht="14.4" x14ac:dyDescent="0.55000000000000004">
      <c r="A873" s="24"/>
      <c r="B873" s="24"/>
      <c r="C873" s="24"/>
      <c r="D873" s="24"/>
      <c r="E873" s="24"/>
      <c r="F873" s="70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64"/>
    </row>
    <row r="874" spans="1:24" ht="14.4" x14ac:dyDescent="0.55000000000000004">
      <c r="A874" s="24"/>
      <c r="B874" s="24"/>
      <c r="C874" s="24"/>
      <c r="D874" s="24"/>
      <c r="E874" s="24"/>
      <c r="F874" s="70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64"/>
    </row>
    <row r="875" spans="1:24" ht="14.4" x14ac:dyDescent="0.55000000000000004">
      <c r="A875" s="24"/>
      <c r="B875" s="24"/>
      <c r="C875" s="24"/>
      <c r="D875" s="24"/>
      <c r="E875" s="24"/>
      <c r="F875" s="70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64"/>
    </row>
    <row r="876" spans="1:24" ht="14.4" x14ac:dyDescent="0.55000000000000004">
      <c r="A876" s="24"/>
      <c r="B876" s="24"/>
      <c r="C876" s="24"/>
      <c r="D876" s="24"/>
      <c r="E876" s="24"/>
      <c r="F876" s="70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64"/>
    </row>
    <row r="877" spans="1:24" ht="14.4" x14ac:dyDescent="0.55000000000000004">
      <c r="A877" s="24"/>
      <c r="B877" s="24"/>
      <c r="C877" s="24"/>
      <c r="D877" s="24"/>
      <c r="E877" s="24"/>
      <c r="F877" s="70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64"/>
    </row>
    <row r="878" spans="1:24" ht="14.4" x14ac:dyDescent="0.55000000000000004">
      <c r="A878" s="24"/>
      <c r="B878" s="24"/>
      <c r="C878" s="24"/>
      <c r="D878" s="24"/>
      <c r="E878" s="24"/>
      <c r="F878" s="70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64"/>
    </row>
    <row r="879" spans="1:24" ht="14.4" x14ac:dyDescent="0.55000000000000004">
      <c r="A879" s="24"/>
      <c r="B879" s="24"/>
      <c r="C879" s="24"/>
      <c r="D879" s="24"/>
      <c r="E879" s="24"/>
      <c r="F879" s="70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64"/>
    </row>
    <row r="880" spans="1:24" ht="14.4" x14ac:dyDescent="0.55000000000000004">
      <c r="A880" s="24"/>
      <c r="B880" s="24"/>
      <c r="C880" s="24"/>
      <c r="D880" s="24"/>
      <c r="E880" s="24"/>
      <c r="F880" s="70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64"/>
    </row>
    <row r="881" spans="1:24" ht="14.4" x14ac:dyDescent="0.55000000000000004">
      <c r="A881" s="24"/>
      <c r="B881" s="24"/>
      <c r="C881" s="24"/>
      <c r="D881" s="24"/>
      <c r="E881" s="24"/>
      <c r="F881" s="70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64"/>
    </row>
    <row r="882" spans="1:24" ht="14.4" x14ac:dyDescent="0.55000000000000004">
      <c r="A882" s="24"/>
      <c r="B882" s="24"/>
      <c r="C882" s="24"/>
      <c r="D882" s="24"/>
      <c r="E882" s="24"/>
      <c r="F882" s="70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64"/>
    </row>
    <row r="883" spans="1:24" ht="14.4" x14ac:dyDescent="0.55000000000000004">
      <c r="A883" s="24"/>
      <c r="B883" s="24"/>
      <c r="C883" s="24"/>
      <c r="D883" s="24"/>
      <c r="E883" s="24"/>
      <c r="F883" s="70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64"/>
    </row>
    <row r="884" spans="1:24" ht="14.4" x14ac:dyDescent="0.55000000000000004">
      <c r="A884" s="24"/>
      <c r="B884" s="24"/>
      <c r="C884" s="24"/>
      <c r="D884" s="24"/>
      <c r="E884" s="24"/>
      <c r="F884" s="70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64"/>
    </row>
    <row r="885" spans="1:24" ht="14.4" x14ac:dyDescent="0.55000000000000004">
      <c r="A885" s="24"/>
      <c r="B885" s="24"/>
      <c r="C885" s="24"/>
      <c r="D885" s="24"/>
      <c r="E885" s="24"/>
      <c r="F885" s="70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64"/>
    </row>
    <row r="886" spans="1:24" ht="14.4" x14ac:dyDescent="0.55000000000000004">
      <c r="A886" s="24"/>
      <c r="B886" s="24"/>
      <c r="C886" s="24"/>
      <c r="D886" s="24"/>
      <c r="E886" s="24"/>
      <c r="F886" s="70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64"/>
    </row>
    <row r="887" spans="1:24" ht="14.4" x14ac:dyDescent="0.55000000000000004">
      <c r="A887" s="24"/>
      <c r="B887" s="24"/>
      <c r="C887" s="24"/>
      <c r="D887" s="24"/>
      <c r="E887" s="24"/>
      <c r="F887" s="70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64"/>
    </row>
    <row r="888" spans="1:24" ht="14.4" x14ac:dyDescent="0.55000000000000004">
      <c r="A888" s="24"/>
      <c r="B888" s="24"/>
      <c r="C888" s="24"/>
      <c r="D888" s="24"/>
      <c r="E888" s="24"/>
      <c r="F888" s="70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64"/>
    </row>
    <row r="889" spans="1:24" ht="14.4" x14ac:dyDescent="0.55000000000000004">
      <c r="A889" s="24"/>
      <c r="B889" s="24"/>
      <c r="C889" s="24"/>
      <c r="D889" s="24"/>
      <c r="E889" s="24"/>
      <c r="F889" s="70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64"/>
    </row>
    <row r="890" spans="1:24" ht="14.4" x14ac:dyDescent="0.55000000000000004">
      <c r="A890" s="24"/>
      <c r="B890" s="24"/>
      <c r="C890" s="24"/>
      <c r="D890" s="24"/>
      <c r="E890" s="24"/>
      <c r="F890" s="70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64"/>
    </row>
    <row r="891" spans="1:24" ht="14.4" x14ac:dyDescent="0.55000000000000004">
      <c r="A891" s="24"/>
      <c r="B891" s="24"/>
      <c r="C891" s="24"/>
      <c r="D891" s="24"/>
      <c r="E891" s="24"/>
      <c r="F891" s="70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64"/>
    </row>
    <row r="892" spans="1:24" ht="14.4" x14ac:dyDescent="0.55000000000000004">
      <c r="A892" s="24"/>
      <c r="B892" s="24"/>
      <c r="C892" s="24"/>
      <c r="D892" s="24"/>
      <c r="E892" s="24"/>
      <c r="F892" s="70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64"/>
    </row>
    <row r="893" spans="1:24" ht="14.4" x14ac:dyDescent="0.55000000000000004">
      <c r="A893" s="24"/>
      <c r="B893" s="24"/>
      <c r="C893" s="24"/>
      <c r="D893" s="24"/>
      <c r="E893" s="24"/>
      <c r="F893" s="70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64"/>
    </row>
    <row r="894" spans="1:24" ht="14.4" x14ac:dyDescent="0.55000000000000004">
      <c r="A894" s="24"/>
      <c r="B894" s="24"/>
      <c r="C894" s="24"/>
      <c r="D894" s="24"/>
      <c r="E894" s="24"/>
      <c r="F894" s="70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64"/>
    </row>
    <row r="895" spans="1:24" ht="14.4" x14ac:dyDescent="0.55000000000000004">
      <c r="A895" s="24"/>
      <c r="B895" s="24"/>
      <c r="C895" s="24"/>
      <c r="D895" s="24"/>
      <c r="E895" s="24"/>
      <c r="F895" s="70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64"/>
    </row>
    <row r="896" spans="1:24" ht="14.4" x14ac:dyDescent="0.55000000000000004">
      <c r="A896" s="24"/>
      <c r="B896" s="24"/>
      <c r="C896" s="24"/>
      <c r="D896" s="24"/>
      <c r="E896" s="24"/>
      <c r="F896" s="70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64"/>
    </row>
    <row r="897" spans="1:24" ht="14.4" x14ac:dyDescent="0.55000000000000004">
      <c r="A897" s="24"/>
      <c r="B897" s="24"/>
      <c r="C897" s="24"/>
      <c r="D897" s="24"/>
      <c r="E897" s="24"/>
      <c r="F897" s="70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64"/>
    </row>
    <row r="898" spans="1:24" ht="14.4" x14ac:dyDescent="0.55000000000000004">
      <c r="A898" s="24"/>
      <c r="B898" s="24"/>
      <c r="C898" s="24"/>
      <c r="D898" s="24"/>
      <c r="E898" s="24"/>
      <c r="F898" s="70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64"/>
    </row>
    <row r="899" spans="1:24" ht="14.4" x14ac:dyDescent="0.55000000000000004">
      <c r="A899" s="24"/>
      <c r="B899" s="24"/>
      <c r="C899" s="24"/>
      <c r="D899" s="24"/>
      <c r="E899" s="24"/>
      <c r="F899" s="70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64"/>
    </row>
    <row r="900" spans="1:24" ht="14.4" x14ac:dyDescent="0.55000000000000004">
      <c r="A900" s="24"/>
      <c r="B900" s="24"/>
      <c r="C900" s="24"/>
      <c r="D900" s="24"/>
      <c r="E900" s="24"/>
      <c r="F900" s="70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64"/>
    </row>
    <row r="901" spans="1:24" ht="14.4" x14ac:dyDescent="0.55000000000000004">
      <c r="A901" s="24"/>
      <c r="B901" s="24"/>
      <c r="C901" s="24"/>
      <c r="D901" s="24"/>
      <c r="E901" s="24"/>
      <c r="F901" s="70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64"/>
    </row>
    <row r="902" spans="1:24" ht="14.4" x14ac:dyDescent="0.55000000000000004">
      <c r="A902" s="24"/>
      <c r="B902" s="24"/>
      <c r="C902" s="24"/>
      <c r="D902" s="24"/>
      <c r="E902" s="24"/>
      <c r="F902" s="70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64"/>
    </row>
    <row r="903" spans="1:24" ht="14.4" x14ac:dyDescent="0.55000000000000004">
      <c r="A903" s="24"/>
      <c r="B903" s="24"/>
      <c r="C903" s="24"/>
      <c r="D903" s="24"/>
      <c r="E903" s="24"/>
      <c r="F903" s="70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64"/>
    </row>
    <row r="904" spans="1:24" ht="14.4" x14ac:dyDescent="0.55000000000000004">
      <c r="A904" s="24"/>
      <c r="B904" s="24"/>
      <c r="C904" s="24"/>
      <c r="D904" s="24"/>
      <c r="E904" s="24"/>
      <c r="F904" s="70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64"/>
    </row>
    <row r="905" spans="1:24" ht="14.4" x14ac:dyDescent="0.55000000000000004">
      <c r="A905" s="24"/>
      <c r="B905" s="24"/>
      <c r="C905" s="24"/>
      <c r="D905" s="24"/>
      <c r="E905" s="24"/>
      <c r="F905" s="70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64"/>
    </row>
    <row r="906" spans="1:24" ht="14.4" x14ac:dyDescent="0.55000000000000004">
      <c r="A906" s="24"/>
      <c r="B906" s="24"/>
      <c r="C906" s="24"/>
      <c r="D906" s="24"/>
      <c r="E906" s="24"/>
      <c r="F906" s="70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64"/>
    </row>
    <row r="907" spans="1:24" ht="14.4" x14ac:dyDescent="0.55000000000000004">
      <c r="A907" s="24"/>
      <c r="B907" s="24"/>
      <c r="C907" s="24"/>
      <c r="D907" s="24"/>
      <c r="E907" s="24"/>
      <c r="F907" s="70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64"/>
    </row>
    <row r="908" spans="1:24" ht="14.4" x14ac:dyDescent="0.55000000000000004">
      <c r="A908" s="24"/>
      <c r="B908" s="24"/>
      <c r="C908" s="24"/>
      <c r="D908" s="24"/>
      <c r="E908" s="24"/>
      <c r="F908" s="70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64"/>
    </row>
    <row r="909" spans="1:24" ht="14.4" x14ac:dyDescent="0.55000000000000004">
      <c r="A909" s="24"/>
      <c r="B909" s="24"/>
      <c r="C909" s="24"/>
      <c r="D909" s="24"/>
      <c r="E909" s="24"/>
      <c r="F909" s="70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64"/>
    </row>
    <row r="910" spans="1:24" ht="14.4" x14ac:dyDescent="0.55000000000000004">
      <c r="A910" s="24"/>
      <c r="B910" s="24"/>
      <c r="C910" s="24"/>
      <c r="D910" s="24"/>
      <c r="E910" s="24"/>
      <c r="F910" s="70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64"/>
    </row>
    <row r="911" spans="1:24" ht="14.4" x14ac:dyDescent="0.55000000000000004">
      <c r="A911" s="24"/>
      <c r="B911" s="24"/>
      <c r="C911" s="24"/>
      <c r="D911" s="24"/>
      <c r="E911" s="24"/>
      <c r="F911" s="70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64"/>
    </row>
    <row r="912" spans="1:24" ht="14.4" x14ac:dyDescent="0.55000000000000004">
      <c r="A912" s="24"/>
      <c r="B912" s="24"/>
      <c r="C912" s="24"/>
      <c r="D912" s="24"/>
      <c r="E912" s="24"/>
      <c r="F912" s="70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64"/>
    </row>
    <row r="913" spans="1:24" ht="14.4" x14ac:dyDescent="0.55000000000000004">
      <c r="A913" s="24"/>
      <c r="B913" s="24"/>
      <c r="C913" s="24"/>
      <c r="D913" s="24"/>
      <c r="E913" s="24"/>
      <c r="F913" s="70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64"/>
    </row>
    <row r="914" spans="1:24" ht="14.4" x14ac:dyDescent="0.55000000000000004">
      <c r="A914" s="24"/>
      <c r="B914" s="24"/>
      <c r="C914" s="24"/>
      <c r="D914" s="24"/>
      <c r="E914" s="24"/>
      <c r="F914" s="70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64"/>
    </row>
    <row r="915" spans="1:24" ht="14.4" x14ac:dyDescent="0.55000000000000004">
      <c r="A915" s="24"/>
      <c r="B915" s="24"/>
      <c r="C915" s="24"/>
      <c r="D915" s="24"/>
      <c r="E915" s="24"/>
      <c r="F915" s="70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64"/>
    </row>
    <row r="916" spans="1:24" ht="14.4" x14ac:dyDescent="0.55000000000000004">
      <c r="A916" s="24"/>
      <c r="B916" s="24"/>
      <c r="C916" s="24"/>
      <c r="D916" s="24"/>
      <c r="E916" s="24"/>
      <c r="F916" s="70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64"/>
    </row>
    <row r="917" spans="1:24" ht="14.4" x14ac:dyDescent="0.55000000000000004">
      <c r="A917" s="24"/>
      <c r="B917" s="24"/>
      <c r="C917" s="24"/>
      <c r="D917" s="24"/>
      <c r="E917" s="24"/>
      <c r="F917" s="70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64"/>
    </row>
    <row r="918" spans="1:24" ht="14.4" x14ac:dyDescent="0.55000000000000004">
      <c r="A918" s="24"/>
      <c r="B918" s="24"/>
      <c r="C918" s="24"/>
      <c r="D918" s="24"/>
      <c r="E918" s="24"/>
      <c r="F918" s="70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64"/>
    </row>
    <row r="919" spans="1:24" ht="14.4" x14ac:dyDescent="0.55000000000000004">
      <c r="A919" s="24"/>
      <c r="B919" s="24"/>
      <c r="C919" s="24"/>
      <c r="D919" s="24"/>
      <c r="E919" s="24"/>
      <c r="F919" s="70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64"/>
    </row>
    <row r="920" spans="1:24" ht="14.4" x14ac:dyDescent="0.55000000000000004">
      <c r="A920" s="24"/>
      <c r="B920" s="24"/>
      <c r="C920" s="24"/>
      <c r="D920" s="24"/>
      <c r="E920" s="24"/>
      <c r="F920" s="70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64"/>
    </row>
    <row r="921" spans="1:24" ht="14.4" x14ac:dyDescent="0.55000000000000004">
      <c r="A921" s="24"/>
      <c r="B921" s="24"/>
      <c r="C921" s="24"/>
      <c r="D921" s="24"/>
      <c r="E921" s="24"/>
      <c r="F921" s="70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64"/>
    </row>
    <row r="922" spans="1:24" ht="14.4" x14ac:dyDescent="0.55000000000000004">
      <c r="A922" s="24"/>
      <c r="B922" s="24"/>
      <c r="C922" s="24"/>
      <c r="D922" s="24"/>
      <c r="E922" s="24"/>
      <c r="F922" s="70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64"/>
    </row>
    <row r="923" spans="1:24" ht="14.4" x14ac:dyDescent="0.55000000000000004">
      <c r="A923" s="24"/>
      <c r="B923" s="24"/>
      <c r="C923" s="24"/>
      <c r="D923" s="24"/>
      <c r="E923" s="24"/>
      <c r="F923" s="70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64"/>
    </row>
    <row r="924" spans="1:24" ht="14.4" x14ac:dyDescent="0.55000000000000004">
      <c r="A924" s="24"/>
      <c r="B924" s="24"/>
      <c r="C924" s="24"/>
      <c r="D924" s="24"/>
      <c r="E924" s="24"/>
      <c r="F924" s="70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64"/>
    </row>
    <row r="925" spans="1:24" ht="14.4" x14ac:dyDescent="0.55000000000000004">
      <c r="A925" s="24"/>
      <c r="B925" s="24"/>
      <c r="C925" s="24"/>
      <c r="D925" s="24"/>
      <c r="E925" s="24"/>
      <c r="F925" s="70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64"/>
    </row>
    <row r="926" spans="1:24" ht="14.4" x14ac:dyDescent="0.55000000000000004">
      <c r="A926" s="24"/>
      <c r="B926" s="24"/>
      <c r="C926" s="24"/>
      <c r="D926" s="24"/>
      <c r="E926" s="24"/>
      <c r="F926" s="70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64"/>
    </row>
    <row r="927" spans="1:24" ht="14.4" x14ac:dyDescent="0.55000000000000004">
      <c r="A927" s="24"/>
      <c r="B927" s="24"/>
      <c r="C927" s="24"/>
      <c r="D927" s="24"/>
      <c r="E927" s="24"/>
      <c r="F927" s="70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64"/>
    </row>
    <row r="928" spans="1:24" ht="14.4" x14ac:dyDescent="0.55000000000000004">
      <c r="A928" s="24"/>
      <c r="B928" s="24"/>
      <c r="C928" s="24"/>
      <c r="D928" s="24"/>
      <c r="E928" s="24"/>
      <c r="F928" s="70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64"/>
    </row>
    <row r="929" spans="1:24" ht="14.4" x14ac:dyDescent="0.55000000000000004">
      <c r="A929" s="24"/>
      <c r="B929" s="24"/>
      <c r="C929" s="24"/>
      <c r="D929" s="24"/>
      <c r="E929" s="24"/>
      <c r="F929" s="70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64"/>
    </row>
    <row r="930" spans="1:24" ht="14.4" x14ac:dyDescent="0.55000000000000004">
      <c r="A930" s="24"/>
      <c r="B930" s="24"/>
      <c r="C930" s="24"/>
      <c r="D930" s="24"/>
      <c r="E930" s="24"/>
      <c r="F930" s="70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64"/>
    </row>
    <row r="931" spans="1:24" ht="14.4" x14ac:dyDescent="0.55000000000000004">
      <c r="A931" s="24"/>
      <c r="B931" s="24"/>
      <c r="C931" s="24"/>
      <c r="D931" s="24"/>
      <c r="E931" s="24"/>
      <c r="F931" s="70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64"/>
    </row>
    <row r="932" spans="1:24" ht="14.4" x14ac:dyDescent="0.55000000000000004">
      <c r="A932" s="24"/>
      <c r="B932" s="24"/>
      <c r="C932" s="24"/>
      <c r="D932" s="24"/>
      <c r="E932" s="24"/>
      <c r="F932" s="70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64"/>
    </row>
    <row r="933" spans="1:24" ht="14.4" x14ac:dyDescent="0.55000000000000004">
      <c r="A933" s="24"/>
      <c r="B933" s="24"/>
      <c r="C933" s="24"/>
      <c r="D933" s="24"/>
      <c r="E933" s="24"/>
      <c r="F933" s="70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64"/>
    </row>
    <row r="934" spans="1:24" ht="14.4" x14ac:dyDescent="0.55000000000000004">
      <c r="A934" s="24"/>
      <c r="B934" s="24"/>
      <c r="C934" s="24"/>
      <c r="D934" s="24"/>
      <c r="E934" s="24"/>
      <c r="F934" s="70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64"/>
    </row>
    <row r="935" spans="1:24" ht="14.4" x14ac:dyDescent="0.55000000000000004">
      <c r="A935" s="24"/>
      <c r="B935" s="24"/>
      <c r="C935" s="24"/>
      <c r="D935" s="24"/>
      <c r="E935" s="24"/>
      <c r="F935" s="70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64"/>
    </row>
    <row r="936" spans="1:24" ht="14.4" x14ac:dyDescent="0.55000000000000004">
      <c r="A936" s="24"/>
      <c r="B936" s="24"/>
      <c r="C936" s="24"/>
      <c r="D936" s="24"/>
      <c r="E936" s="24"/>
      <c r="F936" s="70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64"/>
    </row>
    <row r="937" spans="1:24" ht="14.4" x14ac:dyDescent="0.55000000000000004">
      <c r="A937" s="24"/>
      <c r="B937" s="24"/>
      <c r="C937" s="24"/>
      <c r="D937" s="24"/>
      <c r="E937" s="24"/>
      <c r="F937" s="70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64"/>
    </row>
    <row r="938" spans="1:24" ht="14.4" x14ac:dyDescent="0.55000000000000004">
      <c r="A938" s="24"/>
      <c r="B938" s="24"/>
      <c r="C938" s="24"/>
      <c r="D938" s="24"/>
      <c r="E938" s="24"/>
      <c r="F938" s="70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64"/>
    </row>
    <row r="939" spans="1:24" ht="14.4" x14ac:dyDescent="0.55000000000000004">
      <c r="A939" s="24"/>
      <c r="B939" s="24"/>
      <c r="C939" s="24"/>
      <c r="D939" s="24"/>
      <c r="E939" s="24"/>
      <c r="F939" s="70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64"/>
    </row>
    <row r="940" spans="1:24" ht="14.4" x14ac:dyDescent="0.55000000000000004">
      <c r="A940" s="24"/>
      <c r="B940" s="24"/>
      <c r="C940" s="24"/>
      <c r="D940" s="24"/>
      <c r="E940" s="24"/>
      <c r="F940" s="70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64"/>
    </row>
    <row r="941" spans="1:24" ht="14.4" x14ac:dyDescent="0.55000000000000004">
      <c r="A941" s="24"/>
      <c r="B941" s="24"/>
      <c r="C941" s="24"/>
      <c r="D941" s="24"/>
      <c r="E941" s="24"/>
      <c r="F941" s="70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64"/>
    </row>
    <row r="942" spans="1:24" ht="14.4" x14ac:dyDescent="0.55000000000000004">
      <c r="A942" s="24"/>
      <c r="B942" s="24"/>
      <c r="C942" s="24"/>
      <c r="D942" s="24"/>
      <c r="E942" s="24"/>
      <c r="F942" s="70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64"/>
    </row>
    <row r="943" spans="1:24" ht="14.4" x14ac:dyDescent="0.55000000000000004">
      <c r="A943" s="24"/>
      <c r="B943" s="24"/>
      <c r="C943" s="24"/>
      <c r="D943" s="24"/>
      <c r="E943" s="24"/>
      <c r="F943" s="70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64"/>
    </row>
    <row r="944" spans="1:24" ht="14.4" x14ac:dyDescent="0.55000000000000004">
      <c r="A944" s="24"/>
      <c r="B944" s="24"/>
      <c r="C944" s="24"/>
      <c r="D944" s="24"/>
      <c r="E944" s="24"/>
      <c r="F944" s="70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64"/>
    </row>
    <row r="945" spans="1:24" ht="14.4" x14ac:dyDescent="0.55000000000000004">
      <c r="A945" s="24"/>
      <c r="B945" s="24"/>
      <c r="C945" s="24"/>
      <c r="D945" s="24"/>
      <c r="E945" s="24"/>
      <c r="F945" s="70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64"/>
    </row>
    <row r="946" spans="1:24" ht="14.4" x14ac:dyDescent="0.55000000000000004">
      <c r="A946" s="24"/>
      <c r="B946" s="24"/>
      <c r="C946" s="24"/>
      <c r="D946" s="24"/>
      <c r="E946" s="24"/>
      <c r="F946" s="70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64"/>
    </row>
    <row r="947" spans="1:24" ht="14.4" x14ac:dyDescent="0.55000000000000004">
      <c r="A947" s="24"/>
      <c r="B947" s="24"/>
      <c r="C947" s="24"/>
      <c r="D947" s="24"/>
      <c r="E947" s="24"/>
      <c r="F947" s="70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64"/>
    </row>
    <row r="948" spans="1:24" ht="14.4" x14ac:dyDescent="0.55000000000000004">
      <c r="A948" s="24"/>
      <c r="B948" s="24"/>
      <c r="C948" s="24"/>
      <c r="D948" s="24"/>
      <c r="E948" s="24"/>
      <c r="F948" s="70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64"/>
    </row>
    <row r="949" spans="1:24" ht="14.4" x14ac:dyDescent="0.55000000000000004">
      <c r="A949" s="24"/>
      <c r="B949" s="24"/>
      <c r="C949" s="24"/>
      <c r="D949" s="24"/>
      <c r="E949" s="24"/>
      <c r="F949" s="70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64"/>
    </row>
    <row r="950" spans="1:24" ht="14.4" x14ac:dyDescent="0.55000000000000004">
      <c r="A950" s="24"/>
      <c r="B950" s="24"/>
      <c r="C950" s="24"/>
      <c r="D950" s="24"/>
      <c r="E950" s="24"/>
      <c r="F950" s="70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64"/>
    </row>
    <row r="951" spans="1:24" ht="14.4" x14ac:dyDescent="0.55000000000000004">
      <c r="A951" s="24"/>
      <c r="B951" s="24"/>
      <c r="C951" s="24"/>
      <c r="D951" s="24"/>
      <c r="E951" s="24"/>
      <c r="F951" s="70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64"/>
    </row>
    <row r="952" spans="1:24" ht="14.4" x14ac:dyDescent="0.55000000000000004">
      <c r="A952" s="24"/>
      <c r="B952" s="24"/>
      <c r="C952" s="24"/>
      <c r="D952" s="24"/>
      <c r="E952" s="24"/>
      <c r="F952" s="70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64"/>
    </row>
    <row r="953" spans="1:24" ht="14.4" x14ac:dyDescent="0.55000000000000004">
      <c r="A953" s="24"/>
      <c r="B953" s="24"/>
      <c r="C953" s="24"/>
      <c r="D953" s="24"/>
      <c r="E953" s="24"/>
      <c r="F953" s="70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64"/>
    </row>
    <row r="954" spans="1:24" ht="14.4" x14ac:dyDescent="0.55000000000000004">
      <c r="A954" s="24"/>
      <c r="B954" s="24"/>
      <c r="C954" s="24"/>
      <c r="D954" s="24"/>
      <c r="E954" s="24"/>
      <c r="F954" s="70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64"/>
    </row>
    <row r="955" spans="1:24" ht="14.4" x14ac:dyDescent="0.55000000000000004">
      <c r="A955" s="24"/>
      <c r="B955" s="24"/>
      <c r="C955" s="24"/>
      <c r="D955" s="24"/>
      <c r="E955" s="24"/>
      <c r="F955" s="70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64"/>
    </row>
    <row r="956" spans="1:24" ht="14.4" x14ac:dyDescent="0.55000000000000004">
      <c r="A956" s="24"/>
      <c r="B956" s="24"/>
      <c r="C956" s="24"/>
      <c r="D956" s="24"/>
      <c r="E956" s="24"/>
      <c r="F956" s="70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64"/>
    </row>
    <row r="957" spans="1:24" ht="14.4" x14ac:dyDescent="0.55000000000000004">
      <c r="A957" s="24"/>
      <c r="B957" s="24"/>
      <c r="C957" s="24"/>
      <c r="D957" s="24"/>
      <c r="E957" s="24"/>
      <c r="F957" s="70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64"/>
    </row>
    <row r="958" spans="1:24" ht="14.4" x14ac:dyDescent="0.55000000000000004">
      <c r="A958" s="24"/>
      <c r="B958" s="24"/>
      <c r="C958" s="24"/>
      <c r="D958" s="24"/>
      <c r="E958" s="24"/>
      <c r="F958" s="70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64"/>
    </row>
    <row r="959" spans="1:24" ht="14.4" x14ac:dyDescent="0.55000000000000004">
      <c r="A959" s="24"/>
      <c r="B959" s="24"/>
      <c r="C959" s="24"/>
      <c r="D959" s="24"/>
      <c r="E959" s="24"/>
      <c r="F959" s="70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64"/>
    </row>
    <row r="960" spans="1:24" ht="14.4" x14ac:dyDescent="0.55000000000000004">
      <c r="A960" s="24"/>
      <c r="B960" s="24"/>
      <c r="C960" s="24"/>
      <c r="D960" s="24"/>
      <c r="E960" s="24"/>
      <c r="F960" s="70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64"/>
    </row>
    <row r="961" spans="1:24" ht="14.4" x14ac:dyDescent="0.55000000000000004">
      <c r="A961" s="24"/>
      <c r="B961" s="24"/>
      <c r="C961" s="24"/>
      <c r="D961" s="24"/>
      <c r="E961" s="24"/>
      <c r="F961" s="70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64"/>
    </row>
    <row r="962" spans="1:24" ht="14.4" x14ac:dyDescent="0.55000000000000004">
      <c r="A962" s="24"/>
      <c r="B962" s="24"/>
      <c r="C962" s="24"/>
      <c r="D962" s="24"/>
      <c r="E962" s="24"/>
      <c r="F962" s="70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64"/>
    </row>
    <row r="963" spans="1:24" ht="14.4" x14ac:dyDescent="0.55000000000000004">
      <c r="A963" s="24"/>
      <c r="B963" s="24"/>
      <c r="C963" s="24"/>
      <c r="D963" s="24"/>
      <c r="E963" s="24"/>
      <c r="F963" s="70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64"/>
    </row>
    <row r="964" spans="1:24" ht="14.4" x14ac:dyDescent="0.55000000000000004">
      <c r="A964" s="24"/>
      <c r="B964" s="24"/>
      <c r="C964" s="24"/>
      <c r="D964" s="24"/>
      <c r="E964" s="24"/>
      <c r="F964" s="70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64"/>
    </row>
    <row r="965" spans="1:24" ht="14.4" x14ac:dyDescent="0.55000000000000004">
      <c r="A965" s="24"/>
      <c r="B965" s="24"/>
      <c r="C965" s="24"/>
      <c r="D965" s="24"/>
      <c r="E965" s="24"/>
      <c r="F965" s="70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64"/>
    </row>
    <row r="966" spans="1:24" ht="14.4" x14ac:dyDescent="0.55000000000000004">
      <c r="A966" s="24"/>
      <c r="B966" s="24"/>
      <c r="C966" s="24"/>
      <c r="D966" s="24"/>
      <c r="E966" s="24"/>
      <c r="F966" s="70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64"/>
    </row>
    <row r="967" spans="1:24" ht="14.4" x14ac:dyDescent="0.55000000000000004">
      <c r="A967" s="24"/>
      <c r="B967" s="24"/>
      <c r="C967" s="24"/>
      <c r="D967" s="24"/>
      <c r="E967" s="24"/>
      <c r="F967" s="70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64"/>
    </row>
    <row r="968" spans="1:24" ht="14.4" x14ac:dyDescent="0.55000000000000004">
      <c r="A968" s="24"/>
      <c r="B968" s="24"/>
      <c r="C968" s="24"/>
      <c r="D968" s="24"/>
      <c r="E968" s="24"/>
      <c r="F968" s="70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64"/>
    </row>
    <row r="969" spans="1:24" ht="14.4" x14ac:dyDescent="0.55000000000000004">
      <c r="A969" s="24"/>
      <c r="B969" s="24"/>
      <c r="C969" s="24"/>
      <c r="D969" s="24"/>
      <c r="E969" s="24"/>
      <c r="F969" s="70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64"/>
    </row>
    <row r="970" spans="1:24" ht="14.4" x14ac:dyDescent="0.55000000000000004">
      <c r="A970" s="24"/>
      <c r="B970" s="24"/>
      <c r="C970" s="24"/>
      <c r="D970" s="24"/>
      <c r="E970" s="24"/>
      <c r="F970" s="70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64"/>
    </row>
    <row r="971" spans="1:24" ht="14.4" x14ac:dyDescent="0.55000000000000004">
      <c r="A971" s="24"/>
      <c r="B971" s="24"/>
      <c r="C971" s="24"/>
      <c r="D971" s="24"/>
      <c r="E971" s="24"/>
      <c r="F971" s="70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64"/>
    </row>
    <row r="972" spans="1:24" ht="14.4" x14ac:dyDescent="0.55000000000000004">
      <c r="A972" s="24"/>
      <c r="B972" s="24"/>
      <c r="C972" s="24"/>
      <c r="D972" s="24"/>
      <c r="E972" s="24"/>
      <c r="F972" s="70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64"/>
    </row>
    <row r="973" spans="1:24" ht="14.4" x14ac:dyDescent="0.55000000000000004">
      <c r="A973" s="24"/>
      <c r="B973" s="24"/>
      <c r="C973" s="24"/>
      <c r="D973" s="24"/>
      <c r="E973" s="24"/>
      <c r="F973" s="70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64"/>
    </row>
    <row r="974" spans="1:24" ht="14.4" x14ac:dyDescent="0.55000000000000004">
      <c r="A974" s="24"/>
      <c r="B974" s="24"/>
      <c r="C974" s="24"/>
      <c r="D974" s="24"/>
      <c r="E974" s="24"/>
      <c r="F974" s="70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64"/>
    </row>
    <row r="975" spans="1:24" ht="14.4" x14ac:dyDescent="0.55000000000000004">
      <c r="A975" s="24"/>
      <c r="B975" s="24"/>
      <c r="C975" s="24"/>
      <c r="D975" s="24"/>
      <c r="E975" s="24"/>
      <c r="F975" s="70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64"/>
    </row>
    <row r="976" spans="1:24" ht="14.4" x14ac:dyDescent="0.55000000000000004">
      <c r="A976" s="24"/>
      <c r="B976" s="24"/>
      <c r="C976" s="24"/>
      <c r="D976" s="24"/>
      <c r="E976" s="24"/>
      <c r="F976" s="70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64"/>
    </row>
    <row r="977" spans="1:24" ht="14.4" x14ac:dyDescent="0.55000000000000004">
      <c r="A977" s="24"/>
      <c r="B977" s="24"/>
      <c r="C977" s="24"/>
      <c r="D977" s="24"/>
      <c r="E977" s="24"/>
      <c r="F977" s="70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64"/>
    </row>
    <row r="978" spans="1:24" ht="14.4" x14ac:dyDescent="0.55000000000000004">
      <c r="A978" s="24"/>
      <c r="B978" s="24"/>
      <c r="C978" s="24"/>
      <c r="D978" s="24"/>
      <c r="E978" s="24"/>
      <c r="F978" s="70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64"/>
    </row>
    <row r="979" spans="1:24" ht="14.4" x14ac:dyDescent="0.55000000000000004">
      <c r="A979" s="24"/>
      <c r="B979" s="24"/>
      <c r="C979" s="24"/>
      <c r="D979" s="24"/>
      <c r="E979" s="24"/>
      <c r="F979" s="70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64"/>
    </row>
    <row r="980" spans="1:24" ht="14.4" x14ac:dyDescent="0.55000000000000004">
      <c r="A980" s="24"/>
      <c r="B980" s="24"/>
      <c r="C980" s="24"/>
      <c r="D980" s="24"/>
      <c r="E980" s="24"/>
      <c r="F980" s="70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64"/>
    </row>
    <row r="981" spans="1:24" ht="14.4" x14ac:dyDescent="0.55000000000000004">
      <c r="A981" s="24"/>
      <c r="B981" s="24"/>
      <c r="C981" s="24"/>
      <c r="D981" s="24"/>
      <c r="E981" s="24"/>
      <c r="F981" s="70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64"/>
    </row>
    <row r="982" spans="1:24" ht="14.4" x14ac:dyDescent="0.55000000000000004">
      <c r="A982" s="24"/>
      <c r="B982" s="24"/>
      <c r="C982" s="24"/>
      <c r="D982" s="24"/>
      <c r="E982" s="24"/>
      <c r="F982" s="70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64"/>
    </row>
    <row r="983" spans="1:24" ht="14.4" x14ac:dyDescent="0.55000000000000004">
      <c r="A983" s="24"/>
      <c r="B983" s="24"/>
      <c r="C983" s="24"/>
      <c r="D983" s="24"/>
      <c r="E983" s="24"/>
      <c r="F983" s="70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64"/>
    </row>
    <row r="984" spans="1:24" ht="14.4" x14ac:dyDescent="0.55000000000000004">
      <c r="A984" s="24"/>
      <c r="B984" s="24"/>
      <c r="C984" s="24"/>
      <c r="D984" s="24"/>
      <c r="E984" s="24"/>
      <c r="F984" s="70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64"/>
    </row>
    <row r="985" spans="1:24" ht="14.4" x14ac:dyDescent="0.55000000000000004">
      <c r="A985" s="24"/>
      <c r="B985" s="24"/>
      <c r="C985" s="24"/>
      <c r="D985" s="24"/>
      <c r="E985" s="24"/>
      <c r="F985" s="70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64"/>
    </row>
    <row r="986" spans="1:24" ht="14.4" x14ac:dyDescent="0.55000000000000004">
      <c r="A986" s="24"/>
      <c r="B986" s="24"/>
      <c r="C986" s="24"/>
      <c r="D986" s="24"/>
      <c r="E986" s="24"/>
      <c r="F986" s="70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64"/>
    </row>
    <row r="987" spans="1:24" ht="14.4" x14ac:dyDescent="0.55000000000000004">
      <c r="A987" s="24"/>
      <c r="B987" s="24"/>
      <c r="C987" s="24"/>
      <c r="D987" s="24"/>
      <c r="E987" s="24"/>
      <c r="F987" s="70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64"/>
    </row>
    <row r="988" spans="1:24" ht="14.4" x14ac:dyDescent="0.55000000000000004">
      <c r="A988" s="24"/>
      <c r="B988" s="24"/>
      <c r="C988" s="24"/>
      <c r="D988" s="24"/>
      <c r="E988" s="24"/>
      <c r="F988" s="70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64"/>
    </row>
    <row r="989" spans="1:24" ht="14.4" x14ac:dyDescent="0.55000000000000004">
      <c r="A989" s="24"/>
      <c r="B989" s="24"/>
      <c r="C989" s="24"/>
      <c r="D989" s="24"/>
      <c r="E989" s="24"/>
      <c r="F989" s="70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64"/>
    </row>
    <row r="990" spans="1:24" ht="14.4" x14ac:dyDescent="0.55000000000000004">
      <c r="A990" s="24"/>
      <c r="B990" s="24"/>
      <c r="C990" s="24"/>
      <c r="D990" s="24"/>
      <c r="E990" s="24"/>
      <c r="F990" s="70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64"/>
    </row>
    <row r="991" spans="1:24" ht="14.4" x14ac:dyDescent="0.55000000000000004">
      <c r="A991" s="24"/>
      <c r="B991" s="24"/>
      <c r="C991" s="24"/>
      <c r="D991" s="24"/>
      <c r="E991" s="24"/>
      <c r="F991" s="70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64"/>
    </row>
    <row r="992" spans="1:24" ht="14.4" x14ac:dyDescent="0.55000000000000004">
      <c r="A992" s="24"/>
      <c r="B992" s="24"/>
      <c r="C992" s="24"/>
      <c r="D992" s="24"/>
      <c r="E992" s="24"/>
      <c r="F992" s="70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64"/>
    </row>
    <row r="993" spans="1:24" ht="14.4" x14ac:dyDescent="0.55000000000000004">
      <c r="A993" s="24"/>
      <c r="B993" s="24"/>
      <c r="C993" s="24"/>
      <c r="D993" s="24"/>
      <c r="E993" s="24"/>
      <c r="F993" s="70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64"/>
    </row>
    <row r="994" spans="1:24" ht="14.4" x14ac:dyDescent="0.55000000000000004">
      <c r="A994" s="24"/>
      <c r="B994" s="24"/>
      <c r="C994" s="24"/>
      <c r="D994" s="24"/>
      <c r="E994" s="24"/>
      <c r="F994" s="70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64"/>
    </row>
    <row r="995" spans="1:24" ht="14.4" x14ac:dyDescent="0.55000000000000004">
      <c r="A995" s="24"/>
      <c r="B995" s="24"/>
      <c r="C995" s="24"/>
      <c r="D995" s="24"/>
      <c r="E995" s="24"/>
      <c r="F995" s="70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64"/>
    </row>
    <row r="996" spans="1:24" ht="14.4" x14ac:dyDescent="0.55000000000000004">
      <c r="A996" s="24"/>
      <c r="B996" s="24"/>
      <c r="C996" s="24"/>
      <c r="D996" s="24"/>
      <c r="E996" s="24"/>
      <c r="F996" s="70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64"/>
    </row>
    <row r="997" spans="1:24" ht="14.4" x14ac:dyDescent="0.55000000000000004">
      <c r="A997" s="24"/>
      <c r="B997" s="24"/>
      <c r="C997" s="24"/>
      <c r="D997" s="24"/>
      <c r="E997" s="24"/>
      <c r="F997" s="70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64"/>
    </row>
    <row r="998" spans="1:24" ht="14.4" x14ac:dyDescent="0.55000000000000004">
      <c r="A998" s="24"/>
      <c r="B998" s="24"/>
      <c r="C998" s="24"/>
      <c r="D998" s="24"/>
      <c r="E998" s="24"/>
      <c r="F998" s="70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64"/>
    </row>
    <row r="999" spans="1:24" ht="14.4" x14ac:dyDescent="0.55000000000000004">
      <c r="A999" s="24"/>
      <c r="B999" s="24"/>
      <c r="C999" s="24"/>
      <c r="D999" s="24"/>
      <c r="E999" s="24"/>
      <c r="F999" s="70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64"/>
    </row>
    <row r="1000" spans="1:24" ht="14.4" x14ac:dyDescent="0.55000000000000004">
      <c r="A1000" s="24"/>
      <c r="B1000" s="24"/>
      <c r="C1000" s="24"/>
      <c r="D1000" s="24"/>
      <c r="E1000" s="24"/>
      <c r="F1000" s="70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64"/>
    </row>
    <row r="1001" spans="1:24" ht="14.4" x14ac:dyDescent="0.55000000000000004">
      <c r="A1001" s="24"/>
      <c r="B1001" s="24"/>
      <c r="C1001" s="24"/>
      <c r="D1001" s="24"/>
      <c r="E1001" s="24"/>
      <c r="F1001" s="70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64"/>
    </row>
    <row r="1002" spans="1:24" ht="14.4" x14ac:dyDescent="0.55000000000000004">
      <c r="A1002" s="24"/>
      <c r="B1002" s="24"/>
      <c r="C1002" s="24"/>
      <c r="D1002" s="24"/>
      <c r="E1002" s="24"/>
      <c r="F1002" s="70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64"/>
    </row>
    <row r="1003" spans="1:24" ht="14.4" x14ac:dyDescent="0.55000000000000004">
      <c r="A1003" s="24"/>
      <c r="B1003" s="24"/>
      <c r="C1003" s="24"/>
      <c r="D1003" s="24"/>
      <c r="E1003" s="24"/>
      <c r="F1003" s="70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64"/>
    </row>
    <row r="1004" spans="1:24" ht="14.4" x14ac:dyDescent="0.55000000000000004">
      <c r="A1004" s="24"/>
      <c r="B1004" s="24"/>
      <c r="C1004" s="24"/>
      <c r="D1004" s="24"/>
      <c r="E1004" s="24"/>
      <c r="F1004" s="70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64"/>
    </row>
    <row r="1005" spans="1:24" ht="14.4" x14ac:dyDescent="0.55000000000000004">
      <c r="A1005" s="24"/>
      <c r="B1005" s="24"/>
      <c r="C1005" s="24"/>
      <c r="D1005" s="24"/>
      <c r="E1005" s="24"/>
      <c r="F1005" s="70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64"/>
    </row>
    <row r="1006" spans="1:24" ht="14.4" x14ac:dyDescent="0.55000000000000004">
      <c r="A1006" s="24"/>
      <c r="B1006" s="24"/>
      <c r="C1006" s="24"/>
      <c r="D1006" s="24"/>
      <c r="E1006" s="24"/>
      <c r="F1006" s="70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64"/>
    </row>
    <row r="1007" spans="1:24" ht="14.4" x14ac:dyDescent="0.55000000000000004">
      <c r="A1007" s="24"/>
      <c r="B1007" s="24"/>
      <c r="C1007" s="24"/>
      <c r="D1007" s="24"/>
      <c r="E1007" s="24"/>
      <c r="F1007" s="70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64"/>
    </row>
    <row r="1008" spans="1:24" ht="14.4" x14ac:dyDescent="0.55000000000000004">
      <c r="A1008" s="24"/>
      <c r="B1008" s="24"/>
      <c r="C1008" s="24"/>
      <c r="D1008" s="24"/>
      <c r="E1008" s="24"/>
      <c r="F1008" s="70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64"/>
    </row>
    <row r="1009" spans="1:24" ht="14.4" x14ac:dyDescent="0.55000000000000004">
      <c r="A1009" s="24"/>
      <c r="B1009" s="24"/>
      <c r="C1009" s="24"/>
      <c r="D1009" s="24"/>
      <c r="E1009" s="24"/>
      <c r="F1009" s="70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64"/>
    </row>
    <row r="1010" spans="1:24" ht="14.4" x14ac:dyDescent="0.55000000000000004">
      <c r="A1010" s="24"/>
      <c r="B1010" s="24"/>
      <c r="C1010" s="24"/>
      <c r="D1010" s="24"/>
      <c r="E1010" s="24"/>
      <c r="F1010" s="70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64"/>
    </row>
    <row r="1011" spans="1:24" ht="14.4" x14ac:dyDescent="0.55000000000000004">
      <c r="A1011" s="24"/>
      <c r="B1011" s="24"/>
      <c r="C1011" s="24"/>
      <c r="D1011" s="24"/>
      <c r="E1011" s="24"/>
      <c r="F1011" s="70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64"/>
    </row>
    <row r="1012" spans="1:24" ht="14.4" x14ac:dyDescent="0.55000000000000004">
      <c r="A1012" s="24"/>
      <c r="B1012" s="24"/>
      <c r="C1012" s="24"/>
      <c r="D1012" s="24"/>
      <c r="E1012" s="24"/>
      <c r="F1012" s="70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64"/>
    </row>
    <row r="1013" spans="1:24" ht="14.4" x14ac:dyDescent="0.55000000000000004">
      <c r="A1013" s="24"/>
      <c r="B1013" s="24"/>
      <c r="C1013" s="24"/>
      <c r="D1013" s="24"/>
      <c r="E1013" s="24"/>
      <c r="F1013" s="70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64"/>
    </row>
    <row r="1014" spans="1:24" ht="14.4" x14ac:dyDescent="0.55000000000000004">
      <c r="A1014" s="24"/>
      <c r="B1014" s="24"/>
      <c r="C1014" s="24"/>
      <c r="D1014" s="24"/>
      <c r="E1014" s="24"/>
      <c r="F1014" s="70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64"/>
    </row>
    <row r="1015" spans="1:24" ht="14.4" x14ac:dyDescent="0.55000000000000004">
      <c r="A1015" s="24"/>
      <c r="B1015" s="24"/>
      <c r="C1015" s="24"/>
      <c r="D1015" s="24"/>
      <c r="E1015" s="24"/>
      <c r="F1015" s="70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64"/>
    </row>
    <row r="1016" spans="1:24" ht="14.4" x14ac:dyDescent="0.55000000000000004">
      <c r="A1016" s="24"/>
      <c r="B1016" s="24"/>
      <c r="C1016" s="24"/>
      <c r="D1016" s="24"/>
      <c r="E1016" s="24"/>
      <c r="F1016" s="70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64"/>
    </row>
    <row r="1017" spans="1:24" ht="14.4" x14ac:dyDescent="0.55000000000000004">
      <c r="A1017" s="24"/>
      <c r="B1017" s="24"/>
      <c r="C1017" s="24"/>
      <c r="D1017" s="24"/>
      <c r="E1017" s="24"/>
      <c r="F1017" s="70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64"/>
    </row>
    <row r="1018" spans="1:24" ht="14.4" x14ac:dyDescent="0.55000000000000004">
      <c r="A1018" s="24"/>
      <c r="B1018" s="24"/>
      <c r="C1018" s="24"/>
      <c r="D1018" s="24"/>
      <c r="E1018" s="24"/>
      <c r="F1018" s="70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64"/>
    </row>
    <row r="1019" spans="1:24" ht="14.4" x14ac:dyDescent="0.55000000000000004">
      <c r="A1019" s="24"/>
      <c r="B1019" s="24"/>
      <c r="C1019" s="24"/>
      <c r="D1019" s="24"/>
      <c r="E1019" s="24"/>
      <c r="F1019" s="70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64"/>
    </row>
    <row r="1020" spans="1:24" ht="14.4" x14ac:dyDescent="0.55000000000000004">
      <c r="A1020" s="24"/>
      <c r="B1020" s="24"/>
      <c r="C1020" s="24"/>
      <c r="D1020" s="24"/>
      <c r="E1020" s="24"/>
      <c r="F1020" s="70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64"/>
    </row>
    <row r="1021" spans="1:24" ht="14.4" x14ac:dyDescent="0.55000000000000004">
      <c r="A1021" s="24"/>
      <c r="B1021" s="24"/>
      <c r="C1021" s="24"/>
      <c r="D1021" s="24"/>
      <c r="E1021" s="24"/>
      <c r="F1021" s="70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64"/>
    </row>
    <row r="1022" spans="1:24" ht="14.4" x14ac:dyDescent="0.55000000000000004">
      <c r="A1022" s="24"/>
      <c r="B1022" s="24"/>
      <c r="C1022" s="24"/>
      <c r="D1022" s="24"/>
      <c r="E1022" s="24"/>
      <c r="F1022" s="70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64"/>
    </row>
    <row r="1023" spans="1:24" ht="14.4" x14ac:dyDescent="0.55000000000000004">
      <c r="A1023" s="24"/>
      <c r="B1023" s="24"/>
      <c r="C1023" s="24"/>
      <c r="D1023" s="24"/>
      <c r="E1023" s="24"/>
      <c r="F1023" s="70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64"/>
    </row>
    <row r="1024" spans="1:24" ht="14.4" x14ac:dyDescent="0.55000000000000004">
      <c r="A1024" s="24"/>
      <c r="B1024" s="24"/>
      <c r="C1024" s="24"/>
      <c r="D1024" s="24"/>
      <c r="E1024" s="24"/>
      <c r="F1024" s="70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64"/>
    </row>
    <row r="1025" spans="1:24" ht="14.4" x14ac:dyDescent="0.55000000000000004">
      <c r="A1025" s="24"/>
      <c r="B1025" s="24"/>
      <c r="C1025" s="24"/>
      <c r="D1025" s="24"/>
      <c r="E1025" s="24"/>
      <c r="F1025" s="70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64"/>
    </row>
    <row r="1026" spans="1:24" ht="14.4" x14ac:dyDescent="0.55000000000000004">
      <c r="A1026" s="24"/>
      <c r="B1026" s="24"/>
      <c r="C1026" s="24"/>
      <c r="D1026" s="24"/>
      <c r="E1026" s="24"/>
      <c r="F1026" s="70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64"/>
    </row>
    <row r="1027" spans="1:24" ht="14.4" x14ac:dyDescent="0.55000000000000004">
      <c r="A1027" s="24"/>
      <c r="B1027" s="24"/>
      <c r="C1027" s="24"/>
      <c r="D1027" s="24"/>
      <c r="E1027" s="24"/>
      <c r="F1027" s="70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64"/>
    </row>
    <row r="1028" spans="1:24" ht="14.4" x14ac:dyDescent="0.55000000000000004">
      <c r="A1028" s="24"/>
      <c r="B1028" s="24"/>
      <c r="C1028" s="24"/>
      <c r="D1028" s="24"/>
      <c r="E1028" s="24"/>
      <c r="F1028" s="70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64"/>
    </row>
    <row r="1029" spans="1:24" ht="14.4" x14ac:dyDescent="0.55000000000000004">
      <c r="A1029" s="24"/>
      <c r="B1029" s="24"/>
      <c r="C1029" s="24"/>
      <c r="D1029" s="24"/>
      <c r="E1029" s="24"/>
      <c r="F1029" s="70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64"/>
    </row>
    <row r="1030" spans="1:24" ht="14.4" x14ac:dyDescent="0.55000000000000004">
      <c r="A1030" s="24"/>
      <c r="B1030" s="24"/>
      <c r="C1030" s="24"/>
      <c r="D1030" s="24"/>
      <c r="E1030" s="24"/>
      <c r="F1030" s="70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64"/>
    </row>
    <row r="1031" spans="1:24" ht="14.4" x14ac:dyDescent="0.55000000000000004">
      <c r="A1031" s="24"/>
      <c r="B1031" s="24"/>
      <c r="C1031" s="24"/>
      <c r="D1031" s="24"/>
      <c r="E1031" s="24"/>
      <c r="F1031" s="70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64"/>
    </row>
    <row r="1032" spans="1:24" ht="14.4" x14ac:dyDescent="0.55000000000000004">
      <c r="A1032" s="24"/>
      <c r="B1032" s="24"/>
      <c r="C1032" s="24"/>
      <c r="D1032" s="24"/>
      <c r="E1032" s="24"/>
      <c r="F1032" s="70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64"/>
    </row>
    <row r="1033" spans="1:24" ht="14.4" x14ac:dyDescent="0.55000000000000004">
      <c r="A1033" s="24"/>
      <c r="B1033" s="24"/>
      <c r="C1033" s="24"/>
      <c r="D1033" s="24"/>
      <c r="E1033" s="24"/>
      <c r="F1033" s="70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64"/>
    </row>
    <row r="1034" spans="1:24" ht="14.4" x14ac:dyDescent="0.55000000000000004">
      <c r="A1034" s="24"/>
      <c r="B1034" s="24"/>
      <c r="C1034" s="24"/>
      <c r="D1034" s="24"/>
      <c r="E1034" s="24"/>
      <c r="F1034" s="70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64"/>
    </row>
    <row r="1035" spans="1:24" ht="14.4" x14ac:dyDescent="0.55000000000000004">
      <c r="A1035" s="24"/>
      <c r="B1035" s="24"/>
      <c r="C1035" s="24"/>
      <c r="D1035" s="24"/>
      <c r="E1035" s="24"/>
      <c r="F1035" s="70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64"/>
    </row>
    <row r="1036" spans="1:24" ht="14.4" x14ac:dyDescent="0.55000000000000004">
      <c r="A1036" s="24"/>
      <c r="B1036" s="24"/>
      <c r="C1036" s="24"/>
      <c r="D1036" s="24"/>
      <c r="E1036" s="24"/>
      <c r="F1036" s="70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64"/>
    </row>
    <row r="1037" spans="1:24" ht="14.4" x14ac:dyDescent="0.55000000000000004">
      <c r="A1037" s="24"/>
      <c r="B1037" s="24"/>
      <c r="C1037" s="24"/>
      <c r="D1037" s="24"/>
      <c r="E1037" s="24"/>
      <c r="F1037" s="70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64"/>
    </row>
    <row r="1038" spans="1:24" ht="14.4" x14ac:dyDescent="0.55000000000000004">
      <c r="A1038" s="24"/>
      <c r="B1038" s="24"/>
      <c r="C1038" s="24"/>
      <c r="D1038" s="24"/>
      <c r="E1038" s="24"/>
      <c r="F1038" s="70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64"/>
    </row>
    <row r="1039" spans="1:24" ht="14.4" x14ac:dyDescent="0.55000000000000004">
      <c r="A1039" s="24"/>
      <c r="B1039" s="24"/>
      <c r="C1039" s="24"/>
      <c r="D1039" s="24"/>
      <c r="E1039" s="24"/>
      <c r="F1039" s="70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64"/>
    </row>
    <row r="1040" spans="1:24" ht="14.4" x14ac:dyDescent="0.55000000000000004">
      <c r="A1040" s="24"/>
      <c r="B1040" s="24"/>
      <c r="C1040" s="24"/>
      <c r="D1040" s="24"/>
      <c r="E1040" s="24"/>
      <c r="F1040" s="70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64"/>
    </row>
    <row r="1041" spans="1:24" ht="14.4" x14ac:dyDescent="0.55000000000000004">
      <c r="A1041" s="24"/>
      <c r="B1041" s="24"/>
      <c r="C1041" s="24"/>
      <c r="D1041" s="24"/>
      <c r="E1041" s="24"/>
      <c r="F1041" s="70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64"/>
    </row>
    <row r="1042" spans="1:24" ht="14.4" x14ac:dyDescent="0.55000000000000004">
      <c r="A1042" s="24"/>
      <c r="B1042" s="24"/>
      <c r="C1042" s="24"/>
      <c r="D1042" s="24"/>
      <c r="E1042" s="24"/>
      <c r="F1042" s="70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64"/>
    </row>
    <row r="1043" spans="1:24" ht="14.4" x14ac:dyDescent="0.55000000000000004">
      <c r="A1043" s="24"/>
      <c r="B1043" s="24"/>
      <c r="C1043" s="24"/>
      <c r="D1043" s="24"/>
      <c r="E1043" s="24"/>
      <c r="F1043" s="70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64"/>
    </row>
    <row r="1044" spans="1:24" ht="14.4" x14ac:dyDescent="0.55000000000000004">
      <c r="A1044" s="24"/>
      <c r="B1044" s="24"/>
      <c r="C1044" s="24"/>
      <c r="D1044" s="24"/>
      <c r="E1044" s="24"/>
      <c r="F1044" s="70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64"/>
    </row>
    <row r="1045" spans="1:24" ht="14.4" x14ac:dyDescent="0.55000000000000004">
      <c r="A1045" s="24"/>
      <c r="B1045" s="24"/>
      <c r="C1045" s="24"/>
      <c r="D1045" s="24"/>
      <c r="E1045" s="24"/>
      <c r="F1045" s="70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64"/>
    </row>
    <row r="1046" spans="1:24" ht="14.4" x14ac:dyDescent="0.55000000000000004">
      <c r="A1046" s="24"/>
      <c r="B1046" s="24"/>
      <c r="C1046" s="24"/>
      <c r="D1046" s="24"/>
      <c r="E1046" s="24"/>
      <c r="F1046" s="70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64"/>
    </row>
    <row r="1047" spans="1:24" ht="14.4" x14ac:dyDescent="0.55000000000000004">
      <c r="A1047" s="24"/>
      <c r="B1047" s="24"/>
      <c r="C1047" s="24"/>
      <c r="D1047" s="24"/>
      <c r="E1047" s="24"/>
      <c r="F1047" s="70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64"/>
    </row>
    <row r="1048" spans="1:24" ht="14.4" x14ac:dyDescent="0.55000000000000004">
      <c r="A1048" s="24"/>
      <c r="B1048" s="24"/>
      <c r="C1048" s="24"/>
      <c r="D1048" s="24"/>
      <c r="E1048" s="24"/>
      <c r="F1048" s="70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64"/>
    </row>
    <row r="1049" spans="1:24" ht="14.4" x14ac:dyDescent="0.55000000000000004">
      <c r="A1049" s="24"/>
      <c r="B1049" s="24"/>
      <c r="C1049" s="24"/>
      <c r="D1049" s="24"/>
      <c r="E1049" s="24"/>
      <c r="F1049" s="70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64"/>
    </row>
    <row r="1050" spans="1:24" ht="14.4" x14ac:dyDescent="0.55000000000000004">
      <c r="A1050" s="24"/>
      <c r="B1050" s="24"/>
      <c r="C1050" s="24"/>
      <c r="D1050" s="24"/>
      <c r="E1050" s="24"/>
      <c r="F1050" s="70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64"/>
    </row>
    <row r="1051" spans="1:24" ht="14.4" x14ac:dyDescent="0.55000000000000004">
      <c r="A1051" s="24"/>
      <c r="B1051" s="24"/>
      <c r="C1051" s="24"/>
      <c r="D1051" s="24"/>
      <c r="E1051" s="24"/>
      <c r="F1051" s="70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64"/>
    </row>
    <row r="1052" spans="1:24" ht="14.4" x14ac:dyDescent="0.55000000000000004">
      <c r="A1052" s="24"/>
      <c r="B1052" s="24"/>
      <c r="C1052" s="24"/>
      <c r="D1052" s="24"/>
      <c r="E1052" s="24"/>
      <c r="F1052" s="70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64"/>
    </row>
    <row r="1053" spans="1:24" ht="14.4" x14ac:dyDescent="0.55000000000000004">
      <c r="A1053" s="24"/>
      <c r="B1053" s="24"/>
      <c r="C1053" s="24"/>
      <c r="D1053" s="24"/>
      <c r="E1053" s="24"/>
      <c r="F1053" s="70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64"/>
    </row>
    <row r="1054" spans="1:24" ht="14.4" x14ac:dyDescent="0.55000000000000004">
      <c r="A1054" s="24"/>
      <c r="B1054" s="24"/>
      <c r="C1054" s="24"/>
      <c r="D1054" s="24"/>
      <c r="E1054" s="24"/>
      <c r="F1054" s="70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64"/>
    </row>
    <row r="1055" spans="1:24" ht="14.4" x14ac:dyDescent="0.55000000000000004">
      <c r="A1055" s="24"/>
      <c r="B1055" s="24"/>
      <c r="C1055" s="24"/>
      <c r="D1055" s="24"/>
      <c r="E1055" s="24"/>
      <c r="F1055" s="70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64"/>
    </row>
    <row r="1056" spans="1:24" ht="14.4" x14ac:dyDescent="0.55000000000000004">
      <c r="A1056" s="24"/>
      <c r="B1056" s="24"/>
      <c r="C1056" s="24"/>
      <c r="D1056" s="24"/>
      <c r="E1056" s="24"/>
      <c r="F1056" s="70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64"/>
    </row>
    <row r="1057" spans="1:24" ht="14.4" x14ac:dyDescent="0.55000000000000004">
      <c r="A1057" s="24"/>
      <c r="B1057" s="24"/>
      <c r="C1057" s="24"/>
      <c r="D1057" s="24"/>
      <c r="E1057" s="24"/>
      <c r="F1057" s="70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64"/>
    </row>
    <row r="1058" spans="1:24" ht="14.4" x14ac:dyDescent="0.55000000000000004">
      <c r="A1058" s="24"/>
      <c r="B1058" s="24"/>
      <c r="C1058" s="24"/>
      <c r="D1058" s="24"/>
      <c r="E1058" s="24"/>
      <c r="F1058" s="70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64"/>
    </row>
    <row r="1059" spans="1:24" ht="14.4" x14ac:dyDescent="0.55000000000000004">
      <c r="A1059" s="24"/>
      <c r="B1059" s="24"/>
      <c r="C1059" s="24"/>
      <c r="D1059" s="24"/>
      <c r="E1059" s="24"/>
      <c r="F1059" s="70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64"/>
    </row>
    <row r="1060" spans="1:24" ht="14.4" x14ac:dyDescent="0.55000000000000004">
      <c r="A1060" s="24"/>
      <c r="B1060" s="24"/>
      <c r="C1060" s="24"/>
      <c r="D1060" s="24"/>
      <c r="E1060" s="24"/>
      <c r="F1060" s="70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64"/>
    </row>
    <row r="1061" spans="1:24" ht="14.4" x14ac:dyDescent="0.55000000000000004">
      <c r="A1061" s="24"/>
      <c r="B1061" s="24"/>
      <c r="C1061" s="24"/>
      <c r="D1061" s="24"/>
      <c r="E1061" s="24"/>
      <c r="F1061" s="70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64"/>
    </row>
    <row r="1062" spans="1:24" ht="14.4" x14ac:dyDescent="0.55000000000000004">
      <c r="A1062" s="24"/>
      <c r="B1062" s="24"/>
      <c r="C1062" s="24"/>
      <c r="D1062" s="24"/>
      <c r="E1062" s="24"/>
      <c r="F1062" s="70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64"/>
    </row>
    <row r="1063" spans="1:24" ht="14.4" x14ac:dyDescent="0.55000000000000004">
      <c r="A1063" s="24"/>
      <c r="B1063" s="24"/>
      <c r="C1063" s="24"/>
      <c r="D1063" s="24"/>
      <c r="E1063" s="24"/>
      <c r="F1063" s="70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64"/>
    </row>
    <row r="1064" spans="1:24" ht="14.4" x14ac:dyDescent="0.55000000000000004">
      <c r="A1064" s="24"/>
      <c r="B1064" s="24"/>
      <c r="C1064" s="24"/>
      <c r="D1064" s="24"/>
      <c r="E1064" s="24"/>
      <c r="F1064" s="70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64"/>
    </row>
    <row r="1065" spans="1:24" ht="14.4" x14ac:dyDescent="0.55000000000000004">
      <c r="A1065" s="24"/>
      <c r="B1065" s="24"/>
      <c r="C1065" s="24"/>
      <c r="D1065" s="24"/>
      <c r="E1065" s="24"/>
      <c r="F1065" s="70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64"/>
    </row>
    <row r="1066" spans="1:24" ht="14.4" x14ac:dyDescent="0.55000000000000004">
      <c r="A1066" s="24"/>
      <c r="B1066" s="24"/>
      <c r="C1066" s="24"/>
      <c r="D1066" s="24"/>
      <c r="E1066" s="24"/>
      <c r="F1066" s="70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64"/>
    </row>
    <row r="1067" spans="1:24" ht="14.4" x14ac:dyDescent="0.55000000000000004">
      <c r="A1067" s="24"/>
      <c r="B1067" s="24"/>
      <c r="C1067" s="24"/>
      <c r="D1067" s="24"/>
      <c r="E1067" s="24"/>
      <c r="F1067" s="70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64"/>
    </row>
    <row r="1068" spans="1:24" ht="14.4" x14ac:dyDescent="0.55000000000000004">
      <c r="A1068" s="24"/>
      <c r="B1068" s="24"/>
      <c r="C1068" s="24"/>
      <c r="D1068" s="24"/>
      <c r="E1068" s="24"/>
      <c r="F1068" s="70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64"/>
    </row>
    <row r="1069" spans="1:24" ht="14.4" x14ac:dyDescent="0.55000000000000004">
      <c r="A1069" s="24"/>
      <c r="B1069" s="24"/>
      <c r="C1069" s="24"/>
      <c r="D1069" s="24"/>
      <c r="E1069" s="24"/>
      <c r="F1069" s="70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64"/>
    </row>
    <row r="1070" spans="1:24" ht="14.4" x14ac:dyDescent="0.55000000000000004">
      <c r="A1070" s="24"/>
      <c r="B1070" s="24"/>
      <c r="C1070" s="24"/>
      <c r="D1070" s="24"/>
      <c r="E1070" s="24"/>
      <c r="F1070" s="70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64"/>
    </row>
    <row r="1071" spans="1:24" ht="14.4" x14ac:dyDescent="0.55000000000000004">
      <c r="A1071" s="24"/>
      <c r="B1071" s="24"/>
      <c r="C1071" s="24"/>
      <c r="D1071" s="24"/>
      <c r="E1071" s="24"/>
      <c r="F1071" s="70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64"/>
    </row>
    <row r="1072" spans="1:24" ht="14.4" x14ac:dyDescent="0.55000000000000004">
      <c r="A1072" s="24"/>
      <c r="B1072" s="24"/>
      <c r="C1072" s="24"/>
      <c r="D1072" s="24"/>
      <c r="E1072" s="24"/>
      <c r="F1072" s="70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64"/>
    </row>
    <row r="1073" spans="1:24" ht="14.4" x14ac:dyDescent="0.55000000000000004">
      <c r="A1073" s="24"/>
      <c r="B1073" s="24"/>
      <c r="C1073" s="24"/>
      <c r="D1073" s="24"/>
      <c r="E1073" s="24"/>
      <c r="F1073" s="70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64"/>
    </row>
    <row r="1074" spans="1:24" ht="14.4" x14ac:dyDescent="0.55000000000000004">
      <c r="A1074" s="24"/>
      <c r="B1074" s="24"/>
      <c r="C1074" s="24"/>
      <c r="D1074" s="24"/>
      <c r="E1074" s="24"/>
      <c r="F1074" s="70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64"/>
    </row>
    <row r="1075" spans="1:24" ht="14.4" x14ac:dyDescent="0.55000000000000004">
      <c r="A1075" s="24"/>
      <c r="B1075" s="24"/>
      <c r="C1075" s="24"/>
      <c r="D1075" s="24"/>
      <c r="E1075" s="24"/>
      <c r="F1075" s="70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64"/>
    </row>
    <row r="1076" spans="1:24" ht="14.4" x14ac:dyDescent="0.55000000000000004">
      <c r="A1076" s="24"/>
      <c r="B1076" s="24"/>
      <c r="C1076" s="24"/>
      <c r="D1076" s="24"/>
      <c r="E1076" s="24"/>
      <c r="F1076" s="70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64"/>
    </row>
    <row r="1077" spans="1:24" ht="14.4" x14ac:dyDescent="0.55000000000000004">
      <c r="A1077" s="24"/>
      <c r="B1077" s="24"/>
      <c r="C1077" s="24"/>
      <c r="D1077" s="24"/>
      <c r="E1077" s="24"/>
      <c r="F1077" s="70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64"/>
    </row>
    <row r="1078" spans="1:24" ht="14.4" x14ac:dyDescent="0.55000000000000004">
      <c r="A1078" s="24"/>
      <c r="B1078" s="24"/>
      <c r="C1078" s="24"/>
      <c r="D1078" s="24"/>
      <c r="E1078" s="24"/>
      <c r="F1078" s="70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64"/>
    </row>
    <row r="1079" spans="1:24" ht="14.4" x14ac:dyDescent="0.55000000000000004">
      <c r="A1079" s="24"/>
      <c r="B1079" s="24"/>
      <c r="C1079" s="24"/>
      <c r="D1079" s="24"/>
      <c r="E1079" s="24"/>
      <c r="F1079" s="70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64"/>
    </row>
    <row r="1080" spans="1:24" ht="14.4" x14ac:dyDescent="0.55000000000000004">
      <c r="A1080" s="24"/>
      <c r="B1080" s="24"/>
      <c r="C1080" s="24"/>
      <c r="D1080" s="24"/>
      <c r="E1080" s="24"/>
      <c r="F1080" s="70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64"/>
    </row>
    <row r="1081" spans="1:24" ht="14.4" x14ac:dyDescent="0.55000000000000004">
      <c r="A1081" s="24"/>
      <c r="B1081" s="24"/>
      <c r="C1081" s="24"/>
      <c r="D1081" s="24"/>
      <c r="E1081" s="24"/>
      <c r="F1081" s="70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64"/>
    </row>
    <row r="1082" spans="1:24" ht="14.4" x14ac:dyDescent="0.55000000000000004">
      <c r="A1082" s="24"/>
      <c r="B1082" s="24"/>
      <c r="C1082" s="24"/>
      <c r="D1082" s="24"/>
      <c r="E1082" s="24"/>
      <c r="F1082" s="70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64"/>
    </row>
    <row r="1083" spans="1:24" ht="14.4" x14ac:dyDescent="0.55000000000000004">
      <c r="A1083" s="24"/>
      <c r="B1083" s="24"/>
      <c r="C1083" s="24"/>
      <c r="D1083" s="24"/>
      <c r="E1083" s="24"/>
      <c r="F1083" s="70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64"/>
    </row>
    <row r="1084" spans="1:24" ht="14.4" x14ac:dyDescent="0.55000000000000004">
      <c r="A1084" s="24"/>
      <c r="B1084" s="24"/>
      <c r="C1084" s="24"/>
      <c r="D1084" s="24"/>
      <c r="E1084" s="24"/>
      <c r="F1084" s="70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64"/>
    </row>
    <row r="1085" spans="1:24" ht="14.4" x14ac:dyDescent="0.55000000000000004">
      <c r="A1085" s="24"/>
      <c r="B1085" s="24"/>
      <c r="C1085" s="24"/>
      <c r="D1085" s="24"/>
      <c r="E1085" s="24"/>
      <c r="F1085" s="70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64"/>
    </row>
    <row r="1086" spans="1:24" ht="14.4" x14ac:dyDescent="0.55000000000000004">
      <c r="A1086" s="24"/>
      <c r="B1086" s="24"/>
      <c r="C1086" s="24"/>
      <c r="D1086" s="24"/>
      <c r="E1086" s="24"/>
      <c r="F1086" s="70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64"/>
    </row>
    <row r="1087" spans="1:24" ht="14.4" x14ac:dyDescent="0.55000000000000004">
      <c r="A1087" s="24"/>
      <c r="B1087" s="24"/>
      <c r="C1087" s="24"/>
      <c r="D1087" s="24"/>
      <c r="E1087" s="24"/>
      <c r="F1087" s="70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64"/>
    </row>
    <row r="1088" spans="1:24" ht="14.4" x14ac:dyDescent="0.55000000000000004">
      <c r="A1088" s="24"/>
      <c r="B1088" s="24"/>
      <c r="C1088" s="24"/>
      <c r="D1088" s="24"/>
      <c r="E1088" s="24"/>
      <c r="F1088" s="70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64"/>
    </row>
    <row r="1089" spans="1:24" ht="14.4" x14ac:dyDescent="0.55000000000000004">
      <c r="A1089" s="24"/>
      <c r="B1089" s="24"/>
      <c r="C1089" s="24"/>
      <c r="D1089" s="24"/>
      <c r="E1089" s="24"/>
      <c r="F1089" s="70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64"/>
    </row>
    <row r="1090" spans="1:24" ht="14.4" x14ac:dyDescent="0.55000000000000004">
      <c r="A1090" s="24"/>
      <c r="B1090" s="24"/>
      <c r="C1090" s="24"/>
      <c r="D1090" s="24"/>
      <c r="E1090" s="24"/>
      <c r="F1090" s="70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64"/>
    </row>
    <row r="1091" spans="1:24" ht="14.4" x14ac:dyDescent="0.55000000000000004">
      <c r="A1091" s="24"/>
      <c r="B1091" s="24"/>
      <c r="C1091" s="24"/>
      <c r="D1091" s="24"/>
      <c r="E1091" s="24"/>
      <c r="F1091" s="70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64"/>
    </row>
    <row r="1092" spans="1:24" ht="14.4" x14ac:dyDescent="0.55000000000000004">
      <c r="A1092" s="24"/>
      <c r="B1092" s="24"/>
      <c r="C1092" s="24"/>
      <c r="D1092" s="24"/>
      <c r="E1092" s="24"/>
      <c r="F1092" s="70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64"/>
    </row>
    <row r="1093" spans="1:24" ht="14.4" x14ac:dyDescent="0.55000000000000004">
      <c r="A1093" s="24"/>
      <c r="B1093" s="24"/>
      <c r="C1093" s="24"/>
      <c r="D1093" s="24"/>
      <c r="E1093" s="24"/>
      <c r="F1093" s="70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64"/>
    </row>
    <row r="1094" spans="1:24" ht="14.4" x14ac:dyDescent="0.55000000000000004">
      <c r="A1094" s="24"/>
      <c r="B1094" s="24"/>
      <c r="C1094" s="24"/>
      <c r="D1094" s="24"/>
      <c r="E1094" s="24"/>
      <c r="F1094" s="70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64"/>
    </row>
    <row r="1095" spans="1:24" ht="14.4" x14ac:dyDescent="0.55000000000000004">
      <c r="A1095" s="24"/>
      <c r="B1095" s="24"/>
      <c r="C1095" s="24"/>
      <c r="D1095" s="24"/>
      <c r="E1095" s="24"/>
      <c r="F1095" s="70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64"/>
    </row>
    <row r="1096" spans="1:24" ht="14.4" x14ac:dyDescent="0.55000000000000004">
      <c r="A1096" s="24"/>
      <c r="B1096" s="24"/>
      <c r="C1096" s="24"/>
      <c r="D1096" s="24"/>
      <c r="E1096" s="24"/>
      <c r="F1096" s="70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64"/>
    </row>
    <row r="1097" spans="1:24" ht="14.4" x14ac:dyDescent="0.55000000000000004">
      <c r="A1097" s="24"/>
      <c r="B1097" s="24"/>
      <c r="C1097" s="24"/>
      <c r="D1097" s="24"/>
      <c r="E1097" s="24"/>
      <c r="F1097" s="70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64"/>
    </row>
    <row r="1098" spans="1:24" ht="14.4" x14ac:dyDescent="0.55000000000000004">
      <c r="A1098" s="24"/>
      <c r="B1098" s="24"/>
      <c r="C1098" s="24"/>
      <c r="D1098" s="24"/>
      <c r="E1098" s="24"/>
      <c r="F1098" s="70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64"/>
    </row>
    <row r="1099" spans="1:24" ht="14.4" x14ac:dyDescent="0.55000000000000004">
      <c r="A1099" s="24"/>
      <c r="B1099" s="24"/>
      <c r="C1099" s="24"/>
      <c r="D1099" s="24"/>
      <c r="E1099" s="24"/>
      <c r="F1099" s="70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64"/>
    </row>
    <row r="1100" spans="1:24" ht="14.4" x14ac:dyDescent="0.55000000000000004">
      <c r="A1100" s="24"/>
      <c r="B1100" s="24"/>
      <c r="C1100" s="24"/>
      <c r="D1100" s="24"/>
      <c r="E1100" s="24"/>
      <c r="F1100" s="70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64"/>
    </row>
    <row r="1101" spans="1:24" ht="14.4" x14ac:dyDescent="0.55000000000000004">
      <c r="A1101" s="24"/>
      <c r="B1101" s="24"/>
      <c r="C1101" s="24"/>
      <c r="D1101" s="24"/>
      <c r="E1101" s="24"/>
      <c r="F1101" s="70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64"/>
    </row>
    <row r="1102" spans="1:24" ht="14.4" x14ac:dyDescent="0.55000000000000004">
      <c r="A1102" s="24"/>
      <c r="B1102" s="24"/>
      <c r="C1102" s="24"/>
      <c r="D1102" s="24"/>
      <c r="E1102" s="24"/>
      <c r="F1102" s="70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64"/>
    </row>
    <row r="1103" spans="1:24" ht="14.4" x14ac:dyDescent="0.55000000000000004">
      <c r="A1103" s="24"/>
      <c r="B1103" s="24"/>
      <c r="C1103" s="24"/>
      <c r="D1103" s="24"/>
      <c r="E1103" s="24"/>
      <c r="F1103" s="70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64"/>
    </row>
    <row r="1104" spans="1:24" ht="14.4" x14ac:dyDescent="0.55000000000000004">
      <c r="A1104" s="24"/>
      <c r="B1104" s="24"/>
      <c r="C1104" s="24"/>
      <c r="D1104" s="24"/>
      <c r="E1104" s="24"/>
      <c r="F1104" s="70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64"/>
    </row>
    <row r="1105" spans="1:24" ht="14.4" x14ac:dyDescent="0.55000000000000004">
      <c r="A1105" s="24"/>
      <c r="B1105" s="24"/>
      <c r="C1105" s="24"/>
      <c r="D1105" s="24"/>
      <c r="E1105" s="24"/>
      <c r="F1105" s="70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64"/>
    </row>
    <row r="1106" spans="1:24" ht="14.4" x14ac:dyDescent="0.55000000000000004">
      <c r="A1106" s="24"/>
      <c r="B1106" s="24"/>
      <c r="C1106" s="24"/>
      <c r="D1106" s="24"/>
      <c r="E1106" s="24"/>
      <c r="F1106" s="70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64"/>
    </row>
    <row r="1107" spans="1:24" ht="14.4" x14ac:dyDescent="0.55000000000000004">
      <c r="A1107" s="24"/>
      <c r="B1107" s="24"/>
      <c r="C1107" s="24"/>
      <c r="D1107" s="24"/>
      <c r="E1107" s="24"/>
      <c r="F1107" s="70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64"/>
    </row>
    <row r="1108" spans="1:24" ht="14.4" x14ac:dyDescent="0.55000000000000004">
      <c r="A1108" s="24"/>
      <c r="B1108" s="24"/>
      <c r="C1108" s="24"/>
      <c r="D1108" s="24"/>
      <c r="E1108" s="24"/>
      <c r="F1108" s="70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64"/>
    </row>
    <row r="1109" spans="1:24" ht="14.4" x14ac:dyDescent="0.55000000000000004">
      <c r="A1109" s="24"/>
      <c r="B1109" s="24"/>
      <c r="C1109" s="24"/>
      <c r="D1109" s="24"/>
      <c r="E1109" s="24"/>
      <c r="F1109" s="70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64"/>
    </row>
    <row r="1110" spans="1:24" ht="14.4" x14ac:dyDescent="0.55000000000000004">
      <c r="A1110" s="24"/>
      <c r="B1110" s="24"/>
      <c r="C1110" s="24"/>
      <c r="D1110" s="24"/>
      <c r="E1110" s="24"/>
      <c r="F1110" s="70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64"/>
    </row>
    <row r="1111" spans="1:24" ht="14.4" x14ac:dyDescent="0.55000000000000004">
      <c r="A1111" s="24"/>
      <c r="B1111" s="24"/>
      <c r="C1111" s="24"/>
      <c r="D1111" s="24"/>
      <c r="E1111" s="24"/>
      <c r="F1111" s="70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64"/>
    </row>
    <row r="1112" spans="1:24" ht="14.4" x14ac:dyDescent="0.55000000000000004">
      <c r="A1112" s="24"/>
      <c r="B1112" s="24"/>
      <c r="C1112" s="24"/>
      <c r="D1112" s="24"/>
      <c r="E1112" s="24"/>
      <c r="F1112" s="70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64"/>
    </row>
    <row r="1113" spans="1:24" ht="14.4" x14ac:dyDescent="0.55000000000000004">
      <c r="A1113" s="24"/>
      <c r="B1113" s="24"/>
      <c r="C1113" s="24"/>
      <c r="D1113" s="24"/>
      <c r="E1113" s="24"/>
      <c r="F1113" s="70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64"/>
    </row>
    <row r="1114" spans="1:24" ht="14.4" x14ac:dyDescent="0.55000000000000004">
      <c r="A1114" s="24"/>
      <c r="B1114" s="24"/>
      <c r="C1114" s="24"/>
      <c r="D1114" s="24"/>
      <c r="E1114" s="24"/>
      <c r="F1114" s="70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64"/>
    </row>
    <row r="1115" spans="1:24" ht="14.4" x14ac:dyDescent="0.55000000000000004">
      <c r="A1115" s="24"/>
      <c r="B1115" s="24"/>
      <c r="C1115" s="24"/>
      <c r="D1115" s="24"/>
      <c r="E1115" s="24"/>
      <c r="F1115" s="70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64"/>
    </row>
    <row r="1116" spans="1:24" ht="14.4" x14ac:dyDescent="0.55000000000000004">
      <c r="A1116" s="24"/>
      <c r="B1116" s="24"/>
      <c r="C1116" s="24"/>
      <c r="D1116" s="24"/>
      <c r="E1116" s="24"/>
      <c r="F1116" s="70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64"/>
    </row>
    <row r="1117" spans="1:24" ht="14.4" x14ac:dyDescent="0.55000000000000004">
      <c r="A1117" s="24"/>
      <c r="B1117" s="24"/>
      <c r="C1117" s="24"/>
      <c r="D1117" s="24"/>
      <c r="E1117" s="24"/>
      <c r="F1117" s="70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64"/>
    </row>
    <row r="1118" spans="1:24" ht="14.4" x14ac:dyDescent="0.55000000000000004">
      <c r="A1118" s="24"/>
      <c r="B1118" s="24"/>
      <c r="C1118" s="24"/>
      <c r="D1118" s="24"/>
      <c r="E1118" s="24"/>
      <c r="F1118" s="70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64"/>
    </row>
    <row r="1119" spans="1:24" ht="14.4" x14ac:dyDescent="0.55000000000000004">
      <c r="A1119" s="24"/>
      <c r="B1119" s="24"/>
      <c r="C1119" s="24"/>
      <c r="D1119" s="24"/>
      <c r="E1119" s="24"/>
      <c r="F1119" s="70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64"/>
    </row>
    <row r="1120" spans="1:24" ht="14.4" x14ac:dyDescent="0.55000000000000004">
      <c r="A1120" s="24"/>
      <c r="B1120" s="24"/>
      <c r="C1120" s="24"/>
      <c r="D1120" s="24"/>
      <c r="E1120" s="24"/>
      <c r="F1120" s="70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64"/>
    </row>
    <row r="1121" spans="1:24" ht="14.4" x14ac:dyDescent="0.55000000000000004">
      <c r="A1121" s="24"/>
      <c r="B1121" s="24"/>
      <c r="C1121" s="24"/>
      <c r="D1121" s="24"/>
      <c r="E1121" s="24"/>
      <c r="F1121" s="70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64"/>
    </row>
    <row r="1122" spans="1:24" ht="14.4" x14ac:dyDescent="0.55000000000000004">
      <c r="A1122" s="24"/>
      <c r="B1122" s="24"/>
      <c r="C1122" s="24"/>
      <c r="D1122" s="24"/>
      <c r="E1122" s="24"/>
      <c r="F1122" s="70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64"/>
    </row>
    <row r="1123" spans="1:24" ht="14.4" x14ac:dyDescent="0.55000000000000004">
      <c r="A1123" s="24"/>
      <c r="B1123" s="24"/>
      <c r="C1123" s="24"/>
      <c r="D1123" s="24"/>
      <c r="E1123" s="24"/>
      <c r="F1123" s="70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64"/>
    </row>
    <row r="1124" spans="1:24" ht="14.4" x14ac:dyDescent="0.55000000000000004">
      <c r="A1124" s="24"/>
      <c r="B1124" s="24"/>
      <c r="C1124" s="24"/>
      <c r="D1124" s="24"/>
      <c r="E1124" s="24"/>
      <c r="F1124" s="70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64"/>
    </row>
    <row r="1125" spans="1:24" ht="14.4" x14ac:dyDescent="0.55000000000000004">
      <c r="A1125" s="24"/>
      <c r="B1125" s="24"/>
      <c r="C1125" s="24"/>
      <c r="D1125" s="24"/>
      <c r="E1125" s="24"/>
      <c r="F1125" s="70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64"/>
    </row>
    <row r="1126" spans="1:24" ht="14.4" x14ac:dyDescent="0.55000000000000004">
      <c r="A1126" s="24"/>
      <c r="B1126" s="24"/>
      <c r="C1126" s="24"/>
      <c r="D1126" s="24"/>
      <c r="E1126" s="24"/>
      <c r="F1126" s="70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64"/>
    </row>
    <row r="1127" spans="1:24" ht="14.4" x14ac:dyDescent="0.55000000000000004">
      <c r="A1127" s="24"/>
      <c r="B1127" s="24"/>
      <c r="C1127" s="24"/>
      <c r="D1127" s="24"/>
      <c r="E1127" s="24"/>
      <c r="F1127" s="70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64"/>
    </row>
    <row r="1128" spans="1:24" ht="14.4" x14ac:dyDescent="0.55000000000000004">
      <c r="A1128" s="24"/>
      <c r="B1128" s="24"/>
      <c r="C1128" s="24"/>
      <c r="D1128" s="24"/>
      <c r="E1128" s="24"/>
      <c r="F1128" s="70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64"/>
    </row>
    <row r="1129" spans="1:24" ht="14.4" x14ac:dyDescent="0.55000000000000004">
      <c r="A1129" s="24"/>
      <c r="B1129" s="24"/>
      <c r="C1129" s="24"/>
      <c r="D1129" s="24"/>
      <c r="E1129" s="24"/>
      <c r="F1129" s="70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64"/>
    </row>
    <row r="1130" spans="1:24" ht="14.4" x14ac:dyDescent="0.55000000000000004">
      <c r="A1130" s="24"/>
      <c r="B1130" s="24"/>
      <c r="C1130" s="24"/>
      <c r="D1130" s="24"/>
      <c r="E1130" s="24"/>
      <c r="F1130" s="70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64"/>
    </row>
    <row r="1131" spans="1:24" ht="14.4" x14ac:dyDescent="0.55000000000000004">
      <c r="A1131" s="24"/>
      <c r="B1131" s="24"/>
      <c r="C1131" s="24"/>
      <c r="D1131" s="24"/>
      <c r="E1131" s="24"/>
      <c r="F1131" s="70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64"/>
    </row>
    <row r="1132" spans="1:24" ht="14.4" x14ac:dyDescent="0.55000000000000004">
      <c r="A1132" s="24"/>
      <c r="B1132" s="24"/>
      <c r="C1132" s="24"/>
      <c r="D1132" s="24"/>
      <c r="E1132" s="24"/>
      <c r="F1132" s="70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64"/>
    </row>
    <row r="1133" spans="1:24" ht="14.4" x14ac:dyDescent="0.55000000000000004">
      <c r="A1133" s="24"/>
      <c r="B1133" s="24"/>
      <c r="C1133" s="24"/>
      <c r="D1133" s="24"/>
      <c r="E1133" s="24"/>
      <c r="F1133" s="70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64"/>
    </row>
    <row r="1134" spans="1:24" ht="14.4" x14ac:dyDescent="0.55000000000000004">
      <c r="A1134" s="24"/>
      <c r="B1134" s="24"/>
      <c r="C1134" s="24"/>
      <c r="D1134" s="24"/>
      <c r="E1134" s="24"/>
      <c r="F1134" s="70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64"/>
    </row>
    <row r="1135" spans="1:24" ht="14.4" x14ac:dyDescent="0.55000000000000004">
      <c r="A1135" s="24"/>
      <c r="B1135" s="24"/>
      <c r="C1135" s="24"/>
      <c r="D1135" s="24"/>
      <c r="E1135" s="24"/>
      <c r="F1135" s="70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64"/>
    </row>
    <row r="1136" spans="1:24" ht="14.4" x14ac:dyDescent="0.55000000000000004">
      <c r="A1136" s="24"/>
      <c r="B1136" s="24"/>
      <c r="C1136" s="24"/>
      <c r="D1136" s="24"/>
      <c r="E1136" s="24"/>
      <c r="F1136" s="70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64"/>
    </row>
    <row r="1137" spans="1:24" ht="14.4" x14ac:dyDescent="0.55000000000000004">
      <c r="A1137" s="24"/>
      <c r="B1137" s="24"/>
      <c r="C1137" s="24"/>
      <c r="D1137" s="24"/>
      <c r="E1137" s="24"/>
      <c r="F1137" s="70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64"/>
    </row>
    <row r="1138" spans="1:24" ht="14.4" x14ac:dyDescent="0.55000000000000004">
      <c r="A1138" s="24"/>
      <c r="B1138" s="24"/>
      <c r="C1138" s="24"/>
      <c r="D1138" s="24"/>
      <c r="E1138" s="24"/>
      <c r="F1138" s="70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64"/>
    </row>
    <row r="1139" spans="1:24" ht="14.4" x14ac:dyDescent="0.55000000000000004">
      <c r="A1139" s="24"/>
      <c r="B1139" s="24"/>
      <c r="C1139" s="24"/>
      <c r="D1139" s="24"/>
      <c r="E1139" s="24"/>
      <c r="F1139" s="70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64"/>
    </row>
    <row r="1140" spans="1:24" ht="14.4" x14ac:dyDescent="0.55000000000000004">
      <c r="A1140" s="24"/>
      <c r="B1140" s="24"/>
      <c r="C1140" s="24"/>
      <c r="D1140" s="24"/>
      <c r="E1140" s="24"/>
      <c r="F1140" s="70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64"/>
    </row>
    <row r="1141" spans="1:24" ht="14.4" x14ac:dyDescent="0.55000000000000004">
      <c r="A1141" s="24"/>
      <c r="B1141" s="24"/>
      <c r="C1141" s="24"/>
      <c r="D1141" s="24"/>
      <c r="E1141" s="24"/>
      <c r="F1141" s="70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64"/>
    </row>
    <row r="1142" spans="1:24" ht="14.4" x14ac:dyDescent="0.55000000000000004">
      <c r="A1142" s="24"/>
      <c r="B1142" s="24"/>
      <c r="C1142" s="24"/>
      <c r="D1142" s="24"/>
      <c r="E1142" s="24"/>
      <c r="F1142" s="70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64"/>
    </row>
    <row r="1143" spans="1:24" ht="14.4" x14ac:dyDescent="0.55000000000000004">
      <c r="A1143" s="24"/>
      <c r="B1143" s="24"/>
      <c r="C1143" s="24"/>
      <c r="D1143" s="24"/>
      <c r="E1143" s="24"/>
      <c r="F1143" s="70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64"/>
    </row>
    <row r="1144" spans="1:24" ht="14.4" x14ac:dyDescent="0.55000000000000004">
      <c r="A1144" s="24"/>
      <c r="B1144" s="24"/>
      <c r="C1144" s="24"/>
      <c r="D1144" s="24"/>
      <c r="E1144" s="24"/>
      <c r="F1144" s="70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64"/>
    </row>
    <row r="1145" spans="1:24" ht="14.4" x14ac:dyDescent="0.55000000000000004">
      <c r="A1145" s="24"/>
      <c r="B1145" s="24"/>
      <c r="C1145" s="24"/>
      <c r="D1145" s="24"/>
      <c r="E1145" s="24"/>
      <c r="F1145" s="70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64"/>
    </row>
    <row r="1146" spans="1:24" ht="14.4" x14ac:dyDescent="0.55000000000000004">
      <c r="A1146" s="24"/>
      <c r="B1146" s="24"/>
      <c r="C1146" s="24"/>
      <c r="D1146" s="24"/>
      <c r="E1146" s="24"/>
      <c r="F1146" s="70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64"/>
    </row>
    <row r="1147" spans="1:24" ht="14.4" x14ac:dyDescent="0.55000000000000004">
      <c r="A1147" s="24"/>
      <c r="B1147" s="24"/>
      <c r="C1147" s="24"/>
      <c r="D1147" s="24"/>
      <c r="E1147" s="24"/>
      <c r="F1147" s="70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64"/>
    </row>
    <row r="1148" spans="1:24" ht="14.4" x14ac:dyDescent="0.55000000000000004">
      <c r="A1148" s="24"/>
      <c r="B1148" s="24"/>
      <c r="C1148" s="24"/>
      <c r="D1148" s="24"/>
      <c r="E1148" s="24"/>
      <c r="F1148" s="70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64"/>
    </row>
    <row r="1149" spans="1:24" ht="14.4" x14ac:dyDescent="0.55000000000000004">
      <c r="A1149" s="24"/>
      <c r="B1149" s="24"/>
      <c r="C1149" s="24"/>
      <c r="D1149" s="24"/>
      <c r="E1149" s="24"/>
      <c r="F1149" s="70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64"/>
    </row>
    <row r="1150" spans="1:24" ht="14.4" x14ac:dyDescent="0.55000000000000004">
      <c r="A1150" s="24"/>
      <c r="B1150" s="24"/>
      <c r="C1150" s="24"/>
      <c r="D1150" s="24"/>
      <c r="E1150" s="24"/>
      <c r="F1150" s="70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64"/>
    </row>
    <row r="1151" spans="1:24" ht="15" customHeight="1" x14ac:dyDescent="0.55000000000000004">
      <c r="A1151" s="24"/>
      <c r="B1151" s="24"/>
      <c r="C1151" s="24"/>
      <c r="D1151" s="24"/>
      <c r="E1151" s="24"/>
      <c r="F1151" s="70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64"/>
    </row>
    <row r="1152" spans="1:24" x14ac:dyDescent="0.55000000000000004">
      <c r="F1152" s="51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X1152" s="64"/>
    </row>
    <row r="1153" spans="6:24" x14ac:dyDescent="0.55000000000000004">
      <c r="F1153" s="51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X1153" s="64"/>
    </row>
    <row r="1154" spans="6:24" x14ac:dyDescent="0.55000000000000004">
      <c r="F1154" s="51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X1154" s="64"/>
    </row>
    <row r="1155" spans="6:24" x14ac:dyDescent="0.55000000000000004">
      <c r="F1155" s="51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X1155" s="64"/>
    </row>
    <row r="1156" spans="6:24" x14ac:dyDescent="0.55000000000000004">
      <c r="F1156" s="51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X1156" s="64"/>
    </row>
    <row r="1157" spans="6:24" x14ac:dyDescent="0.55000000000000004">
      <c r="F1157" s="51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X1157" s="64"/>
    </row>
    <row r="1158" spans="6:24" x14ac:dyDescent="0.55000000000000004">
      <c r="F1158" s="51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X1158" s="64"/>
    </row>
    <row r="1159" spans="6:24" x14ac:dyDescent="0.55000000000000004">
      <c r="F1159" s="51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X1159" s="64"/>
    </row>
    <row r="1160" spans="6:24" x14ac:dyDescent="0.55000000000000004">
      <c r="F1160" s="51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X1160" s="64"/>
    </row>
    <row r="1161" spans="6:24" x14ac:dyDescent="0.55000000000000004">
      <c r="F1161" s="51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X1161" s="64"/>
    </row>
    <row r="1162" spans="6:24" x14ac:dyDescent="0.55000000000000004">
      <c r="F1162" s="51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X1162" s="64"/>
    </row>
    <row r="1163" spans="6:24" x14ac:dyDescent="0.55000000000000004">
      <c r="F1163" s="51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X1163" s="64"/>
    </row>
    <row r="1164" spans="6:24" x14ac:dyDescent="0.55000000000000004">
      <c r="F1164" s="51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X1164" s="64"/>
    </row>
    <row r="1165" spans="6:24" x14ac:dyDescent="0.55000000000000004">
      <c r="F1165" s="51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X1165" s="64"/>
    </row>
    <row r="1166" spans="6:24" x14ac:dyDescent="0.55000000000000004">
      <c r="F1166" s="51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X1166" s="64"/>
    </row>
    <row r="1167" spans="6:24" x14ac:dyDescent="0.55000000000000004">
      <c r="F1167" s="51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X1167" s="64"/>
    </row>
    <row r="1168" spans="6:24" x14ac:dyDescent="0.55000000000000004">
      <c r="F1168" s="51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X1168" s="64"/>
    </row>
    <row r="1169" spans="6:24" x14ac:dyDescent="0.55000000000000004">
      <c r="F1169" s="51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X1169" s="64"/>
    </row>
    <row r="1170" spans="6:24" x14ac:dyDescent="0.55000000000000004">
      <c r="F1170" s="51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X1170" s="64"/>
    </row>
    <row r="1171" spans="6:24" x14ac:dyDescent="0.55000000000000004">
      <c r="F1171" s="51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X1171" s="64"/>
    </row>
    <row r="1172" spans="6:24" x14ac:dyDescent="0.55000000000000004">
      <c r="F1172" s="51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X1172" s="64"/>
    </row>
    <row r="1173" spans="6:24" x14ac:dyDescent="0.55000000000000004">
      <c r="F1173" s="51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X1173" s="64"/>
    </row>
    <row r="1174" spans="6:24" x14ac:dyDescent="0.55000000000000004">
      <c r="F1174" s="51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X1174" s="64"/>
    </row>
    <row r="1175" spans="6:24" x14ac:dyDescent="0.55000000000000004">
      <c r="F1175" s="51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X1175" s="64"/>
    </row>
    <row r="1176" spans="6:24" x14ac:dyDescent="0.55000000000000004">
      <c r="F1176" s="51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X1176" s="64"/>
    </row>
    <row r="1177" spans="6:24" x14ac:dyDescent="0.55000000000000004">
      <c r="F1177" s="51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X1177" s="64"/>
    </row>
    <row r="1178" spans="6:24" x14ac:dyDescent="0.55000000000000004">
      <c r="F1178" s="51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X1178" s="64"/>
    </row>
    <row r="1179" spans="6:24" x14ac:dyDescent="0.55000000000000004">
      <c r="F1179" s="51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X1179" s="64"/>
    </row>
    <row r="1180" spans="6:24" x14ac:dyDescent="0.55000000000000004">
      <c r="F1180" s="51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X1180" s="64"/>
    </row>
    <row r="1181" spans="6:24" x14ac:dyDescent="0.55000000000000004">
      <c r="F1181" s="51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X1181" s="64"/>
    </row>
    <row r="1182" spans="6:24" x14ac:dyDescent="0.55000000000000004">
      <c r="F1182" s="51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X1182" s="64"/>
    </row>
    <row r="1183" spans="6:24" x14ac:dyDescent="0.55000000000000004">
      <c r="F1183" s="51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X1183" s="64"/>
    </row>
    <row r="1184" spans="6:24" x14ac:dyDescent="0.55000000000000004">
      <c r="F1184" s="51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X1184" s="64"/>
    </row>
    <row r="1185" spans="6:24" x14ac:dyDescent="0.55000000000000004">
      <c r="F1185" s="51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X1185" s="64"/>
    </row>
    <row r="1186" spans="6:24" x14ac:dyDescent="0.55000000000000004">
      <c r="F1186" s="51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X1186" s="64"/>
    </row>
    <row r="1187" spans="6:24" x14ac:dyDescent="0.55000000000000004">
      <c r="F1187" s="51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X1187" s="64"/>
    </row>
    <row r="1188" spans="6:24" x14ac:dyDescent="0.55000000000000004">
      <c r="F1188" s="51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X1188" s="64"/>
    </row>
    <row r="1189" spans="6:24" x14ac:dyDescent="0.55000000000000004">
      <c r="F1189" s="51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X1189" s="64"/>
    </row>
    <row r="1190" spans="6:24" x14ac:dyDescent="0.55000000000000004">
      <c r="F1190" s="51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X1190" s="64"/>
    </row>
    <row r="1191" spans="6:24" x14ac:dyDescent="0.55000000000000004">
      <c r="F1191" s="51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X1191" s="64"/>
    </row>
    <row r="1192" spans="6:24" x14ac:dyDescent="0.55000000000000004">
      <c r="F1192" s="51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X1192" s="64"/>
    </row>
    <row r="1193" spans="6:24" x14ac:dyDescent="0.55000000000000004">
      <c r="F1193" s="51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X1193" s="64"/>
    </row>
    <row r="1194" spans="6:24" x14ac:dyDescent="0.55000000000000004">
      <c r="F1194" s="51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X1194" s="64"/>
    </row>
    <row r="1195" spans="6:24" x14ac:dyDescent="0.55000000000000004">
      <c r="F1195" s="51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X1195" s="64"/>
    </row>
    <row r="1196" spans="6:24" x14ac:dyDescent="0.55000000000000004">
      <c r="F1196" s="51"/>
      <c r="G1196" s="24"/>
      <c r="H1196" s="24"/>
      <c r="I1196" s="24"/>
      <c r="J1196" s="24"/>
      <c r="K1196" s="24"/>
      <c r="L1196" s="24"/>
      <c r="M1196" s="53"/>
      <c r="N1196" s="24"/>
      <c r="O1196" s="24"/>
      <c r="P1196" s="24"/>
      <c r="Q1196" s="24"/>
      <c r="R1196" s="24"/>
      <c r="S1196" s="24"/>
      <c r="T1196" s="24"/>
      <c r="U1196" s="24"/>
      <c r="X1196" s="64"/>
    </row>
    <row r="1197" spans="6:24" x14ac:dyDescent="0.55000000000000004">
      <c r="F1197" s="51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X1197" s="64"/>
    </row>
    <row r="1198" spans="6:24" x14ac:dyDescent="0.55000000000000004">
      <c r="F1198" s="51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X1198" s="64"/>
    </row>
    <row r="1199" spans="6:24" x14ac:dyDescent="0.55000000000000004">
      <c r="F1199" s="51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X1199" s="64"/>
    </row>
    <row r="1200" spans="6:24" x14ac:dyDescent="0.55000000000000004">
      <c r="F1200" s="51"/>
      <c r="K1200" s="24"/>
      <c r="L1200" s="24"/>
      <c r="M1200" s="24"/>
      <c r="N1200" s="52"/>
      <c r="O1200" s="24"/>
      <c r="P1200" s="24"/>
      <c r="Q1200" s="24"/>
      <c r="R1200" s="24"/>
      <c r="S1200" s="24"/>
      <c r="T1200" s="24"/>
      <c r="U1200" s="24"/>
      <c r="X1200" s="64"/>
    </row>
    <row r="1201" spans="6:24" x14ac:dyDescent="0.55000000000000004">
      <c r="F1201" s="51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X1201" s="64"/>
    </row>
    <row r="1202" spans="6:24" x14ac:dyDescent="0.55000000000000004">
      <c r="F1202" s="51"/>
      <c r="G1202" s="24"/>
      <c r="H1202" s="24"/>
      <c r="I1202" s="24"/>
      <c r="J1202" s="24"/>
      <c r="K1202" s="24"/>
      <c r="L1202" s="24"/>
      <c r="N1202" s="24"/>
      <c r="O1202" s="24"/>
      <c r="P1202" s="24"/>
      <c r="Q1202" s="24"/>
      <c r="R1202" s="24"/>
      <c r="S1202" s="24"/>
      <c r="T1202" s="24"/>
      <c r="U1202" s="24"/>
      <c r="X1202" s="64"/>
    </row>
    <row r="1203" spans="6:24" x14ac:dyDescent="0.55000000000000004">
      <c r="F1203" s="51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X1203" s="64"/>
    </row>
    <row r="1204" spans="6:24" x14ac:dyDescent="0.55000000000000004">
      <c r="F1204" s="51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X1204" s="64"/>
    </row>
    <row r="1205" spans="6:24" x14ac:dyDescent="0.55000000000000004">
      <c r="F1205" s="51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X1205" s="64"/>
    </row>
    <row r="1206" spans="6:24" x14ac:dyDescent="0.55000000000000004">
      <c r="F1206" s="51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X1206" s="64"/>
    </row>
    <row r="1207" spans="6:24" x14ac:dyDescent="0.55000000000000004">
      <c r="F1207" s="51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X1207" s="64"/>
    </row>
    <row r="1208" spans="6:24" x14ac:dyDescent="0.55000000000000004">
      <c r="F1208" s="51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X1208" s="64"/>
    </row>
    <row r="1209" spans="6:24" x14ac:dyDescent="0.55000000000000004">
      <c r="F1209" s="51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X1209" s="64"/>
    </row>
    <row r="1210" spans="6:24" x14ac:dyDescent="0.55000000000000004">
      <c r="F1210" s="51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X1210" s="64"/>
    </row>
    <row r="1211" spans="6:24" x14ac:dyDescent="0.55000000000000004">
      <c r="F1211" s="51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X1211" s="64"/>
    </row>
    <row r="1212" spans="6:24" x14ac:dyDescent="0.55000000000000004">
      <c r="F1212" s="51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X1212" s="64"/>
    </row>
    <row r="1213" spans="6:24" x14ac:dyDescent="0.55000000000000004">
      <c r="F1213" s="51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X1213" s="64"/>
    </row>
    <row r="1214" spans="6:24" x14ac:dyDescent="0.55000000000000004">
      <c r="F1214" s="51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X1214" s="64"/>
    </row>
    <row r="1215" spans="6:24" x14ac:dyDescent="0.55000000000000004">
      <c r="F1215" s="51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X1215" s="64"/>
    </row>
    <row r="1216" spans="6:24" x14ac:dyDescent="0.55000000000000004">
      <c r="F1216" s="51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X1216" s="64"/>
    </row>
    <row r="1217" spans="6:24" x14ac:dyDescent="0.55000000000000004">
      <c r="F1217" s="51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X1217" s="64"/>
    </row>
    <row r="1218" spans="6:24" x14ac:dyDescent="0.55000000000000004">
      <c r="F1218" s="51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X1218" s="64"/>
    </row>
    <row r="1219" spans="6:24" x14ac:dyDescent="0.55000000000000004">
      <c r="F1219" s="51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X1219" s="64"/>
    </row>
    <row r="1220" spans="6:24" x14ac:dyDescent="0.55000000000000004">
      <c r="F1220" s="51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X1220" s="64"/>
    </row>
    <row r="1221" spans="6:24" x14ac:dyDescent="0.55000000000000004">
      <c r="F1221" s="51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X1221" s="64"/>
    </row>
    <row r="1222" spans="6:24" x14ac:dyDescent="0.55000000000000004">
      <c r="F1222" s="51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X1222" s="64"/>
    </row>
    <row r="1223" spans="6:24" x14ac:dyDescent="0.55000000000000004">
      <c r="F1223" s="51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X1223" s="64"/>
    </row>
    <row r="1224" spans="6:24" x14ac:dyDescent="0.55000000000000004">
      <c r="F1224" s="51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X1224" s="64"/>
    </row>
    <row r="1225" spans="6:24" x14ac:dyDescent="0.55000000000000004">
      <c r="F1225" s="51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X1225" s="64"/>
    </row>
    <row r="1226" spans="6:24" x14ac:dyDescent="0.55000000000000004">
      <c r="F1226" s="51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X1226" s="64"/>
    </row>
    <row r="1227" spans="6:24" x14ac:dyDescent="0.55000000000000004">
      <c r="F1227" s="51"/>
      <c r="K1227" s="24"/>
      <c r="L1227" s="24"/>
      <c r="M1227" s="24"/>
      <c r="N1227" s="52"/>
      <c r="O1227" s="24"/>
      <c r="P1227" s="24"/>
      <c r="Q1227" s="24"/>
      <c r="R1227" s="24"/>
      <c r="S1227" s="24"/>
      <c r="T1227" s="24"/>
      <c r="U1227" s="24"/>
      <c r="X1227" s="64"/>
    </row>
    <row r="1228" spans="6:24" x14ac:dyDescent="0.55000000000000004">
      <c r="F1228" s="51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X1228" s="64"/>
    </row>
    <row r="1229" spans="6:24" x14ac:dyDescent="0.55000000000000004">
      <c r="F1229" s="51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X1229" s="64"/>
    </row>
    <row r="1230" spans="6:24" x14ac:dyDescent="0.55000000000000004">
      <c r="F1230" s="51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X1230" s="64"/>
    </row>
    <row r="1231" spans="6:24" x14ac:dyDescent="0.55000000000000004">
      <c r="F1231" s="51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X1231" s="64"/>
    </row>
    <row r="1232" spans="6:24" x14ac:dyDescent="0.55000000000000004">
      <c r="F1232" s="51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X1232" s="64"/>
    </row>
    <row r="1233" spans="6:24" x14ac:dyDescent="0.55000000000000004">
      <c r="F1233" s="51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X1233" s="64"/>
    </row>
    <row r="1234" spans="6:24" x14ac:dyDescent="0.55000000000000004">
      <c r="F1234" s="51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X1234" s="64"/>
    </row>
    <row r="1235" spans="6:24" x14ac:dyDescent="0.55000000000000004">
      <c r="F1235" s="51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X1235" s="64"/>
    </row>
    <row r="1236" spans="6:24" x14ac:dyDescent="0.55000000000000004">
      <c r="F1236" s="51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X1236" s="64"/>
    </row>
    <row r="1237" spans="6:24" x14ac:dyDescent="0.55000000000000004">
      <c r="F1237" s="51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X1237" s="64"/>
    </row>
    <row r="1238" spans="6:24" x14ac:dyDescent="0.55000000000000004">
      <c r="F1238" s="51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X1238" s="64"/>
    </row>
    <row r="1239" spans="6:24" x14ac:dyDescent="0.55000000000000004">
      <c r="F1239" s="51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X1239" s="64"/>
    </row>
    <row r="1240" spans="6:24" x14ac:dyDescent="0.55000000000000004">
      <c r="F1240" s="51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X1240" s="64"/>
    </row>
    <row r="1241" spans="6:24" x14ac:dyDescent="0.55000000000000004">
      <c r="F1241" s="51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X1241" s="64"/>
    </row>
    <row r="1242" spans="6:24" x14ac:dyDescent="0.55000000000000004">
      <c r="F1242" s="51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X1242" s="64"/>
    </row>
    <row r="1243" spans="6:24" x14ac:dyDescent="0.55000000000000004">
      <c r="F1243" s="51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X1243" s="64"/>
    </row>
    <row r="1244" spans="6:24" x14ac:dyDescent="0.55000000000000004">
      <c r="F1244" s="51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X1244" s="64"/>
    </row>
    <row r="1245" spans="6:24" x14ac:dyDescent="0.55000000000000004">
      <c r="F1245" s="51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X1245" s="64"/>
    </row>
    <row r="1246" spans="6:24" x14ac:dyDescent="0.55000000000000004">
      <c r="F1246" s="51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X1246" s="64"/>
    </row>
    <row r="1247" spans="6:24" x14ac:dyDescent="0.55000000000000004">
      <c r="F1247" s="51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X1247" s="64"/>
    </row>
    <row r="1248" spans="6:24" x14ac:dyDescent="0.55000000000000004">
      <c r="F1248" s="51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X1248" s="64"/>
    </row>
    <row r="1249" spans="6:24" x14ac:dyDescent="0.55000000000000004">
      <c r="F1249" s="51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X1249" s="64"/>
    </row>
    <row r="1250" spans="6:24" x14ac:dyDescent="0.55000000000000004">
      <c r="F1250" s="51"/>
      <c r="M1250" s="21"/>
      <c r="X1250" s="64"/>
    </row>
    <row r="1251" spans="6:24" x14ac:dyDescent="0.55000000000000004">
      <c r="F1251" s="51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X1251" s="64"/>
    </row>
    <row r="1252" spans="6:24" x14ac:dyDescent="0.55000000000000004">
      <c r="F1252" s="51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X1252" s="64"/>
    </row>
    <row r="1253" spans="6:24" x14ac:dyDescent="0.55000000000000004">
      <c r="F1253" s="51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X1253" s="64"/>
    </row>
    <row r="1254" spans="6:24" x14ac:dyDescent="0.55000000000000004">
      <c r="F1254" s="51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X1254" s="64"/>
    </row>
    <row r="1255" spans="6:24" x14ac:dyDescent="0.55000000000000004">
      <c r="F1255" s="51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X1255" s="64"/>
    </row>
    <row r="1256" spans="6:24" x14ac:dyDescent="0.55000000000000004">
      <c r="F1256" s="51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X1256" s="64"/>
    </row>
    <row r="1257" spans="6:24" x14ac:dyDescent="0.55000000000000004">
      <c r="F1257" s="51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X1257" s="64"/>
    </row>
    <row r="1258" spans="6:24" x14ac:dyDescent="0.55000000000000004">
      <c r="F1258" s="51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X1258" s="64"/>
    </row>
    <row r="1259" spans="6:24" x14ac:dyDescent="0.55000000000000004">
      <c r="F1259" s="51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X1259" s="64"/>
    </row>
    <row r="1260" spans="6:24" x14ac:dyDescent="0.55000000000000004">
      <c r="F1260" s="51"/>
      <c r="K1260" s="24"/>
      <c r="L1260" s="24"/>
      <c r="N1260" s="24"/>
      <c r="O1260" s="24"/>
      <c r="P1260" s="24"/>
      <c r="Q1260" s="24"/>
      <c r="R1260" s="24"/>
      <c r="S1260" s="24"/>
      <c r="T1260" s="24"/>
      <c r="U1260" s="24"/>
      <c r="X1260" s="64"/>
    </row>
    <row r="1261" spans="6:24" x14ac:dyDescent="0.55000000000000004">
      <c r="F1261" s="51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X1261" s="64"/>
    </row>
    <row r="1262" spans="6:24" x14ac:dyDescent="0.55000000000000004">
      <c r="F1262" s="51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X1262" s="64"/>
    </row>
    <row r="1263" spans="6:24" x14ac:dyDescent="0.55000000000000004">
      <c r="F1263" s="51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X1263" s="64"/>
    </row>
    <row r="1264" spans="6:24" x14ac:dyDescent="0.55000000000000004">
      <c r="F1264" s="51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X1264" s="64"/>
    </row>
    <row r="1265" spans="6:24" x14ac:dyDescent="0.55000000000000004">
      <c r="F1265" s="51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X1265" s="64"/>
    </row>
    <row r="1266" spans="6:24" x14ac:dyDescent="0.55000000000000004">
      <c r="F1266" s="51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X1266" s="64"/>
    </row>
    <row r="1267" spans="6:24" x14ac:dyDescent="0.55000000000000004">
      <c r="F1267" s="51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X1267" s="64"/>
    </row>
    <row r="1268" spans="6:24" x14ac:dyDescent="0.55000000000000004">
      <c r="F1268" s="51"/>
      <c r="G1268" s="24"/>
      <c r="H1268" s="24"/>
      <c r="I1268" s="24"/>
      <c r="J1268" s="24"/>
      <c r="K1268" s="24"/>
      <c r="L1268" s="24"/>
      <c r="N1268" s="24"/>
      <c r="O1268" s="24"/>
      <c r="P1268" s="24"/>
      <c r="Q1268" s="24"/>
      <c r="R1268" s="24"/>
      <c r="S1268" s="24"/>
      <c r="T1268" s="24"/>
      <c r="U1268" s="24"/>
      <c r="X1268" s="64"/>
    </row>
    <row r="1269" spans="6:24" x14ac:dyDescent="0.55000000000000004">
      <c r="F1269" s="51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X1269" s="64"/>
    </row>
    <row r="1270" spans="6:24" x14ac:dyDescent="0.55000000000000004">
      <c r="F1270" s="51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X1270" s="64"/>
    </row>
    <row r="1271" spans="6:24" x14ac:dyDescent="0.55000000000000004">
      <c r="F1271" s="51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X1271" s="64"/>
    </row>
    <row r="1272" spans="6:24" x14ac:dyDescent="0.55000000000000004">
      <c r="F1272" s="51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X1272" s="64"/>
    </row>
    <row r="1273" spans="6:24" x14ac:dyDescent="0.55000000000000004">
      <c r="F1273" s="51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X1273" s="64"/>
    </row>
    <row r="1274" spans="6:24" x14ac:dyDescent="0.55000000000000004">
      <c r="F1274" s="51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X1274" s="64"/>
    </row>
    <row r="1275" spans="6:24" x14ac:dyDescent="0.55000000000000004">
      <c r="F1275" s="51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X1275" s="64"/>
    </row>
    <row r="1276" spans="6:24" x14ac:dyDescent="0.55000000000000004">
      <c r="F1276" s="51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X1276" s="64"/>
    </row>
    <row r="1277" spans="6:24" x14ac:dyDescent="0.55000000000000004">
      <c r="F1277" s="51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X1277" s="64"/>
    </row>
    <row r="1278" spans="6:24" x14ac:dyDescent="0.55000000000000004">
      <c r="F1278" s="51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X1278" s="64"/>
    </row>
    <row r="1279" spans="6:24" x14ac:dyDescent="0.55000000000000004">
      <c r="F1279" s="51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X1279" s="64"/>
    </row>
    <row r="1280" spans="6:24" x14ac:dyDescent="0.55000000000000004">
      <c r="F1280" s="51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X1280" s="64"/>
    </row>
    <row r="1281" spans="6:24" x14ac:dyDescent="0.55000000000000004">
      <c r="F1281" s="51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X1281" s="64"/>
    </row>
    <row r="1282" spans="6:24" x14ac:dyDescent="0.55000000000000004">
      <c r="F1282" s="51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X1282" s="64"/>
    </row>
    <row r="1283" spans="6:24" x14ac:dyDescent="0.55000000000000004">
      <c r="F1283" s="51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X1283" s="64"/>
    </row>
    <row r="1284" spans="6:24" x14ac:dyDescent="0.55000000000000004">
      <c r="F1284" s="51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X1284" s="64"/>
    </row>
    <row r="1285" spans="6:24" x14ac:dyDescent="0.55000000000000004">
      <c r="F1285" s="51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X1285" s="64"/>
    </row>
    <row r="1286" spans="6:24" x14ac:dyDescent="0.55000000000000004">
      <c r="F1286" s="51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X1286" s="64"/>
    </row>
    <row r="1287" spans="6:24" x14ac:dyDescent="0.55000000000000004">
      <c r="F1287" s="51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X1287" s="64"/>
    </row>
    <row r="1288" spans="6:24" x14ac:dyDescent="0.55000000000000004">
      <c r="F1288" s="51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X1288" s="64"/>
    </row>
    <row r="1289" spans="6:24" x14ac:dyDescent="0.55000000000000004">
      <c r="F1289" s="51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X1289" s="64"/>
    </row>
    <row r="1290" spans="6:24" x14ac:dyDescent="0.55000000000000004">
      <c r="F1290" s="51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X1290" s="64"/>
    </row>
    <row r="1291" spans="6:24" x14ac:dyDescent="0.55000000000000004">
      <c r="F1291" s="51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X1291" s="64"/>
    </row>
    <row r="1292" spans="6:24" x14ac:dyDescent="0.55000000000000004">
      <c r="F1292" s="51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X1292" s="64"/>
    </row>
    <row r="1293" spans="6:24" x14ac:dyDescent="0.55000000000000004">
      <c r="F1293" s="51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X1293" s="64"/>
    </row>
    <row r="1294" spans="6:24" x14ac:dyDescent="0.55000000000000004">
      <c r="F1294" s="51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X1294" s="64"/>
    </row>
    <row r="1295" spans="6:24" x14ac:dyDescent="0.55000000000000004">
      <c r="F1295" s="51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X1295" s="64"/>
    </row>
    <row r="1296" spans="6:24" x14ac:dyDescent="0.55000000000000004">
      <c r="F1296" s="51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X1296" s="64"/>
    </row>
    <row r="1297" spans="6:24" x14ac:dyDescent="0.55000000000000004">
      <c r="F1297" s="51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X1297" s="64"/>
    </row>
    <row r="1298" spans="6:24" x14ac:dyDescent="0.55000000000000004">
      <c r="F1298" s="51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X1298" s="64"/>
    </row>
    <row r="1299" spans="6:24" x14ac:dyDescent="0.55000000000000004">
      <c r="F1299" s="51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X1299" s="64"/>
    </row>
    <row r="1300" spans="6:24" x14ac:dyDescent="0.55000000000000004">
      <c r="F1300" s="51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X1300" s="64"/>
    </row>
    <row r="1301" spans="6:24" x14ac:dyDescent="0.55000000000000004">
      <c r="F1301" s="51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X1301" s="64"/>
    </row>
    <row r="1302" spans="6:24" x14ac:dyDescent="0.55000000000000004">
      <c r="F1302" s="51"/>
      <c r="M1302" s="21"/>
      <c r="X1302" s="64"/>
    </row>
    <row r="1303" spans="6:24" x14ac:dyDescent="0.55000000000000004">
      <c r="F1303" s="51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X1303" s="64"/>
    </row>
    <row r="1304" spans="6:24" x14ac:dyDescent="0.55000000000000004">
      <c r="F1304" s="51"/>
      <c r="M1304" s="21"/>
      <c r="X1304" s="64"/>
    </row>
    <row r="1305" spans="6:24" x14ac:dyDescent="0.55000000000000004">
      <c r="F1305" s="51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X1305" s="64"/>
    </row>
    <row r="1306" spans="6:24" x14ac:dyDescent="0.55000000000000004">
      <c r="F1306" s="51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X1306" s="64"/>
    </row>
    <row r="1307" spans="6:24" x14ac:dyDescent="0.55000000000000004">
      <c r="F1307" s="51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X1307" s="64"/>
    </row>
    <row r="1308" spans="6:24" x14ac:dyDescent="0.55000000000000004">
      <c r="F1308" s="51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X1308" s="64"/>
    </row>
    <row r="1309" spans="6:24" x14ac:dyDescent="0.55000000000000004">
      <c r="F1309" s="51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X1309" s="64"/>
    </row>
    <row r="1310" spans="6:24" x14ac:dyDescent="0.55000000000000004">
      <c r="F1310" s="51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X1310" s="64"/>
    </row>
    <row r="1311" spans="6:24" x14ac:dyDescent="0.55000000000000004">
      <c r="F1311" s="51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X1311" s="64"/>
    </row>
    <row r="1312" spans="6:24" x14ac:dyDescent="0.55000000000000004">
      <c r="F1312" s="51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X1312" s="64"/>
    </row>
    <row r="1313" spans="6:24" x14ac:dyDescent="0.55000000000000004">
      <c r="F1313" s="51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X1313" s="64"/>
    </row>
    <row r="1314" spans="6:24" x14ac:dyDescent="0.55000000000000004">
      <c r="F1314" s="51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X1314" s="64"/>
    </row>
    <row r="1315" spans="6:24" x14ac:dyDescent="0.55000000000000004">
      <c r="F1315" s="51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X1315" s="64"/>
    </row>
    <row r="1316" spans="6:24" x14ac:dyDescent="0.55000000000000004">
      <c r="F1316" s="51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X1316" s="64"/>
    </row>
    <row r="1317" spans="6:24" x14ac:dyDescent="0.55000000000000004">
      <c r="F1317" s="51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X1317" s="64"/>
    </row>
    <row r="1318" spans="6:24" x14ac:dyDescent="0.55000000000000004">
      <c r="F1318" s="51"/>
      <c r="K1318" s="24"/>
      <c r="L1318" s="24"/>
      <c r="N1318" s="24"/>
      <c r="O1318" s="24"/>
      <c r="P1318" s="24"/>
      <c r="Q1318" s="24"/>
      <c r="R1318" s="24"/>
      <c r="S1318" s="24"/>
      <c r="T1318" s="24"/>
      <c r="U1318" s="24"/>
      <c r="X1318" s="64"/>
    </row>
    <row r="1319" spans="6:24" x14ac:dyDescent="0.55000000000000004">
      <c r="F1319" s="51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X1319" s="64"/>
    </row>
    <row r="1320" spans="6:24" x14ac:dyDescent="0.55000000000000004">
      <c r="F1320" s="51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X1320" s="64"/>
    </row>
    <row r="1321" spans="6:24" x14ac:dyDescent="0.55000000000000004">
      <c r="F1321" s="51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X1321" s="64"/>
    </row>
    <row r="1322" spans="6:24" x14ac:dyDescent="0.55000000000000004">
      <c r="F1322" s="51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X1322" s="64"/>
    </row>
    <row r="1323" spans="6:24" x14ac:dyDescent="0.55000000000000004">
      <c r="F1323" s="51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X1323" s="64"/>
    </row>
    <row r="1324" spans="6:24" x14ac:dyDescent="0.55000000000000004">
      <c r="F1324" s="51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X1324" s="64"/>
    </row>
    <row r="1325" spans="6:24" x14ac:dyDescent="0.55000000000000004">
      <c r="F1325" s="51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X1325" s="64"/>
    </row>
    <row r="1326" spans="6:24" x14ac:dyDescent="0.55000000000000004">
      <c r="F1326" s="51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X1326" s="64"/>
    </row>
    <row r="1327" spans="6:24" x14ac:dyDescent="0.55000000000000004">
      <c r="F1327" s="51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X1327" s="64"/>
    </row>
    <row r="1328" spans="6:24" x14ac:dyDescent="0.55000000000000004">
      <c r="F1328" s="51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X1328" s="64"/>
    </row>
    <row r="1329" spans="6:24" x14ac:dyDescent="0.55000000000000004">
      <c r="F1329" s="51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X1329" s="64"/>
    </row>
    <row r="1330" spans="6:24" x14ac:dyDescent="0.55000000000000004">
      <c r="F1330" s="51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X1330" s="64"/>
    </row>
    <row r="1331" spans="6:24" x14ac:dyDescent="0.55000000000000004">
      <c r="F1331" s="51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X1331" s="64"/>
    </row>
    <row r="1332" spans="6:24" x14ac:dyDescent="0.55000000000000004">
      <c r="F1332" s="51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X1332" s="64"/>
    </row>
    <row r="1333" spans="6:24" x14ac:dyDescent="0.55000000000000004">
      <c r="F1333" s="51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X1333" s="64"/>
    </row>
    <row r="1334" spans="6:24" x14ac:dyDescent="0.55000000000000004">
      <c r="F1334" s="51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X1334" s="64"/>
    </row>
    <row r="1335" spans="6:24" x14ac:dyDescent="0.55000000000000004">
      <c r="F1335" s="51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X1335" s="64"/>
    </row>
    <row r="1336" spans="6:24" x14ac:dyDescent="0.55000000000000004">
      <c r="F1336" s="51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X1336" s="64"/>
    </row>
    <row r="1337" spans="6:24" x14ac:dyDescent="0.55000000000000004">
      <c r="F1337" s="51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X1337" s="64"/>
    </row>
    <row r="1338" spans="6:24" x14ac:dyDescent="0.55000000000000004">
      <c r="F1338" s="51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X1338" s="64"/>
    </row>
    <row r="1339" spans="6:24" x14ac:dyDescent="0.55000000000000004">
      <c r="F1339" s="51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X1339" s="64"/>
    </row>
    <row r="1340" spans="6:24" x14ac:dyDescent="0.55000000000000004">
      <c r="F1340" s="51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X1340" s="64"/>
    </row>
    <row r="1341" spans="6:24" x14ac:dyDescent="0.55000000000000004">
      <c r="F1341" s="51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X1341" s="64"/>
    </row>
    <row r="1342" spans="6:24" x14ac:dyDescent="0.55000000000000004">
      <c r="F1342" s="51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X1342" s="64"/>
    </row>
    <row r="1343" spans="6:24" x14ac:dyDescent="0.55000000000000004">
      <c r="F1343" s="51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X1343" s="64"/>
    </row>
    <row r="1344" spans="6:24" x14ac:dyDescent="0.55000000000000004">
      <c r="F1344" s="51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X1344" s="64"/>
    </row>
    <row r="1345" spans="6:24" x14ac:dyDescent="0.55000000000000004">
      <c r="F1345" s="51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X1345" s="64"/>
    </row>
    <row r="1346" spans="6:24" x14ac:dyDescent="0.55000000000000004">
      <c r="F1346" s="51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X1346" s="64"/>
    </row>
    <row r="1347" spans="6:24" x14ac:dyDescent="0.55000000000000004">
      <c r="F1347" s="51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X1347" s="64"/>
    </row>
    <row r="1348" spans="6:24" x14ac:dyDescent="0.55000000000000004">
      <c r="F1348" s="51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X1348" s="64"/>
    </row>
    <row r="1349" spans="6:24" x14ac:dyDescent="0.55000000000000004">
      <c r="F1349" s="51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X1349" s="64"/>
    </row>
    <row r="1350" spans="6:24" x14ac:dyDescent="0.55000000000000004">
      <c r="F1350" s="51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X1350" s="64"/>
    </row>
    <row r="1351" spans="6:24" x14ac:dyDescent="0.55000000000000004">
      <c r="F1351" s="51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X1351" s="64"/>
    </row>
    <row r="1352" spans="6:24" x14ac:dyDescent="0.55000000000000004">
      <c r="F1352" s="51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X1352" s="64"/>
    </row>
    <row r="1353" spans="6:24" x14ac:dyDescent="0.55000000000000004">
      <c r="F1353" s="51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X1353" s="64"/>
    </row>
    <row r="1354" spans="6:24" x14ac:dyDescent="0.55000000000000004">
      <c r="F1354" s="51"/>
      <c r="G1354" s="24"/>
      <c r="H1354" s="24"/>
      <c r="I1354" s="24"/>
      <c r="J1354" s="24"/>
      <c r="K1354" s="24"/>
      <c r="L1354" s="24"/>
      <c r="N1354" s="24"/>
      <c r="O1354" s="24"/>
      <c r="P1354" s="24"/>
      <c r="Q1354" s="24"/>
      <c r="R1354" s="24"/>
      <c r="S1354" s="24"/>
      <c r="T1354" s="24"/>
      <c r="U1354" s="24"/>
      <c r="X1354" s="64"/>
    </row>
    <row r="1355" spans="6:24" x14ac:dyDescent="0.55000000000000004">
      <c r="F1355" s="51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X1355" s="64"/>
    </row>
    <row r="1356" spans="6:24" x14ac:dyDescent="0.55000000000000004">
      <c r="F1356" s="51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X1356" s="64"/>
    </row>
    <row r="1357" spans="6:24" x14ac:dyDescent="0.55000000000000004">
      <c r="F1357" s="51"/>
      <c r="K1357" s="24"/>
      <c r="L1357" s="24"/>
      <c r="N1357" s="24"/>
      <c r="O1357" s="24"/>
      <c r="P1357" s="24"/>
      <c r="Q1357" s="24"/>
      <c r="R1357" s="24"/>
      <c r="S1357" s="24"/>
      <c r="T1357" s="24"/>
      <c r="U1357" s="24"/>
      <c r="X1357" s="64"/>
    </row>
    <row r="1358" spans="6:24" x14ac:dyDescent="0.55000000000000004">
      <c r="F1358" s="51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X1358" s="64"/>
    </row>
    <row r="1359" spans="6:24" x14ac:dyDescent="0.55000000000000004">
      <c r="F1359" s="51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X1359" s="64"/>
    </row>
    <row r="1360" spans="6:24" x14ac:dyDescent="0.55000000000000004">
      <c r="F1360" s="51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X1360" s="64"/>
    </row>
    <row r="1361" spans="6:24" x14ac:dyDescent="0.55000000000000004">
      <c r="F1361" s="51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X1361" s="64"/>
    </row>
    <row r="1362" spans="6:24" x14ac:dyDescent="0.55000000000000004">
      <c r="F1362" s="51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X1362" s="64"/>
    </row>
    <row r="1363" spans="6:24" x14ac:dyDescent="0.55000000000000004">
      <c r="F1363" s="51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X1363" s="64"/>
    </row>
    <row r="1364" spans="6:24" x14ac:dyDescent="0.55000000000000004">
      <c r="F1364" s="51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X1364" s="64"/>
    </row>
    <row r="1365" spans="6:24" x14ac:dyDescent="0.55000000000000004">
      <c r="F1365" s="51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X1365" s="64"/>
    </row>
    <row r="1366" spans="6:24" x14ac:dyDescent="0.55000000000000004">
      <c r="F1366" s="51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X1366" s="64"/>
    </row>
    <row r="1367" spans="6:24" x14ac:dyDescent="0.55000000000000004">
      <c r="F1367" s="51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X1367" s="64"/>
    </row>
    <row r="1368" spans="6:24" x14ac:dyDescent="0.55000000000000004">
      <c r="F1368" s="51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X1368" s="64"/>
    </row>
    <row r="1369" spans="6:24" x14ac:dyDescent="0.55000000000000004">
      <c r="F1369" s="51"/>
      <c r="G1369" s="24"/>
      <c r="H1369" s="24"/>
      <c r="I1369" s="24"/>
      <c r="J1369" s="24"/>
      <c r="K1369" s="24"/>
      <c r="L1369" s="24"/>
      <c r="N1369" s="24"/>
      <c r="O1369" s="24"/>
      <c r="P1369" s="24"/>
      <c r="Q1369" s="24"/>
      <c r="R1369" s="24"/>
      <c r="S1369" s="24"/>
      <c r="T1369" s="24"/>
      <c r="U1369" s="24"/>
      <c r="X1369" s="64"/>
    </row>
    <row r="1370" spans="6:24" x14ac:dyDescent="0.55000000000000004">
      <c r="F1370" s="51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X1370" s="64"/>
    </row>
    <row r="1371" spans="6:24" x14ac:dyDescent="0.55000000000000004">
      <c r="F1371" s="51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X1371" s="64"/>
    </row>
    <row r="1372" spans="6:24" x14ac:dyDescent="0.55000000000000004">
      <c r="F1372" s="51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X1372" s="64"/>
    </row>
    <row r="1373" spans="6:24" x14ac:dyDescent="0.55000000000000004">
      <c r="F1373" s="51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X1373" s="64"/>
    </row>
    <row r="1374" spans="6:24" x14ac:dyDescent="0.55000000000000004">
      <c r="F1374" s="51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X1374" s="64"/>
    </row>
    <row r="1375" spans="6:24" x14ac:dyDescent="0.55000000000000004">
      <c r="F1375" s="51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X1375" s="64"/>
    </row>
    <row r="1376" spans="6:24" x14ac:dyDescent="0.55000000000000004">
      <c r="F1376" s="51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X1376" s="64"/>
    </row>
    <row r="1377" spans="6:24" x14ac:dyDescent="0.55000000000000004">
      <c r="F1377" s="51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X1377" s="64"/>
    </row>
    <row r="1378" spans="6:24" x14ac:dyDescent="0.55000000000000004">
      <c r="F1378" s="51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X1378" s="64"/>
    </row>
    <row r="1379" spans="6:24" x14ac:dyDescent="0.55000000000000004">
      <c r="F1379" s="51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X1379" s="64"/>
    </row>
    <row r="1380" spans="6:24" x14ac:dyDescent="0.55000000000000004">
      <c r="F1380" s="51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X1380" s="64"/>
    </row>
    <row r="1381" spans="6:24" x14ac:dyDescent="0.55000000000000004">
      <c r="F1381" s="51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X1381" s="64"/>
    </row>
    <row r="1382" spans="6:24" x14ac:dyDescent="0.55000000000000004">
      <c r="F1382" s="51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X1382" s="64"/>
    </row>
    <row r="1383" spans="6:24" x14ac:dyDescent="0.55000000000000004">
      <c r="F1383" s="51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X1383" s="64"/>
    </row>
    <row r="1384" spans="6:24" x14ac:dyDescent="0.55000000000000004">
      <c r="F1384" s="51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X1384" s="64"/>
    </row>
    <row r="1385" spans="6:24" x14ac:dyDescent="0.55000000000000004">
      <c r="F1385" s="51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X1385" s="64"/>
    </row>
    <row r="1386" spans="6:24" x14ac:dyDescent="0.55000000000000004">
      <c r="F1386" s="51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X1386" s="64"/>
    </row>
    <row r="1387" spans="6:24" x14ac:dyDescent="0.55000000000000004">
      <c r="F1387" s="51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X1387" s="64"/>
    </row>
    <row r="1388" spans="6:24" x14ac:dyDescent="0.55000000000000004">
      <c r="F1388" s="51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X1388" s="64"/>
    </row>
    <row r="1389" spans="6:24" x14ac:dyDescent="0.55000000000000004">
      <c r="F1389" s="51"/>
      <c r="K1389" s="24"/>
      <c r="L1389" s="24"/>
      <c r="M1389" s="24"/>
      <c r="N1389" s="52"/>
      <c r="O1389" s="24"/>
      <c r="P1389" s="24"/>
      <c r="Q1389" s="24"/>
      <c r="R1389" s="24"/>
      <c r="S1389" s="24"/>
      <c r="T1389" s="24"/>
      <c r="U1389" s="24"/>
      <c r="X1389" s="64"/>
    </row>
    <row r="1390" spans="6:24" x14ac:dyDescent="0.55000000000000004">
      <c r="F1390" s="51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X1390" s="64"/>
    </row>
    <row r="1391" spans="6:24" x14ac:dyDescent="0.55000000000000004">
      <c r="F1391" s="51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X1391" s="64"/>
    </row>
    <row r="1392" spans="6:24" x14ac:dyDescent="0.55000000000000004">
      <c r="F1392" s="51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X1392" s="64"/>
    </row>
    <row r="1393" spans="6:24" x14ac:dyDescent="0.55000000000000004">
      <c r="F1393" s="51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X1393" s="64"/>
    </row>
    <row r="1394" spans="6:24" x14ac:dyDescent="0.55000000000000004">
      <c r="F1394" s="51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X1394" s="64"/>
    </row>
    <row r="1395" spans="6:24" x14ac:dyDescent="0.55000000000000004">
      <c r="F1395" s="51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X1395" s="64"/>
    </row>
    <row r="1396" spans="6:24" x14ac:dyDescent="0.55000000000000004">
      <c r="F1396" s="51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X1396" s="64"/>
    </row>
    <row r="1397" spans="6:24" x14ac:dyDescent="0.55000000000000004">
      <c r="F1397" s="51"/>
      <c r="K1397" s="24"/>
      <c r="L1397" s="24"/>
      <c r="M1397" s="24"/>
      <c r="N1397" s="52"/>
      <c r="O1397" s="24"/>
      <c r="P1397" s="24"/>
      <c r="Q1397" s="24"/>
      <c r="R1397" s="24"/>
      <c r="S1397" s="24"/>
      <c r="T1397" s="24"/>
      <c r="U1397" s="24"/>
      <c r="X1397" s="64"/>
    </row>
    <row r="1398" spans="6:24" x14ac:dyDescent="0.55000000000000004">
      <c r="F1398" s="51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X1398" s="64"/>
    </row>
    <row r="1399" spans="6:24" x14ac:dyDescent="0.55000000000000004">
      <c r="F1399" s="51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X1399" s="64"/>
    </row>
    <row r="1400" spans="6:24" x14ac:dyDescent="0.55000000000000004">
      <c r="F1400" s="51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X1400" s="64"/>
    </row>
    <row r="1401" spans="6:24" x14ac:dyDescent="0.55000000000000004">
      <c r="F1401" s="51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X1401" s="64"/>
    </row>
    <row r="1402" spans="6:24" x14ac:dyDescent="0.55000000000000004">
      <c r="F1402" s="51"/>
      <c r="G1402" s="24"/>
      <c r="H1402" s="24"/>
      <c r="I1402" s="24"/>
      <c r="J1402" s="24"/>
      <c r="K1402" s="24"/>
      <c r="L1402" s="24"/>
      <c r="N1402" s="24"/>
      <c r="O1402" s="24"/>
      <c r="P1402" s="24"/>
      <c r="Q1402" s="24"/>
      <c r="R1402" s="24"/>
      <c r="S1402" s="24"/>
      <c r="T1402" s="24"/>
      <c r="U1402" s="24"/>
      <c r="X1402" s="64"/>
    </row>
    <row r="1403" spans="6:24" x14ac:dyDescent="0.55000000000000004">
      <c r="F1403" s="51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X1403" s="64"/>
    </row>
    <row r="1404" spans="6:24" x14ac:dyDescent="0.55000000000000004">
      <c r="F1404" s="51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X1404" s="64"/>
    </row>
    <row r="1405" spans="6:24" x14ac:dyDescent="0.55000000000000004">
      <c r="F1405" s="51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X1405" s="64"/>
    </row>
    <row r="1406" spans="6:24" x14ac:dyDescent="0.55000000000000004">
      <c r="F1406" s="51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X1406" s="64"/>
    </row>
    <row r="1407" spans="6:24" x14ac:dyDescent="0.55000000000000004">
      <c r="F1407" s="51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X1407" s="64"/>
    </row>
    <row r="1408" spans="6:24" x14ac:dyDescent="0.55000000000000004">
      <c r="F1408" s="51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X1408" s="64"/>
    </row>
    <row r="1409" spans="6:24" x14ac:dyDescent="0.55000000000000004">
      <c r="F1409" s="51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X1409" s="64"/>
    </row>
    <row r="1410" spans="6:24" x14ac:dyDescent="0.55000000000000004">
      <c r="F1410" s="51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X1410" s="64"/>
    </row>
    <row r="1411" spans="6:24" x14ac:dyDescent="0.55000000000000004">
      <c r="F1411" s="51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X1411" s="64"/>
    </row>
    <row r="1412" spans="6:24" x14ac:dyDescent="0.55000000000000004">
      <c r="F1412" s="51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X1412" s="64"/>
    </row>
    <row r="1413" spans="6:24" x14ac:dyDescent="0.55000000000000004">
      <c r="F1413" s="51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X1413" s="64"/>
    </row>
    <row r="1414" spans="6:24" x14ac:dyDescent="0.55000000000000004">
      <c r="F1414" s="51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X1414" s="64"/>
    </row>
    <row r="1415" spans="6:24" x14ac:dyDescent="0.55000000000000004">
      <c r="F1415" s="51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X1415" s="64"/>
    </row>
    <row r="1416" spans="6:24" x14ac:dyDescent="0.55000000000000004">
      <c r="F1416" s="51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X1416" s="64"/>
    </row>
    <row r="1417" spans="6:24" x14ac:dyDescent="0.55000000000000004">
      <c r="F1417" s="51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X1417" s="64"/>
    </row>
    <row r="1418" spans="6:24" x14ac:dyDescent="0.55000000000000004">
      <c r="F1418" s="51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X1418" s="64"/>
    </row>
    <row r="1419" spans="6:24" x14ac:dyDescent="0.55000000000000004">
      <c r="F1419" s="51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X1419" s="64"/>
    </row>
    <row r="1420" spans="6:24" x14ac:dyDescent="0.55000000000000004">
      <c r="F1420" s="51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X1420" s="64"/>
    </row>
    <row r="1421" spans="6:24" x14ac:dyDescent="0.55000000000000004">
      <c r="F1421" s="51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X1421" s="64"/>
    </row>
    <row r="1422" spans="6:24" x14ac:dyDescent="0.55000000000000004">
      <c r="F1422" s="51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X1422" s="64"/>
    </row>
    <row r="1423" spans="6:24" x14ac:dyDescent="0.55000000000000004">
      <c r="F1423" s="51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X1423" s="64"/>
    </row>
    <row r="1424" spans="6:24" x14ac:dyDescent="0.55000000000000004">
      <c r="F1424" s="51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X1424" s="64"/>
    </row>
    <row r="1425" spans="6:24" x14ac:dyDescent="0.55000000000000004">
      <c r="F1425" s="51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X1425" s="64"/>
    </row>
    <row r="1426" spans="6:24" x14ac:dyDescent="0.55000000000000004">
      <c r="F1426" s="51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X1426" s="64"/>
    </row>
    <row r="1427" spans="6:24" x14ac:dyDescent="0.55000000000000004">
      <c r="F1427" s="51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X1427" s="64"/>
    </row>
    <row r="1428" spans="6:24" x14ac:dyDescent="0.55000000000000004">
      <c r="F1428" s="51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X1428" s="64"/>
    </row>
    <row r="1429" spans="6:24" x14ac:dyDescent="0.55000000000000004">
      <c r="F1429" s="51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X1429" s="64"/>
    </row>
    <row r="1430" spans="6:24" x14ac:dyDescent="0.55000000000000004">
      <c r="F1430" s="51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X1430" s="64"/>
    </row>
    <row r="1431" spans="6:24" x14ac:dyDescent="0.55000000000000004">
      <c r="F1431" s="51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X1431" s="64"/>
    </row>
    <row r="1432" spans="6:24" x14ac:dyDescent="0.55000000000000004">
      <c r="F1432" s="51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X1432" s="64"/>
    </row>
    <row r="1433" spans="6:24" x14ac:dyDescent="0.55000000000000004">
      <c r="F1433" s="51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X1433" s="64"/>
    </row>
    <row r="1434" spans="6:24" x14ac:dyDescent="0.55000000000000004">
      <c r="F1434" s="51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X1434" s="64"/>
    </row>
    <row r="1435" spans="6:24" x14ac:dyDescent="0.55000000000000004">
      <c r="F1435" s="51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X1435" s="64"/>
    </row>
    <row r="1436" spans="6:24" x14ac:dyDescent="0.55000000000000004">
      <c r="F1436" s="51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X1436" s="64"/>
    </row>
    <row r="1437" spans="6:24" x14ac:dyDescent="0.55000000000000004">
      <c r="F1437" s="51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X1437" s="64"/>
    </row>
    <row r="1438" spans="6:24" x14ac:dyDescent="0.55000000000000004">
      <c r="F1438" s="51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X1438" s="64"/>
    </row>
    <row r="1439" spans="6:24" x14ac:dyDescent="0.55000000000000004">
      <c r="F1439" s="51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X1439" s="64"/>
    </row>
    <row r="1440" spans="6:24" x14ac:dyDescent="0.55000000000000004">
      <c r="F1440" s="51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X1440" s="64"/>
    </row>
    <row r="1441" spans="6:24" x14ac:dyDescent="0.55000000000000004">
      <c r="F1441" s="51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X1441" s="64"/>
    </row>
    <row r="1442" spans="6:24" x14ac:dyDescent="0.55000000000000004">
      <c r="F1442" s="51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X1442" s="64"/>
    </row>
    <row r="1443" spans="6:24" x14ac:dyDescent="0.55000000000000004">
      <c r="F1443" s="51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X1443" s="64"/>
    </row>
    <row r="1444" spans="6:24" x14ac:dyDescent="0.55000000000000004">
      <c r="F1444" s="51"/>
      <c r="K1444" s="24"/>
      <c r="L1444" s="24"/>
      <c r="M1444" s="24"/>
      <c r="N1444" s="52"/>
      <c r="O1444" s="24"/>
      <c r="P1444" s="24"/>
      <c r="Q1444" s="24"/>
      <c r="R1444" s="24"/>
      <c r="S1444" s="24"/>
      <c r="T1444" s="24"/>
      <c r="U1444" s="24"/>
      <c r="X1444" s="64"/>
    </row>
    <row r="1445" spans="6:24" x14ac:dyDescent="0.55000000000000004">
      <c r="F1445" s="51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X1445" s="64"/>
    </row>
    <row r="1446" spans="6:24" x14ac:dyDescent="0.55000000000000004">
      <c r="F1446" s="51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X1446" s="64"/>
    </row>
    <row r="1447" spans="6:24" x14ac:dyDescent="0.55000000000000004">
      <c r="F1447" s="51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X1447" s="64"/>
    </row>
    <row r="1448" spans="6:24" x14ac:dyDescent="0.55000000000000004">
      <c r="F1448" s="51"/>
      <c r="M1448" s="21"/>
      <c r="X1448" s="64"/>
    </row>
    <row r="1449" spans="6:24" x14ac:dyDescent="0.55000000000000004">
      <c r="F1449" s="51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X1449" s="64"/>
    </row>
    <row r="1450" spans="6:24" x14ac:dyDescent="0.55000000000000004">
      <c r="F1450" s="51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X1450" s="64"/>
    </row>
    <row r="1451" spans="6:24" x14ac:dyDescent="0.55000000000000004">
      <c r="F1451" s="51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X1451" s="64"/>
    </row>
    <row r="1452" spans="6:24" x14ac:dyDescent="0.55000000000000004">
      <c r="F1452" s="51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X1452" s="64"/>
    </row>
    <row r="1453" spans="6:24" x14ac:dyDescent="0.55000000000000004">
      <c r="F1453" s="51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X1453" s="64"/>
    </row>
    <row r="1454" spans="6:24" x14ac:dyDescent="0.55000000000000004">
      <c r="F1454" s="51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X1454" s="64"/>
    </row>
    <row r="1455" spans="6:24" x14ac:dyDescent="0.55000000000000004">
      <c r="F1455" s="51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X1455" s="64"/>
    </row>
    <row r="1456" spans="6:24" x14ac:dyDescent="0.55000000000000004">
      <c r="F1456" s="51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X1456" s="64"/>
    </row>
    <row r="1457" spans="6:24" x14ac:dyDescent="0.55000000000000004">
      <c r="F1457" s="51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X1457" s="64"/>
    </row>
    <row r="1458" spans="6:24" x14ac:dyDescent="0.55000000000000004">
      <c r="F1458" s="51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X1458" s="64"/>
    </row>
    <row r="1459" spans="6:24" x14ac:dyDescent="0.55000000000000004">
      <c r="F1459" s="51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X1459" s="64"/>
    </row>
    <row r="1460" spans="6:24" x14ac:dyDescent="0.55000000000000004">
      <c r="F1460" s="51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X1460" s="64"/>
    </row>
    <row r="1461" spans="6:24" x14ac:dyDescent="0.55000000000000004">
      <c r="F1461" s="51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X1461" s="64"/>
    </row>
    <row r="1462" spans="6:24" x14ac:dyDescent="0.55000000000000004">
      <c r="F1462" s="51"/>
      <c r="G1462" s="24"/>
      <c r="H1462" s="24"/>
      <c r="I1462" s="24"/>
      <c r="J1462" s="24"/>
      <c r="K1462" s="24"/>
      <c r="L1462" s="24"/>
      <c r="N1462" s="24"/>
      <c r="O1462" s="24"/>
      <c r="P1462" s="24"/>
      <c r="Q1462" s="24"/>
      <c r="R1462" s="24"/>
      <c r="S1462" s="24"/>
      <c r="T1462" s="24"/>
      <c r="U1462" s="24"/>
      <c r="X1462" s="64"/>
    </row>
    <row r="1463" spans="6:24" x14ac:dyDescent="0.55000000000000004"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X1463" s="64"/>
    </row>
    <row r="1464" spans="6:24" x14ac:dyDescent="0.55000000000000004">
      <c r="F1464" s="51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X1464" s="64"/>
    </row>
    <row r="1465" spans="6:24" x14ac:dyDescent="0.55000000000000004">
      <c r="F1465" s="51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X1465" s="64"/>
    </row>
    <row r="1466" spans="6:24" x14ac:dyDescent="0.55000000000000004">
      <c r="F1466" s="51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X1466" s="64"/>
    </row>
    <row r="1467" spans="6:24" x14ac:dyDescent="0.55000000000000004">
      <c r="F1467" s="51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X1467" s="64"/>
    </row>
    <row r="1468" spans="6:24" x14ac:dyDescent="0.55000000000000004">
      <c r="F1468" s="51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X1468" s="64"/>
    </row>
    <row r="1469" spans="6:24" x14ac:dyDescent="0.55000000000000004">
      <c r="F1469" s="51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X1469" s="64"/>
    </row>
    <row r="1470" spans="6:24" x14ac:dyDescent="0.55000000000000004">
      <c r="F1470" s="51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X1470" s="64"/>
    </row>
    <row r="1471" spans="6:24" x14ac:dyDescent="0.55000000000000004">
      <c r="F1471" s="51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X1471" s="64"/>
    </row>
    <row r="1472" spans="6:24" x14ac:dyDescent="0.55000000000000004">
      <c r="F1472" s="51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X1472" s="64"/>
    </row>
    <row r="1473" spans="6:24" x14ac:dyDescent="0.55000000000000004">
      <c r="F1473" s="51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X1473" s="64"/>
    </row>
    <row r="1474" spans="6:24" x14ac:dyDescent="0.55000000000000004"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X1474" s="64"/>
    </row>
    <row r="1475" spans="6:24" x14ac:dyDescent="0.55000000000000004">
      <c r="F1475" s="51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X1475" s="64"/>
    </row>
    <row r="1476" spans="6:24" x14ac:dyDescent="0.55000000000000004">
      <c r="F1476" s="51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X1476" s="64"/>
    </row>
    <row r="1477" spans="6:24" x14ac:dyDescent="0.55000000000000004">
      <c r="F1477" s="51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X1477" s="64"/>
    </row>
    <row r="1478" spans="6:24" x14ac:dyDescent="0.55000000000000004">
      <c r="F1478" s="51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X1478" s="64"/>
    </row>
    <row r="1479" spans="6:24" x14ac:dyDescent="0.55000000000000004">
      <c r="F1479" s="51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X1479" s="64"/>
    </row>
    <row r="1480" spans="6:24" x14ac:dyDescent="0.55000000000000004">
      <c r="F1480" s="51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X1480" s="64"/>
    </row>
    <row r="1481" spans="6:24" x14ac:dyDescent="0.55000000000000004">
      <c r="F1481" s="51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X1481" s="64"/>
    </row>
    <row r="1482" spans="6:24" x14ac:dyDescent="0.55000000000000004">
      <c r="F1482" s="51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X1482" s="64"/>
    </row>
    <row r="1483" spans="6:24" x14ac:dyDescent="0.55000000000000004">
      <c r="F1483" s="51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X1483" s="64"/>
    </row>
    <row r="1484" spans="6:24" x14ac:dyDescent="0.55000000000000004">
      <c r="F1484" s="51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X1484" s="64"/>
    </row>
    <row r="1485" spans="6:24" x14ac:dyDescent="0.55000000000000004">
      <c r="F1485" s="51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X1485" s="64"/>
    </row>
    <row r="1486" spans="6:24" x14ac:dyDescent="0.55000000000000004">
      <c r="F1486" s="51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X1486" s="64"/>
    </row>
    <row r="1487" spans="6:24" x14ac:dyDescent="0.55000000000000004">
      <c r="F1487" s="51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X1487" s="64"/>
    </row>
    <row r="1488" spans="6:24" x14ac:dyDescent="0.55000000000000004">
      <c r="F1488" s="51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X1488" s="64"/>
    </row>
    <row r="1489" spans="6:24" x14ac:dyDescent="0.55000000000000004">
      <c r="F1489" s="51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X1489" s="64"/>
    </row>
    <row r="1490" spans="6:24" x14ac:dyDescent="0.55000000000000004">
      <c r="F1490" s="51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X1490" s="64"/>
    </row>
    <row r="1491" spans="6:24" x14ac:dyDescent="0.55000000000000004">
      <c r="F1491" s="51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X1491" s="64"/>
    </row>
    <row r="1492" spans="6:24" x14ac:dyDescent="0.55000000000000004">
      <c r="F1492" s="51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X1492" s="64"/>
    </row>
    <row r="1493" spans="6:24" x14ac:dyDescent="0.55000000000000004">
      <c r="F1493" s="51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X1493" s="64"/>
    </row>
    <row r="1494" spans="6:24" x14ac:dyDescent="0.55000000000000004">
      <c r="F1494" s="51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X1494" s="64"/>
    </row>
    <row r="1495" spans="6:24" x14ac:dyDescent="0.55000000000000004">
      <c r="F1495" s="51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X1495" s="64"/>
    </row>
    <row r="1496" spans="6:24" x14ac:dyDescent="0.55000000000000004">
      <c r="F1496" s="51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X1496" s="64"/>
    </row>
    <row r="1497" spans="6:24" x14ac:dyDescent="0.55000000000000004">
      <c r="F1497" s="51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X1497" s="64"/>
    </row>
    <row r="1498" spans="6:24" x14ac:dyDescent="0.55000000000000004">
      <c r="F1498" s="51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X1498" s="64"/>
    </row>
    <row r="1499" spans="6:24" x14ac:dyDescent="0.55000000000000004">
      <c r="F1499" s="51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X1499" s="64"/>
    </row>
    <row r="1500" spans="6:24" x14ac:dyDescent="0.55000000000000004">
      <c r="F1500" s="51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X1500" s="64"/>
    </row>
    <row r="1501" spans="6:24" x14ac:dyDescent="0.55000000000000004">
      <c r="F1501" s="51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X1501" s="64"/>
    </row>
    <row r="1502" spans="6:24" x14ac:dyDescent="0.55000000000000004">
      <c r="F1502" s="51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X1502" s="64"/>
    </row>
    <row r="1503" spans="6:24" x14ac:dyDescent="0.55000000000000004">
      <c r="F1503" s="51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X1503" s="64"/>
    </row>
    <row r="1504" spans="6:24" x14ac:dyDescent="0.55000000000000004">
      <c r="F1504" s="51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X1504" s="64"/>
    </row>
    <row r="1505" spans="6:24" x14ac:dyDescent="0.55000000000000004">
      <c r="F1505" s="51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X1505" s="64"/>
    </row>
    <row r="1506" spans="6:24" x14ac:dyDescent="0.55000000000000004">
      <c r="F1506" s="51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X1506" s="64"/>
    </row>
    <row r="1507" spans="6:24" x14ac:dyDescent="0.55000000000000004">
      <c r="F1507" s="51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X1507" s="64"/>
    </row>
    <row r="1508" spans="6:24" x14ac:dyDescent="0.55000000000000004">
      <c r="F1508" s="51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X1508" s="65"/>
    </row>
    <row r="1509" spans="6:24" x14ac:dyDescent="0.55000000000000004"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X1509" s="65"/>
    </row>
    <row r="1510" spans="6:24" x14ac:dyDescent="0.55000000000000004">
      <c r="F1510" s="51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X1510" s="65"/>
    </row>
    <row r="1511" spans="6:24" x14ac:dyDescent="0.55000000000000004"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X1511" s="65"/>
    </row>
    <row r="1512" spans="6:24" x14ac:dyDescent="0.55000000000000004"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X1512" s="65"/>
    </row>
    <row r="1513" spans="6:24" x14ac:dyDescent="0.55000000000000004"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X1513" s="65"/>
    </row>
    <row r="1514" spans="6:24" x14ac:dyDescent="0.55000000000000004"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X1514" s="65"/>
    </row>
    <row r="1515" spans="6:24" x14ac:dyDescent="0.55000000000000004"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X1515" s="65"/>
    </row>
    <row r="1516" spans="6:24" x14ac:dyDescent="0.55000000000000004">
      <c r="K1516" s="24"/>
      <c r="L1516" s="24"/>
      <c r="M1516" s="24"/>
      <c r="N1516" s="40"/>
      <c r="O1516" s="24"/>
      <c r="P1516" s="24"/>
      <c r="Q1516" s="24"/>
      <c r="R1516" s="24"/>
      <c r="S1516" s="24"/>
      <c r="T1516" s="24"/>
      <c r="U1516" s="24"/>
      <c r="X1516" s="65"/>
    </row>
    <row r="1517" spans="6:24" x14ac:dyDescent="0.55000000000000004"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X1517" s="65"/>
    </row>
    <row r="1518" spans="6:24" x14ac:dyDescent="0.55000000000000004"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X1518" s="65"/>
    </row>
    <row r="1519" spans="6:24" x14ac:dyDescent="0.55000000000000004"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X1519" s="65"/>
    </row>
    <row r="1520" spans="6:24" x14ac:dyDescent="0.55000000000000004"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X1520" s="65"/>
    </row>
    <row r="1521" spans="7:24" x14ac:dyDescent="0.55000000000000004"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X1521" s="65"/>
    </row>
    <row r="1522" spans="7:24" x14ac:dyDescent="0.55000000000000004"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X1522" s="65"/>
    </row>
    <row r="1523" spans="7:24" x14ac:dyDescent="0.55000000000000004"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X1523" s="65"/>
    </row>
    <row r="1524" spans="7:24" x14ac:dyDescent="0.55000000000000004"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X1524" s="65"/>
    </row>
    <row r="1525" spans="7:24" x14ac:dyDescent="0.55000000000000004"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X1525" s="65"/>
    </row>
    <row r="1526" spans="7:24" x14ac:dyDescent="0.55000000000000004"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X1526" s="65"/>
    </row>
    <row r="1527" spans="7:24" x14ac:dyDescent="0.55000000000000004"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X1527" s="65"/>
    </row>
    <row r="1528" spans="7:24" x14ac:dyDescent="0.55000000000000004"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X1528" s="65"/>
    </row>
    <row r="1529" spans="7:24" x14ac:dyDescent="0.55000000000000004"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X1529" s="65"/>
    </row>
    <row r="1530" spans="7:24" x14ac:dyDescent="0.55000000000000004"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X1530" s="65"/>
    </row>
    <row r="1531" spans="7:24" x14ac:dyDescent="0.55000000000000004"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X1531" s="65"/>
    </row>
    <row r="1532" spans="7:24" x14ac:dyDescent="0.55000000000000004"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X1532" s="65"/>
    </row>
    <row r="1533" spans="7:24" x14ac:dyDescent="0.55000000000000004"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X1533" s="65"/>
    </row>
    <row r="1534" spans="7:24" x14ac:dyDescent="0.55000000000000004"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X1534" s="65"/>
    </row>
    <row r="1535" spans="7:24" x14ac:dyDescent="0.55000000000000004"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X1535" s="65"/>
    </row>
    <row r="1536" spans="7:24" x14ac:dyDescent="0.55000000000000004"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X1536" s="65"/>
    </row>
    <row r="1537" spans="7:24" x14ac:dyDescent="0.55000000000000004">
      <c r="G1537" s="24"/>
      <c r="H1537" s="24"/>
      <c r="I1537" s="24"/>
      <c r="J1537" s="24"/>
      <c r="K1537" s="24"/>
      <c r="L1537" s="24"/>
      <c r="M1537" s="24"/>
      <c r="N1537" s="40"/>
      <c r="O1537" s="24"/>
      <c r="P1537" s="24"/>
      <c r="Q1537" s="24"/>
      <c r="R1537" s="24"/>
      <c r="S1537" s="24"/>
      <c r="T1537" s="24"/>
      <c r="U1537" s="24"/>
      <c r="X1537" s="65"/>
    </row>
    <row r="1538" spans="7:24" x14ac:dyDescent="0.55000000000000004"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X1538" s="65"/>
    </row>
    <row r="1539" spans="7:24" x14ac:dyDescent="0.55000000000000004">
      <c r="M1539" s="21"/>
      <c r="X1539" s="65"/>
    </row>
    <row r="1540" spans="7:24" x14ac:dyDescent="0.55000000000000004">
      <c r="M1540" s="21"/>
      <c r="X1540" s="65"/>
    </row>
    <row r="1541" spans="7:24" x14ac:dyDescent="0.55000000000000004">
      <c r="M1541" s="21"/>
      <c r="X1541" s="65"/>
    </row>
    <row r="1542" spans="7:24" x14ac:dyDescent="0.55000000000000004">
      <c r="M1542" s="21"/>
      <c r="X1542" s="65"/>
    </row>
    <row r="1543" spans="7:24" x14ac:dyDescent="0.55000000000000004">
      <c r="M1543" s="21"/>
      <c r="X1543" s="65"/>
    </row>
    <row r="1544" spans="7:24" x14ac:dyDescent="0.55000000000000004">
      <c r="M1544" s="21"/>
      <c r="X1544" s="65"/>
    </row>
    <row r="1545" spans="7:24" x14ac:dyDescent="0.55000000000000004">
      <c r="M1545" s="21"/>
      <c r="X1545" s="65"/>
    </row>
    <row r="1546" spans="7:24" x14ac:dyDescent="0.55000000000000004">
      <c r="M1546" s="21"/>
      <c r="X1546" s="65"/>
    </row>
    <row r="1547" spans="7:24" x14ac:dyDescent="0.55000000000000004">
      <c r="M1547" s="21"/>
      <c r="X1547" s="65"/>
    </row>
    <row r="1548" spans="7:24" x14ac:dyDescent="0.55000000000000004">
      <c r="M1548" s="21"/>
      <c r="X1548" s="65"/>
    </row>
    <row r="1549" spans="7:24" x14ac:dyDescent="0.55000000000000004">
      <c r="M1549" s="21"/>
      <c r="X1549" s="65"/>
    </row>
    <row r="1550" spans="7:24" x14ac:dyDescent="0.55000000000000004">
      <c r="M1550" s="21"/>
      <c r="X1550" s="65"/>
    </row>
    <row r="1551" spans="7:24" x14ac:dyDescent="0.55000000000000004">
      <c r="M1551" s="21"/>
      <c r="X1551" s="65"/>
    </row>
    <row r="1552" spans="7:24" x14ac:dyDescent="0.55000000000000004">
      <c r="M1552" s="21"/>
      <c r="X1552" s="65"/>
    </row>
    <row r="1553" spans="13:24" x14ac:dyDescent="0.55000000000000004">
      <c r="M1553" s="21"/>
      <c r="X1553" s="65"/>
    </row>
    <row r="1554" spans="13:24" x14ac:dyDescent="0.55000000000000004">
      <c r="M1554" s="21"/>
      <c r="X1554" s="65"/>
    </row>
    <row r="1555" spans="13:24" x14ac:dyDescent="0.55000000000000004">
      <c r="M1555" s="21"/>
      <c r="X1555" s="65"/>
    </row>
    <row r="1556" spans="13:24" x14ac:dyDescent="0.55000000000000004">
      <c r="M1556" s="21"/>
      <c r="X1556" s="65"/>
    </row>
    <row r="1557" spans="13:24" x14ac:dyDescent="0.55000000000000004">
      <c r="M1557" s="21"/>
      <c r="X1557" s="65"/>
    </row>
    <row r="1558" spans="13:24" x14ac:dyDescent="0.55000000000000004">
      <c r="M1558" s="21"/>
      <c r="X1558" s="65"/>
    </row>
    <row r="1559" spans="13:24" x14ac:dyDescent="0.55000000000000004">
      <c r="M1559" s="21"/>
      <c r="X1559" s="65"/>
    </row>
    <row r="1560" spans="13:24" x14ac:dyDescent="0.55000000000000004">
      <c r="M1560" s="21"/>
      <c r="X1560" s="65"/>
    </row>
    <row r="1561" spans="13:24" x14ac:dyDescent="0.55000000000000004">
      <c r="M1561" s="21"/>
      <c r="X1561" s="65"/>
    </row>
    <row r="1562" spans="13:24" x14ac:dyDescent="0.55000000000000004">
      <c r="M1562" s="21"/>
      <c r="X1562" s="65"/>
    </row>
  </sheetData>
  <autoFilter ref="A1:X1562" xr:uid="{0E8B6703-45CA-4FA9-8E5C-EB8507E1330B}">
    <sortState xmlns:xlrd2="http://schemas.microsoft.com/office/spreadsheetml/2017/richdata2" ref="A2:X1562">
      <sortCondition descending="1" ref="F1:F1562"/>
    </sortState>
  </autoFilter>
  <sortState xmlns:xlrd2="http://schemas.microsoft.com/office/spreadsheetml/2017/richdata2" ref="A2:X598">
    <sortCondition descending="1" ref="F1:F59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1767C-DC10-4D73-A491-A8C1912A85DC}">
  <sheetPr codeName="Feuil5"/>
  <dimension ref="A1:U39"/>
  <sheetViews>
    <sheetView zoomScale="70" zoomScaleNormal="70" workbookViewId="0">
      <selection activeCell="P34" sqref="P34"/>
    </sheetView>
  </sheetViews>
  <sheetFormatPr baseColWidth="10" defaultColWidth="11" defaultRowHeight="14.4" x14ac:dyDescent="0.55000000000000004"/>
  <cols>
    <col min="1" max="1" width="26.26171875" style="26" customWidth="1"/>
    <col min="2" max="2" width="11" style="26" customWidth="1"/>
    <col min="3" max="3" width="12.578125" style="26" bestFit="1" customWidth="1"/>
    <col min="4" max="4" width="17.83984375" style="26" bestFit="1" customWidth="1"/>
    <col min="5" max="7" width="11" style="26"/>
    <col min="8" max="8" width="2.26171875" style="26" customWidth="1"/>
    <col min="9" max="9" width="17" style="26" bestFit="1" customWidth="1"/>
    <col min="10" max="13" width="11" style="26"/>
    <col min="14" max="14" width="2.26171875" style="26" customWidth="1"/>
    <col min="15" max="15" width="17.68359375" style="26" bestFit="1" customWidth="1"/>
    <col min="16" max="16" width="13.68359375" style="26" customWidth="1"/>
    <col min="17" max="17" width="17.83984375" style="26" bestFit="1" customWidth="1"/>
    <col min="18" max="18" width="14.15625" style="26" bestFit="1" customWidth="1"/>
    <col min="19" max="22" width="11" style="26"/>
    <col min="23" max="23" width="12.26171875" style="26" customWidth="1"/>
    <col min="24" max="16384" width="11" style="26"/>
  </cols>
  <sheetData>
    <row r="1" spans="1:20" x14ac:dyDescent="0.55000000000000004">
      <c r="A1" s="27" t="s">
        <v>78</v>
      </c>
      <c r="B1" s="27" t="s">
        <v>134</v>
      </c>
      <c r="C1" s="27" t="s">
        <v>129</v>
      </c>
      <c r="D1" s="27" t="str">
        <f>Menu!B16</f>
        <v>STOXX EUROPE 600</v>
      </c>
      <c r="E1" s="27" t="s">
        <v>131</v>
      </c>
      <c r="F1" s="27" t="s">
        <v>208</v>
      </c>
      <c r="I1" s="27" t="s">
        <v>189</v>
      </c>
      <c r="J1" s="27" t="s">
        <v>134</v>
      </c>
      <c r="K1" s="27" t="s">
        <v>129</v>
      </c>
      <c r="L1" s="27" t="s">
        <v>130</v>
      </c>
      <c r="M1" s="27" t="s">
        <v>131</v>
      </c>
      <c r="O1" s="27" t="s">
        <v>190</v>
      </c>
      <c r="P1" s="27" t="s">
        <v>201</v>
      </c>
      <c r="Q1" s="27" t="s">
        <v>207</v>
      </c>
    </row>
    <row r="2" spans="1:20" x14ac:dyDescent="0.55000000000000004">
      <c r="A2" s="29" t="s">
        <v>100</v>
      </c>
      <c r="B2" s="26">
        <f>COUNTIF(Output!$E:$E,"="&amp;Stats!$A2)</f>
        <v>2</v>
      </c>
      <c r="C2" s="32">
        <f>SUMIF(Output!$E:$E,"="&amp;Stats!$A2,Output!$F:$F)</f>
        <v>3.0174747963301281E-2</v>
      </c>
      <c r="D2" s="32">
        <f>SUMIF(Bench!$E:$E,"="&amp;Stats!$A2,Bench!$F:$F)</f>
        <v>2.0550771281258779E-2</v>
      </c>
      <c r="E2" s="9">
        <f t="shared" ref="E2:E20" si="0">C2-D2</f>
        <v>9.6239766820425017E-3</v>
      </c>
      <c r="F2" s="58" t="str">
        <f>Menu!D32</f>
        <v>=</v>
      </c>
      <c r="G2" s="26" t="str">
        <f>IF(AND(C2&gt;=Menu!F32-$U$33,Stats!C2&lt;=Menu!G32+$U$33),"OK","!! KO !!")</f>
        <v>OK</v>
      </c>
      <c r="I2" s="29" t="s">
        <v>110</v>
      </c>
      <c r="J2" s="26">
        <f>COUNTIF(Output!$C:$C,"="&amp;Stats!$I2)</f>
        <v>14</v>
      </c>
      <c r="K2" s="32">
        <f>SUMIF(Output!$C:$C,"="&amp;Stats!$I2,Output!$F:$F)</f>
        <v>0.1697060904706767</v>
      </c>
      <c r="L2" s="32">
        <f>SUMIF(Bench!$C:$C,"="&amp;Stats!$I2,Bench!$F:$F)</f>
        <v>0.14459440346620087</v>
      </c>
      <c r="M2" s="9">
        <f t="shared" ref="M2:M16" si="1">K2-L2</f>
        <v>2.511168700447583E-2</v>
      </c>
      <c r="O2" s="29" t="s">
        <v>191</v>
      </c>
      <c r="P2" s="31" cm="1">
        <f t="array" ref="P2">SUMPRODUCT(Output!$F$2:$F$80,IF(ISERROR(Output!N$2:N$80)=FALSE,Output!N$2:N$80))/SUM(IF(ISERROR(Output!N$2:N$80)=FALSE,Output!$F$2:$F$80))</f>
        <v>5.8410670436516732</v>
      </c>
      <c r="Q2" s="31" cm="1">
        <f t="array" ref="Q2">SUMPRODUCT(Bench!$F$2:$F$200,IF(ISERROR(Bench!N$2:N$200)=FALSE,Bench!N$2:N$200))/SUM(IF(ISERROR(Bench!N$2:N$200)=FALSE,Bench!$F$2:$F$200))</f>
        <v>5.765428895973983</v>
      </c>
    </row>
    <row r="3" spans="1:20" x14ac:dyDescent="0.55000000000000004">
      <c r="A3" s="29" t="s">
        <v>82</v>
      </c>
      <c r="B3" s="26">
        <f>COUNTIF(Output!$E:$E,"="&amp;Stats!$A3)</f>
        <v>12</v>
      </c>
      <c r="C3" s="32">
        <f>SUMIF(Output!$E:$E,"="&amp;Stats!$A3,Output!$F:$F)</f>
        <v>0.10418629730927997</v>
      </c>
      <c r="D3" s="32">
        <f>SUMIF(Bench!$E:$E,"="&amp;Stats!$A3,Bench!$F:$F)</f>
        <v>9.4186263351937152E-2</v>
      </c>
      <c r="E3" s="9">
        <f t="shared" si="0"/>
        <v>1.0000033957342822E-2</v>
      </c>
      <c r="F3" s="58" t="str">
        <f>Menu!D33</f>
        <v>+</v>
      </c>
      <c r="G3" s="26" t="str">
        <f>IF(AND(C3&gt;=Menu!F33-$U$33,Stats!C3&lt;=Menu!G33+$U$33),"OK","!! KO !!")</f>
        <v>OK</v>
      </c>
      <c r="I3" s="29" t="s">
        <v>127</v>
      </c>
      <c r="J3" s="26">
        <f>COUNTIF(Output!$C:$C,"="&amp;Stats!$I3)</f>
        <v>2</v>
      </c>
      <c r="K3" s="32">
        <f>SUMIF(Output!$C:$C,"="&amp;Stats!$I3,Output!$F:$F)</f>
        <v>4.2970764526909414E-2</v>
      </c>
      <c r="L3" s="32">
        <f>SUMIF(Bench!$C:$C,"="&amp;Stats!$I3,Bench!$F:$F)</f>
        <v>5.1290489185303281E-2</v>
      </c>
      <c r="M3" s="9">
        <f t="shared" si="1"/>
        <v>-8.3197246583938678E-3</v>
      </c>
      <c r="O3" s="29" t="s">
        <v>192</v>
      </c>
      <c r="P3" s="31" cm="1">
        <f t="array" ref="P3">SUMPRODUCT(Output!$F$2:$F$80,IF(ISERROR(Output!O$2:O$80)=FALSE,Output!O$2:O$80))/SUM(IF(ISERROR(Output!O$2:O$80)=FALSE,Output!$F$2:$F$80))</f>
        <v>5.2827928067843564</v>
      </c>
      <c r="Q3" s="31" cm="1">
        <f t="array" ref="Q3">SUMPRODUCT(Bench!$F$2:$F$200,IF(ISERROR(Bench!O$2:O$200)=FALSE,Bench!O$2:O$200))/SUM(IF(ISERROR(Bench!O$2:O$200)=FALSE,Bench!$F$2:$F$200))</f>
        <v>5.3823174810084637</v>
      </c>
    </row>
    <row r="4" spans="1:20" x14ac:dyDescent="0.55000000000000004">
      <c r="A4" s="29" t="s">
        <v>83</v>
      </c>
      <c r="B4" s="26">
        <f>COUNTIF(Output!$E:$E,"="&amp;Stats!$A4)</f>
        <v>3</v>
      </c>
      <c r="C4" s="32">
        <f>SUMIF(Output!$E:$E,"="&amp;Stats!$A4,Output!$F:$F)</f>
        <v>3.1920656653005537E-2</v>
      </c>
      <c r="D4" s="32">
        <f>SUMIF(Bench!$E:$E,"="&amp;Stats!$A4,Bench!$F:$F)</f>
        <v>2.3085302942693214E-2</v>
      </c>
      <c r="E4" s="9">
        <f t="shared" si="0"/>
        <v>8.8353537103123235E-3</v>
      </c>
      <c r="F4" s="58" t="str">
        <f>Menu!D34</f>
        <v>=</v>
      </c>
      <c r="G4" s="26" t="str">
        <f>IF(AND(C4&gt;=Menu!F34-$U$33,Stats!C4&lt;=Menu!G34+$U$33),"OK","!! KO !!")</f>
        <v>OK</v>
      </c>
      <c r="I4" s="29" t="s">
        <v>107</v>
      </c>
      <c r="J4" s="26">
        <f>COUNTIF(Output!$C:$C,"="&amp;Stats!$I4)</f>
        <v>19</v>
      </c>
      <c r="K4" s="32">
        <f>SUMIF(Output!$C:$C,"="&amp;Stats!$I4,Output!$F:$F)</f>
        <v>0.15939877543675865</v>
      </c>
      <c r="L4" s="32">
        <f>SUMIF(Bench!$C:$C,"="&amp;Stats!$I4,Bench!$F:$F)</f>
        <v>0.17188315435095847</v>
      </c>
      <c r="M4" s="9">
        <f t="shared" si="1"/>
        <v>-1.2484378914199817E-2</v>
      </c>
      <c r="O4" s="29" t="s">
        <v>193</v>
      </c>
      <c r="P4" s="31" cm="1">
        <f t="array" ref="P4">SUMPRODUCT(Output!$F$2:$F$80,IF(ISERROR(Output!P$2:P$80)=FALSE,Output!P$2:P$80))/SUM(IF(ISERROR(Output!P$2:P$80)=FALSE,Output!$F$2:$F$80))</f>
        <v>5.6511092048507665</v>
      </c>
      <c r="Q4" s="31" cm="1">
        <f t="array" ref="Q4">SUMPRODUCT(Bench!$F$2:$F$200,IF(ISERROR(Bench!P$2:P$200)=FALSE,Bench!P$2:P$200))/SUM(IF(ISERROR(Bench!P$2:P$200)=FALSE,Bench!$F$2:$F$200))</f>
        <v>5.5977432875523974</v>
      </c>
    </row>
    <row r="5" spans="1:20" x14ac:dyDescent="0.55000000000000004">
      <c r="A5" s="29" t="s">
        <v>84</v>
      </c>
      <c r="B5" s="26">
        <f>COUNTIF(Output!$E:$E,"="&amp;Stats!$A5)</f>
        <v>3</v>
      </c>
      <c r="C5" s="32">
        <f>SUMIF(Output!$E:$E,"="&amp;Stats!$A5,Output!$F:$F)</f>
        <v>1.84433793836297E-2</v>
      </c>
      <c r="D5" s="32">
        <f>SUMIF(Bench!$E:$E,"="&amp;Stats!$A5,Bench!$F:$F)</f>
        <v>2.598360991747849E-2</v>
      </c>
      <c r="E5" s="9">
        <f t="shared" si="0"/>
        <v>-7.54023053384879E-3</v>
      </c>
      <c r="F5" s="58" t="str">
        <f>Menu!D35</f>
        <v>=</v>
      </c>
      <c r="G5" s="26" t="str">
        <f>IF(AND(C5&gt;=Menu!F35-$U$33,Stats!C5&lt;=Menu!G35+$U$33),"OK","!! KO !!")</f>
        <v>OK</v>
      </c>
      <c r="I5" s="29" t="s">
        <v>125</v>
      </c>
      <c r="J5" s="26">
        <f>COUNTIF(Output!$C:$C,"="&amp;Stats!$I5)</f>
        <v>7</v>
      </c>
      <c r="K5" s="32">
        <f>SUMIF(Output!$C:$C,"="&amp;Stats!$I5,Output!$F:$F)</f>
        <v>3.5283044610810783E-2</v>
      </c>
      <c r="L5" s="32">
        <f>SUMIF(Bench!$C:$C,"="&amp;Stats!$I5,Bench!$F:$F)</f>
        <v>7.0726409480102156E-2</v>
      </c>
      <c r="M5" s="9">
        <f t="shared" si="1"/>
        <v>-3.5443364869291373E-2</v>
      </c>
      <c r="O5" s="29" t="s">
        <v>194</v>
      </c>
      <c r="P5" s="31" cm="1">
        <f t="array" ref="P5">SUMPRODUCT(Output!$F$2:$F$80,IF(ISERROR(Output!Q$2:Q$80)=FALSE,Output!Q$2:Q$80))/SUM(IF(ISERROR(Output!Q$2:Q$80)=FALSE,Output!$F$2:$F$80))</f>
        <v>4.3618377883964143</v>
      </c>
      <c r="Q5" s="31" cm="1">
        <f t="array" ref="Q5">SUMPRODUCT(Bench!$F$2:$F$200,IF(ISERROR(Bench!Q$2:Q$200)=FALSE,Bench!Q$2:Q$200))/SUM(IF(ISERROR(Bench!Q$2:Q$200)=FALSE,Bench!$F$2:$F$200))</f>
        <v>4.4294725445929384</v>
      </c>
    </row>
    <row r="6" spans="1:20" x14ac:dyDescent="0.55000000000000004">
      <c r="A6" s="29" t="s">
        <v>85</v>
      </c>
      <c r="B6" s="26">
        <f>COUNTIF(Output!$E:$E,"="&amp;Stats!$A6)</f>
        <v>5</v>
      </c>
      <c r="C6" s="32">
        <f>SUMIF(Output!$E:$E,"="&amp;Stats!$A6,Output!$F:$F)</f>
        <v>4.5615175949443559E-2</v>
      </c>
      <c r="D6" s="32">
        <f>SUMIF(Bench!$E:$E,"="&amp;Stats!$A6,Bench!$F:$F)</f>
        <v>3.5613858055569235E-2</v>
      </c>
      <c r="E6" s="9">
        <f t="shared" si="0"/>
        <v>1.0001317893874324E-2</v>
      </c>
      <c r="F6" s="58" t="str">
        <f>Menu!D36</f>
        <v>=</v>
      </c>
      <c r="G6" s="26" t="str">
        <f>IF(AND(C6&gt;=Menu!F36-$U$33,Stats!C6&lt;=Menu!G36+$U$33),"OK","!! KO !!")</f>
        <v>OK</v>
      </c>
      <c r="I6" s="29" t="s">
        <v>106</v>
      </c>
      <c r="J6" s="26">
        <f>COUNTIF(Output!$C:$C,"="&amp;Stats!$I6)</f>
        <v>26</v>
      </c>
      <c r="K6" s="32">
        <f>SUMIF(Output!$C:$C,"="&amp;Stats!$I6,Output!$F:$F)</f>
        <v>0.27752026680097086</v>
      </c>
      <c r="L6" s="32">
        <f>SUMIF(Bench!$C:$C,"="&amp;Stats!$I6,Bench!$F:$F)</f>
        <v>0.2325880173623753</v>
      </c>
      <c r="M6" s="9">
        <f t="shared" si="1"/>
        <v>4.4932249438595556E-2</v>
      </c>
      <c r="O6" s="29" t="s">
        <v>195</v>
      </c>
      <c r="P6" s="31" cm="1">
        <f t="array" ref="P6">SUMPRODUCT(Output!$F$2:$F$80,IF(ISERROR(Output!R$2:R$80)=FALSE,Output!R$2:R$80,0))</f>
        <v>5.6194953758788184</v>
      </c>
      <c r="Q6" s="31" cm="1">
        <f t="array" ref="Q6">SUMPRODUCT(Bench!$F$2:$F$200,IF(ISERROR(Bench!R$2:R$200)=FALSE,Bench!R$2:R$200,0))</f>
        <v>4.2395257026844062</v>
      </c>
    </row>
    <row r="7" spans="1:20" x14ac:dyDescent="0.55000000000000004">
      <c r="A7" s="29" t="s">
        <v>86</v>
      </c>
      <c r="B7" s="26">
        <f>COUNTIF(Output!$E:$E,"="&amp;Stats!$A7)</f>
        <v>6</v>
      </c>
      <c r="C7" s="32">
        <f>SUMIF(Output!$E:$E,"="&amp;Stats!$A7,Output!$F:$F)</f>
        <v>5.242272705025789E-2</v>
      </c>
      <c r="D7" s="32">
        <f>SUMIF(Bench!$E:$E,"="&amp;Stats!$A7,Bench!$F:$F)</f>
        <v>4.2422718448350105E-2</v>
      </c>
      <c r="E7" s="9">
        <f t="shared" si="0"/>
        <v>1.0000008601907785E-2</v>
      </c>
      <c r="F7" s="58" t="str">
        <f>Menu!D37</f>
        <v>+</v>
      </c>
      <c r="G7" s="26" t="str">
        <f>IF(AND(C7&gt;=Menu!F37-$U$33,Stats!C7&lt;=Menu!G37+$U$33),"OK","!! KO !!")</f>
        <v>OK</v>
      </c>
      <c r="I7" s="29" t="s">
        <v>112</v>
      </c>
      <c r="J7" s="26">
        <f>COUNTIF(Output!$C:$C,"="&amp;Stats!$I7)</f>
        <v>14</v>
      </c>
      <c r="K7" s="32">
        <f>SUMIF(Output!$C:$C,"="&amp;Stats!$I7,Output!$F:$F)</f>
        <v>0.11901509962731907</v>
      </c>
      <c r="L7" s="32">
        <f>SUMIF(Bench!$C:$C,"="&amp;Stats!$I7,Bench!$F:$F)</f>
        <v>0.1293632514937014</v>
      </c>
      <c r="M7" s="9">
        <f t="shared" si="1"/>
        <v>-1.0348151866382327E-2</v>
      </c>
    </row>
    <row r="8" spans="1:20" x14ac:dyDescent="0.55000000000000004">
      <c r="A8" s="29" t="s">
        <v>87</v>
      </c>
      <c r="B8" s="26">
        <f>COUNTIF(Output!$E:$E,"="&amp;Stats!$A8)</f>
        <v>6</v>
      </c>
      <c r="C8" s="32">
        <f>SUMIF(Output!$E:$E,"="&amp;Stats!$A8,Output!$F:$F)</f>
        <v>5.3013104688444126E-2</v>
      </c>
      <c r="D8" s="32">
        <f>SUMIF(Bench!$E:$E,"="&amp;Stats!$A8,Bench!$F:$F)</f>
        <v>6.3013155080788641E-2</v>
      </c>
      <c r="E8" s="9">
        <f t="shared" si="0"/>
        <v>-1.0000050392344514E-2</v>
      </c>
      <c r="F8" s="58" t="str">
        <f>Menu!D38</f>
        <v>=</v>
      </c>
      <c r="G8" s="26" t="str">
        <f>IF(AND(C8&gt;=Menu!F38-$U$33,Stats!C8&lt;=Menu!G38+$U$33),"OK","!! KO !!")</f>
        <v>OK</v>
      </c>
      <c r="I8" s="29" t="s">
        <v>111</v>
      </c>
      <c r="J8" s="26">
        <f>COUNTIF(Output!$C:$C,"="&amp;Stats!$I8)</f>
        <v>5</v>
      </c>
      <c r="K8" s="32">
        <f>SUMIF(Output!$C:$C,"="&amp;Stats!$I8,Output!$F:$F)</f>
        <v>3.0128840156253951E-2</v>
      </c>
      <c r="L8" s="32">
        <f>SUMIF(Bench!$C:$C,"="&amp;Stats!$I8,Bench!$F:$F)</f>
        <v>4.1786264049667995E-2</v>
      </c>
      <c r="M8" s="9">
        <f t="shared" si="1"/>
        <v>-1.1657423893414044E-2</v>
      </c>
      <c r="O8" s="54" t="s">
        <v>209</v>
      </c>
      <c r="P8" s="29" t="s">
        <v>196</v>
      </c>
      <c r="Q8" s="29" t="s">
        <v>197</v>
      </c>
      <c r="R8" s="29" t="s">
        <v>198</v>
      </c>
      <c r="S8" s="29" t="s">
        <v>199</v>
      </c>
      <c r="T8" s="29" t="s">
        <v>200</v>
      </c>
    </row>
    <row r="9" spans="1:20" x14ac:dyDescent="0.55000000000000004">
      <c r="A9" s="29" t="s">
        <v>88</v>
      </c>
      <c r="B9" s="26">
        <f>COUNTIF(Output!$E:$E,"="&amp;Stats!$A9)</f>
        <v>12</v>
      </c>
      <c r="C9" s="32">
        <f>SUMIF(Output!$E:$E,"="&amp;Stats!$A9,Output!$F:$F)</f>
        <v>0.14881382042515265</v>
      </c>
      <c r="D9" s="32">
        <f>SUMIF(Bench!$E:$E,"="&amp;Stats!$A9,Bench!$F:$F)</f>
        <v>0.15881406721580826</v>
      </c>
      <c r="E9" s="9">
        <f t="shared" si="0"/>
        <v>-1.0000246790655615E-2</v>
      </c>
      <c r="F9" s="58" t="str">
        <f>Menu!D39</f>
        <v>+</v>
      </c>
      <c r="G9" s="26" t="str">
        <f>IF(AND(C9&gt;=Menu!F39-$U$33,Stats!C9&lt;=Menu!G39+$U$33),"OK","!! KO !!")</f>
        <v>OK</v>
      </c>
      <c r="I9" s="29" t="s">
        <v>109</v>
      </c>
      <c r="J9" s="26">
        <f>COUNTIF(Output!$C:$C,"="&amp;Stats!$I9)</f>
        <v>2</v>
      </c>
      <c r="K9" s="32">
        <f>SUMIF(Output!$C:$C,"="&amp;Stats!$I9,Output!$F:$F)</f>
        <v>1.4200092674020132E-2</v>
      </c>
      <c r="L9" s="32">
        <f>SUMIF(Bench!$C:$C,"="&amp;Stats!$I9,Bench!$F:$F)</f>
        <v>1.657574921991237E-2</v>
      </c>
      <c r="M9" s="9">
        <f t="shared" si="1"/>
        <v>-2.375656545892238E-3</v>
      </c>
      <c r="O9" s="55" t="s">
        <v>191</v>
      </c>
      <c r="P9" s="56">
        <f>P10-P11</f>
        <v>8.7398765052291438E-3</v>
      </c>
      <c r="Q9" s="56">
        <f t="shared" ref="Q9" si="2">Q10-Q11</f>
        <v>7.4886213309711014E-2</v>
      </c>
      <c r="R9" s="56">
        <f t="shared" ref="R9" si="3">R10-R11</f>
        <v>-3.5516277859166334E-2</v>
      </c>
      <c r="S9" s="56">
        <f t="shared" ref="S9" si="4">S10-S11</f>
        <v>-7.1019363177258987E-2</v>
      </c>
      <c r="T9" s="56">
        <f t="shared" ref="T9" si="5">T10-T11</f>
        <v>2.2909551221485192E-2</v>
      </c>
    </row>
    <row r="10" spans="1:20" x14ac:dyDescent="0.55000000000000004">
      <c r="A10" s="29" t="s">
        <v>89</v>
      </c>
      <c r="B10" s="26">
        <f>COUNTIF(Output!$E:$E,"="&amp;Stats!$A10)</f>
        <v>15</v>
      </c>
      <c r="C10" s="32">
        <f>SUMIF(Output!$E:$E,"="&amp;Stats!$A10,Output!$F:$F)</f>
        <v>0.14996319454071422</v>
      </c>
      <c r="D10" s="32">
        <f>SUMIF(Bench!$E:$E,"="&amp;Stats!$A10,Bench!$F:$F)</f>
        <v>0.14000515879453401</v>
      </c>
      <c r="E10" s="9">
        <f t="shared" si="0"/>
        <v>9.9580357461802049E-3</v>
      </c>
      <c r="F10" s="58" t="str">
        <f>Menu!D40</f>
        <v>=</v>
      </c>
      <c r="G10" s="26" t="str">
        <f>IF(AND(C10&gt;=Menu!F40-$U$33,Stats!C10&lt;=Menu!G40+$U$33),"OK","!! KO !!")</f>
        <v>OK</v>
      </c>
      <c r="I10" s="29" t="s">
        <v>113</v>
      </c>
      <c r="J10" s="26">
        <f>COUNTIF(Output!$C:$C,"="&amp;Stats!$I10)</f>
        <v>6</v>
      </c>
      <c r="K10" s="32">
        <f>SUMIF(Output!$C:$C,"="&amp;Stats!$I10,Output!$F:$F)</f>
        <v>5.2364387997312023E-2</v>
      </c>
      <c r="L10" s="32">
        <f>SUMIF(Bench!$C:$C,"="&amp;Stats!$I10,Bench!$F:$F)</f>
        <v>4.4682913368284796E-2</v>
      </c>
      <c r="M10" s="9">
        <f t="shared" si="1"/>
        <v>7.6814746290272268E-3</v>
      </c>
      <c r="O10" s="26" t="s">
        <v>129</v>
      </c>
      <c r="P10" s="32">
        <f>SUMIF(Output!$N:$N,"&gt;=8",Output!$F:$F)</f>
        <v>0.1505026282288966</v>
      </c>
      <c r="Q10" s="32">
        <f>SUMIF(Output!$N:$N,"&gt;=6",Output!$F:$F)-SUM(P$10:$P10)</f>
        <v>0.39355493096754313</v>
      </c>
      <c r="R10" s="32">
        <f>SUMIF(Output!$N:$N,"&gt;=4",Output!$F:$F)-SUM($P$10:Q10)</f>
        <v>0.26342990701928526</v>
      </c>
      <c r="S10" s="32">
        <f>SUMIF(Output!$N:$N,"&gt;=2",Output!$F:$F)-SUM($P$10:R10)</f>
        <v>9.1096707186903658E-2</v>
      </c>
      <c r="T10" s="32">
        <f>1-SUM($P$10:S10)</f>
        <v>0.10141582659737136</v>
      </c>
    </row>
    <row r="11" spans="1:20" x14ac:dyDescent="0.55000000000000004">
      <c r="A11" s="29" t="s">
        <v>90</v>
      </c>
      <c r="B11" s="26">
        <f>COUNTIF(Output!$E:$E,"="&amp;Stats!$A11)</f>
        <v>6</v>
      </c>
      <c r="C11" s="32">
        <f>SUMIF(Output!$E:$E,"="&amp;Stats!$A11,Output!$F:$F)</f>
        <v>5.35374941593929E-2</v>
      </c>
      <c r="D11" s="32">
        <f>SUMIF(Bench!$E:$E,"="&amp;Stats!$A11,Bench!$F:$F)</f>
        <v>5.5664580034442544E-2</v>
      </c>
      <c r="E11" s="9">
        <f t="shared" si="0"/>
        <v>-2.1270858750496446E-3</v>
      </c>
      <c r="F11" s="58" t="str">
        <f>Menu!D41</f>
        <v>+</v>
      </c>
      <c r="G11" s="26" t="str">
        <f>IF(AND(C11&gt;=Menu!F41-$U$33,Stats!C11&lt;=Menu!G41+$U$33),"OK","!! KO !!")</f>
        <v>OK</v>
      </c>
      <c r="I11" s="29" t="s">
        <v>105</v>
      </c>
      <c r="J11" s="26">
        <f>COUNTIF(Output!$C:$C,"="&amp;Stats!$I11)</f>
        <v>4</v>
      </c>
      <c r="K11" s="32">
        <f>SUMIF(Output!$C:$C,"="&amp;Stats!$I11,Output!$F:$F)</f>
        <v>5.9831406167714971E-2</v>
      </c>
      <c r="L11" s="32">
        <f>SUMIF(Bench!$C:$C,"="&amp;Stats!$I11,Bench!$F:$F)</f>
        <v>5.2054196192411153E-2</v>
      </c>
      <c r="M11" s="9">
        <f t="shared" si="1"/>
        <v>7.7772099753038171E-3</v>
      </c>
      <c r="O11" s="26" t="str">
        <f>D1</f>
        <v>STOXX EUROPE 600</v>
      </c>
      <c r="P11" s="32">
        <f>SUMIF(Bench!$N:$N,"&gt;=8",Bench!$F:$F)</f>
        <v>0.14176275172366745</v>
      </c>
      <c r="Q11" s="32">
        <f>SUMIF(Bench!$N:$N,"&gt;=6",Bench!$F:$F)-SUM(P$11:$P11)</f>
        <v>0.31866871765783211</v>
      </c>
      <c r="R11" s="32">
        <f>SUMIF(Bench!$N:$N,"&gt;=4",Bench!$F:$F)-SUM($P$11:Q11)</f>
        <v>0.29894618487845159</v>
      </c>
      <c r="S11" s="32">
        <f>SUMIF(Bench!$N:$N,"&gt;=2",Bench!$F:$F)-SUM($P$11:R11)</f>
        <v>0.16211607036416265</v>
      </c>
      <c r="T11" s="32">
        <f>1-SUM($P$11:S11)</f>
        <v>7.850627537588617E-2</v>
      </c>
    </row>
    <row r="12" spans="1:20" x14ac:dyDescent="0.55000000000000004">
      <c r="A12" s="29" t="s">
        <v>91</v>
      </c>
      <c r="B12" s="26">
        <f>COUNTIF(Output!$E:$E,"="&amp;Stats!$A12)</f>
        <v>2</v>
      </c>
      <c r="C12" s="32">
        <f>SUMIF(Output!$E:$E,"="&amp;Stats!$A12,Output!$F:$F)</f>
        <v>2.44098714662924E-2</v>
      </c>
      <c r="D12" s="32">
        <f>SUMIF(Bench!$E:$E,"="&amp;Stats!$A12,Bench!$F:$F)</f>
        <v>1.9935889731844566E-2</v>
      </c>
      <c r="E12" s="9">
        <f t="shared" si="0"/>
        <v>4.4739817344478343E-3</v>
      </c>
      <c r="F12" s="58" t="str">
        <f>Menu!D42</f>
        <v>=</v>
      </c>
      <c r="G12" s="26" t="str">
        <f>IF(AND(C12&gt;=Menu!F42-$U$33,Stats!C12&lt;=Menu!G42+$U$33),"OK","!! KO !!")</f>
        <v>OK</v>
      </c>
      <c r="I12" s="29" t="s">
        <v>108</v>
      </c>
      <c r="J12" s="26">
        <f>COUNTIF(Output!$C:$C,"="&amp;Stats!$I12)</f>
        <v>0</v>
      </c>
      <c r="K12" s="32">
        <f>SUMIF(Output!$C:$C,"="&amp;Stats!$I12,Output!$F:$F)</f>
        <v>0</v>
      </c>
      <c r="L12" s="32">
        <f>SUMIF(Bench!$C:$C,"="&amp;Stats!$I12,Bench!$F:$F)</f>
        <v>9.6157165494478725E-3</v>
      </c>
      <c r="M12" s="9">
        <f t="shared" si="1"/>
        <v>-9.6157165494478725E-3</v>
      </c>
    </row>
    <row r="13" spans="1:20" x14ac:dyDescent="0.55000000000000004">
      <c r="A13" s="29" t="s">
        <v>92</v>
      </c>
      <c r="B13" s="26">
        <f>COUNTIF(Output!$E:$E,"="&amp;Stats!$A13)</f>
        <v>4</v>
      </c>
      <c r="C13" s="32">
        <f>SUMIF(Output!$E:$E,"="&amp;Stats!$A13,Output!$F:$F)</f>
        <v>4.1760791401267199E-2</v>
      </c>
      <c r="D13" s="32">
        <f>SUMIF(Bench!$E:$E,"="&amp;Stats!$A13,Bench!$F:$F)</f>
        <v>5.1760792751985508E-2</v>
      </c>
      <c r="E13" s="9">
        <f t="shared" si="0"/>
        <v>-1.000000135071831E-2</v>
      </c>
      <c r="F13" s="58" t="str">
        <f>Menu!D43</f>
        <v>=</v>
      </c>
      <c r="G13" s="26" t="str">
        <f>IF(AND(C13&gt;=Menu!F43-$U$33,Stats!C13&lt;=Menu!G43+$U$33),"OK","!! KO !!")</f>
        <v>OK</v>
      </c>
      <c r="I13" s="29" t="s">
        <v>177</v>
      </c>
      <c r="J13" s="26">
        <f>COUNTIF(Output!$C:$C,"="&amp;Stats!$I13)</f>
        <v>1</v>
      </c>
      <c r="K13" s="32">
        <f>SUMIF(Output!$C:$C,"="&amp;Stats!$I13,Output!$F:$F)</f>
        <v>2.0414151816038263E-2</v>
      </c>
      <c r="L13" s="32">
        <f>SUMIF(Bench!$C:$C,"="&amp;Stats!$I13,Bench!$F:$F)</f>
        <v>1.7359104101419779E-2</v>
      </c>
      <c r="M13" s="9">
        <f t="shared" si="1"/>
        <v>3.0550477146184842E-3</v>
      </c>
      <c r="O13" s="54" t="s">
        <v>209</v>
      </c>
      <c r="P13" s="29" t="s">
        <v>196</v>
      </c>
      <c r="Q13" s="29" t="s">
        <v>197</v>
      </c>
      <c r="R13" s="29" t="s">
        <v>198</v>
      </c>
      <c r="S13" s="29" t="s">
        <v>199</v>
      </c>
      <c r="T13" s="29" t="s">
        <v>200</v>
      </c>
    </row>
    <row r="14" spans="1:20" ht="13.9" customHeight="1" x14ac:dyDescent="0.55000000000000004">
      <c r="A14" s="29" t="s">
        <v>93</v>
      </c>
      <c r="B14" s="26">
        <f>COUNTIF(Output!$E:$E,"="&amp;Stats!$A14)</f>
        <v>7</v>
      </c>
      <c r="C14" s="32">
        <f>SUMIF(Output!$E:$E,"="&amp;Stats!$A14,Output!$F:$F)</f>
        <v>6.2696334868307391E-2</v>
      </c>
      <c r="D14" s="32">
        <f>SUMIF(Bench!$E:$E,"="&amp;Stats!$A14,Bench!$F:$F)</f>
        <v>7.2696344231197432E-2</v>
      </c>
      <c r="E14" s="9">
        <f t="shared" si="0"/>
        <v>-1.0000009362890042E-2</v>
      </c>
      <c r="F14" s="58" t="str">
        <f>Menu!D44</f>
        <v>=</v>
      </c>
      <c r="G14" s="26" t="str">
        <f>IF(AND(C14&gt;=Menu!F44-$U$33,Stats!C14&lt;=Menu!G44+$U$33),"OK","!! KO !!")</f>
        <v>OK</v>
      </c>
      <c r="I14" s="29" t="s">
        <v>178</v>
      </c>
      <c r="J14" s="26">
        <f>COUNTIF(Output!$C:$C,"="&amp;Stats!$I14)</f>
        <v>0</v>
      </c>
      <c r="K14" s="32">
        <f>SUMIF(Output!$C:$C,"="&amp;Stats!$I14,Output!$F:$F)</f>
        <v>0</v>
      </c>
      <c r="L14" s="32">
        <f>SUMIF(Bench!$C:$C,"="&amp;Stats!$I14,Bench!$F:$F)</f>
        <v>2.9085807800329415E-3</v>
      </c>
      <c r="M14" s="9">
        <f t="shared" si="1"/>
        <v>-2.9085807800329415E-3</v>
      </c>
      <c r="O14" s="55" t="s">
        <v>192</v>
      </c>
      <c r="P14" s="56">
        <f>P15-P16</f>
        <v>-3.8832598032427917E-2</v>
      </c>
      <c r="Q14" s="56">
        <f t="shared" ref="Q14" si="6">Q15-Q16</f>
        <v>-4.0482257895594537E-2</v>
      </c>
      <c r="R14" s="56">
        <f t="shared" ref="R14" si="7">R15-R16</f>
        <v>6.4968805734315516E-2</v>
      </c>
      <c r="S14" s="56">
        <f t="shared" ref="S14" si="8">S15-S16</f>
        <v>7.5575247882697649E-3</v>
      </c>
      <c r="T14" s="56">
        <f t="shared" ref="T14" si="9">T15-T16</f>
        <v>6.7885254054371735E-3</v>
      </c>
    </row>
    <row r="15" spans="1:20" x14ac:dyDescent="0.55000000000000004">
      <c r="A15" s="29" t="s">
        <v>94</v>
      </c>
      <c r="B15" s="26">
        <f>COUNTIF(Output!$E:$E,"="&amp;Stats!$A15)</f>
        <v>0</v>
      </c>
      <c r="C15" s="32">
        <f>SUMIF(Output!$E:$E,"="&amp;Stats!$A15,Output!$F:$F)</f>
        <v>0</v>
      </c>
      <c r="D15" s="32">
        <f>SUMIF(Bench!$E:$E,"="&amp;Stats!$A15,Bench!$F:$F)</f>
        <v>1.5504284328662531E-2</v>
      </c>
      <c r="E15" s="9">
        <f t="shared" si="0"/>
        <v>-1.5504284328662531E-2</v>
      </c>
      <c r="F15" s="58" t="str">
        <f>Menu!D45</f>
        <v>=</v>
      </c>
      <c r="G15" s="26" t="str">
        <f>IF(AND(C15&gt;=Menu!F45-$U$33,Stats!C15&lt;=Menu!G45+$U$33),"OK","!! KO !!")</f>
        <v>!! KO !!</v>
      </c>
      <c r="I15" s="29" t="s">
        <v>126</v>
      </c>
      <c r="J15" s="26">
        <f>COUNTIF(Output!$C:$C,"="&amp;Stats!$I15)</f>
        <v>0</v>
      </c>
      <c r="K15" s="32">
        <f>SUMIF(Output!$C:$C,"="&amp;Stats!$I15,Output!$F:$F)</f>
        <v>0</v>
      </c>
      <c r="L15" s="32">
        <f>SUMIF(Bench!$C:$C,"="&amp;Stats!$I15,Bench!$F:$F)</f>
        <v>5.2962340767374197E-3</v>
      </c>
      <c r="M15" s="9">
        <f t="shared" si="1"/>
        <v>-5.2962340767374197E-3</v>
      </c>
      <c r="O15" s="26" t="s">
        <v>129</v>
      </c>
      <c r="P15" s="32">
        <f>SUMIF(Output!$O:$O,"&gt;=8",Output!$F:$F)</f>
        <v>0.16248855285295105</v>
      </c>
      <c r="Q15" s="32">
        <f>SUMIF(Output!$O:$O,"&gt;=6",Output!$F:$F)-SUM($P15:P15)</f>
        <v>0.20951203225804249</v>
      </c>
      <c r="R15" s="32">
        <f>SUMIF(Output!$O:$O,"&gt;=4",Output!$F:$F)-SUM($P15:Q15)</f>
        <v>0.28540844921924657</v>
      </c>
      <c r="S15" s="32">
        <f>SUMIF(Output!$O:$O,"&gt;=2",Output!$F:$F)-SUM($P15:R15)</f>
        <v>0.17303003914014869</v>
      </c>
      <c r="T15" s="32">
        <f>1-SUM($P15:S15)</f>
        <v>0.16956092652961119</v>
      </c>
    </row>
    <row r="16" spans="1:20" x14ac:dyDescent="0.55000000000000004">
      <c r="A16" s="29" t="s">
        <v>95</v>
      </c>
      <c r="B16" s="26">
        <f>COUNTIF(Output!$E:$E,"="&amp;Stats!$A16)</f>
        <v>3</v>
      </c>
      <c r="C16" s="32">
        <f>SUMIF(Output!$E:$E,"="&amp;Stats!$A16,Output!$F:$F)</f>
        <v>1.08220739610065E-2</v>
      </c>
      <c r="D16" s="32">
        <f>SUMIF(Bench!$E:$E,"="&amp;Stats!$A16,Bench!$F:$F)</f>
        <v>2.0822701954295929E-2</v>
      </c>
      <c r="E16" s="9">
        <f t="shared" si="0"/>
        <v>-1.000062799328943E-2</v>
      </c>
      <c r="F16" s="58" t="str">
        <f>Menu!D46</f>
        <v>=</v>
      </c>
      <c r="G16" s="26" t="str">
        <f>IF(AND(C16&gt;=Menu!F46-$U$33,Stats!C16&lt;=Menu!G46+$U$33),"OK","!! KO !!")</f>
        <v>OK</v>
      </c>
      <c r="I16" s="29" t="s">
        <v>161</v>
      </c>
      <c r="J16" s="26">
        <f>COUNTIF(Output!$C:$C,"="&amp;Stats!$I16)</f>
        <v>0</v>
      </c>
      <c r="K16" s="32">
        <f>SUMIF(Output!$C:$C,"="&amp;Stats!$I16,Output!$F:$F)</f>
        <v>0</v>
      </c>
      <c r="L16" s="32">
        <f>SUMIF(Bench!$C:$C,"="&amp;Stats!$I16,Bench!$F:$F)</f>
        <v>4.0264664492399649E-3</v>
      </c>
      <c r="M16" s="9">
        <f t="shared" si="1"/>
        <v>-4.0264664492399649E-3</v>
      </c>
      <c r="O16" s="26" t="str">
        <f>D1</f>
        <v>STOXX EUROPE 600</v>
      </c>
      <c r="P16" s="32">
        <f>SUMIF(Bench!$O:$O,"&gt;=8",Bench!$F:$F)</f>
        <v>0.20132115088537897</v>
      </c>
      <c r="Q16" s="32">
        <f>SUMIF(Bench!$O:$O,"&gt;=6",Bench!$F:$F)-SUM(P$16:$P16)</f>
        <v>0.24999429015363703</v>
      </c>
      <c r="R16" s="32">
        <f>SUMIF(Bench!$O:$O,"&gt;=4",Bench!$F:$F)-SUM($P$16:Q16)</f>
        <v>0.22043964348493106</v>
      </c>
      <c r="S16" s="32">
        <f>SUMIF(Bench!$O:$O,"&gt;=2",Bench!$F:$F)-SUM($P$16:R16)</f>
        <v>0.16547251435187893</v>
      </c>
      <c r="T16" s="32">
        <f>1-SUM($P$16:S16)</f>
        <v>0.16277240112417402</v>
      </c>
    </row>
    <row r="17" spans="1:20" x14ac:dyDescent="0.55000000000000004">
      <c r="A17" s="29" t="s">
        <v>96</v>
      </c>
      <c r="B17" s="26">
        <f>COUNTIF(Output!$E:$E,"="&amp;Stats!$A17)</f>
        <v>7</v>
      </c>
      <c r="C17" s="32">
        <f>SUMIF(Output!$E:$E,"="&amp;Stats!$A17,Output!$F:$F)</f>
        <v>7.1497555951651456E-2</v>
      </c>
      <c r="D17" s="32">
        <f>SUMIF(Bench!$E:$E,"="&amp;Stats!$A17,Bench!$F:$F)</f>
        <v>7.9890704510726232E-2</v>
      </c>
      <c r="E17" s="9">
        <f t="shared" si="0"/>
        <v>-8.3931485590747756E-3</v>
      </c>
      <c r="F17" s="58" t="str">
        <f>Menu!D47</f>
        <v>=</v>
      </c>
      <c r="G17" s="26" t="str">
        <f>IF(AND(C17&gt;=Menu!F47-$U$33,Stats!C17&lt;=Menu!G47+$U$33),"OK","!! KO !!")</f>
        <v>OK</v>
      </c>
    </row>
    <row r="18" spans="1:20" x14ac:dyDescent="0.55000000000000004">
      <c r="A18" s="29" t="s">
        <v>97</v>
      </c>
      <c r="B18" s="26">
        <f>COUNTIF(Output!$E:$E,"="&amp;Stats!$A18)</f>
        <v>1</v>
      </c>
      <c r="C18" s="32">
        <f>SUMIF(Output!$E:$E,"="&amp;Stats!$A18,Output!$F:$F)</f>
        <v>1.7090469047252196E-2</v>
      </c>
      <c r="D18" s="32">
        <f>SUMIF(Bench!$E:$E,"="&amp;Stats!$A18,Bench!$F:$F)</f>
        <v>2.7090464061528922E-2</v>
      </c>
      <c r="E18" s="9">
        <f t="shared" si="0"/>
        <v>-9.9999950142767267E-3</v>
      </c>
      <c r="F18" s="58" t="str">
        <f>Menu!D48</f>
        <v>=</v>
      </c>
      <c r="G18" s="26" t="str">
        <f>IF(AND(C18&gt;=Menu!F48-$U$33,Stats!C18&lt;=Menu!G48+$U$33),"OK","!! KO !!")</f>
        <v>OK</v>
      </c>
      <c r="O18" s="54" t="s">
        <v>209</v>
      </c>
      <c r="P18" s="29" t="s">
        <v>196</v>
      </c>
      <c r="Q18" s="29" t="s">
        <v>197</v>
      </c>
      <c r="R18" s="29" t="s">
        <v>198</v>
      </c>
      <c r="S18" s="29" t="s">
        <v>199</v>
      </c>
      <c r="T18" s="29" t="s">
        <v>200</v>
      </c>
    </row>
    <row r="19" spans="1:20" x14ac:dyDescent="0.55000000000000004">
      <c r="A19" s="29" t="s">
        <v>98</v>
      </c>
      <c r="B19" s="26">
        <f>COUNTIF(Output!$E:$E,"="&amp;Stats!$A19)</f>
        <v>1</v>
      </c>
      <c r="C19" s="32">
        <f>SUMIF(Output!$E:$E,"="&amp;Stats!$A19,Output!$F:$F)</f>
        <v>1.40212225754949E-2</v>
      </c>
      <c r="D19" s="32">
        <f>SUMIF(Bench!$E:$E,"="&amp;Stats!$A19,Bench!$F:$F)</f>
        <v>1.2515327390957931E-2</v>
      </c>
      <c r="E19" s="9">
        <f t="shared" si="0"/>
        <v>1.5058951845369692E-3</v>
      </c>
      <c r="F19" s="58" t="str">
        <f>Menu!D49</f>
        <v>=</v>
      </c>
      <c r="G19" s="26" t="str">
        <f>IF(AND(C19&gt;=Menu!F49-$U$33,Stats!C19&lt;=Menu!G49+$U$33),"OK","!! KO !!")</f>
        <v>OK</v>
      </c>
      <c r="O19" s="55" t="s">
        <v>193</v>
      </c>
      <c r="P19" s="56">
        <f>P20-P21</f>
        <v>-5.9482755017168001E-2</v>
      </c>
      <c r="Q19" s="56">
        <f t="shared" ref="Q19" si="10">Q20-Q21</f>
        <v>-1.5455375138629435E-2</v>
      </c>
      <c r="R19" s="56">
        <f t="shared" ref="R19" si="11">R20-R21</f>
        <v>9.6155659796139326E-2</v>
      </c>
      <c r="S19" s="56">
        <f t="shared" ref="S19" si="12">S20-S21</f>
        <v>2.6404969852325877E-2</v>
      </c>
      <c r="T19" s="56">
        <f t="shared" ref="T19" si="13">T20-T21</f>
        <v>-4.7622499492667725E-2</v>
      </c>
    </row>
    <row r="20" spans="1:20" x14ac:dyDescent="0.55000000000000004">
      <c r="A20" s="29" t="s">
        <v>99</v>
      </c>
      <c r="B20" s="26">
        <f>COUNTIF(Output!$E:$E,"="&amp;Stats!$A20)</f>
        <v>5</v>
      </c>
      <c r="C20" s="32">
        <f>SUMIF(Output!$E:$E,"="&amp;Stats!$A20,Output!$F:$F)</f>
        <v>5.0444002890891015E-2</v>
      </c>
      <c r="D20" s="32">
        <f>SUMIF(Bench!$E:$E,"="&amp;Stats!$A20,Bench!$F:$F)</f>
        <v>4.0444005915940363E-2</v>
      </c>
      <c r="E20" s="9">
        <f t="shared" si="0"/>
        <v>9.999996974950652E-3</v>
      </c>
      <c r="F20" s="58" t="str">
        <f>Menu!D50</f>
        <v>=</v>
      </c>
      <c r="G20" s="26" t="str">
        <f>IF(AND(C20&gt;=Menu!F50-$U$33,Stats!C20&lt;=Menu!G50+$U$33),"OK","!! KO !!")</f>
        <v>OK</v>
      </c>
      <c r="O20" s="26" t="s">
        <v>129</v>
      </c>
      <c r="P20" s="32">
        <f>SUMIF(Output!$P:$P,"&gt;=8",Output!$F:$F)</f>
        <v>8.3345409346256463E-2</v>
      </c>
      <c r="Q20" s="32">
        <f>SUMIF(Output!$P:$P,"&gt;=6",Output!$F:$F)-SUM($P20:P20)</f>
        <v>0.29906471993108136</v>
      </c>
      <c r="R20" s="32">
        <f>SUMIF(Output!$P:$P,"&gt;=4",Output!$F:$F)-SUM($P20:Q20)</f>
        <v>0.39433853519270895</v>
      </c>
      <c r="S20" s="32">
        <f>SUMIF(Output!$P:$P,"&gt;=2",Output!$F:$F)-SUM($P20:R20)</f>
        <v>0.17992468923457727</v>
      </c>
      <c r="T20" s="32">
        <f>1-SUM($P20:S20)</f>
        <v>4.332664629537597E-2</v>
      </c>
    </row>
    <row r="21" spans="1:20" x14ac:dyDescent="0.55000000000000004">
      <c r="O21" s="26" t="str">
        <f>D1</f>
        <v>STOXX EUROPE 600</v>
      </c>
      <c r="P21" s="32">
        <f>SUMIF(Bench!$P:$P,"&gt;=8",Bench!$F:$F)</f>
        <v>0.14282816436342446</v>
      </c>
      <c r="Q21" s="32">
        <f>SUMIF(Bench!$P:$P,"&gt;=6",Bench!$F:$F)-SUM($P21:P21)</f>
        <v>0.31452009506971079</v>
      </c>
      <c r="R21" s="32">
        <f>SUMIF(Bench!$P:$P,"&gt;=4",Bench!$F:$F)-SUM($P21:Q21)</f>
        <v>0.29818287539656962</v>
      </c>
      <c r="S21" s="32">
        <f>SUMIF(Bench!$P:$P,"&gt;=2",Bench!$F:$F)-SUM($P21:R21)</f>
        <v>0.1535197193822514</v>
      </c>
      <c r="T21" s="32">
        <f>1-SUM($P21:S21)</f>
        <v>9.0949145788043695E-2</v>
      </c>
    </row>
    <row r="22" spans="1:20" x14ac:dyDescent="0.55000000000000004">
      <c r="A22" s="27" t="s">
        <v>70</v>
      </c>
      <c r="B22" s="27" t="s">
        <v>134</v>
      </c>
      <c r="C22" s="27" t="s">
        <v>129</v>
      </c>
      <c r="D22" s="27" t="str">
        <f>Menu!B16</f>
        <v>STOXX EUROPE 600</v>
      </c>
      <c r="E22" s="28" t="s">
        <v>131</v>
      </c>
      <c r="F22" s="28"/>
    </row>
    <row r="23" spans="1:20" x14ac:dyDescent="0.55000000000000004">
      <c r="A23" s="29" t="s">
        <v>71</v>
      </c>
      <c r="B23" s="26">
        <f>COUNTIF(Output!$D:$D,"="&amp;Stats!$A23)</f>
        <v>0</v>
      </c>
      <c r="C23" s="32">
        <f>SUMIF(Output!$D:$D,"="&amp;Stats!$A23,Output!$F:$F)</f>
        <v>0</v>
      </c>
      <c r="D23" s="32">
        <f>SUMIF(Bench!$D:$D,"="&amp;Stats!$A23,Bench!$F:$F)</f>
        <v>0</v>
      </c>
      <c r="E23" s="9">
        <f>C23-D23</f>
        <v>0</v>
      </c>
      <c r="F23" s="16" t="s">
        <v>157</v>
      </c>
      <c r="G23" s="26" t="str">
        <f>IF(AND(C23&gt;=Menu!K24-$U$33,Stats!C23&lt;=Menu!L24+$U$33),"OK","!! KO !!")</f>
        <v>OK</v>
      </c>
      <c r="O23" s="54" t="s">
        <v>209</v>
      </c>
      <c r="P23" s="29" t="s">
        <v>196</v>
      </c>
      <c r="Q23" s="29" t="s">
        <v>197</v>
      </c>
      <c r="R23" s="29" t="s">
        <v>198</v>
      </c>
      <c r="S23" s="29" t="s">
        <v>199</v>
      </c>
      <c r="T23" s="29" t="s">
        <v>200</v>
      </c>
    </row>
    <row r="24" spans="1:20" x14ac:dyDescent="0.55000000000000004">
      <c r="A24" s="29" t="s">
        <v>72</v>
      </c>
      <c r="B24" s="26">
        <f>COUNTIF(Output!$D:$D,"="&amp;Stats!$A24)</f>
        <v>100</v>
      </c>
      <c r="C24" s="32">
        <f>SUMIF(Output!$D:$D,"="&amp;Stats!$A24,Output!$F:$F)</f>
        <v>0.98083292028478475</v>
      </c>
      <c r="D24" s="32">
        <f>SUMIF(Bench!$D:$D,"="&amp;Stats!$A24,Bench!$F:$F)</f>
        <v>1.0000000000000002</v>
      </c>
      <c r="E24" s="9">
        <f t="shared" ref="E24:E28" si="14">C24-D24</f>
        <v>-1.9167079715215474E-2</v>
      </c>
      <c r="F24" s="16" t="s">
        <v>157</v>
      </c>
      <c r="G24" s="26" t="str">
        <f>IF(AND(C24&gt;=Menu!K25-$U$33,Stats!C24&lt;=Menu!L25+$U$33),"OK","!! KO !!")</f>
        <v>OK</v>
      </c>
      <c r="O24" s="55" t="s">
        <v>194</v>
      </c>
      <c r="P24" s="56">
        <f>P25-P26</f>
        <v>-4.2297699348627607E-2</v>
      </c>
      <c r="Q24" s="56">
        <f t="shared" ref="Q24" si="15">Q25-Q26</f>
        <v>4.3266401509596319E-2</v>
      </c>
      <c r="R24" s="56">
        <f t="shared" ref="R24" si="16">R25-R26</f>
        <v>9.1093200059959023E-3</v>
      </c>
      <c r="S24" s="56">
        <f t="shared" ref="S24" si="17">S25-S26</f>
        <v>-2.746216803388779E-2</v>
      </c>
      <c r="T24" s="56">
        <f t="shared" ref="T24" si="18">T25-T26</f>
        <v>1.7384145866923162E-2</v>
      </c>
    </row>
    <row r="25" spans="1:20" x14ac:dyDescent="0.55000000000000004">
      <c r="A25" s="29" t="s">
        <v>73</v>
      </c>
      <c r="B25" s="26">
        <f>COUNTIF(Output!$D:$D,"="&amp;Stats!$A25)</f>
        <v>0</v>
      </c>
      <c r="C25" s="32">
        <f>SUMIF(Output!$D:$D,"="&amp;Stats!$A25,Output!$F:$F)</f>
        <v>0</v>
      </c>
      <c r="D25" s="32">
        <f>SUMIF(Bench!$D:$D,"="&amp;Stats!$A25,Bench!$F:$F)</f>
        <v>0</v>
      </c>
      <c r="E25" s="9">
        <f t="shared" si="14"/>
        <v>0</v>
      </c>
      <c r="F25" s="16" t="s">
        <v>157</v>
      </c>
      <c r="G25" s="26" t="str">
        <f>IF(AND(C25&gt;=Menu!K26-$U$33,Stats!C25&lt;=Menu!L26+$U$33),"OK","!! KO !!")</f>
        <v>OK</v>
      </c>
      <c r="O25" s="26" t="s">
        <v>129</v>
      </c>
      <c r="P25" s="32">
        <f>SUMIF(Output!$Q:$Q,"&gt;=8",Output!$F:$F)</f>
        <v>7.0251053698665286E-2</v>
      </c>
      <c r="Q25" s="32">
        <f>SUMIF(Output!$Q:$Q,"&gt;=6",Output!$F:$F)-SUM($P25:P25)</f>
        <v>0.22348863816475978</v>
      </c>
      <c r="R25" s="32">
        <f>SUMIF(Output!$Q:$Q,"&gt;=4",Output!$F:$F)-SUM($P25:Q25)</f>
        <v>0.2698214345700829</v>
      </c>
      <c r="S25" s="32">
        <f>SUMIF(Output!$Q:$Q,"&gt;=2",Output!$F:$F)-SUM($P25:R25)</f>
        <v>0.21781172364799761</v>
      </c>
      <c r="T25" s="32">
        <f>1-SUM($P25:S25)</f>
        <v>0.21862714991849441</v>
      </c>
    </row>
    <row r="26" spans="1:20" x14ac:dyDescent="0.55000000000000004">
      <c r="A26" s="29" t="s">
        <v>74</v>
      </c>
      <c r="B26" s="26">
        <f>COUNTIF(Output!$D:$D,"="&amp;Stats!$A26)</f>
        <v>0</v>
      </c>
      <c r="C26" s="32">
        <f>SUMIF(Output!$D:$D,"="&amp;Stats!$A26,Output!$F:$F)</f>
        <v>0</v>
      </c>
      <c r="D26" s="32">
        <f>SUMIF(Bench!$D:$D,"="&amp;Stats!$A26,Bench!$F:$F)</f>
        <v>0</v>
      </c>
      <c r="E26" s="9">
        <f t="shared" si="14"/>
        <v>0</v>
      </c>
      <c r="F26" s="16" t="s">
        <v>157</v>
      </c>
      <c r="G26" s="26" t="str">
        <f>IF(AND(C26&gt;=Menu!K27-$U$33,Stats!C26&lt;=Menu!L27+$U$33),"OK","!! KO !!")</f>
        <v>OK</v>
      </c>
      <c r="O26" s="26" t="str">
        <f>D1</f>
        <v>STOXX EUROPE 600</v>
      </c>
      <c r="P26" s="32">
        <f>SUMIF(Bench!$Q:$Q,"&gt;=8",Bench!$F:$F)</f>
        <v>0.11254875304729289</v>
      </c>
      <c r="Q26" s="32">
        <f>SUMIF(Bench!$Q:$Q,"&gt;=6",Bench!$F:$F)-SUM($P26:P26)</f>
        <v>0.18022223665516346</v>
      </c>
      <c r="R26" s="32">
        <f>SUMIF(Bench!$Q:$Q,"&gt;=4",Bench!$F:$F)-SUM($P26:Q26)</f>
        <v>0.26071211456408699</v>
      </c>
      <c r="S26" s="32">
        <f>SUMIF(Bench!$Q:$Q,"&gt;=2",Bench!$F:$F)-SUM($P26:R26)</f>
        <v>0.2452738916818854</v>
      </c>
      <c r="T26" s="32">
        <f>1-SUM($P26:S26)</f>
        <v>0.20124300405157125</v>
      </c>
    </row>
    <row r="27" spans="1:20" x14ac:dyDescent="0.55000000000000004">
      <c r="A27" s="29" t="s">
        <v>75</v>
      </c>
      <c r="B27" s="26">
        <f>COUNTIF(Output!$D:$D,"="&amp;Stats!$A27)</f>
        <v>0</v>
      </c>
      <c r="C27" s="32">
        <f>SUMIF(Output!$D:$D,"="&amp;Stats!$A27,Output!$F:$F)</f>
        <v>0</v>
      </c>
      <c r="D27" s="32">
        <f>SUMIF(Bench!$D:$D,"="&amp;Stats!$A27,Bench!$F:$F)</f>
        <v>0</v>
      </c>
      <c r="E27" s="9">
        <f t="shared" si="14"/>
        <v>0</v>
      </c>
      <c r="F27" s="16" t="s">
        <v>157</v>
      </c>
      <c r="G27" s="26" t="str">
        <f>IF(AND(C27&gt;=Menu!K28-$U$33,Stats!C27&lt;=Menu!L28+$U$33),"OK","!! KO !!")</f>
        <v>OK</v>
      </c>
    </row>
    <row r="28" spans="1:20" x14ac:dyDescent="0.55000000000000004">
      <c r="A28" s="29" t="s">
        <v>76</v>
      </c>
      <c r="B28" s="26">
        <f>COUNTIF(Output!$D:$D,"="&amp;Stats!$A28)</f>
        <v>0</v>
      </c>
      <c r="C28" s="32">
        <f>SUMIF(Output!$D:$D,"="&amp;Stats!$A28,Output!$F:$F)</f>
        <v>0</v>
      </c>
      <c r="D28" s="32">
        <f>SUMIF(Bench!$D:$D,"="&amp;Stats!$A28,Bench!$F:$F)</f>
        <v>0</v>
      </c>
      <c r="E28" s="9">
        <f t="shared" si="14"/>
        <v>0</v>
      </c>
      <c r="F28" s="16" t="s">
        <v>157</v>
      </c>
      <c r="G28" s="26" t="str">
        <f>IF(AND(C28&gt;=Menu!K29-$U$33,Stats!C28&lt;=Menu!L29+$U$33),"OK","!! KO !!")</f>
        <v>OK</v>
      </c>
      <c r="O28" s="54" t="s">
        <v>209</v>
      </c>
      <c r="P28" s="29" t="s">
        <v>196</v>
      </c>
      <c r="Q28" s="29" t="s">
        <v>197</v>
      </c>
      <c r="R28" s="29" t="s">
        <v>198</v>
      </c>
      <c r="S28" s="29" t="s">
        <v>199</v>
      </c>
      <c r="T28" s="29" t="s">
        <v>200</v>
      </c>
    </row>
    <row r="29" spans="1:20" x14ac:dyDescent="0.55000000000000004">
      <c r="O29" s="55" t="s">
        <v>195</v>
      </c>
      <c r="P29" s="56">
        <f>P30-P31</f>
        <v>8.3040443449834342E-3</v>
      </c>
      <c r="Q29" s="56">
        <f t="shared" ref="Q29:T29" si="19">Q30-Q31</f>
        <v>3.3672988738343623E-2</v>
      </c>
      <c r="R29" s="56">
        <f t="shared" si="19"/>
        <v>-0.14825719081678307</v>
      </c>
      <c r="S29" s="56">
        <f t="shared" si="19"/>
        <v>9.5535198973528468E-2</v>
      </c>
      <c r="T29" s="56">
        <f t="shared" si="19"/>
        <v>1.0744958759927536E-2</v>
      </c>
    </row>
    <row r="30" spans="1:20" x14ac:dyDescent="0.55000000000000004">
      <c r="A30" s="28" t="s">
        <v>1410</v>
      </c>
      <c r="B30" s="28" t="s">
        <v>134</v>
      </c>
      <c r="C30" s="28" t="s">
        <v>129</v>
      </c>
      <c r="D30" s="28" t="str">
        <f>Menu!B16</f>
        <v>STOXX EUROPE 600</v>
      </c>
      <c r="E30" s="28" t="s">
        <v>131</v>
      </c>
      <c r="F30" s="28"/>
      <c r="O30" s="26" t="s">
        <v>129</v>
      </c>
      <c r="P30" s="32">
        <f>SUMIF(Output!$R:$R,"&gt;=8",Output!$F:$F)</f>
        <v>4.6769591135832712E-2</v>
      </c>
      <c r="Q30" s="32">
        <f>SUMIF(Output!$R:$R,"&gt;=6",Output!$F:$F)-SUM($P30:P30)</f>
        <v>0.32801493868123316</v>
      </c>
      <c r="R30" s="32">
        <f>SUMIF(Output!$R:$R,"&gt;=4",Output!$F:$F)-SUM($P30:Q30)</f>
        <v>0.28310622358839965</v>
      </c>
      <c r="S30" s="32">
        <f>SUMIF(Output!$R:$R,"&gt;=2",Output!$F:$F)-SUM($P30:R30)</f>
        <v>0.29261610571298258</v>
      </c>
      <c r="T30" s="32">
        <f>1-SUM($P30:S30)</f>
        <v>4.9493140881551878E-2</v>
      </c>
    </row>
    <row r="31" spans="1:20" x14ac:dyDescent="0.55000000000000004">
      <c r="A31" s="14" t="s">
        <v>1416</v>
      </c>
      <c r="B31" s="26">
        <f>COUNTIF(Output!$AA:$AA,"="&amp;Stats!$A31)</f>
        <v>0</v>
      </c>
      <c r="C31" s="32">
        <f>SUMIF(Output!$AA:$AA,"="&amp;Stats!$A31,Output!$F:$F)</f>
        <v>0</v>
      </c>
      <c r="D31" s="32">
        <f>SUMIF(Bench!$W:$W,"="&amp;Stats!$A31,Bench!$F:$F)</f>
        <v>3.1211149593671295E-3</v>
      </c>
      <c r="E31" s="9">
        <f>C31-D31</f>
        <v>-3.1211149593671295E-3</v>
      </c>
      <c r="F31" s="16" t="s">
        <v>157</v>
      </c>
      <c r="G31" s="26" t="str">
        <f>IF(AND(C31&gt;=Menu!D53-$U$33,Stats!C31&lt;=Menu!E53+$U$33),"OK","!! KO !!")</f>
        <v>!! KO !!</v>
      </c>
      <c r="O31" s="26" t="str">
        <f>D1</f>
        <v>STOXX EUROPE 600</v>
      </c>
      <c r="P31" s="32">
        <f>SUMIF(Bench!$R:$R,"&gt;=8",Bench!$F:$F)</f>
        <v>3.8465546790849278E-2</v>
      </c>
      <c r="Q31" s="32">
        <f>SUMIF(Bench!$R:$R,"&gt;=6",Bench!$F:$F)-SUM($P31:P31)</f>
        <v>0.29434194994288954</v>
      </c>
      <c r="R31" s="32">
        <f>SUMIF(Bench!$R:$R,"&gt;=4",Bench!$F:$F)-SUM($P31:Q31)</f>
        <v>0.43136341440518272</v>
      </c>
      <c r="S31" s="32">
        <f>SUMIF(Bench!$R:$R,"&gt;=2",Bench!$F:$F)-SUM($P31:R31)</f>
        <v>0.19708090673945411</v>
      </c>
      <c r="T31" s="32">
        <f>1-SUM($P31:S31)</f>
        <v>3.8748182121624342E-2</v>
      </c>
    </row>
    <row r="32" spans="1:20" x14ac:dyDescent="0.55000000000000004">
      <c r="A32" s="14" t="s">
        <v>1414</v>
      </c>
      <c r="B32" s="26">
        <f>COUNTIF(Output!$AA:$AA,"="&amp;Stats!$A32)</f>
        <v>0</v>
      </c>
      <c r="C32" s="32">
        <f>SUMIF(Output!$AA:$AA,"="&amp;Stats!$A32,Output!$F:$F)</f>
        <v>0</v>
      </c>
      <c r="D32" s="32">
        <f>SUMIF(Bench!$W:$W,"="&amp;Stats!$A32,Bench!$F:$F)</f>
        <v>6.7682938343017238E-2</v>
      </c>
      <c r="E32" s="9">
        <f>C32-D32</f>
        <v>-6.7682938343017238E-2</v>
      </c>
      <c r="F32" s="16" t="s">
        <v>157</v>
      </c>
      <c r="G32" s="26" t="str">
        <f>IF(AND(C32&gt;=Menu!D54-$U$33,Stats!C32&lt;=Menu!E54+$U$33),"OK","!! KO !!")</f>
        <v>!! KO !!</v>
      </c>
    </row>
    <row r="33" spans="1:21" x14ac:dyDescent="0.55000000000000004">
      <c r="A33" s="14" t="s">
        <v>1415</v>
      </c>
      <c r="B33" s="26">
        <f>COUNTIF(Output!$AA:$AA,"="&amp;Stats!$A33)</f>
        <v>100</v>
      </c>
      <c r="C33" s="32">
        <f>SUMIF(Output!$AA:$AA,"="&amp;Stats!$A33,Output!$F:$F)</f>
        <v>0.98083292028478475</v>
      </c>
      <c r="D33" s="32">
        <f>SUMIF(Bench!$W:$W,"="&amp;Stats!$A33,Bench!$F:$F)</f>
        <v>0.92919594669761596</v>
      </c>
      <c r="E33" s="9">
        <f t="shared" ref="E33" si="20">C33-D33</f>
        <v>5.1636973587168788E-2</v>
      </c>
      <c r="F33" s="16" t="s">
        <v>157</v>
      </c>
      <c r="G33" s="26" t="str">
        <f>IF(AND(C33&gt;=Menu!D55-$U$33,Stats!C33&lt;=Menu!E55+$U$33),"OK","!! KO !!")</f>
        <v>!! KO !!</v>
      </c>
      <c r="O33" s="27" t="s">
        <v>132</v>
      </c>
      <c r="P33" s="27" t="s">
        <v>129</v>
      </c>
      <c r="Q33" s="27" t="str">
        <f>D1</f>
        <v>STOXX EUROPE 600</v>
      </c>
      <c r="R33" s="28" t="s">
        <v>131</v>
      </c>
      <c r="T33" s="47" t="s">
        <v>188</v>
      </c>
      <c r="U33" s="17">
        <f>10^-5</f>
        <v>1.0000000000000001E-5</v>
      </c>
    </row>
    <row r="34" spans="1:21" x14ac:dyDescent="0.55000000000000004">
      <c r="O34" s="29" t="s">
        <v>133</v>
      </c>
      <c r="P34" s="32">
        <v>2.7748261287540983E-3</v>
      </c>
      <c r="Q34" s="30"/>
      <c r="R34" s="30"/>
    </row>
    <row r="35" spans="1:21" x14ac:dyDescent="0.55000000000000004">
      <c r="O35" s="29" t="s">
        <v>172</v>
      </c>
      <c r="P35" s="42">
        <f>SUMPRODUCT(Output!F:F,Output!X:X)</f>
        <v>1.0062477252391437</v>
      </c>
      <c r="Q35" s="30"/>
      <c r="R35" s="30"/>
      <c r="S35" s="26" t="str">
        <f>IF(AND(Stats!P35&gt;=Menu!N2-$U$33,Menu!N3+$U$33&gt;=Stats!P35),"OK","!! KO !!")</f>
        <v>!! KO !!</v>
      </c>
    </row>
    <row r="36" spans="1:21" x14ac:dyDescent="0.55000000000000004">
      <c r="O36" s="29"/>
      <c r="P36" s="31"/>
      <c r="Q36" s="31"/>
      <c r="R36" s="31"/>
    </row>
    <row r="37" spans="1:21" x14ac:dyDescent="0.55000000000000004">
      <c r="O37" s="29" t="s">
        <v>123</v>
      </c>
      <c r="P37" s="31" cm="1">
        <f t="array" ref="P37">SUMPRODUCT(Output!$F$2:$F$80,IF(ISERROR(Output!K$2:K$80)=FALSE,Output!K$2:K$80))/SUM(IF(ISERROR(Output!K$2:K$80)=FALSE,Output!$F$2:$F$80))</f>
        <v>3.2616253925040151</v>
      </c>
      <c r="Q37" s="31" cm="1">
        <f t="array" ref="Q37">SUMPRODUCT(Bench!$F$2:$F$1800,IF(ISERROR(Bench!K$2:K$1800)=FALSE,Bench!K$2:K$1800))/SUM(IF(ISERROR(Bench!K$2:K$1800)=FALSE,Bench!$F$2:$F$1800))</f>
        <v>3.3439493267375426</v>
      </c>
      <c r="R37" s="31">
        <f>P37-Q37</f>
        <v>-8.2323934233527574E-2</v>
      </c>
      <c r="S37" s="26" t="str">
        <f>IF(P37&gt;=Menu!B7-$U$33,"OK","!! KO !!")</f>
        <v>OK</v>
      </c>
    </row>
    <row r="38" spans="1:21" x14ac:dyDescent="0.55000000000000004">
      <c r="O38" s="29" t="s">
        <v>182</v>
      </c>
      <c r="P38" s="31" cm="1">
        <f t="array" ref="P38">SUMPRODUCT(Output!$F$2:$F$80,IF(ISERROR(Output!L$2:L$80)=FALSE,Output!L$2:L$80))/SUM(IF(ISERROR(Output!L$2:L$80)=FALSE,Output!$F$2:$F$80))</f>
        <v>7.3248897192149993</v>
      </c>
      <c r="Q38" s="31" cm="1">
        <f t="array" ref="Q38">SUMPRODUCT(Bench!$F$2:$F$1800,IF(ISERROR(Bench!L$2:L$1800)=FALSE,Bench!L$2:L$1800))/SUM(IF(ISERROR(Bench!L$2:L$1800)=FALSE,Bench!$F$2:$F$1800))</f>
        <v>7.6383954328888635</v>
      </c>
      <c r="R38" s="31">
        <f>P38-Q38</f>
        <v>-0.31350571367386415</v>
      </c>
    </row>
    <row r="39" spans="1:21" x14ac:dyDescent="0.55000000000000004">
      <c r="O39" s="29" t="s">
        <v>128</v>
      </c>
      <c r="P39" s="26">
        <f>COUNTA(Output!A:A)-1</f>
        <v>100</v>
      </c>
      <c r="Q39" s="41">
        <f>COUNTA(Bench!A:A)-1</f>
        <v>597</v>
      </c>
      <c r="R39" s="30"/>
    </row>
  </sheetData>
  <phoneticPr fontId="8" type="noConversion"/>
  <conditionalFormatting sqref="G2:G20 S35:S39">
    <cfRule type="containsText" dxfId="7" priority="60" operator="containsText" text="KO">
      <formula>NOT(ISERROR(SEARCH("KO",G2)))</formula>
    </cfRule>
    <cfRule type="containsText" dxfId="6" priority="61" operator="containsText" text="OK">
      <formula>NOT(ISERROR(SEARCH("OK",G2)))</formula>
    </cfRule>
  </conditionalFormatting>
  <conditionalFormatting sqref="G23:G28">
    <cfRule type="containsText" dxfId="5" priority="54" operator="containsText" text="KO">
      <formula>NOT(ISERROR(SEARCH("KO",G23)))</formula>
    </cfRule>
    <cfRule type="containsText" dxfId="4" priority="55" operator="containsText" text="OK">
      <formula>NOT(ISERROR(SEARCH("OK",G23)))</formula>
    </cfRule>
  </conditionalFormatting>
  <conditionalFormatting sqref="P2:Q2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3:Q3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4:Q4">
    <cfRule type="colorScale" priority="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5:Q5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6:Q6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2:E20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{DE329400-607C-4FF4-8AA6-C2C491B10302}</x14:id>
        </ext>
      </extLst>
    </cfRule>
  </conditionalFormatting>
  <conditionalFormatting sqref="E23:E2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{2C7B259D-C814-408F-96FB-EB82A7985ADD}</x14:id>
        </ext>
      </extLst>
    </cfRule>
  </conditionalFormatting>
  <conditionalFormatting sqref="P19:T19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9:T9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:T14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4:T24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9:T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1:E3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{BDA983D6-1583-4045-84E2-8E871BE284DE}</x14:id>
        </ext>
      </extLst>
    </cfRule>
  </conditionalFormatting>
  <conditionalFormatting sqref="G31:G33">
    <cfRule type="containsText" dxfId="3" priority="1" operator="containsText" text="KO">
      <formula>NOT(ISERROR(SEARCH("KO",G31)))</formula>
    </cfRule>
    <cfRule type="containsText" dxfId="2" priority="2" operator="containsText" text="OK">
      <formula>NOT(ISERROR(SEARCH("OK",G31)))</formula>
    </cfRule>
  </conditionalFormatting>
  <conditionalFormatting sqref="M2:M16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{0D2BEC5F-E20B-4F95-BE5D-D8DA675D28EC}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329400-607C-4FF4-8AA6-C2C491B103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E2:E20</xm:sqref>
        </x14:conditionalFormatting>
        <x14:conditionalFormatting xmlns:xm="http://schemas.microsoft.com/office/excel/2006/main">
          <x14:cfRule type="dataBar" id="{2C7B259D-C814-408F-96FB-EB82A7985A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E23:E28</xm:sqref>
        </x14:conditionalFormatting>
        <x14:conditionalFormatting xmlns:xm="http://schemas.microsoft.com/office/excel/2006/main">
          <x14:cfRule type="dataBar" id="{BDA983D6-1583-4045-84E2-8E871BE284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E31:E33</xm:sqref>
        </x14:conditionalFormatting>
        <x14:conditionalFormatting xmlns:xm="http://schemas.microsoft.com/office/excel/2006/main">
          <x14:cfRule type="dataBar" id="{0D2BEC5F-E20B-4F95-BE5D-D8DA675D28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M2:M16</xm:sqref>
        </x14:conditionalFormatting>
        <x14:conditionalFormatting xmlns:xm="http://schemas.microsoft.com/office/excel/2006/main">
          <x14:cfRule type="containsText" priority="4" operator="containsText" id="{1B9D9428-90BA-44CC-B26A-FC5A2CED191C}">
            <xm:f>NOT(ISERROR(SEARCH("+",F2)))</xm:f>
            <xm:f>"+"</xm:f>
            <x14:dxf>
              <font>
                <color theme="9"/>
              </font>
            </x14:dxf>
          </x14:cfRule>
          <x14:cfRule type="containsText" priority="5" operator="containsText" id="{DBF7D71D-541A-4243-9664-D7C22865C704}">
            <xm:f>NOT(ISERROR(SEARCH("-",F2)))</xm:f>
            <xm:f>"-"</xm:f>
            <x14:dxf>
              <font>
                <color rgb="FFFF0000"/>
              </font>
            </x14:dxf>
          </x14:cfRule>
          <xm:sqref>F2:F20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1BDF1-A815-4316-BAE2-350A5347A584}">
  <sheetPr codeName="Feuil2"/>
  <dimension ref="A1:E63"/>
  <sheetViews>
    <sheetView workbookViewId="0">
      <selection activeCell="E2" sqref="E2:E4"/>
    </sheetView>
  </sheetViews>
  <sheetFormatPr baseColWidth="10" defaultColWidth="11.41796875" defaultRowHeight="14.4" x14ac:dyDescent="0.55000000000000004"/>
  <cols>
    <col min="1" max="1" width="31.15625" style="3" bestFit="1" customWidth="1"/>
    <col min="2" max="2" width="27" customWidth="1"/>
  </cols>
  <sheetData>
    <row r="1" spans="1:5" x14ac:dyDescent="0.55000000000000004">
      <c r="A1" s="2" t="s">
        <v>7</v>
      </c>
      <c r="B1" s="2" t="s">
        <v>140</v>
      </c>
      <c r="C1" s="2" t="s">
        <v>142</v>
      </c>
      <c r="D1" s="2" t="s">
        <v>181</v>
      </c>
      <c r="E1" s="2" t="s">
        <v>2043</v>
      </c>
    </row>
    <row r="2" spans="1:5" x14ac:dyDescent="0.55000000000000004">
      <c r="A2" s="3" t="s">
        <v>8</v>
      </c>
      <c r="B2" s="21" t="s">
        <v>139</v>
      </c>
      <c r="C2" s="21" t="s">
        <v>143</v>
      </c>
      <c r="D2" s="21" t="s">
        <v>179</v>
      </c>
      <c r="E2" s="21" t="s">
        <v>2040</v>
      </c>
    </row>
    <row r="3" spans="1:5" x14ac:dyDescent="0.55000000000000004">
      <c r="A3" s="3" t="s">
        <v>9</v>
      </c>
      <c r="B3" s="21" t="s">
        <v>146</v>
      </c>
      <c r="C3" s="21" t="s">
        <v>144</v>
      </c>
      <c r="D3" s="21" t="s">
        <v>180</v>
      </c>
      <c r="E3" s="21" t="s">
        <v>2042</v>
      </c>
    </row>
    <row r="4" spans="1:5" x14ac:dyDescent="0.55000000000000004">
      <c r="A4" s="3" t="s">
        <v>10</v>
      </c>
      <c r="B4" s="21" t="s">
        <v>141</v>
      </c>
      <c r="C4" s="21" t="s">
        <v>145</v>
      </c>
      <c r="E4" s="21" t="s">
        <v>2041</v>
      </c>
    </row>
    <row r="5" spans="1:5" x14ac:dyDescent="0.55000000000000004">
      <c r="A5" s="3" t="s">
        <v>11</v>
      </c>
      <c r="B5" s="21" t="s">
        <v>1410</v>
      </c>
      <c r="C5" s="21" t="s">
        <v>2037</v>
      </c>
    </row>
    <row r="6" spans="1:5" x14ac:dyDescent="0.55000000000000004">
      <c r="A6" s="3" t="s">
        <v>12</v>
      </c>
    </row>
    <row r="7" spans="1:5" x14ac:dyDescent="0.55000000000000004">
      <c r="A7" s="3" t="s">
        <v>13</v>
      </c>
    </row>
    <row r="8" spans="1:5" x14ac:dyDescent="0.55000000000000004">
      <c r="A8" s="3" t="s">
        <v>14</v>
      </c>
    </row>
    <row r="9" spans="1:5" x14ac:dyDescent="0.55000000000000004">
      <c r="A9" s="3" t="s">
        <v>15</v>
      </c>
    </row>
    <row r="10" spans="1:5" x14ac:dyDescent="0.55000000000000004">
      <c r="A10" s="3" t="s">
        <v>16</v>
      </c>
    </row>
    <row r="11" spans="1:5" x14ac:dyDescent="0.55000000000000004">
      <c r="A11" s="3" t="s">
        <v>17</v>
      </c>
    </row>
    <row r="12" spans="1:5" x14ac:dyDescent="0.55000000000000004">
      <c r="A12" s="3" t="s">
        <v>18</v>
      </c>
    </row>
    <row r="13" spans="1:5" x14ac:dyDescent="0.55000000000000004">
      <c r="A13" s="3" t="s">
        <v>19</v>
      </c>
    </row>
    <row r="14" spans="1:5" x14ac:dyDescent="0.55000000000000004">
      <c r="A14" s="3" t="s">
        <v>20</v>
      </c>
    </row>
    <row r="15" spans="1:5" x14ac:dyDescent="0.55000000000000004">
      <c r="A15" s="3" t="s">
        <v>21</v>
      </c>
    </row>
    <row r="16" spans="1:5" x14ac:dyDescent="0.55000000000000004">
      <c r="A16" s="3" t="s">
        <v>68</v>
      </c>
    </row>
    <row r="17" spans="1:1" x14ac:dyDescent="0.55000000000000004">
      <c r="A17" s="3" t="s">
        <v>22</v>
      </c>
    </row>
    <row r="18" spans="1:1" x14ac:dyDescent="0.55000000000000004">
      <c r="A18" s="3" t="s">
        <v>23</v>
      </c>
    </row>
    <row r="19" spans="1:1" x14ac:dyDescent="0.55000000000000004">
      <c r="A19" s="3" t="s">
        <v>24</v>
      </c>
    </row>
    <row r="20" spans="1:1" x14ac:dyDescent="0.55000000000000004">
      <c r="A20" s="3" t="s">
        <v>25</v>
      </c>
    </row>
    <row r="21" spans="1:1" x14ac:dyDescent="0.55000000000000004">
      <c r="A21" s="3" t="s">
        <v>26</v>
      </c>
    </row>
    <row r="22" spans="1:1" x14ac:dyDescent="0.55000000000000004">
      <c r="A22" s="3" t="s">
        <v>27</v>
      </c>
    </row>
    <row r="23" spans="1:1" x14ac:dyDescent="0.55000000000000004">
      <c r="A23" s="3" t="s">
        <v>28</v>
      </c>
    </row>
    <row r="24" spans="1:1" x14ac:dyDescent="0.55000000000000004">
      <c r="A24" s="3" t="s">
        <v>29</v>
      </c>
    </row>
    <row r="25" spans="1:1" x14ac:dyDescent="0.55000000000000004">
      <c r="A25" s="3" t="s">
        <v>30</v>
      </c>
    </row>
    <row r="26" spans="1:1" x14ac:dyDescent="0.55000000000000004">
      <c r="A26" s="3" t="s">
        <v>31</v>
      </c>
    </row>
    <row r="27" spans="1:1" x14ac:dyDescent="0.55000000000000004">
      <c r="A27" s="3" t="s">
        <v>32</v>
      </c>
    </row>
    <row r="28" spans="1:1" x14ac:dyDescent="0.55000000000000004">
      <c r="A28" s="3" t="s">
        <v>33</v>
      </c>
    </row>
    <row r="29" spans="1:1" x14ac:dyDescent="0.55000000000000004">
      <c r="A29" s="3" t="s">
        <v>34</v>
      </c>
    </row>
    <row r="30" spans="1:1" x14ac:dyDescent="0.55000000000000004">
      <c r="A30" s="3" t="s">
        <v>35</v>
      </c>
    </row>
    <row r="31" spans="1:1" x14ac:dyDescent="0.55000000000000004">
      <c r="A31" s="3" t="s">
        <v>36</v>
      </c>
    </row>
    <row r="32" spans="1:1" x14ac:dyDescent="0.55000000000000004">
      <c r="A32" s="3" t="s">
        <v>37</v>
      </c>
    </row>
    <row r="33" spans="1:1" x14ac:dyDescent="0.55000000000000004">
      <c r="A33" s="3" t="s">
        <v>38</v>
      </c>
    </row>
    <row r="34" spans="1:1" x14ac:dyDescent="0.55000000000000004">
      <c r="A34" s="3" t="s">
        <v>39</v>
      </c>
    </row>
    <row r="35" spans="1:1" x14ac:dyDescent="0.55000000000000004">
      <c r="A35" s="3" t="s">
        <v>40</v>
      </c>
    </row>
    <row r="36" spans="1:1" x14ac:dyDescent="0.55000000000000004">
      <c r="A36" s="3" t="s">
        <v>41</v>
      </c>
    </row>
    <row r="37" spans="1:1" x14ac:dyDescent="0.55000000000000004">
      <c r="A37" s="3" t="s">
        <v>42</v>
      </c>
    </row>
    <row r="38" spans="1:1" x14ac:dyDescent="0.55000000000000004">
      <c r="A38" s="3" t="s">
        <v>43</v>
      </c>
    </row>
    <row r="39" spans="1:1" x14ac:dyDescent="0.55000000000000004">
      <c r="A39" s="3" t="s">
        <v>44</v>
      </c>
    </row>
    <row r="40" spans="1:1" x14ac:dyDescent="0.55000000000000004">
      <c r="A40" s="3" t="s">
        <v>45</v>
      </c>
    </row>
    <row r="41" spans="1:1" x14ac:dyDescent="0.55000000000000004">
      <c r="A41" s="3" t="s">
        <v>46</v>
      </c>
    </row>
    <row r="42" spans="1:1" x14ac:dyDescent="0.55000000000000004">
      <c r="A42" s="3" t="s">
        <v>47</v>
      </c>
    </row>
    <row r="43" spans="1:1" x14ac:dyDescent="0.55000000000000004">
      <c r="A43" s="3" t="s">
        <v>48</v>
      </c>
    </row>
    <row r="44" spans="1:1" x14ac:dyDescent="0.55000000000000004">
      <c r="A44" s="3" t="s">
        <v>49</v>
      </c>
    </row>
    <row r="45" spans="1:1" x14ac:dyDescent="0.55000000000000004">
      <c r="A45" s="3" t="s">
        <v>50</v>
      </c>
    </row>
    <row r="46" spans="1:1" x14ac:dyDescent="0.55000000000000004">
      <c r="A46" s="3" t="s">
        <v>51</v>
      </c>
    </row>
    <row r="47" spans="1:1" x14ac:dyDescent="0.55000000000000004">
      <c r="A47" s="3" t="s">
        <v>52</v>
      </c>
    </row>
    <row r="48" spans="1:1" x14ac:dyDescent="0.55000000000000004">
      <c r="A48" s="3" t="s">
        <v>53</v>
      </c>
    </row>
    <row r="49" spans="1:1" x14ac:dyDescent="0.55000000000000004">
      <c r="A49" s="3" t="s">
        <v>54</v>
      </c>
    </row>
    <row r="50" spans="1:1" x14ac:dyDescent="0.55000000000000004">
      <c r="A50" s="3" t="s">
        <v>55</v>
      </c>
    </row>
    <row r="51" spans="1:1" x14ac:dyDescent="0.55000000000000004">
      <c r="A51" s="3" t="s">
        <v>56</v>
      </c>
    </row>
    <row r="52" spans="1:1" x14ac:dyDescent="0.55000000000000004">
      <c r="A52" s="3" t="s">
        <v>57</v>
      </c>
    </row>
    <row r="53" spans="1:1" x14ac:dyDescent="0.55000000000000004">
      <c r="A53" s="3" t="s">
        <v>58</v>
      </c>
    </row>
    <row r="54" spans="1:1" x14ac:dyDescent="0.55000000000000004">
      <c r="A54" s="3" t="s">
        <v>59</v>
      </c>
    </row>
    <row r="55" spans="1:1" x14ac:dyDescent="0.55000000000000004">
      <c r="A55" s="3" t="s">
        <v>60</v>
      </c>
    </row>
    <row r="56" spans="1:1" x14ac:dyDescent="0.55000000000000004">
      <c r="A56" s="3" t="s">
        <v>61</v>
      </c>
    </row>
    <row r="57" spans="1:1" x14ac:dyDescent="0.55000000000000004">
      <c r="A57" s="3" t="s">
        <v>62</v>
      </c>
    </row>
    <row r="58" spans="1:1" x14ac:dyDescent="0.55000000000000004">
      <c r="A58" s="3" t="s">
        <v>63</v>
      </c>
    </row>
    <row r="59" spans="1:1" x14ac:dyDescent="0.55000000000000004">
      <c r="A59" s="3" t="s">
        <v>64</v>
      </c>
    </row>
    <row r="60" spans="1:1" x14ac:dyDescent="0.55000000000000004">
      <c r="A60" s="3" t="s">
        <v>65</v>
      </c>
    </row>
    <row r="61" spans="1:1" x14ac:dyDescent="0.55000000000000004">
      <c r="A61" s="3" t="s">
        <v>66</v>
      </c>
    </row>
    <row r="62" spans="1:1" x14ac:dyDescent="0.55000000000000004">
      <c r="A62" s="3" t="s">
        <v>67</v>
      </c>
    </row>
    <row r="63" spans="1:1" x14ac:dyDescent="0.55000000000000004">
      <c r="A63" s="3" t="s">
        <v>811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189F-6BF8-4A29-AC2D-D283BFB5D58F}">
  <sheetPr codeName="Feuil6"/>
  <dimension ref="A1:C26"/>
  <sheetViews>
    <sheetView workbookViewId="0">
      <selection activeCell="C4" sqref="C4"/>
    </sheetView>
  </sheetViews>
  <sheetFormatPr baseColWidth="10" defaultRowHeight="14.4" x14ac:dyDescent="0.55000000000000004"/>
  <cols>
    <col min="1" max="1" width="14" bestFit="1" customWidth="1"/>
  </cols>
  <sheetData>
    <row r="1" spans="1:3" x14ac:dyDescent="0.55000000000000004">
      <c r="A1" t="s">
        <v>174</v>
      </c>
      <c r="C1" t="s">
        <v>175</v>
      </c>
    </row>
    <row r="2" spans="1:3" x14ac:dyDescent="0.55000000000000004">
      <c r="A2" s="43"/>
    </row>
    <row r="3" spans="1:3" x14ac:dyDescent="0.55000000000000004">
      <c r="A3" s="43"/>
    </row>
    <row r="4" spans="1:3" x14ac:dyDescent="0.55000000000000004">
      <c r="A4" s="43"/>
    </row>
    <row r="5" spans="1:3" x14ac:dyDescent="0.55000000000000004">
      <c r="A5" s="43"/>
    </row>
    <row r="6" spans="1:3" x14ac:dyDescent="0.55000000000000004">
      <c r="A6" s="43"/>
    </row>
    <row r="7" spans="1:3" x14ac:dyDescent="0.55000000000000004">
      <c r="A7" s="43"/>
    </row>
    <row r="8" spans="1:3" x14ac:dyDescent="0.55000000000000004">
      <c r="A8" s="43"/>
    </row>
    <row r="9" spans="1:3" x14ac:dyDescent="0.55000000000000004">
      <c r="A9" s="43"/>
    </row>
    <row r="10" spans="1:3" x14ac:dyDescent="0.55000000000000004">
      <c r="A10" s="43"/>
    </row>
    <row r="11" spans="1:3" x14ac:dyDescent="0.55000000000000004">
      <c r="A11" s="43"/>
    </row>
    <row r="12" spans="1:3" x14ac:dyDescent="0.55000000000000004">
      <c r="A12" s="43"/>
    </row>
    <row r="13" spans="1:3" x14ac:dyDescent="0.55000000000000004">
      <c r="A13" s="43"/>
    </row>
    <row r="14" spans="1:3" x14ac:dyDescent="0.55000000000000004">
      <c r="A14" s="43"/>
    </row>
    <row r="15" spans="1:3" x14ac:dyDescent="0.55000000000000004">
      <c r="A15" s="43"/>
    </row>
    <row r="16" spans="1:3" x14ac:dyDescent="0.55000000000000004">
      <c r="A16" s="43"/>
    </row>
    <row r="17" spans="1:1" x14ac:dyDescent="0.55000000000000004">
      <c r="A17" s="43"/>
    </row>
    <row r="18" spans="1:1" x14ac:dyDescent="0.55000000000000004">
      <c r="A18" s="43"/>
    </row>
    <row r="19" spans="1:1" x14ac:dyDescent="0.55000000000000004">
      <c r="A19" s="43"/>
    </row>
    <row r="20" spans="1:1" x14ac:dyDescent="0.55000000000000004">
      <c r="A20" s="43"/>
    </row>
    <row r="21" spans="1:1" x14ac:dyDescent="0.55000000000000004">
      <c r="A21" s="43"/>
    </row>
    <row r="22" spans="1:1" x14ac:dyDescent="0.55000000000000004">
      <c r="A22" s="43"/>
    </row>
    <row r="23" spans="1:1" x14ac:dyDescent="0.55000000000000004">
      <c r="A23" s="43"/>
    </row>
    <row r="24" spans="1:1" x14ac:dyDescent="0.55000000000000004">
      <c r="A24" s="43"/>
    </row>
    <row r="25" spans="1:1" x14ac:dyDescent="0.55000000000000004">
      <c r="A25" s="43"/>
    </row>
    <row r="26" spans="1:1" x14ac:dyDescent="0.55000000000000004">
      <c r="A26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Menu</vt:lpstr>
      <vt:lpstr>Input</vt:lpstr>
      <vt:lpstr>Output</vt:lpstr>
      <vt:lpstr>Output_BK</vt:lpstr>
      <vt:lpstr>Bench</vt:lpstr>
      <vt:lpstr>Stats</vt:lpstr>
      <vt:lpstr>Liste params</vt:lpstr>
      <vt:lpstr>Exclusion forcee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HULLARD Alexandre</dc:creator>
  <cp:lastModifiedBy>LI Jingxuan</cp:lastModifiedBy>
  <dcterms:created xsi:type="dcterms:W3CDTF">2023-05-04T12:48:03Z</dcterms:created>
  <dcterms:modified xsi:type="dcterms:W3CDTF">2024-11-06T17:12:37Z</dcterms:modified>
</cp:coreProperties>
</file>